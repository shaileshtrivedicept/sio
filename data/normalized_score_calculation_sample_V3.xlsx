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shaileshtrivedi/Documents/1. SIO/BOR Analysis/"/>
    </mc:Choice>
  </mc:AlternateContent>
  <xr:revisionPtr revIDLastSave="0" documentId="13_ncr:1_{29917866-D3A9-9B45-856C-AD67596724DF}" xr6:coauthVersionLast="47" xr6:coauthVersionMax="47" xr10:uidLastSave="{00000000-0000-0000-0000-000000000000}"/>
  <bookViews>
    <workbookView xWindow="0" yWindow="660" windowWidth="24640" windowHeight="17760" firstSheet="2" activeTab="10" xr2:uid="{27654F73-19B4-8445-A7E0-9D6CD2939F2F}"/>
  </bookViews>
  <sheets>
    <sheet name="Panel Scores (2)" sheetId="7" r:id="rId1"/>
    <sheet name="Panel Scores" sheetId="4" state="hidden" r:id="rId2"/>
    <sheet name="Panels Cores 1" sheetId="17" r:id="rId3"/>
    <sheet name="Sheet8" sheetId="15" r:id="rId4"/>
    <sheet name="Chart4" sheetId="14" r:id="rId5"/>
    <sheet name="Sheet7" sheetId="13" r:id="rId6"/>
    <sheet name="Construct Contribution" sheetId="5" r:id="rId7"/>
    <sheet name="Sheet6" sheetId="12" r:id="rId8"/>
    <sheet name="Sheet3" sheetId="6" r:id="rId9"/>
    <sheet name="Sheet10" sheetId="18" r:id="rId10"/>
    <sheet name="Normalized Score" sheetId="2" r:id="rId11"/>
    <sheet name="Sheet2" sheetId="24" r:id="rId12"/>
    <sheet name="Weights and Confidence" sheetId="3" r:id="rId13"/>
    <sheet name="Sheet12" sheetId="20" r:id="rId14"/>
    <sheet name="Normalized Score (2)" sheetId="19" r:id="rId15"/>
  </sheets>
  <calcPr calcId="191029"/>
  <pivotCaches>
    <pivotCache cacheId="231" r:id="rId16"/>
    <pivotCache cacheId="418" r:id="rId17"/>
    <pivotCache cacheId="47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165" i="2" l="1"/>
  <c r="AB2165" i="2"/>
  <c r="AA2165" i="2"/>
  <c r="AC2164" i="2"/>
  <c r="AB2164" i="2"/>
  <c r="AA2164" i="2" s="1"/>
  <c r="AC2163" i="2"/>
  <c r="AB2163" i="2"/>
  <c r="K2163" i="2" s="1"/>
  <c r="M2163" i="2" s="1"/>
  <c r="AA2163" i="2"/>
  <c r="AC2162" i="2"/>
  <c r="AB2162" i="2"/>
  <c r="K2162" i="2" s="1"/>
  <c r="M2162" i="2" s="1"/>
  <c r="AA2162" i="2"/>
  <c r="AC2161" i="2"/>
  <c r="L2161" i="2" s="1"/>
  <c r="AB2161" i="2"/>
  <c r="AA2161" i="2" s="1"/>
  <c r="AC2160" i="2"/>
  <c r="AB2160" i="2"/>
  <c r="AA2160" i="2"/>
  <c r="AC2159" i="2"/>
  <c r="AB2159" i="2"/>
  <c r="AA2159" i="2"/>
  <c r="AC2158" i="2"/>
  <c r="AB2158" i="2"/>
  <c r="AA2158" i="2" s="1"/>
  <c r="AC2157" i="2"/>
  <c r="AB2157" i="2"/>
  <c r="AA2157" i="2"/>
  <c r="AC2156" i="2"/>
  <c r="L2156" i="2" s="1"/>
  <c r="AB2156" i="2"/>
  <c r="AA2156" i="2" s="1"/>
  <c r="AC2155" i="2"/>
  <c r="AB2155" i="2"/>
  <c r="AA2155" i="2" s="1"/>
  <c r="AC2154" i="2"/>
  <c r="AB2154" i="2"/>
  <c r="K2154" i="2" s="1"/>
  <c r="AA2154" i="2"/>
  <c r="AC2153" i="2"/>
  <c r="L2153" i="2" s="1"/>
  <c r="AB2153" i="2"/>
  <c r="AA2153" i="2"/>
  <c r="AC2152" i="2"/>
  <c r="L2152" i="2" s="1"/>
  <c r="AB2152" i="2"/>
  <c r="AA2152" i="2" s="1"/>
  <c r="AC2151" i="2"/>
  <c r="AB2151" i="2"/>
  <c r="AA2151" i="2"/>
  <c r="AC2150" i="2"/>
  <c r="AB2150" i="2"/>
  <c r="AA2150" i="2" s="1"/>
  <c r="AC2149" i="2"/>
  <c r="L2149" i="2" s="1"/>
  <c r="AB2149" i="2"/>
  <c r="K2149" i="2" s="1"/>
  <c r="AA2149" i="2"/>
  <c r="AC2148" i="2"/>
  <c r="AB2148" i="2"/>
  <c r="K2148" i="2" s="1"/>
  <c r="M2148" i="2" s="1"/>
  <c r="AA2148" i="2"/>
  <c r="AC2147" i="2"/>
  <c r="L2147" i="2" s="1"/>
  <c r="AB2147" i="2"/>
  <c r="AA2147" i="2" s="1"/>
  <c r="AC2146" i="2"/>
  <c r="AB2146" i="2"/>
  <c r="AA2146" i="2"/>
  <c r="AC2145" i="2"/>
  <c r="AB2145" i="2"/>
  <c r="AA2145" i="2"/>
  <c r="AC2144" i="2"/>
  <c r="AB2144" i="2"/>
  <c r="AA2144" i="2" s="1"/>
  <c r="L2165" i="2"/>
  <c r="K2165" i="2"/>
  <c r="M2165" i="2" s="1"/>
  <c r="L2164" i="2"/>
  <c r="K2164" i="2"/>
  <c r="M2164" i="2" s="1"/>
  <c r="L2163" i="2"/>
  <c r="L2162" i="2"/>
  <c r="L2160" i="2"/>
  <c r="K2160" i="2"/>
  <c r="M2160" i="2" s="1"/>
  <c r="L2159" i="2"/>
  <c r="K2159" i="2"/>
  <c r="M2159" i="2" s="1"/>
  <c r="L2158" i="2"/>
  <c r="K2158" i="2"/>
  <c r="M2158" i="2" s="1"/>
  <c r="L2157" i="2"/>
  <c r="K2157" i="2"/>
  <c r="M2157" i="2" s="1"/>
  <c r="K2156" i="2"/>
  <c r="L2155" i="2"/>
  <c r="K2155" i="2"/>
  <c r="M2155" i="2" s="1"/>
  <c r="L2154" i="2"/>
  <c r="K2153" i="2"/>
  <c r="L2151" i="2"/>
  <c r="K2151" i="2"/>
  <c r="M2151" i="2" s="1"/>
  <c r="L2150" i="2"/>
  <c r="K2150" i="2"/>
  <c r="M2150" i="2" s="1"/>
  <c r="L2148" i="2"/>
  <c r="L2146" i="2"/>
  <c r="K2146" i="2"/>
  <c r="M2146" i="2" s="1"/>
  <c r="L2145" i="2"/>
  <c r="K2145" i="2"/>
  <c r="M2145" i="2" s="1"/>
  <c r="L2144" i="2"/>
  <c r="K2144" i="2"/>
  <c r="M2144" i="2" s="1"/>
  <c r="Q7" i="2"/>
  <c r="Q6" i="2"/>
  <c r="AC2143" i="2"/>
  <c r="L2143" i="2" s="1"/>
  <c r="AB2143" i="2"/>
  <c r="AA2143" i="2" s="1"/>
  <c r="AC2142" i="2"/>
  <c r="AB2142" i="2"/>
  <c r="AA2142" i="2" s="1"/>
  <c r="AC2141" i="2"/>
  <c r="L2141" i="2" s="1"/>
  <c r="AB2141" i="2"/>
  <c r="K2141" i="2" s="1"/>
  <c r="AC2140" i="2"/>
  <c r="L2140" i="2" s="1"/>
  <c r="AB2140" i="2"/>
  <c r="K2140" i="2" s="1"/>
  <c r="AC2139" i="2"/>
  <c r="L2139" i="2" s="1"/>
  <c r="AB2139" i="2"/>
  <c r="AA2139" i="2" s="1"/>
  <c r="AC2138" i="2"/>
  <c r="L2138" i="2" s="1"/>
  <c r="AB2138" i="2"/>
  <c r="AA2138" i="2" s="1"/>
  <c r="AC2137" i="2"/>
  <c r="L2137" i="2" s="1"/>
  <c r="AB2137" i="2"/>
  <c r="AA2137" i="2" s="1"/>
  <c r="AC2136" i="2"/>
  <c r="L2136" i="2" s="1"/>
  <c r="AB2136" i="2"/>
  <c r="AA2136" i="2" s="1"/>
  <c r="AC2135" i="2"/>
  <c r="L2135" i="2" s="1"/>
  <c r="AB2135" i="2"/>
  <c r="K2135" i="2" s="1"/>
  <c r="AC2134" i="2"/>
  <c r="L2134" i="2" s="1"/>
  <c r="AB2134" i="2"/>
  <c r="K2134" i="2" s="1"/>
  <c r="AC2133" i="2"/>
  <c r="L2133" i="2" s="1"/>
  <c r="AB2133" i="2"/>
  <c r="AA2133" i="2" s="1"/>
  <c r="AC2132" i="2"/>
  <c r="L2132" i="2" s="1"/>
  <c r="AB2132" i="2"/>
  <c r="K2132" i="2" s="1"/>
  <c r="AC2131" i="2"/>
  <c r="L2131" i="2" s="1"/>
  <c r="AB2131" i="2"/>
  <c r="K2131" i="2" s="1"/>
  <c r="AC2130" i="2"/>
  <c r="L2130" i="2" s="1"/>
  <c r="AB2130" i="2"/>
  <c r="K2130" i="2" s="1"/>
  <c r="AC2129" i="2"/>
  <c r="L2129" i="2" s="1"/>
  <c r="AB2129" i="2"/>
  <c r="AA2129" i="2" s="1"/>
  <c r="AC2128" i="2"/>
  <c r="L2128" i="2" s="1"/>
  <c r="AB2128" i="2"/>
  <c r="AA2128" i="2" s="1"/>
  <c r="AC2127" i="2"/>
  <c r="L2127" i="2" s="1"/>
  <c r="AB2127" i="2"/>
  <c r="AA2127" i="2" s="1"/>
  <c r="AC2126" i="2"/>
  <c r="L2126" i="2" s="1"/>
  <c r="AB2126" i="2"/>
  <c r="K2126" i="2" s="1"/>
  <c r="AC2125" i="2"/>
  <c r="L2125" i="2" s="1"/>
  <c r="AB2125" i="2"/>
  <c r="AA2125" i="2" s="1"/>
  <c r="AC2124" i="2"/>
  <c r="L2124" i="2" s="1"/>
  <c r="AB2124" i="2"/>
  <c r="K2124" i="2" s="1"/>
  <c r="AC2123" i="2"/>
  <c r="L2123" i="2" s="1"/>
  <c r="AB2123" i="2"/>
  <c r="AA2123" i="2" s="1"/>
  <c r="AC2122" i="2"/>
  <c r="L2122" i="2" s="1"/>
  <c r="AB2122" i="2"/>
  <c r="AA2122" i="2" s="1"/>
  <c r="L2142" i="2"/>
  <c r="K2142" i="2"/>
  <c r="AC2121" i="2"/>
  <c r="L2121" i="2" s="1"/>
  <c r="AB2121" i="2"/>
  <c r="AA2121" i="2" s="1"/>
  <c r="AC2120" i="2"/>
  <c r="L2120" i="2" s="1"/>
  <c r="AB2120" i="2"/>
  <c r="AA2120" i="2" s="1"/>
  <c r="AC2119" i="2"/>
  <c r="L2119" i="2" s="1"/>
  <c r="AB2119" i="2"/>
  <c r="K2119" i="2" s="1"/>
  <c r="AC2118" i="2"/>
  <c r="L2118" i="2" s="1"/>
  <c r="AB2118" i="2"/>
  <c r="K2118" i="2" s="1"/>
  <c r="AC2117" i="2"/>
  <c r="L2117" i="2" s="1"/>
  <c r="AB2117" i="2"/>
  <c r="AA2117" i="2" s="1"/>
  <c r="AC2116" i="2"/>
  <c r="L2116" i="2" s="1"/>
  <c r="AB2116" i="2"/>
  <c r="K2116" i="2" s="1"/>
  <c r="AC2115" i="2"/>
  <c r="L2115" i="2" s="1"/>
  <c r="AB2115" i="2"/>
  <c r="AA2115" i="2" s="1"/>
  <c r="AC2114" i="2"/>
  <c r="L2114" i="2" s="1"/>
  <c r="AB2114" i="2"/>
  <c r="AA2114" i="2" s="1"/>
  <c r="AC2113" i="2"/>
  <c r="L2113" i="2" s="1"/>
  <c r="AB2113" i="2"/>
  <c r="K2113" i="2" s="1"/>
  <c r="AC2112" i="2"/>
  <c r="L2112" i="2" s="1"/>
  <c r="AB2112" i="2"/>
  <c r="AA2112" i="2" s="1"/>
  <c r="AC2111" i="2"/>
  <c r="L2111" i="2" s="1"/>
  <c r="AB2111" i="2"/>
  <c r="AA2111" i="2" s="1"/>
  <c r="AC2110" i="2"/>
  <c r="L2110" i="2" s="1"/>
  <c r="AB2110" i="2"/>
  <c r="AA2110" i="2" s="1"/>
  <c r="AC2109" i="2"/>
  <c r="L2109" i="2" s="1"/>
  <c r="AB2109" i="2"/>
  <c r="K2109" i="2" s="1"/>
  <c r="AC2108" i="2"/>
  <c r="L2108" i="2" s="1"/>
  <c r="AB2108" i="2"/>
  <c r="K2108" i="2" s="1"/>
  <c r="AC2107" i="2"/>
  <c r="L2107" i="2" s="1"/>
  <c r="AB2107" i="2"/>
  <c r="AA2107" i="2" s="1"/>
  <c r="AC2106" i="2"/>
  <c r="L2106" i="2" s="1"/>
  <c r="AB2106" i="2"/>
  <c r="AA2106" i="2" s="1"/>
  <c r="AC2105" i="2"/>
  <c r="L2105" i="2" s="1"/>
  <c r="AB2105" i="2"/>
  <c r="K2105" i="2" s="1"/>
  <c r="AC2104" i="2"/>
  <c r="L2104" i="2" s="1"/>
  <c r="AB2104" i="2"/>
  <c r="AA2104" i="2" s="1"/>
  <c r="AC2103" i="2"/>
  <c r="L2103" i="2" s="1"/>
  <c r="AB2103" i="2"/>
  <c r="AA2103" i="2" s="1"/>
  <c r="AC2102" i="2"/>
  <c r="L2102" i="2" s="1"/>
  <c r="AB2102" i="2"/>
  <c r="AA2102" i="2" s="1"/>
  <c r="AC2101" i="2"/>
  <c r="L2101" i="2" s="1"/>
  <c r="AB2101" i="2"/>
  <c r="AA2101" i="2" s="1"/>
  <c r="AC2100" i="2"/>
  <c r="L2100" i="2" s="1"/>
  <c r="AB2100" i="2"/>
  <c r="K2100" i="2" s="1"/>
  <c r="AC2099" i="2"/>
  <c r="AB2099" i="2"/>
  <c r="AA2099" i="2" s="1"/>
  <c r="AC2098" i="2"/>
  <c r="L2098" i="2" s="1"/>
  <c r="AB2098" i="2"/>
  <c r="AA2098" i="2" s="1"/>
  <c r="AC2097" i="2"/>
  <c r="L2097" i="2" s="1"/>
  <c r="AB2097" i="2"/>
  <c r="AA2097" i="2" s="1"/>
  <c r="AC2096" i="2"/>
  <c r="L2096" i="2" s="1"/>
  <c r="AB2096" i="2"/>
  <c r="AA2096" i="2" s="1"/>
  <c r="AC2095" i="2"/>
  <c r="L2095" i="2" s="1"/>
  <c r="AB2095" i="2"/>
  <c r="AA2095" i="2" s="1"/>
  <c r="AC2094" i="2"/>
  <c r="L2094" i="2" s="1"/>
  <c r="AB2094" i="2"/>
  <c r="AA2094" i="2" s="1"/>
  <c r="AC2093" i="2"/>
  <c r="L2093" i="2" s="1"/>
  <c r="AB2093" i="2"/>
  <c r="K2093" i="2" s="1"/>
  <c r="AC2092" i="2"/>
  <c r="L2092" i="2" s="1"/>
  <c r="AB2092" i="2"/>
  <c r="AA2092" i="2" s="1"/>
  <c r="AC2091" i="2"/>
  <c r="L2091" i="2" s="1"/>
  <c r="AB2091" i="2"/>
  <c r="K2091" i="2" s="1"/>
  <c r="AC2090" i="2"/>
  <c r="L2090" i="2" s="1"/>
  <c r="AB2090" i="2"/>
  <c r="AA2090" i="2" s="1"/>
  <c r="AC2089" i="2"/>
  <c r="L2089" i="2" s="1"/>
  <c r="AB2089" i="2"/>
  <c r="K2089" i="2" s="1"/>
  <c r="AC2088" i="2"/>
  <c r="L2088" i="2" s="1"/>
  <c r="AB2088" i="2"/>
  <c r="AA2088" i="2" s="1"/>
  <c r="AC2087" i="2"/>
  <c r="L2087" i="2" s="1"/>
  <c r="AB2087" i="2"/>
  <c r="AA2087" i="2" s="1"/>
  <c r="AC2086" i="2"/>
  <c r="L2086" i="2" s="1"/>
  <c r="AB2086" i="2"/>
  <c r="AA2086" i="2" s="1"/>
  <c r="AC2085" i="2"/>
  <c r="L2085" i="2" s="1"/>
  <c r="AB2085" i="2"/>
  <c r="AA2085" i="2" s="1"/>
  <c r="AC2084" i="2"/>
  <c r="L2084" i="2" s="1"/>
  <c r="AB2084" i="2"/>
  <c r="K2084" i="2" s="1"/>
  <c r="AC2083" i="2"/>
  <c r="L2083" i="2" s="1"/>
  <c r="AB2083" i="2"/>
  <c r="AA2083" i="2" s="1"/>
  <c r="AC2082" i="2"/>
  <c r="L2082" i="2" s="1"/>
  <c r="AB2082" i="2"/>
  <c r="K2082" i="2" s="1"/>
  <c r="AC2081" i="2"/>
  <c r="L2081" i="2" s="1"/>
  <c r="AB2081" i="2"/>
  <c r="AA2081" i="2" s="1"/>
  <c r="AC2080" i="2"/>
  <c r="L2080" i="2" s="1"/>
  <c r="AB2080" i="2"/>
  <c r="K2080" i="2" s="1"/>
  <c r="AC2079" i="2"/>
  <c r="L2079" i="2" s="1"/>
  <c r="AB2079" i="2"/>
  <c r="K2079" i="2" s="1"/>
  <c r="L2099" i="2"/>
  <c r="AC2078" i="2"/>
  <c r="L2078" i="2" s="1"/>
  <c r="AB2078" i="2"/>
  <c r="AA2078" i="2" s="1"/>
  <c r="AC2077" i="2"/>
  <c r="L2077" i="2" s="1"/>
  <c r="AB2077" i="2"/>
  <c r="AA2077" i="2" s="1"/>
  <c r="AC2076" i="2"/>
  <c r="L2076" i="2" s="1"/>
  <c r="AB2076" i="2"/>
  <c r="AA2076" i="2" s="1"/>
  <c r="AC2075" i="2"/>
  <c r="L2075" i="2" s="1"/>
  <c r="AB2075" i="2"/>
  <c r="AA2075" i="2" s="1"/>
  <c r="AC2074" i="2"/>
  <c r="L2074" i="2" s="1"/>
  <c r="AB2074" i="2"/>
  <c r="K2074" i="2" s="1"/>
  <c r="AC2073" i="2"/>
  <c r="L2073" i="2" s="1"/>
  <c r="AB2073" i="2"/>
  <c r="AA2073" i="2" s="1"/>
  <c r="AC2072" i="2"/>
  <c r="L2072" i="2" s="1"/>
  <c r="AB2072" i="2"/>
  <c r="K2072" i="2" s="1"/>
  <c r="AC2071" i="2"/>
  <c r="L2071" i="2" s="1"/>
  <c r="AB2071" i="2"/>
  <c r="K2071" i="2" s="1"/>
  <c r="AC2070" i="2"/>
  <c r="L2070" i="2" s="1"/>
  <c r="AB2070" i="2"/>
  <c r="K2070" i="2" s="1"/>
  <c r="AC2069" i="2"/>
  <c r="L2069" i="2" s="1"/>
  <c r="AB2069" i="2"/>
  <c r="K2069" i="2" s="1"/>
  <c r="AC2068" i="2"/>
  <c r="L2068" i="2" s="1"/>
  <c r="AB2068" i="2"/>
  <c r="AA2068" i="2" s="1"/>
  <c r="AC2067" i="2"/>
  <c r="L2067" i="2" s="1"/>
  <c r="AB2067" i="2"/>
  <c r="AA2067" i="2" s="1"/>
  <c r="AC2066" i="2"/>
  <c r="L2066" i="2" s="1"/>
  <c r="AB2066" i="2"/>
  <c r="AA2066" i="2" s="1"/>
  <c r="AC2065" i="2"/>
  <c r="L2065" i="2" s="1"/>
  <c r="AB2065" i="2"/>
  <c r="AA2065" i="2" s="1"/>
  <c r="AC2064" i="2"/>
  <c r="L2064" i="2" s="1"/>
  <c r="AB2064" i="2"/>
  <c r="K2064" i="2" s="1"/>
  <c r="AC2063" i="2"/>
  <c r="L2063" i="2" s="1"/>
  <c r="AB2063" i="2"/>
  <c r="AA2063" i="2" s="1"/>
  <c r="AC2062" i="2"/>
  <c r="L2062" i="2" s="1"/>
  <c r="AB2062" i="2"/>
  <c r="AA2062" i="2" s="1"/>
  <c r="AC2061" i="2"/>
  <c r="L2061" i="2" s="1"/>
  <c r="AB2061" i="2"/>
  <c r="K2061" i="2" s="1"/>
  <c r="AC2060" i="2"/>
  <c r="L2060" i="2" s="1"/>
  <c r="AB2060" i="2"/>
  <c r="K2060" i="2" s="1"/>
  <c r="AC2059" i="2"/>
  <c r="L2059" i="2" s="1"/>
  <c r="AB2059" i="2"/>
  <c r="AA2059" i="2" s="1"/>
  <c r="AC2058" i="2"/>
  <c r="L2058" i="2" s="1"/>
  <c r="AB2058" i="2"/>
  <c r="K2058" i="2" s="1"/>
  <c r="AC2057" i="2"/>
  <c r="L2057" i="2" s="1"/>
  <c r="AB2057" i="2"/>
  <c r="K2057" i="2" s="1"/>
  <c r="AC2056" i="2"/>
  <c r="L2056" i="2" s="1"/>
  <c r="AB2056" i="2"/>
  <c r="K2056" i="2" s="1"/>
  <c r="AC2055" i="2"/>
  <c r="L2055" i="2" s="1"/>
  <c r="AB2055" i="2"/>
  <c r="K2055" i="2" s="1"/>
  <c r="AC2054" i="2"/>
  <c r="L2054" i="2" s="1"/>
  <c r="AB2054" i="2"/>
  <c r="AA2054" i="2" s="1"/>
  <c r="AC2053" i="2"/>
  <c r="L2053" i="2" s="1"/>
  <c r="AB2053" i="2"/>
  <c r="AA2053" i="2" s="1"/>
  <c r="AC2052" i="2"/>
  <c r="L2052" i="2" s="1"/>
  <c r="AB2052" i="2"/>
  <c r="AA2052" i="2" s="1"/>
  <c r="AC2051" i="2"/>
  <c r="L2051" i="2" s="1"/>
  <c r="AB2051" i="2"/>
  <c r="AA2051" i="2" s="1"/>
  <c r="AC2050" i="2"/>
  <c r="L2050" i="2" s="1"/>
  <c r="AB2050" i="2"/>
  <c r="K2050" i="2" s="1"/>
  <c r="AC2049" i="2"/>
  <c r="L2049" i="2" s="1"/>
  <c r="AB2049" i="2"/>
  <c r="AA2049" i="2" s="1"/>
  <c r="AC2048" i="2"/>
  <c r="L2048" i="2" s="1"/>
  <c r="AB2048" i="2"/>
  <c r="AA2048" i="2" s="1"/>
  <c r="AC2047" i="2"/>
  <c r="L2047" i="2" s="1"/>
  <c r="AB2047" i="2"/>
  <c r="K2047" i="2" s="1"/>
  <c r="AC2046" i="2"/>
  <c r="L2046" i="2" s="1"/>
  <c r="AB2046" i="2"/>
  <c r="K2046" i="2" s="1"/>
  <c r="AC2045" i="2"/>
  <c r="L2045" i="2" s="1"/>
  <c r="AB2045" i="2"/>
  <c r="K2045" i="2" s="1"/>
  <c r="AC2044" i="2"/>
  <c r="L2044" i="2" s="1"/>
  <c r="AB2044" i="2"/>
  <c r="AA2044" i="2" s="1"/>
  <c r="AC2043" i="2"/>
  <c r="L2043" i="2" s="1"/>
  <c r="AB2043" i="2"/>
  <c r="AA2043" i="2" s="1"/>
  <c r="AC2042" i="2"/>
  <c r="L2042" i="2" s="1"/>
  <c r="AB2042" i="2"/>
  <c r="K2042" i="2" s="1"/>
  <c r="AC2041" i="2"/>
  <c r="L2041" i="2" s="1"/>
  <c r="AB2041" i="2"/>
  <c r="AA2041" i="2" s="1"/>
  <c r="AC2040" i="2"/>
  <c r="L2040" i="2" s="1"/>
  <c r="AB2040" i="2"/>
  <c r="K2040" i="2" s="1"/>
  <c r="AC2039" i="2"/>
  <c r="L2039" i="2" s="1"/>
  <c r="AB2039" i="2"/>
  <c r="AA2039" i="2" s="1"/>
  <c r="AC2038" i="2"/>
  <c r="L2038" i="2" s="1"/>
  <c r="AB2038" i="2"/>
  <c r="AA2038" i="2" s="1"/>
  <c r="AC2037" i="2"/>
  <c r="L2037" i="2" s="1"/>
  <c r="AB2037" i="2"/>
  <c r="AA2037" i="2" s="1"/>
  <c r="AC2036" i="2"/>
  <c r="L2036" i="2" s="1"/>
  <c r="AB2036" i="2"/>
  <c r="K2036" i="2" s="1"/>
  <c r="AC2035" i="2"/>
  <c r="L2035" i="2" s="1"/>
  <c r="AB2035" i="2"/>
  <c r="AA2035" i="2" s="1"/>
  <c r="AC2034" i="2"/>
  <c r="L2034" i="2" s="1"/>
  <c r="AB2034" i="2"/>
  <c r="AA2034" i="2" s="1"/>
  <c r="AC2033" i="2"/>
  <c r="L2033" i="2" s="1"/>
  <c r="AB2033" i="2"/>
  <c r="K2033" i="2" s="1"/>
  <c r="AC2032" i="2"/>
  <c r="L2032" i="2" s="1"/>
  <c r="AB2032" i="2"/>
  <c r="K2032" i="2" s="1"/>
  <c r="AC2031" i="2"/>
  <c r="L2031" i="2" s="1"/>
  <c r="AB2031" i="2"/>
  <c r="K2031" i="2" s="1"/>
  <c r="AC2030" i="2"/>
  <c r="L2030" i="2" s="1"/>
  <c r="AB2030" i="2"/>
  <c r="AA2030" i="2" s="1"/>
  <c r="AC2029" i="2"/>
  <c r="L2029" i="2" s="1"/>
  <c r="AB2029" i="2"/>
  <c r="AA2029" i="2" s="1"/>
  <c r="AC2028" i="2"/>
  <c r="L2028" i="2" s="1"/>
  <c r="AB2028" i="2"/>
  <c r="AA2028" i="2" s="1"/>
  <c r="AC2027" i="2"/>
  <c r="L2027" i="2" s="1"/>
  <c r="AB2027" i="2"/>
  <c r="AA2027" i="2" s="1"/>
  <c r="AC2026" i="2"/>
  <c r="L2026" i="2" s="1"/>
  <c r="AB2026" i="2"/>
  <c r="K2026" i="2" s="1"/>
  <c r="AC2025" i="2"/>
  <c r="L2025" i="2" s="1"/>
  <c r="AB2025" i="2"/>
  <c r="AA2025" i="2" s="1"/>
  <c r="AC2024" i="2"/>
  <c r="L2024" i="2" s="1"/>
  <c r="AB2024" i="2"/>
  <c r="AA2024" i="2" s="1"/>
  <c r="AC2023" i="2"/>
  <c r="L2023" i="2" s="1"/>
  <c r="AB2023" i="2"/>
  <c r="K2023" i="2" s="1"/>
  <c r="AC2022" i="2"/>
  <c r="L2022" i="2" s="1"/>
  <c r="AB2022" i="2"/>
  <c r="K2022" i="2" s="1"/>
  <c r="AC2021" i="2"/>
  <c r="L2021" i="2" s="1"/>
  <c r="AB2021" i="2"/>
  <c r="K2021" i="2" s="1"/>
  <c r="AC2020" i="2"/>
  <c r="L2020" i="2" s="1"/>
  <c r="AB2020" i="2"/>
  <c r="AA2020" i="2" s="1"/>
  <c r="AC2019" i="2"/>
  <c r="L2019" i="2" s="1"/>
  <c r="AB2019" i="2"/>
  <c r="AA2019" i="2" s="1"/>
  <c r="AC2018" i="2"/>
  <c r="L2018" i="2" s="1"/>
  <c r="AB2018" i="2"/>
  <c r="AA2018" i="2" s="1"/>
  <c r="AC2017" i="2"/>
  <c r="L2017" i="2" s="1"/>
  <c r="AB2017" i="2"/>
  <c r="AA2017" i="2" s="1"/>
  <c r="AC2016" i="2"/>
  <c r="L2016" i="2" s="1"/>
  <c r="AB2016" i="2"/>
  <c r="AA2016" i="2" s="1"/>
  <c r="AC2015" i="2"/>
  <c r="L2015" i="2" s="1"/>
  <c r="AB2015" i="2"/>
  <c r="AA2015" i="2" s="1"/>
  <c r="AC2014" i="2"/>
  <c r="L2014" i="2" s="1"/>
  <c r="AB2014" i="2"/>
  <c r="K2014" i="2" s="1"/>
  <c r="AC2013" i="2"/>
  <c r="L2013" i="2" s="1"/>
  <c r="AB2013" i="2"/>
  <c r="AA2013" i="2" s="1"/>
  <c r="AC2012" i="2"/>
  <c r="L2012" i="2" s="1"/>
  <c r="AB2012" i="2"/>
  <c r="K2012" i="2" s="1"/>
  <c r="AC2011" i="2"/>
  <c r="L2011" i="2" s="1"/>
  <c r="AB2011" i="2"/>
  <c r="K2011" i="2" s="1"/>
  <c r="AC2010" i="2"/>
  <c r="L2010" i="2" s="1"/>
  <c r="AB2010" i="2"/>
  <c r="K2010" i="2" s="1"/>
  <c r="AC2009" i="2"/>
  <c r="L2009" i="2" s="1"/>
  <c r="AB2009" i="2"/>
  <c r="K2009" i="2" s="1"/>
  <c r="AC2008" i="2"/>
  <c r="L2008" i="2" s="1"/>
  <c r="AB2008" i="2"/>
  <c r="K2008" i="2" s="1"/>
  <c r="AC2007" i="2"/>
  <c r="L2007" i="2" s="1"/>
  <c r="AB2007" i="2"/>
  <c r="AA2007" i="2" s="1"/>
  <c r="AC2006" i="2"/>
  <c r="L2006" i="2" s="1"/>
  <c r="AB2006" i="2"/>
  <c r="AA2006" i="2" s="1"/>
  <c r="AC2005" i="2"/>
  <c r="L2005" i="2" s="1"/>
  <c r="AB2005" i="2"/>
  <c r="AA2005" i="2" s="1"/>
  <c r="AC2004" i="2"/>
  <c r="L2004" i="2" s="1"/>
  <c r="AB2004" i="2"/>
  <c r="AA2004" i="2" s="1"/>
  <c r="AC2003" i="2"/>
  <c r="L2003" i="2" s="1"/>
  <c r="AB2003" i="2"/>
  <c r="AA2003" i="2" s="1"/>
  <c r="AC2002" i="2"/>
  <c r="L2002" i="2" s="1"/>
  <c r="AB2002" i="2"/>
  <c r="AA2002" i="2" s="1"/>
  <c r="AC2001" i="2"/>
  <c r="L2001" i="2" s="1"/>
  <c r="AB2001" i="2"/>
  <c r="AA2001" i="2" s="1"/>
  <c r="AC2000" i="2"/>
  <c r="L2000" i="2" s="1"/>
  <c r="AB2000" i="2"/>
  <c r="AA2000" i="2" s="1"/>
  <c r="AC1999" i="2"/>
  <c r="L1999" i="2" s="1"/>
  <c r="AB1999" i="2"/>
  <c r="K1999" i="2" s="1"/>
  <c r="AC1998" i="2"/>
  <c r="L1998" i="2" s="1"/>
  <c r="AB1998" i="2"/>
  <c r="K1998" i="2" s="1"/>
  <c r="AC1997" i="2"/>
  <c r="L1997" i="2" s="1"/>
  <c r="AB1997" i="2"/>
  <c r="K1997" i="2" s="1"/>
  <c r="AC1996" i="2"/>
  <c r="L1996" i="2" s="1"/>
  <c r="AB1996" i="2"/>
  <c r="AA1996" i="2" s="1"/>
  <c r="AC1995" i="2"/>
  <c r="L1995" i="2" s="1"/>
  <c r="AB1995" i="2"/>
  <c r="AA1995" i="2" s="1"/>
  <c r="AC1994" i="2"/>
  <c r="L1994" i="2" s="1"/>
  <c r="AB1994" i="2"/>
  <c r="K1994" i="2" s="1"/>
  <c r="AC1993" i="2"/>
  <c r="L1993" i="2" s="1"/>
  <c r="AB1993" i="2"/>
  <c r="AA1993" i="2" s="1"/>
  <c r="AC1992" i="2"/>
  <c r="L1992" i="2" s="1"/>
  <c r="AB1992" i="2"/>
  <c r="K1992" i="2" s="1"/>
  <c r="AC1991" i="2"/>
  <c r="L1991" i="2" s="1"/>
  <c r="AB1991" i="2"/>
  <c r="AA1991" i="2" s="1"/>
  <c r="AC1990" i="2"/>
  <c r="L1990" i="2" s="1"/>
  <c r="AB1990" i="2"/>
  <c r="AA1990" i="2" s="1"/>
  <c r="AC1989" i="2"/>
  <c r="L1989" i="2" s="1"/>
  <c r="AB1989" i="2"/>
  <c r="K1989" i="2" s="1"/>
  <c r="AC1988" i="2"/>
  <c r="L1988" i="2" s="1"/>
  <c r="AB1988" i="2"/>
  <c r="AA1988" i="2" s="1"/>
  <c r="AC1987" i="2"/>
  <c r="L1987" i="2" s="1"/>
  <c r="AB1987" i="2"/>
  <c r="AA1987" i="2" s="1"/>
  <c r="AC1986" i="2"/>
  <c r="L1986" i="2" s="1"/>
  <c r="AB1986" i="2"/>
  <c r="AA1986" i="2" s="1"/>
  <c r="AC1985" i="2"/>
  <c r="L1985" i="2" s="1"/>
  <c r="AB1985" i="2"/>
  <c r="K1985" i="2" s="1"/>
  <c r="AC1984" i="2"/>
  <c r="L1984" i="2" s="1"/>
  <c r="AB1984" i="2"/>
  <c r="K1984" i="2" s="1"/>
  <c r="AC1983" i="2"/>
  <c r="L1983" i="2" s="1"/>
  <c r="AB1983" i="2"/>
  <c r="K1983" i="2" s="1"/>
  <c r="AC1982" i="2"/>
  <c r="L1982" i="2" s="1"/>
  <c r="AB1982" i="2"/>
  <c r="AA1982" i="2" s="1"/>
  <c r="AC1981" i="2"/>
  <c r="L1981" i="2" s="1"/>
  <c r="AB1981" i="2"/>
  <c r="AA1981" i="2" s="1"/>
  <c r="AC1980" i="2"/>
  <c r="L1980" i="2" s="1"/>
  <c r="AB1980" i="2"/>
  <c r="K1980" i="2" s="1"/>
  <c r="AC1979" i="2"/>
  <c r="L1979" i="2" s="1"/>
  <c r="AB1979" i="2"/>
  <c r="AA1979" i="2" s="1"/>
  <c r="AC1978" i="2"/>
  <c r="L1978" i="2" s="1"/>
  <c r="AB1978" i="2"/>
  <c r="K1978" i="2" s="1"/>
  <c r="AC1977" i="2"/>
  <c r="L1977" i="2" s="1"/>
  <c r="AB1977" i="2"/>
  <c r="AA1977" i="2" s="1"/>
  <c r="AC1976" i="2"/>
  <c r="L1976" i="2" s="1"/>
  <c r="AB1976" i="2"/>
  <c r="AA1976" i="2" s="1"/>
  <c r="AC1975" i="2"/>
  <c r="L1975" i="2" s="1"/>
  <c r="AB1975" i="2"/>
  <c r="K1975" i="2" s="1"/>
  <c r="AC1974" i="2"/>
  <c r="L1974" i="2" s="1"/>
  <c r="AB1974" i="2"/>
  <c r="K1974" i="2" s="1"/>
  <c r="AC1973" i="2"/>
  <c r="L1973" i="2" s="1"/>
  <c r="AB1973" i="2"/>
  <c r="AA1973" i="2" s="1"/>
  <c r="AC1972" i="2"/>
  <c r="L1972" i="2" s="1"/>
  <c r="AB1972" i="2"/>
  <c r="AA1972" i="2" s="1"/>
  <c r="AC1971" i="2"/>
  <c r="L1971" i="2" s="1"/>
  <c r="AB1971" i="2"/>
  <c r="K1971" i="2" s="1"/>
  <c r="AC1970" i="2"/>
  <c r="L1970" i="2" s="1"/>
  <c r="AB1970" i="2"/>
  <c r="K1970" i="2" s="1"/>
  <c r="AC1969" i="2"/>
  <c r="L1969" i="2" s="1"/>
  <c r="AB1969" i="2"/>
  <c r="K1969" i="2" s="1"/>
  <c r="AC1968" i="2"/>
  <c r="L1968" i="2" s="1"/>
  <c r="AB1968" i="2"/>
  <c r="K1968" i="2" s="1"/>
  <c r="AC1967" i="2"/>
  <c r="L1967" i="2" s="1"/>
  <c r="AB1967" i="2"/>
  <c r="AA1967" i="2" s="1"/>
  <c r="AC1966" i="2"/>
  <c r="L1966" i="2" s="1"/>
  <c r="AB1966" i="2"/>
  <c r="AA1966" i="2" s="1"/>
  <c r="AC1965" i="2"/>
  <c r="L1965" i="2" s="1"/>
  <c r="AB1965" i="2"/>
  <c r="K1965" i="2" s="1"/>
  <c r="AC1964" i="2"/>
  <c r="L1964" i="2" s="1"/>
  <c r="AB1964" i="2"/>
  <c r="K1964" i="2" s="1"/>
  <c r="AC1963" i="2"/>
  <c r="L1963" i="2" s="1"/>
  <c r="AB1963" i="2"/>
  <c r="AA1963" i="2" s="1"/>
  <c r="AC1962" i="2"/>
  <c r="L1962" i="2" s="1"/>
  <c r="AB1962" i="2"/>
  <c r="K1962" i="2" s="1"/>
  <c r="AC1961" i="2"/>
  <c r="L1961" i="2" s="1"/>
  <c r="AB1961" i="2"/>
  <c r="K1961" i="2" s="1"/>
  <c r="AC1960" i="2"/>
  <c r="L1960" i="2" s="1"/>
  <c r="AB1960" i="2"/>
  <c r="K1960" i="2" s="1"/>
  <c r="AC1959" i="2"/>
  <c r="L1959" i="2" s="1"/>
  <c r="AB1959" i="2"/>
  <c r="AA1959" i="2" s="1"/>
  <c r="AC1958" i="2"/>
  <c r="L1958" i="2" s="1"/>
  <c r="AB1958" i="2"/>
  <c r="AA1958" i="2" s="1"/>
  <c r="AC1957" i="2"/>
  <c r="L1957" i="2" s="1"/>
  <c r="AB1957" i="2"/>
  <c r="AA1957" i="2" s="1"/>
  <c r="AC1956" i="2"/>
  <c r="L1956" i="2" s="1"/>
  <c r="AB1956" i="2"/>
  <c r="AA1956" i="2" s="1"/>
  <c r="AC1955" i="2"/>
  <c r="L1955" i="2" s="1"/>
  <c r="AB1955" i="2"/>
  <c r="K1955" i="2" s="1"/>
  <c r="AC1954" i="2"/>
  <c r="L1954" i="2" s="1"/>
  <c r="AB1954" i="2"/>
  <c r="K1954" i="2" s="1"/>
  <c r="AC1953" i="2"/>
  <c r="L1953" i="2" s="1"/>
  <c r="AB1953" i="2"/>
  <c r="AA1953" i="2" s="1"/>
  <c r="AC1952" i="2"/>
  <c r="L1952" i="2" s="1"/>
  <c r="AB1952" i="2"/>
  <c r="AA1952" i="2" s="1"/>
  <c r="AC1951" i="2"/>
  <c r="L1951" i="2" s="1"/>
  <c r="AB1951" i="2"/>
  <c r="K1951" i="2" s="1"/>
  <c r="AC1950" i="2"/>
  <c r="L1950" i="2" s="1"/>
  <c r="AB1950" i="2"/>
  <c r="K1950" i="2" s="1"/>
  <c r="AC1949" i="2"/>
  <c r="L1949" i="2" s="1"/>
  <c r="AB1949" i="2"/>
  <c r="K1949" i="2" s="1"/>
  <c r="AC1948" i="2"/>
  <c r="L1948" i="2" s="1"/>
  <c r="AB1948" i="2"/>
  <c r="AA1948" i="2" s="1"/>
  <c r="AC1947" i="2"/>
  <c r="L1947" i="2" s="1"/>
  <c r="AB1947" i="2"/>
  <c r="AA1947" i="2" s="1"/>
  <c r="AC1946" i="2"/>
  <c r="L1946" i="2" s="1"/>
  <c r="AB1946" i="2"/>
  <c r="AA1946" i="2" s="1"/>
  <c r="AC1945" i="2"/>
  <c r="L1945" i="2" s="1"/>
  <c r="AB1945" i="2"/>
  <c r="K1945" i="2" s="1"/>
  <c r="AC1944" i="2"/>
  <c r="L1944" i="2" s="1"/>
  <c r="AB1944" i="2"/>
  <c r="K1944" i="2" s="1"/>
  <c r="AC1943" i="2"/>
  <c r="L1943" i="2" s="1"/>
  <c r="AB1943" i="2"/>
  <c r="AA1943" i="2" s="1"/>
  <c r="AC1942" i="2"/>
  <c r="L1942" i="2" s="1"/>
  <c r="AB1942" i="2"/>
  <c r="K1942" i="2" s="1"/>
  <c r="AC1941" i="2"/>
  <c r="L1941" i="2" s="1"/>
  <c r="AB1941" i="2"/>
  <c r="AA1941" i="2" s="1"/>
  <c r="AC1940" i="2"/>
  <c r="L1940" i="2" s="1"/>
  <c r="AB1940" i="2"/>
  <c r="K1940" i="2" s="1"/>
  <c r="AC1939" i="2"/>
  <c r="L1939" i="2" s="1"/>
  <c r="AB1939" i="2"/>
  <c r="AA1939" i="2" s="1"/>
  <c r="AC1938" i="2"/>
  <c r="L1938" i="2" s="1"/>
  <c r="AB1938" i="2"/>
  <c r="AA1938" i="2" s="1"/>
  <c r="AC1937" i="2"/>
  <c r="L1937" i="2" s="1"/>
  <c r="AB1937" i="2"/>
  <c r="K1937" i="2" s="1"/>
  <c r="AC1936" i="2"/>
  <c r="L1936" i="2" s="1"/>
  <c r="AB1936" i="2"/>
  <c r="K1936" i="2" s="1"/>
  <c r="AC1935" i="2"/>
  <c r="L1935" i="2" s="1"/>
  <c r="AB1935" i="2"/>
  <c r="K1935" i="2" s="1"/>
  <c r="AC1934" i="2"/>
  <c r="L1934" i="2" s="1"/>
  <c r="AB1934" i="2"/>
  <c r="AA1934" i="2" s="1"/>
  <c r="AC1933" i="2"/>
  <c r="L1933" i="2" s="1"/>
  <c r="AB1933" i="2"/>
  <c r="AA1933" i="2" s="1"/>
  <c r="AC1932" i="2"/>
  <c r="L1932" i="2" s="1"/>
  <c r="AB1932" i="2"/>
  <c r="AA1932" i="2" s="1"/>
  <c r="AC1931" i="2"/>
  <c r="L1931" i="2" s="1"/>
  <c r="AB1931" i="2"/>
  <c r="AA1931" i="2" s="1"/>
  <c r="AC1930" i="2"/>
  <c r="L1930" i="2" s="1"/>
  <c r="AB1930" i="2"/>
  <c r="K1930" i="2" s="1"/>
  <c r="AC1929" i="2"/>
  <c r="L1929" i="2" s="1"/>
  <c r="AB1929" i="2"/>
  <c r="AA1929" i="2" s="1"/>
  <c r="AC1928" i="2"/>
  <c r="L1928" i="2" s="1"/>
  <c r="AB1928" i="2"/>
  <c r="K1928" i="2" s="1"/>
  <c r="AC1927" i="2"/>
  <c r="L1927" i="2" s="1"/>
  <c r="AB1927" i="2"/>
  <c r="K1927" i="2" s="1"/>
  <c r="AC1926" i="2"/>
  <c r="L1926" i="2" s="1"/>
  <c r="AB1926" i="2"/>
  <c r="K1926" i="2" s="1"/>
  <c r="AC1925" i="2"/>
  <c r="L1925" i="2" s="1"/>
  <c r="AB1925" i="2"/>
  <c r="K1925" i="2" s="1"/>
  <c r="AC1924" i="2"/>
  <c r="L1924" i="2" s="1"/>
  <c r="AB1924" i="2"/>
  <c r="AA1924" i="2" s="1"/>
  <c r="AC1923" i="2"/>
  <c r="L1923" i="2" s="1"/>
  <c r="AB1923" i="2"/>
  <c r="AA1923" i="2" s="1"/>
  <c r="AC1922" i="2"/>
  <c r="L1922" i="2" s="1"/>
  <c r="AB1922" i="2"/>
  <c r="AA1922" i="2" s="1"/>
  <c r="AC1921" i="2"/>
  <c r="L1921" i="2" s="1"/>
  <c r="AB1921" i="2"/>
  <c r="K1921" i="2" s="1"/>
  <c r="AC1920" i="2"/>
  <c r="L1920" i="2" s="1"/>
  <c r="AB1920" i="2"/>
  <c r="K1920" i="2" s="1"/>
  <c r="AC1919" i="2"/>
  <c r="L1919" i="2" s="1"/>
  <c r="AB1919" i="2"/>
  <c r="AA1919" i="2" s="1"/>
  <c r="AC1918" i="2"/>
  <c r="L1918" i="2" s="1"/>
  <c r="AB1918" i="2"/>
  <c r="AA1918" i="2" s="1"/>
  <c r="AC1917" i="2"/>
  <c r="L1917" i="2" s="1"/>
  <c r="AB1917" i="2"/>
  <c r="K1917" i="2" s="1"/>
  <c r="AC1916" i="2"/>
  <c r="L1916" i="2" s="1"/>
  <c r="AB1916" i="2"/>
  <c r="K1916" i="2" s="1"/>
  <c r="AC1915" i="2"/>
  <c r="L1915" i="2" s="1"/>
  <c r="AB1915" i="2"/>
  <c r="AA1915" i="2" s="1"/>
  <c r="AC1914" i="2"/>
  <c r="L1914" i="2" s="1"/>
  <c r="AB1914" i="2"/>
  <c r="AA1914" i="2" s="1"/>
  <c r="AC1913" i="2"/>
  <c r="L1913" i="2" s="1"/>
  <c r="AB1913" i="2"/>
  <c r="K1913" i="2" s="1"/>
  <c r="AC1912" i="2"/>
  <c r="L1912" i="2" s="1"/>
  <c r="AB1912" i="2"/>
  <c r="K1912" i="2" s="1"/>
  <c r="AC1911" i="2"/>
  <c r="L1911" i="2" s="1"/>
  <c r="AB1911" i="2"/>
  <c r="K1911" i="2" s="1"/>
  <c r="AC1910" i="2"/>
  <c r="L1910" i="2" s="1"/>
  <c r="AB1910" i="2"/>
  <c r="AA1910" i="2" s="1"/>
  <c r="AC1909" i="2"/>
  <c r="L1909" i="2" s="1"/>
  <c r="AB1909" i="2"/>
  <c r="AA1909" i="2" s="1"/>
  <c r="AC1908" i="2"/>
  <c r="L1908" i="2" s="1"/>
  <c r="AB1908" i="2"/>
  <c r="AA1908" i="2" s="1"/>
  <c r="AC1907" i="2"/>
  <c r="L1907" i="2" s="1"/>
  <c r="AB1907" i="2"/>
  <c r="AA1907" i="2" s="1"/>
  <c r="AC1906" i="2"/>
  <c r="L1906" i="2" s="1"/>
  <c r="AB1906" i="2"/>
  <c r="K1906" i="2" s="1"/>
  <c r="AC1905" i="2"/>
  <c r="L1905" i="2" s="1"/>
  <c r="AB1905" i="2"/>
  <c r="AA1905" i="2" s="1"/>
  <c r="AC1904" i="2"/>
  <c r="L1904" i="2" s="1"/>
  <c r="AB1904" i="2"/>
  <c r="K1904" i="2" s="1"/>
  <c r="AC1903" i="2"/>
  <c r="L1903" i="2" s="1"/>
  <c r="AB1903" i="2"/>
  <c r="K1903" i="2" s="1"/>
  <c r="AC1902" i="2"/>
  <c r="L1902" i="2" s="1"/>
  <c r="AB1902" i="2"/>
  <c r="K1902" i="2" s="1"/>
  <c r="AC1901" i="2"/>
  <c r="L1901" i="2" s="1"/>
  <c r="AB1901" i="2"/>
  <c r="K1901" i="2" s="1"/>
  <c r="AC1900" i="2"/>
  <c r="L1900" i="2" s="1"/>
  <c r="AB1900" i="2"/>
  <c r="AA1900" i="2" s="1"/>
  <c r="AC1899" i="2"/>
  <c r="L1899" i="2" s="1"/>
  <c r="AB1899" i="2"/>
  <c r="K1899" i="2" s="1"/>
  <c r="AC1898" i="2"/>
  <c r="L1898" i="2" s="1"/>
  <c r="AB1898" i="2"/>
  <c r="AA1898" i="2" s="1"/>
  <c r="AC1897" i="2"/>
  <c r="L1897" i="2" s="1"/>
  <c r="AB1897" i="2"/>
  <c r="AA1897" i="2" s="1"/>
  <c r="AC1896" i="2"/>
  <c r="L1896" i="2" s="1"/>
  <c r="AB1896" i="2"/>
  <c r="K1896" i="2" s="1"/>
  <c r="AC1895" i="2"/>
  <c r="L1895" i="2" s="1"/>
  <c r="AB1895" i="2"/>
  <c r="AA1895" i="2" s="1"/>
  <c r="AC1894" i="2"/>
  <c r="L1894" i="2" s="1"/>
  <c r="AB1894" i="2"/>
  <c r="AA1894" i="2" s="1"/>
  <c r="AC1893" i="2"/>
  <c r="L1893" i="2" s="1"/>
  <c r="AB1893" i="2"/>
  <c r="K1893" i="2" s="1"/>
  <c r="AC1892" i="2"/>
  <c r="L1892" i="2" s="1"/>
  <c r="AB1892" i="2"/>
  <c r="AA1892" i="2" s="1"/>
  <c r="AC1891" i="2"/>
  <c r="L1891" i="2" s="1"/>
  <c r="AB1891" i="2"/>
  <c r="AA1891" i="2" s="1"/>
  <c r="AC1890" i="2"/>
  <c r="L1890" i="2" s="1"/>
  <c r="AB1890" i="2"/>
  <c r="K1890" i="2" s="1"/>
  <c r="AC1889" i="2"/>
  <c r="L1889" i="2" s="1"/>
  <c r="AB1889" i="2"/>
  <c r="K1889" i="2" s="1"/>
  <c r="AC1888" i="2"/>
  <c r="L1888" i="2" s="1"/>
  <c r="AB1888" i="2"/>
  <c r="K1888" i="2" s="1"/>
  <c r="AC1887" i="2"/>
  <c r="L1887" i="2" s="1"/>
  <c r="AB1887" i="2"/>
  <c r="K1887" i="2" s="1"/>
  <c r="AC1886" i="2"/>
  <c r="L1886" i="2" s="1"/>
  <c r="AB1886" i="2"/>
  <c r="AA1886" i="2" s="1"/>
  <c r="AC1885" i="2"/>
  <c r="L1885" i="2" s="1"/>
  <c r="AB1885" i="2"/>
  <c r="AA1885" i="2" s="1"/>
  <c r="AC1884" i="2"/>
  <c r="L1884" i="2" s="1"/>
  <c r="AB1884" i="2"/>
  <c r="K1884" i="2" s="1"/>
  <c r="AC1883" i="2"/>
  <c r="L1883" i="2" s="1"/>
  <c r="AB1883" i="2"/>
  <c r="AA1883" i="2" s="1"/>
  <c r="AC1882" i="2"/>
  <c r="L1882" i="2" s="1"/>
  <c r="AB1882" i="2"/>
  <c r="K1882" i="2" s="1"/>
  <c r="AC1881" i="2"/>
  <c r="L1881" i="2" s="1"/>
  <c r="AB1881" i="2"/>
  <c r="AA1881" i="2" s="1"/>
  <c r="AC1880" i="2"/>
  <c r="L1880" i="2" s="1"/>
  <c r="AB1880" i="2"/>
  <c r="AA1880" i="2" s="1"/>
  <c r="AC1879" i="2"/>
  <c r="L1879" i="2" s="1"/>
  <c r="AB1879" i="2"/>
  <c r="K1879" i="2" s="1"/>
  <c r="AC1878" i="2"/>
  <c r="L1878" i="2" s="1"/>
  <c r="AB1878" i="2"/>
  <c r="K1878" i="2" s="1"/>
  <c r="AC1877" i="2"/>
  <c r="L1877" i="2" s="1"/>
  <c r="AB1877" i="2"/>
  <c r="K1877" i="2" s="1"/>
  <c r="AC1876" i="2"/>
  <c r="L1876" i="2" s="1"/>
  <c r="AB1876" i="2"/>
  <c r="AA1876" i="2" s="1"/>
  <c r="AC1875" i="2"/>
  <c r="L1875" i="2" s="1"/>
  <c r="AB1875" i="2"/>
  <c r="AA1875" i="2" s="1"/>
  <c r="AC1874" i="2"/>
  <c r="L1874" i="2" s="1"/>
  <c r="AB1874" i="2"/>
  <c r="K1874" i="2" s="1"/>
  <c r="AC1873" i="2"/>
  <c r="L1873" i="2" s="1"/>
  <c r="AB1873" i="2"/>
  <c r="K1873" i="2" s="1"/>
  <c r="AC1872" i="2"/>
  <c r="L1872" i="2" s="1"/>
  <c r="AB1872" i="2"/>
  <c r="K1872" i="2" s="1"/>
  <c r="AC1871" i="2"/>
  <c r="L1871" i="2" s="1"/>
  <c r="AB1871" i="2"/>
  <c r="AA1871" i="2" s="1"/>
  <c r="AC1870" i="2"/>
  <c r="L1870" i="2" s="1"/>
  <c r="AB1870" i="2"/>
  <c r="K1870" i="2" s="1"/>
  <c r="AC1869" i="2"/>
  <c r="L1869" i="2" s="1"/>
  <c r="AB1869" i="2"/>
  <c r="AA1869" i="2" s="1"/>
  <c r="AC1868" i="2"/>
  <c r="L1868" i="2" s="1"/>
  <c r="AB1868" i="2"/>
  <c r="AA1868" i="2" s="1"/>
  <c r="AC1867" i="2"/>
  <c r="L1867" i="2" s="1"/>
  <c r="AB1867" i="2"/>
  <c r="AA1867" i="2" s="1"/>
  <c r="AC1866" i="2"/>
  <c r="L1866" i="2" s="1"/>
  <c r="AB1866" i="2"/>
  <c r="AA1866" i="2" s="1"/>
  <c r="AC1865" i="2"/>
  <c r="L1865" i="2" s="1"/>
  <c r="AB1865" i="2"/>
  <c r="AA1865" i="2" s="1"/>
  <c r="AC1864" i="2"/>
  <c r="L1864" i="2" s="1"/>
  <c r="AB1864" i="2"/>
  <c r="AA1864" i="2" s="1"/>
  <c r="AC1863" i="2"/>
  <c r="L1863" i="2" s="1"/>
  <c r="AB1863" i="2"/>
  <c r="K1863" i="2" s="1"/>
  <c r="AC1862" i="2"/>
  <c r="L1862" i="2" s="1"/>
  <c r="AB1862" i="2"/>
  <c r="AA1862" i="2" s="1"/>
  <c r="AC1861" i="2"/>
  <c r="L1861" i="2" s="1"/>
  <c r="AB1861" i="2"/>
  <c r="AA1861" i="2" s="1"/>
  <c r="AC1860" i="2"/>
  <c r="L1860" i="2" s="1"/>
  <c r="AB1860" i="2"/>
  <c r="AA1860" i="2" s="1"/>
  <c r="AC1859" i="2"/>
  <c r="L1859" i="2" s="1"/>
  <c r="AB1859" i="2"/>
  <c r="AA1859" i="2" s="1"/>
  <c r="AC1858" i="2"/>
  <c r="L1858" i="2" s="1"/>
  <c r="AB1858" i="2"/>
  <c r="K1858" i="2" s="1"/>
  <c r="AC1857" i="2"/>
  <c r="L1857" i="2" s="1"/>
  <c r="AB1857" i="2"/>
  <c r="AA1857" i="2" s="1"/>
  <c r="AC1856" i="2"/>
  <c r="L1856" i="2" s="1"/>
  <c r="AB1856" i="2"/>
  <c r="AA1856" i="2" s="1"/>
  <c r="AC1855" i="2"/>
  <c r="L1855" i="2" s="1"/>
  <c r="AB1855" i="2"/>
  <c r="K1855" i="2" s="1"/>
  <c r="AC1854" i="2"/>
  <c r="L1854" i="2" s="1"/>
  <c r="AB1854" i="2"/>
  <c r="K1854" i="2" s="1"/>
  <c r="AC1853" i="2"/>
  <c r="L1853" i="2" s="1"/>
  <c r="AB1853" i="2"/>
  <c r="K1853" i="2" s="1"/>
  <c r="AC1852" i="2"/>
  <c r="L1852" i="2" s="1"/>
  <c r="AB1852" i="2"/>
  <c r="AA1852" i="2" s="1"/>
  <c r="AC1851" i="2"/>
  <c r="L1851" i="2" s="1"/>
  <c r="AB1851" i="2"/>
  <c r="K1851" i="2" s="1"/>
  <c r="AC1850" i="2"/>
  <c r="L1850" i="2" s="1"/>
  <c r="AB1850" i="2"/>
  <c r="AA1850" i="2" s="1"/>
  <c r="AC1849" i="2"/>
  <c r="L1849" i="2" s="1"/>
  <c r="AB1849" i="2"/>
  <c r="AA1849" i="2" s="1"/>
  <c r="AC1848" i="2"/>
  <c r="L1848" i="2" s="1"/>
  <c r="AB1848" i="2"/>
  <c r="K1848" i="2" s="1"/>
  <c r="AC1847" i="2"/>
  <c r="L1847" i="2" s="1"/>
  <c r="AB1847" i="2"/>
  <c r="AA1847" i="2" s="1"/>
  <c r="AC1846" i="2"/>
  <c r="L1846" i="2" s="1"/>
  <c r="AB1846" i="2"/>
  <c r="AA1846" i="2" s="1"/>
  <c r="AC1845" i="2"/>
  <c r="L1845" i="2" s="1"/>
  <c r="AB1845" i="2"/>
  <c r="AA1845" i="2" s="1"/>
  <c r="AC1844" i="2"/>
  <c r="L1844" i="2" s="1"/>
  <c r="AB1844" i="2"/>
  <c r="K1844" i="2" s="1"/>
  <c r="AC1843" i="2"/>
  <c r="L1843" i="2" s="1"/>
  <c r="AB1843" i="2"/>
  <c r="AA1843" i="2" s="1"/>
  <c r="AC1842" i="2"/>
  <c r="L1842" i="2" s="1"/>
  <c r="AB1842" i="2"/>
  <c r="K1842" i="2" s="1"/>
  <c r="AC1841" i="2"/>
  <c r="L1841" i="2" s="1"/>
  <c r="AB1841" i="2"/>
  <c r="K1841" i="2" s="1"/>
  <c r="AC1840" i="2"/>
  <c r="L1840" i="2" s="1"/>
  <c r="AB1840" i="2"/>
  <c r="K1840" i="2" s="1"/>
  <c r="AC1839" i="2"/>
  <c r="L1839" i="2" s="1"/>
  <c r="AB1839" i="2"/>
  <c r="K1839" i="2" s="1"/>
  <c r="AC1838" i="2"/>
  <c r="L1838" i="2" s="1"/>
  <c r="AB1838" i="2"/>
  <c r="AA1838" i="2" s="1"/>
  <c r="AC1837" i="2"/>
  <c r="L1837" i="2" s="1"/>
  <c r="AB1837" i="2"/>
  <c r="AA1837" i="2" s="1"/>
  <c r="AC1836" i="2"/>
  <c r="L1836" i="2" s="1"/>
  <c r="AB1836" i="2"/>
  <c r="K1836" i="2" s="1"/>
  <c r="AC1835" i="2"/>
  <c r="L1835" i="2" s="1"/>
  <c r="AB1835" i="2"/>
  <c r="K1835" i="2" s="1"/>
  <c r="AC1834" i="2"/>
  <c r="L1834" i="2" s="1"/>
  <c r="AB1834" i="2"/>
  <c r="AA1834" i="2" s="1"/>
  <c r="AC1833" i="2"/>
  <c r="L1833" i="2" s="1"/>
  <c r="AB1833" i="2"/>
  <c r="AA1833" i="2" s="1"/>
  <c r="AC1832" i="2"/>
  <c r="L1832" i="2" s="1"/>
  <c r="AB1832" i="2"/>
  <c r="AA1832" i="2" s="1"/>
  <c r="AC1831" i="2"/>
  <c r="L1831" i="2" s="1"/>
  <c r="AB1831" i="2"/>
  <c r="K1831" i="2" s="1"/>
  <c r="AC1830" i="2"/>
  <c r="L1830" i="2" s="1"/>
  <c r="AB1830" i="2"/>
  <c r="K1830" i="2" s="1"/>
  <c r="AC1829" i="2"/>
  <c r="L1829" i="2" s="1"/>
  <c r="AB1829" i="2"/>
  <c r="AA1829" i="2" s="1"/>
  <c r="AC1828" i="2"/>
  <c r="L1828" i="2" s="1"/>
  <c r="AB1828" i="2"/>
  <c r="AA1828" i="2" s="1"/>
  <c r="AC1827" i="2"/>
  <c r="L1827" i="2" s="1"/>
  <c r="AB1827" i="2"/>
  <c r="AA1827" i="2" s="1"/>
  <c r="AC1826" i="2"/>
  <c r="L1826" i="2" s="1"/>
  <c r="AB1826" i="2"/>
  <c r="AA1826" i="2" s="1"/>
  <c r="AC1825" i="2"/>
  <c r="L1825" i="2" s="1"/>
  <c r="AB1825" i="2"/>
  <c r="AA1825" i="2" s="1"/>
  <c r="AC1824" i="2"/>
  <c r="L1824" i="2" s="1"/>
  <c r="AB1824" i="2"/>
  <c r="K1824" i="2" s="1"/>
  <c r="AC1823" i="2"/>
  <c r="L1823" i="2" s="1"/>
  <c r="AB1823" i="2"/>
  <c r="AA1823" i="2" s="1"/>
  <c r="AC1822" i="2"/>
  <c r="L1822" i="2" s="1"/>
  <c r="AB1822" i="2"/>
  <c r="AA1822" i="2" s="1"/>
  <c r="AC1821" i="2"/>
  <c r="L1821" i="2" s="1"/>
  <c r="AB1821" i="2"/>
  <c r="AA1821" i="2" s="1"/>
  <c r="AC1820" i="2"/>
  <c r="L1820" i="2" s="1"/>
  <c r="AB1820" i="2"/>
  <c r="AA1820" i="2" s="1"/>
  <c r="AC1819" i="2"/>
  <c r="L1819" i="2" s="1"/>
  <c r="AB1819" i="2"/>
  <c r="AA1819" i="2" s="1"/>
  <c r="AC1818" i="2"/>
  <c r="L1818" i="2" s="1"/>
  <c r="AB1818" i="2"/>
  <c r="AA1818" i="2" s="1"/>
  <c r="AC1817" i="2"/>
  <c r="L1817" i="2" s="1"/>
  <c r="AB1817" i="2"/>
  <c r="K1817" i="2" s="1"/>
  <c r="AC1816" i="2"/>
  <c r="L1816" i="2" s="1"/>
  <c r="AB1816" i="2"/>
  <c r="K1816" i="2" s="1"/>
  <c r="AC1815" i="2"/>
  <c r="L1815" i="2" s="1"/>
  <c r="AB1815" i="2"/>
  <c r="K1815" i="2" s="1"/>
  <c r="AC1814" i="2"/>
  <c r="L1814" i="2" s="1"/>
  <c r="AB1814" i="2"/>
  <c r="AA1814" i="2" s="1"/>
  <c r="AC1813" i="2"/>
  <c r="L1813" i="2" s="1"/>
  <c r="AB1813" i="2"/>
  <c r="AA1813" i="2" s="1"/>
  <c r="AC1812" i="2"/>
  <c r="L1812" i="2" s="1"/>
  <c r="AB1812" i="2"/>
  <c r="AA1812" i="2" s="1"/>
  <c r="AC1811" i="2"/>
  <c r="L1811" i="2" s="1"/>
  <c r="AB1811" i="2"/>
  <c r="AA1811" i="2" s="1"/>
  <c r="AC1810" i="2"/>
  <c r="L1810" i="2" s="1"/>
  <c r="AB1810" i="2"/>
  <c r="AA1810" i="2" s="1"/>
  <c r="AC1809" i="2"/>
  <c r="L1809" i="2" s="1"/>
  <c r="AB1809" i="2"/>
  <c r="AA1809" i="2" s="1"/>
  <c r="AC1808" i="2"/>
  <c r="L1808" i="2" s="1"/>
  <c r="AB1808" i="2"/>
  <c r="K1808" i="2" s="1"/>
  <c r="AC1807" i="2"/>
  <c r="L1807" i="2" s="1"/>
  <c r="AB1807" i="2"/>
  <c r="K1807" i="2" s="1"/>
  <c r="AC1806" i="2"/>
  <c r="L1806" i="2" s="1"/>
  <c r="AB1806" i="2"/>
  <c r="AA1806" i="2" s="1"/>
  <c r="AC1805" i="2"/>
  <c r="L1805" i="2" s="1"/>
  <c r="AB1805" i="2"/>
  <c r="K1805" i="2" s="1"/>
  <c r="AC1804" i="2"/>
  <c r="L1804" i="2" s="1"/>
  <c r="AB1804" i="2"/>
  <c r="AA1804" i="2" s="1"/>
  <c r="AC1803" i="2"/>
  <c r="L1803" i="2" s="1"/>
  <c r="AB1803" i="2"/>
  <c r="K1803" i="2" s="1"/>
  <c r="AC1802" i="2"/>
  <c r="L1802" i="2" s="1"/>
  <c r="AB1802" i="2"/>
  <c r="AA1802" i="2" s="1"/>
  <c r="AC1801" i="2"/>
  <c r="L1801" i="2" s="1"/>
  <c r="AB1801" i="2"/>
  <c r="K1801" i="2" s="1"/>
  <c r="AC1800" i="2"/>
  <c r="L1800" i="2" s="1"/>
  <c r="AB1800" i="2"/>
  <c r="K1800" i="2" s="1"/>
  <c r="AC1799" i="2"/>
  <c r="L1799" i="2" s="1"/>
  <c r="AB1799" i="2"/>
  <c r="AA1799" i="2" s="1"/>
  <c r="AC1798" i="2"/>
  <c r="L1798" i="2" s="1"/>
  <c r="AB1798" i="2"/>
  <c r="K1798" i="2" s="1"/>
  <c r="AC1797" i="2"/>
  <c r="L1797" i="2" s="1"/>
  <c r="AB1797" i="2"/>
  <c r="AA1797" i="2" s="1"/>
  <c r="AC1796" i="2"/>
  <c r="L1796" i="2" s="1"/>
  <c r="AB1796" i="2"/>
  <c r="AA1796" i="2" s="1"/>
  <c r="AC1795" i="2"/>
  <c r="L1795" i="2" s="1"/>
  <c r="AB1795" i="2"/>
  <c r="AA1795" i="2" s="1"/>
  <c r="AC1794" i="2"/>
  <c r="L1794" i="2" s="1"/>
  <c r="AB1794" i="2"/>
  <c r="K1794" i="2" s="1"/>
  <c r="AC1793" i="2"/>
  <c r="L1793" i="2" s="1"/>
  <c r="AB1793" i="2"/>
  <c r="K1793" i="2" s="1"/>
  <c r="AC1792" i="2"/>
  <c r="L1792" i="2" s="1"/>
  <c r="AB1792" i="2"/>
  <c r="K1792" i="2" s="1"/>
  <c r="AC1791" i="2"/>
  <c r="L1791" i="2" s="1"/>
  <c r="AB1791" i="2"/>
  <c r="K1791" i="2" s="1"/>
  <c r="AC1790" i="2"/>
  <c r="L1790" i="2" s="1"/>
  <c r="AB1790" i="2"/>
  <c r="AA1790" i="2" s="1"/>
  <c r="AC1789" i="2"/>
  <c r="L1789" i="2" s="1"/>
  <c r="AB1789" i="2"/>
  <c r="AA1789" i="2" s="1"/>
  <c r="AC1788" i="2"/>
  <c r="L1788" i="2" s="1"/>
  <c r="AB1788" i="2"/>
  <c r="K1788" i="2" s="1"/>
  <c r="AC1787" i="2"/>
  <c r="L1787" i="2" s="1"/>
  <c r="AB1787" i="2"/>
  <c r="AA1787" i="2" s="1"/>
  <c r="AC1786" i="2"/>
  <c r="L1786" i="2" s="1"/>
  <c r="AB1786" i="2"/>
  <c r="AA1786" i="2" s="1"/>
  <c r="AC1785" i="2"/>
  <c r="L1785" i="2" s="1"/>
  <c r="AB1785" i="2"/>
  <c r="AA1785" i="2" s="1"/>
  <c r="AC1784" i="2"/>
  <c r="L1784" i="2" s="1"/>
  <c r="AB1784" i="2"/>
  <c r="AA1784" i="2" s="1"/>
  <c r="AC1783" i="2"/>
  <c r="L1783" i="2" s="1"/>
  <c r="AB1783" i="2"/>
  <c r="K1783" i="2" s="1"/>
  <c r="AC1782" i="2"/>
  <c r="L1782" i="2" s="1"/>
  <c r="AB1782" i="2"/>
  <c r="K1782" i="2" s="1"/>
  <c r="AC1781" i="2"/>
  <c r="L1781" i="2" s="1"/>
  <c r="AB1781" i="2"/>
  <c r="K1781" i="2" s="1"/>
  <c r="AC1780" i="2"/>
  <c r="L1780" i="2" s="1"/>
  <c r="AB1780" i="2"/>
  <c r="AA1780" i="2" s="1"/>
  <c r="AC1779" i="2"/>
  <c r="L1779" i="2" s="1"/>
  <c r="AB1779" i="2"/>
  <c r="K1779" i="2" s="1"/>
  <c r="AC1778" i="2"/>
  <c r="L1778" i="2" s="1"/>
  <c r="AB1778" i="2"/>
  <c r="K1778" i="2" s="1"/>
  <c r="AC1777" i="2"/>
  <c r="L1777" i="2" s="1"/>
  <c r="AB1777" i="2"/>
  <c r="AA1777" i="2" s="1"/>
  <c r="AC1776" i="2"/>
  <c r="L1776" i="2" s="1"/>
  <c r="AB1776" i="2"/>
  <c r="K1776" i="2" s="1"/>
  <c r="AC1775" i="2"/>
  <c r="L1775" i="2" s="1"/>
  <c r="AB1775" i="2"/>
  <c r="AA1775" i="2" s="1"/>
  <c r="AC1774" i="2"/>
  <c r="L1774" i="2" s="1"/>
  <c r="AB1774" i="2"/>
  <c r="K1774" i="2" s="1"/>
  <c r="AC1773" i="2"/>
  <c r="L1773" i="2" s="1"/>
  <c r="AB1773" i="2"/>
  <c r="K1773" i="2" s="1"/>
  <c r="AC1772" i="2"/>
  <c r="L1772" i="2" s="1"/>
  <c r="AB1772" i="2"/>
  <c r="AA1772" i="2" s="1"/>
  <c r="AC1771" i="2"/>
  <c r="L1771" i="2" s="1"/>
  <c r="AB1771" i="2"/>
  <c r="AA1771" i="2" s="1"/>
  <c r="AC1770" i="2"/>
  <c r="L1770" i="2" s="1"/>
  <c r="AB1770" i="2"/>
  <c r="AA1770" i="2" s="1"/>
  <c r="AC1769" i="2"/>
  <c r="L1769" i="2" s="1"/>
  <c r="AB1769" i="2"/>
  <c r="K1769" i="2" s="1"/>
  <c r="AC1768" i="2"/>
  <c r="L1768" i="2" s="1"/>
  <c r="AB1768" i="2"/>
  <c r="K1768" i="2" s="1"/>
  <c r="AC1767" i="2"/>
  <c r="L1767" i="2" s="1"/>
  <c r="AB1767" i="2"/>
  <c r="K1767" i="2" s="1"/>
  <c r="AC1766" i="2"/>
  <c r="L1766" i="2" s="1"/>
  <c r="AB1766" i="2"/>
  <c r="AA1766" i="2" s="1"/>
  <c r="AC1765" i="2"/>
  <c r="L1765" i="2" s="1"/>
  <c r="AB1765" i="2"/>
  <c r="AA1765" i="2" s="1"/>
  <c r="AC1764" i="2"/>
  <c r="L1764" i="2" s="1"/>
  <c r="AB1764" i="2"/>
  <c r="AA1764" i="2" s="1"/>
  <c r="AC1763" i="2"/>
  <c r="L1763" i="2" s="1"/>
  <c r="AB1763" i="2"/>
  <c r="AA1763" i="2" s="1"/>
  <c r="AC1762" i="2"/>
  <c r="L1762" i="2" s="1"/>
  <c r="AB1762" i="2"/>
  <c r="K1762" i="2" s="1"/>
  <c r="AC1761" i="2"/>
  <c r="L1761" i="2" s="1"/>
  <c r="AB1761" i="2"/>
  <c r="AA1761" i="2" s="1"/>
  <c r="AC1760" i="2"/>
  <c r="L1760" i="2" s="1"/>
  <c r="AB1760" i="2"/>
  <c r="AA1760" i="2" s="1"/>
  <c r="AC1759" i="2"/>
  <c r="L1759" i="2" s="1"/>
  <c r="AB1759" i="2"/>
  <c r="K1759" i="2" s="1"/>
  <c r="AC1758" i="2"/>
  <c r="L1758" i="2" s="1"/>
  <c r="AB1758" i="2"/>
  <c r="K1758" i="2" s="1"/>
  <c r="AC1757" i="2"/>
  <c r="L1757" i="2" s="1"/>
  <c r="AB1757" i="2"/>
  <c r="AA1757" i="2" s="1"/>
  <c r="AC1756" i="2"/>
  <c r="L1756" i="2" s="1"/>
  <c r="AB1756" i="2"/>
  <c r="AA1756" i="2" s="1"/>
  <c r="AC1755" i="2"/>
  <c r="L1755" i="2" s="1"/>
  <c r="AB1755" i="2"/>
  <c r="K1755" i="2" s="1"/>
  <c r="AC1754" i="2"/>
  <c r="L1754" i="2" s="1"/>
  <c r="AB1754" i="2"/>
  <c r="K1754" i="2" s="1"/>
  <c r="AC1753" i="2"/>
  <c r="L1753" i="2" s="1"/>
  <c r="AB1753" i="2"/>
  <c r="AA1753" i="2" s="1"/>
  <c r="AC1752" i="2"/>
  <c r="L1752" i="2" s="1"/>
  <c r="AB1752" i="2"/>
  <c r="K1752" i="2" s="1"/>
  <c r="AC1751" i="2"/>
  <c r="L1751" i="2" s="1"/>
  <c r="AB1751" i="2"/>
  <c r="AA1751" i="2" s="1"/>
  <c r="AC1750" i="2"/>
  <c r="L1750" i="2" s="1"/>
  <c r="AB1750" i="2"/>
  <c r="AA1750" i="2" s="1"/>
  <c r="AC1749" i="2"/>
  <c r="L1749" i="2" s="1"/>
  <c r="AB1749" i="2"/>
  <c r="K1749" i="2" s="1"/>
  <c r="AC1748" i="2"/>
  <c r="L1748" i="2" s="1"/>
  <c r="AB1748" i="2"/>
  <c r="K1748" i="2" s="1"/>
  <c r="AC1747" i="2"/>
  <c r="L1747" i="2" s="1"/>
  <c r="AB1747" i="2"/>
  <c r="AA1747" i="2" s="1"/>
  <c r="AC1746" i="2"/>
  <c r="L1746" i="2" s="1"/>
  <c r="AB1746" i="2"/>
  <c r="K1746" i="2" s="1"/>
  <c r="AC1745" i="2"/>
  <c r="L1745" i="2" s="1"/>
  <c r="AB1745" i="2"/>
  <c r="K1745" i="2" s="1"/>
  <c r="AC1744" i="2"/>
  <c r="L1744" i="2" s="1"/>
  <c r="AB1744" i="2"/>
  <c r="K1744" i="2" s="1"/>
  <c r="AC1743" i="2"/>
  <c r="L1743" i="2" s="1"/>
  <c r="AB1743" i="2"/>
  <c r="K1743" i="2" s="1"/>
  <c r="AC1742" i="2"/>
  <c r="L1742" i="2" s="1"/>
  <c r="AB1742" i="2"/>
  <c r="AA1742" i="2" s="1"/>
  <c r="AC1741" i="2"/>
  <c r="L1741" i="2" s="1"/>
  <c r="AB1741" i="2"/>
  <c r="AA1741" i="2" s="1"/>
  <c r="AC1740" i="2"/>
  <c r="L1740" i="2" s="1"/>
  <c r="AB1740" i="2"/>
  <c r="AA1740" i="2" s="1"/>
  <c r="AC1739" i="2"/>
  <c r="L1739" i="2" s="1"/>
  <c r="AB1739" i="2"/>
  <c r="K1739" i="2" s="1"/>
  <c r="AC1738" i="2"/>
  <c r="L1738" i="2" s="1"/>
  <c r="AB1738" i="2"/>
  <c r="K1738" i="2" s="1"/>
  <c r="AC1737" i="2"/>
  <c r="L1737" i="2" s="1"/>
  <c r="AB1737" i="2"/>
  <c r="AA1737" i="2" s="1"/>
  <c r="AC1736" i="2"/>
  <c r="L1736" i="2" s="1"/>
  <c r="AB1736" i="2"/>
  <c r="AA1736" i="2" s="1"/>
  <c r="AC1735" i="2"/>
  <c r="L1735" i="2" s="1"/>
  <c r="AB1735" i="2"/>
  <c r="K1735" i="2" s="1"/>
  <c r="AC1734" i="2"/>
  <c r="L1734" i="2" s="1"/>
  <c r="AB1734" i="2"/>
  <c r="K1734" i="2" s="1"/>
  <c r="AC1733" i="2"/>
  <c r="L1733" i="2" s="1"/>
  <c r="AB1733" i="2"/>
  <c r="K1733" i="2" s="1"/>
  <c r="AC1732" i="2"/>
  <c r="L1732" i="2" s="1"/>
  <c r="AB1732" i="2"/>
  <c r="AA1732" i="2" s="1"/>
  <c r="AC1731" i="2"/>
  <c r="L1731" i="2" s="1"/>
  <c r="AB1731" i="2"/>
  <c r="AA1731" i="2" s="1"/>
  <c r="AC1730" i="2"/>
  <c r="L1730" i="2" s="1"/>
  <c r="AB1730" i="2"/>
  <c r="K1730" i="2" s="1"/>
  <c r="AC1729" i="2"/>
  <c r="L1729" i="2" s="1"/>
  <c r="AB1729" i="2"/>
  <c r="K1729" i="2" s="1"/>
  <c r="AC1728" i="2"/>
  <c r="L1728" i="2" s="1"/>
  <c r="AB1728" i="2"/>
  <c r="AA1728" i="2" s="1"/>
  <c r="AC1727" i="2"/>
  <c r="L1727" i="2" s="1"/>
  <c r="AB1727" i="2"/>
  <c r="AA1727" i="2" s="1"/>
  <c r="AC1726" i="2"/>
  <c r="L1726" i="2" s="1"/>
  <c r="AB1726" i="2"/>
  <c r="AA1726" i="2" s="1"/>
  <c r="AC1725" i="2"/>
  <c r="L1725" i="2" s="1"/>
  <c r="AB1725" i="2"/>
  <c r="AA1725" i="2" s="1"/>
  <c r="AC1724" i="2"/>
  <c r="L1724" i="2" s="1"/>
  <c r="AB1724" i="2"/>
  <c r="K1724" i="2" s="1"/>
  <c r="AC1723" i="2"/>
  <c r="L1723" i="2" s="1"/>
  <c r="AB1723" i="2"/>
  <c r="AA1723" i="2" s="1"/>
  <c r="AC1722" i="2"/>
  <c r="L1722" i="2" s="1"/>
  <c r="AB1722" i="2"/>
  <c r="AA1722" i="2" s="1"/>
  <c r="AC1721" i="2"/>
  <c r="L1721" i="2" s="1"/>
  <c r="AB1721" i="2"/>
  <c r="AA1721" i="2" s="1"/>
  <c r="AC1720" i="2"/>
  <c r="L1720" i="2" s="1"/>
  <c r="AB1720" i="2"/>
  <c r="AA1720" i="2" s="1"/>
  <c r="AC1719" i="2"/>
  <c r="L1719" i="2" s="1"/>
  <c r="AB1719" i="2"/>
  <c r="K1719" i="2" s="1"/>
  <c r="AC1718" i="2"/>
  <c r="L1718" i="2" s="1"/>
  <c r="AB1718" i="2"/>
  <c r="AA1718" i="2" s="1"/>
  <c r="AC1717" i="2"/>
  <c r="L1717" i="2" s="1"/>
  <c r="AB1717" i="2"/>
  <c r="AA1717" i="2" s="1"/>
  <c r="AC1716" i="2"/>
  <c r="L1716" i="2" s="1"/>
  <c r="AB1716" i="2"/>
  <c r="AA1716" i="2" s="1"/>
  <c r="AC1715" i="2"/>
  <c r="L1715" i="2" s="1"/>
  <c r="AB1715" i="2"/>
  <c r="AA1715" i="2" s="1"/>
  <c r="AC1714" i="2"/>
  <c r="L1714" i="2" s="1"/>
  <c r="AB1714" i="2"/>
  <c r="K1714" i="2" s="1"/>
  <c r="AC1713" i="2"/>
  <c r="L1713" i="2" s="1"/>
  <c r="AB1713" i="2"/>
  <c r="AA1713" i="2" s="1"/>
  <c r="AC1712" i="2"/>
  <c r="L1712" i="2" s="1"/>
  <c r="AB1712" i="2"/>
  <c r="AA1712" i="2" s="1"/>
  <c r="AC1711" i="2"/>
  <c r="L1711" i="2" s="1"/>
  <c r="AB1711" i="2"/>
  <c r="K1711" i="2" s="1"/>
  <c r="AC1710" i="2"/>
  <c r="L1710" i="2" s="1"/>
  <c r="AB1710" i="2"/>
  <c r="K1710" i="2" s="1"/>
  <c r="AC1709" i="2"/>
  <c r="L1709" i="2" s="1"/>
  <c r="AB1709" i="2"/>
  <c r="K1709" i="2" s="1"/>
  <c r="AC1708" i="2"/>
  <c r="L1708" i="2" s="1"/>
  <c r="AB1708" i="2"/>
  <c r="AA1708" i="2" s="1"/>
  <c r="AC1707" i="2"/>
  <c r="L1707" i="2" s="1"/>
  <c r="AB1707" i="2"/>
  <c r="AA1707" i="2" s="1"/>
  <c r="AC1706" i="2"/>
  <c r="L1706" i="2" s="1"/>
  <c r="AB1706" i="2"/>
  <c r="AA1706" i="2" s="1"/>
  <c r="AC1705" i="2"/>
  <c r="L1705" i="2" s="1"/>
  <c r="AB1705" i="2"/>
  <c r="K1705" i="2" s="1"/>
  <c r="AC1704" i="2"/>
  <c r="L1704" i="2" s="1"/>
  <c r="AB1704" i="2"/>
  <c r="K1704" i="2" s="1"/>
  <c r="AC1703" i="2"/>
  <c r="L1703" i="2" s="1"/>
  <c r="AB1703" i="2"/>
  <c r="AA1703" i="2" s="1"/>
  <c r="AC1702" i="2"/>
  <c r="L1702" i="2" s="1"/>
  <c r="AB1702" i="2"/>
  <c r="AA1702" i="2" s="1"/>
  <c r="AC1701" i="2"/>
  <c r="L1701" i="2" s="1"/>
  <c r="AB1701" i="2"/>
  <c r="AA1701" i="2" s="1"/>
  <c r="AC1700" i="2"/>
  <c r="L1700" i="2" s="1"/>
  <c r="AB1700" i="2"/>
  <c r="K1700" i="2" s="1"/>
  <c r="AC1699" i="2"/>
  <c r="L1699" i="2" s="1"/>
  <c r="AB1699" i="2"/>
  <c r="AA1699" i="2" s="1"/>
  <c r="AC1698" i="2"/>
  <c r="L1698" i="2" s="1"/>
  <c r="AB1698" i="2"/>
  <c r="K1698" i="2" s="1"/>
  <c r="AC1697" i="2"/>
  <c r="L1697" i="2" s="1"/>
  <c r="AB1697" i="2"/>
  <c r="K1697" i="2" s="1"/>
  <c r="AC1696" i="2"/>
  <c r="L1696" i="2" s="1"/>
  <c r="AB1696" i="2"/>
  <c r="K1696" i="2" s="1"/>
  <c r="AC1695" i="2"/>
  <c r="L1695" i="2" s="1"/>
  <c r="AB1695" i="2"/>
  <c r="K1695" i="2" s="1"/>
  <c r="AC1694" i="2"/>
  <c r="L1694" i="2" s="1"/>
  <c r="AB1694" i="2"/>
  <c r="AA1694" i="2" s="1"/>
  <c r="AC1693" i="2"/>
  <c r="L1693" i="2" s="1"/>
  <c r="AB1693" i="2"/>
  <c r="AA1693" i="2" s="1"/>
  <c r="AC1692" i="2"/>
  <c r="L1692" i="2" s="1"/>
  <c r="AB1692" i="2"/>
  <c r="AA1692" i="2" s="1"/>
  <c r="AC1691" i="2"/>
  <c r="L1691" i="2" s="1"/>
  <c r="AB1691" i="2"/>
  <c r="K1691" i="2" s="1"/>
  <c r="AC1690" i="2"/>
  <c r="L1690" i="2" s="1"/>
  <c r="AB1690" i="2"/>
  <c r="K1690" i="2" s="1"/>
  <c r="AC1689" i="2"/>
  <c r="L1689" i="2" s="1"/>
  <c r="AB1689" i="2"/>
  <c r="AA1689" i="2" s="1"/>
  <c r="AC1688" i="2"/>
  <c r="L1688" i="2" s="1"/>
  <c r="AB1688" i="2"/>
  <c r="AA1688" i="2" s="1"/>
  <c r="AC1687" i="2"/>
  <c r="L1687" i="2" s="1"/>
  <c r="AB1687" i="2"/>
  <c r="K1687" i="2" s="1"/>
  <c r="AC1686" i="2"/>
  <c r="L1686" i="2" s="1"/>
  <c r="AB1686" i="2"/>
  <c r="K1686" i="2" s="1"/>
  <c r="AC1685" i="2"/>
  <c r="L1685" i="2" s="1"/>
  <c r="AB1685" i="2"/>
  <c r="K1685" i="2" s="1"/>
  <c r="AC1684" i="2"/>
  <c r="L1684" i="2" s="1"/>
  <c r="AB1684" i="2"/>
  <c r="AA1684" i="2" s="1"/>
  <c r="AC1683" i="2"/>
  <c r="L1683" i="2" s="1"/>
  <c r="AB1683" i="2"/>
  <c r="AA1683" i="2" s="1"/>
  <c r="AC1682" i="2"/>
  <c r="L1682" i="2" s="1"/>
  <c r="AB1682" i="2"/>
  <c r="AA1682" i="2" s="1"/>
  <c r="AC1681" i="2"/>
  <c r="L1681" i="2" s="1"/>
  <c r="AB1681" i="2"/>
  <c r="K1681" i="2" s="1"/>
  <c r="AC1680" i="2"/>
  <c r="L1680" i="2" s="1"/>
  <c r="AB1680" i="2"/>
  <c r="K1680" i="2" s="1"/>
  <c r="AC1679" i="2"/>
  <c r="L1679" i="2" s="1"/>
  <c r="AB1679" i="2"/>
  <c r="AA1679" i="2" s="1"/>
  <c r="AC1678" i="2"/>
  <c r="L1678" i="2" s="1"/>
  <c r="AB1678" i="2"/>
  <c r="K1678" i="2" s="1"/>
  <c r="AC1677" i="2"/>
  <c r="L1677" i="2" s="1"/>
  <c r="AB1677" i="2"/>
  <c r="AA1677" i="2" s="1"/>
  <c r="AC1676" i="2"/>
  <c r="L1676" i="2" s="1"/>
  <c r="AB1676" i="2"/>
  <c r="K1676" i="2" s="1"/>
  <c r="AC1675" i="2"/>
  <c r="L1675" i="2" s="1"/>
  <c r="AB1675" i="2"/>
  <c r="AA1675" i="2" s="1"/>
  <c r="AC1674" i="2"/>
  <c r="L1674" i="2" s="1"/>
  <c r="AB1674" i="2"/>
  <c r="K1674" i="2" s="1"/>
  <c r="AC1673" i="2"/>
  <c r="L1673" i="2" s="1"/>
  <c r="AB1673" i="2"/>
  <c r="K1673" i="2" s="1"/>
  <c r="AC1672" i="2"/>
  <c r="L1672" i="2" s="1"/>
  <c r="AB1672" i="2"/>
  <c r="K1672" i="2" s="1"/>
  <c r="AC1671" i="2"/>
  <c r="L1671" i="2" s="1"/>
  <c r="AB1671" i="2"/>
  <c r="K1671" i="2" s="1"/>
  <c r="AC1670" i="2"/>
  <c r="L1670" i="2" s="1"/>
  <c r="AB1670" i="2"/>
  <c r="AA1670" i="2" s="1"/>
  <c r="AC1669" i="2"/>
  <c r="L1669" i="2" s="1"/>
  <c r="AB1669" i="2"/>
  <c r="AA1669" i="2" s="1"/>
  <c r="AC1668" i="2"/>
  <c r="L1668" i="2" s="1"/>
  <c r="AB1668" i="2"/>
  <c r="K1668" i="2" s="1"/>
  <c r="AC1667" i="2"/>
  <c r="L1667" i="2" s="1"/>
  <c r="AB1667" i="2"/>
  <c r="AA1667" i="2" s="1"/>
  <c r="AC1666" i="2"/>
  <c r="L1666" i="2" s="1"/>
  <c r="AB1666" i="2"/>
  <c r="K1666" i="2" s="1"/>
  <c r="AC1665" i="2"/>
  <c r="L1665" i="2" s="1"/>
  <c r="AB1665" i="2"/>
  <c r="AA1665" i="2" s="1"/>
  <c r="AC1664" i="2"/>
  <c r="L1664" i="2" s="1"/>
  <c r="AB1664" i="2"/>
  <c r="AA1664" i="2" s="1"/>
  <c r="AC1663" i="2"/>
  <c r="L1663" i="2" s="1"/>
  <c r="AB1663" i="2"/>
  <c r="K1663" i="2" s="1"/>
  <c r="AC1662" i="2"/>
  <c r="L1662" i="2" s="1"/>
  <c r="AB1662" i="2"/>
  <c r="K1662" i="2" s="1"/>
  <c r="AC1661" i="2"/>
  <c r="L1661" i="2" s="1"/>
  <c r="AB1661" i="2"/>
  <c r="AA1661" i="2" s="1"/>
  <c r="AC1660" i="2"/>
  <c r="L1660" i="2" s="1"/>
  <c r="AB1660" i="2"/>
  <c r="AA1660" i="2" s="1"/>
  <c r="AC1659" i="2"/>
  <c r="L1659" i="2" s="1"/>
  <c r="AB1659" i="2"/>
  <c r="K1659" i="2" s="1"/>
  <c r="AC1658" i="2"/>
  <c r="L1658" i="2" s="1"/>
  <c r="AB1658" i="2"/>
  <c r="AA1658" i="2" s="1"/>
  <c r="AC1657" i="2"/>
  <c r="L1657" i="2" s="1"/>
  <c r="AB1657" i="2"/>
  <c r="AA1657" i="2" s="1"/>
  <c r="AC1656" i="2"/>
  <c r="L1656" i="2" s="1"/>
  <c r="AB1656" i="2"/>
  <c r="K1656" i="2" s="1"/>
  <c r="AC1655" i="2"/>
  <c r="L1655" i="2" s="1"/>
  <c r="AB1655" i="2"/>
  <c r="AA1655" i="2" s="1"/>
  <c r="AC1654" i="2"/>
  <c r="L1654" i="2" s="1"/>
  <c r="AB1654" i="2"/>
  <c r="AA1654" i="2" s="1"/>
  <c r="AC1653" i="2"/>
  <c r="L1653" i="2" s="1"/>
  <c r="AB1653" i="2"/>
  <c r="AA1653" i="2" s="1"/>
  <c r="AC1652" i="2"/>
  <c r="L1652" i="2" s="1"/>
  <c r="AB1652" i="2"/>
  <c r="K1652" i="2" s="1"/>
  <c r="AC1651" i="2"/>
  <c r="L1651" i="2" s="1"/>
  <c r="AB1651" i="2"/>
  <c r="AA1651" i="2" s="1"/>
  <c r="AC1650" i="2"/>
  <c r="L1650" i="2" s="1"/>
  <c r="AB1650" i="2"/>
  <c r="AA1650" i="2" s="1"/>
  <c r="AC1649" i="2"/>
  <c r="L1649" i="2" s="1"/>
  <c r="AB1649" i="2"/>
  <c r="K1649" i="2" s="1"/>
  <c r="AC1648" i="2"/>
  <c r="L1648" i="2" s="1"/>
  <c r="AB1648" i="2"/>
  <c r="K1648" i="2" s="1"/>
  <c r="AC1647" i="2"/>
  <c r="L1647" i="2" s="1"/>
  <c r="AB1647" i="2"/>
  <c r="AA1647" i="2" s="1"/>
  <c r="AC1646" i="2"/>
  <c r="L1646" i="2" s="1"/>
  <c r="AB1646" i="2"/>
  <c r="AA1646" i="2" s="1"/>
  <c r="AC1645" i="2"/>
  <c r="L1645" i="2" s="1"/>
  <c r="AB1645" i="2"/>
  <c r="AA1645" i="2" s="1"/>
  <c r="AC1644" i="2"/>
  <c r="L1644" i="2" s="1"/>
  <c r="AB1644" i="2"/>
  <c r="AA1644" i="2" s="1"/>
  <c r="AC1643" i="2"/>
  <c r="L1643" i="2" s="1"/>
  <c r="AB1643" i="2"/>
  <c r="K1643" i="2" s="1"/>
  <c r="AC1642" i="2"/>
  <c r="L1642" i="2" s="1"/>
  <c r="AB1642" i="2"/>
  <c r="K1642" i="2" s="1"/>
  <c r="AC1641" i="2"/>
  <c r="L1641" i="2" s="1"/>
  <c r="AB1641" i="2"/>
  <c r="AA1641" i="2" s="1"/>
  <c r="AC1640" i="2"/>
  <c r="L1640" i="2" s="1"/>
  <c r="AB1640" i="2"/>
  <c r="AA1640" i="2" s="1"/>
  <c r="AC1639" i="2"/>
  <c r="L1639" i="2" s="1"/>
  <c r="AB1639" i="2"/>
  <c r="K1639" i="2" s="1"/>
  <c r="AC1638" i="2"/>
  <c r="L1638" i="2" s="1"/>
  <c r="AB1638" i="2"/>
  <c r="K1638" i="2" s="1"/>
  <c r="AC1637" i="2"/>
  <c r="L1637" i="2" s="1"/>
  <c r="AB1637" i="2"/>
  <c r="K1637" i="2" s="1"/>
  <c r="AC1636" i="2"/>
  <c r="L1636" i="2" s="1"/>
  <c r="AB1636" i="2"/>
  <c r="AA1636" i="2" s="1"/>
  <c r="AC1635" i="2"/>
  <c r="L1635" i="2" s="1"/>
  <c r="AB1635" i="2"/>
  <c r="AA1635" i="2" s="1"/>
  <c r="AC1634" i="2"/>
  <c r="L1634" i="2" s="1"/>
  <c r="AB1634" i="2"/>
  <c r="K1634" i="2" s="1"/>
  <c r="AC1633" i="2"/>
  <c r="L1633" i="2" s="1"/>
  <c r="AB1633" i="2"/>
  <c r="K1633" i="2" s="1"/>
  <c r="AC1632" i="2"/>
  <c r="L1632" i="2" s="1"/>
  <c r="AB1632" i="2"/>
  <c r="K1632" i="2" s="1"/>
  <c r="AC1631" i="2"/>
  <c r="L1631" i="2" s="1"/>
  <c r="AB1631" i="2"/>
  <c r="AA1631" i="2" s="1"/>
  <c r="AC1630" i="2"/>
  <c r="L1630" i="2" s="1"/>
  <c r="AB1630" i="2"/>
  <c r="AA1630" i="2" s="1"/>
  <c r="AC1629" i="2"/>
  <c r="L1629" i="2" s="1"/>
  <c r="AB1629" i="2"/>
  <c r="AA1629" i="2" s="1"/>
  <c r="AC1628" i="2"/>
  <c r="L1628" i="2" s="1"/>
  <c r="AB1628" i="2"/>
  <c r="AA1628" i="2" s="1"/>
  <c r="AC1627" i="2"/>
  <c r="L1627" i="2" s="1"/>
  <c r="AB1627" i="2"/>
  <c r="AA1627" i="2" s="1"/>
  <c r="AC1626" i="2"/>
  <c r="L1626" i="2" s="1"/>
  <c r="AB1626" i="2"/>
  <c r="AA1626" i="2" s="1"/>
  <c r="AC1625" i="2"/>
  <c r="L1625" i="2" s="1"/>
  <c r="AB1625" i="2"/>
  <c r="K1625" i="2" s="1"/>
  <c r="AC1624" i="2"/>
  <c r="L1624" i="2" s="1"/>
  <c r="AB1624" i="2"/>
  <c r="K1624" i="2" s="1"/>
  <c r="AC1623" i="2"/>
  <c r="L1623" i="2" s="1"/>
  <c r="AB1623" i="2"/>
  <c r="K1623" i="2" s="1"/>
  <c r="AC1622" i="2"/>
  <c r="L1622" i="2" s="1"/>
  <c r="AB1622" i="2"/>
  <c r="AA1622" i="2" s="1"/>
  <c r="N1149" i="2"/>
  <c r="N1525" i="2"/>
  <c r="AG1142" i="2"/>
  <c r="AG1145" i="2" a="1"/>
  <c r="AG1145" i="2" s="1"/>
  <c r="M2149" i="2" l="1"/>
  <c r="K2152" i="2"/>
  <c r="M2152" i="2" s="1"/>
  <c r="M2153" i="2"/>
  <c r="K2147" i="2"/>
  <c r="M2147" i="2" s="1"/>
  <c r="K2161" i="2"/>
  <c r="M2161" i="2" s="1"/>
  <c r="M2156" i="2"/>
  <c r="M2154" i="2"/>
  <c r="K2133" i="2"/>
  <c r="K2137" i="2"/>
  <c r="M2137" i="2" s="1"/>
  <c r="K2120" i="2"/>
  <c r="M2120" i="2" s="1"/>
  <c r="M2142" i="2"/>
  <c r="AA2100" i="2"/>
  <c r="K2136" i="2"/>
  <c r="M2136" i="2" s="1"/>
  <c r="K2115" i="2"/>
  <c r="M2115" i="2" s="1"/>
  <c r="AA2079" i="2"/>
  <c r="AA2140" i="2"/>
  <c r="K2106" i="2"/>
  <c r="M2106" i="2" s="1"/>
  <c r="AA2124" i="2"/>
  <c r="AA2105" i="2"/>
  <c r="AA2134" i="2"/>
  <c r="AA2135" i="2"/>
  <c r="K2098" i="2"/>
  <c r="M2098" i="2" s="1"/>
  <c r="K2127" i="2"/>
  <c r="M2127" i="2" s="1"/>
  <c r="AA2131" i="2"/>
  <c r="AA2116" i="2"/>
  <c r="M2057" i="2"/>
  <c r="M2140" i="2"/>
  <c r="AA2089" i="2"/>
  <c r="AA2130" i="2"/>
  <c r="AA2141" i="2"/>
  <c r="K2094" i="2"/>
  <c r="M2094" i="2" s="1"/>
  <c r="AA2126" i="2"/>
  <c r="M2126" i="2"/>
  <c r="K2077" i="2"/>
  <c r="M2118" i="2"/>
  <c r="K2129" i="2"/>
  <c r="M2129" i="2" s="1"/>
  <c r="AA2082" i="2"/>
  <c r="AA2113" i="2"/>
  <c r="AA2119" i="2"/>
  <c r="M2113" i="2"/>
  <c r="K2107" i="2"/>
  <c r="M2107" i="2" s="1"/>
  <c r="M2130" i="2"/>
  <c r="K2111" i="2"/>
  <c r="M2111" i="2" s="1"/>
  <c r="K2114" i="2"/>
  <c r="M2114" i="2" s="1"/>
  <c r="K2095" i="2"/>
  <c r="M2095" i="2" s="1"/>
  <c r="K2122" i="2"/>
  <c r="M2122" i="2" s="1"/>
  <c r="AA2080" i="2"/>
  <c r="AA2093" i="2"/>
  <c r="AA2091" i="2"/>
  <c r="K2104" i="2"/>
  <c r="M2104" i="2" s="1"/>
  <c r="AA2108" i="2"/>
  <c r="M2116" i="2"/>
  <c r="K2128" i="2"/>
  <c r="M2128" i="2" s="1"/>
  <c r="M2089" i="2"/>
  <c r="M2109" i="2"/>
  <c r="K2138" i="2"/>
  <c r="M2138" i="2" s="1"/>
  <c r="K2110" i="2"/>
  <c r="M2110" i="2" s="1"/>
  <c r="K2121" i="2"/>
  <c r="M2121" i="2" s="1"/>
  <c r="M2131" i="2"/>
  <c r="M2093" i="2"/>
  <c r="K2112" i="2"/>
  <c r="M2112" i="2" s="1"/>
  <c r="M2133" i="2"/>
  <c r="M2100" i="2"/>
  <c r="M2069" i="2"/>
  <c r="K2123" i="2"/>
  <c r="M2123" i="2" s="1"/>
  <c r="M2135" i="2"/>
  <c r="K2102" i="2"/>
  <c r="M2102" i="2" s="1"/>
  <c r="AA2118" i="2"/>
  <c r="K2143" i="2"/>
  <c r="M2143" i="2" s="1"/>
  <c r="M2124" i="2"/>
  <c r="AA2132" i="2"/>
  <c r="K2125" i="2"/>
  <c r="M2125" i="2" s="1"/>
  <c r="K2139" i="2"/>
  <c r="M2139" i="2" s="1"/>
  <c r="M2134" i="2"/>
  <c r="M2141" i="2"/>
  <c r="M2132" i="2"/>
  <c r="M2105" i="2"/>
  <c r="K2101" i="2"/>
  <c r="M2101" i="2" s="1"/>
  <c r="AA2109" i="2"/>
  <c r="K2103" i="2"/>
  <c r="M2103" i="2" s="1"/>
  <c r="K2117" i="2"/>
  <c r="M2117" i="2" s="1"/>
  <c r="M2119" i="2"/>
  <c r="M2108" i="2"/>
  <c r="K2087" i="2"/>
  <c r="M2087" i="2" s="1"/>
  <c r="K2088" i="2"/>
  <c r="M2088" i="2" s="1"/>
  <c r="K2090" i="2"/>
  <c r="M2090" i="2" s="1"/>
  <c r="M2082" i="2"/>
  <c r="M2079" i="2"/>
  <c r="AA2084" i="2"/>
  <c r="K2081" i="2"/>
  <c r="M2081" i="2" s="1"/>
  <c r="K2099" i="2"/>
  <c r="M2099" i="2" s="1"/>
  <c r="K2078" i="2"/>
  <c r="M2078" i="2" s="1"/>
  <c r="K2085" i="2"/>
  <c r="M2085" i="2" s="1"/>
  <c r="K2092" i="2"/>
  <c r="M2092" i="2" s="1"/>
  <c r="K2096" i="2"/>
  <c r="M2096" i="2" s="1"/>
  <c r="K2097" i="2"/>
  <c r="M2097" i="2" s="1"/>
  <c r="M2084" i="2"/>
  <c r="M2091" i="2"/>
  <c r="K2086" i="2"/>
  <c r="M2086" i="2" s="1"/>
  <c r="M2080" i="2"/>
  <c r="K2083" i="2"/>
  <c r="M2083" i="2" s="1"/>
  <c r="M2031" i="2"/>
  <c r="AA1778" i="2"/>
  <c r="K2065" i="2"/>
  <c r="K1646" i="2"/>
  <c r="K2075" i="2"/>
  <c r="M2075" i="2" s="1"/>
  <c r="AA1835" i="2"/>
  <c r="K2003" i="2"/>
  <c r="K2053" i="2"/>
  <c r="M2053" i="2" s="1"/>
  <c r="M1696" i="2"/>
  <c r="K1784" i="2"/>
  <c r="M1784" i="2" s="1"/>
  <c r="K2068" i="2"/>
  <c r="M1690" i="2"/>
  <c r="K1859" i="2"/>
  <c r="AA1980" i="2"/>
  <c r="M1685" i="2"/>
  <c r="K1790" i="2"/>
  <c r="M1790" i="2" s="1"/>
  <c r="AA1767" i="2"/>
  <c r="M1873" i="2"/>
  <c r="AA2009" i="2"/>
  <c r="K1667" i="2"/>
  <c r="AA1815" i="2"/>
  <c r="K1750" i="2"/>
  <c r="K1757" i="2"/>
  <c r="M1757" i="2" s="1"/>
  <c r="M2061" i="2"/>
  <c r="AA1858" i="2"/>
  <c r="K1993" i="2"/>
  <c r="M1807" i="2"/>
  <c r="K1819" i="2"/>
  <c r="M1819" i="2" s="1"/>
  <c r="AA1906" i="2"/>
  <c r="K1976" i="2"/>
  <c r="M1976" i="2" s="1"/>
  <c r="K1907" i="2"/>
  <c r="M1907" i="2" s="1"/>
  <c r="K1834" i="2"/>
  <c r="K2005" i="2"/>
  <c r="M2005" i="2" s="1"/>
  <c r="AA2061" i="2"/>
  <c r="K1770" i="2"/>
  <c r="M1770" i="2" s="1"/>
  <c r="K2041" i="2"/>
  <c r="K1810" i="2"/>
  <c r="M1810" i="2" s="1"/>
  <c r="K1875" i="2"/>
  <c r="AA1773" i="2"/>
  <c r="AA1779" i="2"/>
  <c r="K1914" i="2"/>
  <c r="M1914" i="2" s="1"/>
  <c r="AA1930" i="2"/>
  <c r="K2048" i="2"/>
  <c r="M2048" i="2" s="1"/>
  <c r="K2063" i="2"/>
  <c r="M2063" i="2" s="1"/>
  <c r="M2065" i="2"/>
  <c r="M1962" i="2"/>
  <c r="AA1969" i="2"/>
  <c r="AA1674" i="2"/>
  <c r="K1765" i="2"/>
  <c r="K1838" i="2"/>
  <c r="K2019" i="2"/>
  <c r="M2019" i="2" s="1"/>
  <c r="M2071" i="2"/>
  <c r="AA1928" i="2"/>
  <c r="K1988" i="2"/>
  <c r="M1988" i="2" s="1"/>
  <c r="K1946" i="2"/>
  <c r="M1946" i="2" s="1"/>
  <c r="AA2042" i="2"/>
  <c r="K1635" i="2"/>
  <c r="M1635" i="2" s="1"/>
  <c r="K1827" i="2"/>
  <c r="M1827" i="2" s="1"/>
  <c r="K1857" i="2"/>
  <c r="M1857" i="2" s="1"/>
  <c r="AA1904" i="2"/>
  <c r="K1948" i="2"/>
  <c r="AA2055" i="2"/>
  <c r="K1737" i="2"/>
  <c r="AA2014" i="2"/>
  <c r="AA1798" i="2"/>
  <c r="K2013" i="2"/>
  <c r="M2013" i="2" s="1"/>
  <c r="M2050" i="2"/>
  <c r="M1632" i="2"/>
  <c r="AA1781" i="2"/>
  <c r="M2022" i="2"/>
  <c r="AA2045" i="2"/>
  <c r="AA2069" i="2"/>
  <c r="K1959" i="2"/>
  <c r="M1959" i="2" s="1"/>
  <c r="AA1680" i="2"/>
  <c r="AA1734" i="2"/>
  <c r="M1793" i="2"/>
  <c r="K2039" i="2"/>
  <c r="M2039" i="2" s="1"/>
  <c r="M1968" i="2"/>
  <c r="M1989" i="2"/>
  <c r="K2025" i="2"/>
  <c r="M2025" i="2" s="1"/>
  <c r="M2046" i="2"/>
  <c r="AA2058" i="2"/>
  <c r="AA2064" i="2"/>
  <c r="M2070" i="2"/>
  <c r="K1820" i="2"/>
  <c r="AA1824" i="2"/>
  <c r="AA2011" i="2"/>
  <c r="AA1729" i="2"/>
  <c r="M1783" i="2"/>
  <c r="AA2047" i="2"/>
  <c r="M1841" i="2"/>
  <c r="M1949" i="2"/>
  <c r="K2043" i="2"/>
  <c r="M2043" i="2" s="1"/>
  <c r="AA2072" i="2"/>
  <c r="K1837" i="2"/>
  <c r="M1837" i="2" s="1"/>
  <c r="K2000" i="2"/>
  <c r="M2000" i="2" s="1"/>
  <c r="AA2021" i="2"/>
  <c r="AA2040" i="2"/>
  <c r="M1767" i="2"/>
  <c r="M1734" i="2"/>
  <c r="K1799" i="2"/>
  <c r="M1799" i="2" s="1"/>
  <c r="M1794" i="2"/>
  <c r="K1814" i="2"/>
  <c r="M1814" i="2" s="1"/>
  <c r="K1852" i="2"/>
  <c r="M1852" i="2" s="1"/>
  <c r="AA1899" i="2"/>
  <c r="K1918" i="2"/>
  <c r="M1918" i="2" s="1"/>
  <c r="K1939" i="2"/>
  <c r="M1939" i="2" s="1"/>
  <c r="K1986" i="2"/>
  <c r="M1986" i="2" s="1"/>
  <c r="K2001" i="2"/>
  <c r="M2001" i="2" s="1"/>
  <c r="M1992" i="2"/>
  <c r="M2040" i="2"/>
  <c r="K2066" i="2"/>
  <c r="M2066" i="2" s="1"/>
  <c r="K1626" i="2"/>
  <c r="M1642" i="2"/>
  <c r="AA1768" i="2"/>
  <c r="K1958" i="2"/>
  <c r="M1958" i="2" s="1"/>
  <c r="M1970" i="2"/>
  <c r="AA1999" i="2"/>
  <c r="AA2010" i="2"/>
  <c r="AA1945" i="2"/>
  <c r="M2003" i="2"/>
  <c r="AA1994" i="2"/>
  <c r="K2037" i="2"/>
  <c r="M2037" i="2" s="1"/>
  <c r="K2054" i="2"/>
  <c r="M2054" i="2" s="1"/>
  <c r="K1860" i="2"/>
  <c r="M1860" i="2" s="1"/>
  <c r="K1932" i="2"/>
  <c r="M1932" i="2" s="1"/>
  <c r="AA1711" i="2"/>
  <c r="AA1754" i="2"/>
  <c r="AA1901" i="2"/>
  <c r="K1966" i="2"/>
  <c r="M1966" i="2" s="1"/>
  <c r="M1844" i="2"/>
  <c r="K1764" i="2"/>
  <c r="M1764" i="2" s="1"/>
  <c r="K1826" i="2"/>
  <c r="M1826" i="2" s="1"/>
  <c r="M1816" i="2"/>
  <c r="M1836" i="2"/>
  <c r="K1952" i="2"/>
  <c r="M1952" i="2" s="1"/>
  <c r="K1991" i="2"/>
  <c r="M1991" i="2" s="1"/>
  <c r="M2042" i="2"/>
  <c r="M1916" i="2"/>
  <c r="AA1782" i="2"/>
  <c r="M1788" i="2"/>
  <c r="M1830" i="2"/>
  <c r="K1967" i="2"/>
  <c r="M1967" i="2" s="1"/>
  <c r="AA1792" i="2"/>
  <c r="M1805" i="2"/>
  <c r="K1833" i="2"/>
  <c r="M1833" i="2" s="1"/>
  <c r="M1879" i="2"/>
  <c r="K1897" i="2"/>
  <c r="M1897" i="2" s="1"/>
  <c r="AA1890" i="2"/>
  <c r="M1974" i="2"/>
  <c r="K2017" i="2"/>
  <c r="M2017" i="2" s="1"/>
  <c r="K1829" i="2"/>
  <c r="K1868" i="2"/>
  <c r="M1868" i="2" s="1"/>
  <c r="K1931" i="2"/>
  <c r="M1931" i="2" s="1"/>
  <c r="K1957" i="2"/>
  <c r="M1957" i="2" s="1"/>
  <c r="K1972" i="2"/>
  <c r="M1972" i="2" s="1"/>
  <c r="AA1965" i="2"/>
  <c r="AA1970" i="2"/>
  <c r="M1774" i="2"/>
  <c r="K1818" i="2"/>
  <c r="M1818" i="2" s="1"/>
  <c r="K1832" i="2"/>
  <c r="M1832" i="2" s="1"/>
  <c r="K1846" i="2"/>
  <c r="M1846" i="2" s="1"/>
  <c r="K1973" i="2"/>
  <c r="M1973" i="2" s="1"/>
  <c r="M1998" i="2"/>
  <c r="K2024" i="2"/>
  <c r="M2024" i="2" s="1"/>
  <c r="K2030" i="2"/>
  <c r="M2030" i="2" s="1"/>
  <c r="K1797" i="2"/>
  <c r="M1797" i="2" s="1"/>
  <c r="K1813" i="2"/>
  <c r="M1813" i="2" s="1"/>
  <c r="M1686" i="2"/>
  <c r="K1722" i="2"/>
  <c r="M1722" i="2" s="1"/>
  <c r="K1780" i="2"/>
  <c r="M1780" i="2" s="1"/>
  <c r="M1803" i="2"/>
  <c r="M1877" i="2"/>
  <c r="AA1884" i="2"/>
  <c r="AA1903" i="2"/>
  <c r="K1938" i="2"/>
  <c r="M1938" i="2" s="1"/>
  <c r="K1982" i="2"/>
  <c r="M1982" i="2" s="1"/>
  <c r="K2034" i="2"/>
  <c r="M2034" i="2" s="1"/>
  <c r="K2044" i="2"/>
  <c r="M2044" i="2" s="1"/>
  <c r="K2067" i="2"/>
  <c r="M2067" i="2" s="1"/>
  <c r="M2055" i="2"/>
  <c r="M1960" i="2"/>
  <c r="AA1971" i="2"/>
  <c r="K2016" i="2"/>
  <c r="M2016" i="2" s="1"/>
  <c r="AA1836" i="2"/>
  <c r="K1850" i="2"/>
  <c r="AA1853" i="2"/>
  <c r="M1875" i="2"/>
  <c r="AA1942" i="2"/>
  <c r="M1955" i="2"/>
  <c r="K1995" i="2"/>
  <c r="M1995" i="2" s="1"/>
  <c r="M1999" i="2"/>
  <c r="AA2033" i="2"/>
  <c r="M2056" i="2"/>
  <c r="M2026" i="2"/>
  <c r="M2033" i="2"/>
  <c r="M2058" i="2"/>
  <c r="M2072" i="2"/>
  <c r="M2074" i="2"/>
  <c r="K1725" i="2"/>
  <c r="M1725" i="2" s="1"/>
  <c r="M1781" i="2"/>
  <c r="K1802" i="2"/>
  <c r="M1802" i="2" s="1"/>
  <c r="K1979" i="2"/>
  <c r="M1979" i="2" s="1"/>
  <c r="M1978" i="2"/>
  <c r="K1996" i="2"/>
  <c r="M1996" i="2" s="1"/>
  <c r="K2027" i="2"/>
  <c r="M2027" i="2" s="1"/>
  <c r="K2051" i="2"/>
  <c r="M2051" i="2" s="1"/>
  <c r="K1706" i="2"/>
  <c r="M1706" i="2" s="1"/>
  <c r="K1766" i="2"/>
  <c r="M1766" i="2" s="1"/>
  <c r="K1876" i="2"/>
  <c r="M1876" i="2" s="1"/>
  <c r="AA1714" i="2"/>
  <c r="K1763" i="2"/>
  <c r="M1763" i="2" s="1"/>
  <c r="K1786" i="2"/>
  <c r="M1786" i="2" s="1"/>
  <c r="K1822" i="2"/>
  <c r="M1822" i="2" s="1"/>
  <c r="M1824" i="2"/>
  <c r="M1831" i="2"/>
  <c r="AA1842" i="2"/>
  <c r="M1854" i="2"/>
  <c r="K1886" i="2"/>
  <c r="M1886" i="2" s="1"/>
  <c r="AA1962" i="2"/>
  <c r="K1987" i="2"/>
  <c r="M1987" i="2" s="1"/>
  <c r="K2007" i="2"/>
  <c r="M2007" i="2" s="1"/>
  <c r="K2018" i="2"/>
  <c r="M2018" i="2" s="1"/>
  <c r="AA2050" i="2"/>
  <c r="AA1676" i="2"/>
  <c r="K1806" i="2"/>
  <c r="M1806" i="2" s="1"/>
  <c r="K1823" i="2"/>
  <c r="M1823" i="2" s="1"/>
  <c r="K1856" i="2"/>
  <c r="M1856" i="2" s="1"/>
  <c r="M1842" i="2"/>
  <c r="AA1874" i="2"/>
  <c r="K1895" i="2"/>
  <c r="M1895" i="2" s="1"/>
  <c r="M1887" i="2"/>
  <c r="M1925" i="2"/>
  <c r="M1950" i="2"/>
  <c r="M1969" i="2"/>
  <c r="M1980" i="2"/>
  <c r="AA1968" i="2"/>
  <c r="M1983" i="2"/>
  <c r="AA1989" i="2"/>
  <c r="M2009" i="2"/>
  <c r="K2028" i="2"/>
  <c r="M2028" i="2" s="1"/>
  <c r="M1874" i="2"/>
  <c r="M2045" i="2"/>
  <c r="K1981" i="2"/>
  <c r="M1981" i="2" s="1"/>
  <c r="M1984" i="2"/>
  <c r="M2010" i="2"/>
  <c r="AA2023" i="2"/>
  <c r="K1843" i="2"/>
  <c r="M1843" i="2" s="1"/>
  <c r="K1864" i="2"/>
  <c r="M1864" i="2" s="1"/>
  <c r="M2077" i="2"/>
  <c r="M1863" i="2"/>
  <c r="M1889" i="2"/>
  <c r="M1964" i="2"/>
  <c r="AA1985" i="2"/>
  <c r="M2012" i="2"/>
  <c r="AA2036" i="2"/>
  <c r="K1862" i="2"/>
  <c r="M1862" i="2" s="1"/>
  <c r="K1775" i="2"/>
  <c r="M1775" i="2" s="1"/>
  <c r="K1811" i="2"/>
  <c r="M1811" i="2" s="1"/>
  <c r="M1801" i="2"/>
  <c r="AA1625" i="2"/>
  <c r="M1773" i="2"/>
  <c r="K1796" i="2"/>
  <c r="M1796" i="2" s="1"/>
  <c r="K1812" i="2"/>
  <c r="M1812" i="2" s="1"/>
  <c r="M1808" i="2"/>
  <c r="K1828" i="2"/>
  <c r="M1828" i="2" s="1"/>
  <c r="K1845" i="2"/>
  <c r="M1845" i="2" s="1"/>
  <c r="AA1851" i="2"/>
  <c r="K1866" i="2"/>
  <c r="M1866" i="2" s="1"/>
  <c r="AA1870" i="2"/>
  <c r="AA1902" i="2"/>
  <c r="M1975" i="2"/>
  <c r="K2002" i="2"/>
  <c r="M2002" i="2" s="1"/>
  <c r="M1985" i="2"/>
  <c r="M1997" i="2"/>
  <c r="AA2031" i="2"/>
  <c r="M2036" i="2"/>
  <c r="M2060" i="2"/>
  <c r="K2073" i="2"/>
  <c r="M2073" i="2" s="1"/>
  <c r="AA2060" i="2"/>
  <c r="AA2074" i="2"/>
  <c r="AA2056" i="2"/>
  <c r="AA2070" i="2"/>
  <c r="M2068" i="2"/>
  <c r="AA2057" i="2"/>
  <c r="AA2071" i="2"/>
  <c r="K2062" i="2"/>
  <c r="M2062" i="2" s="1"/>
  <c r="K2076" i="2"/>
  <c r="M2076" i="2" s="1"/>
  <c r="K2059" i="2"/>
  <c r="M2059" i="2" s="1"/>
  <c r="M2064" i="2"/>
  <c r="M2047" i="2"/>
  <c r="M2032" i="2"/>
  <c r="AA2032" i="2"/>
  <c r="AA2046" i="2"/>
  <c r="K2035" i="2"/>
  <c r="M2035" i="2" s="1"/>
  <c r="K2049" i="2"/>
  <c r="M2049" i="2" s="1"/>
  <c r="K2038" i="2"/>
  <c r="M2038" i="2" s="1"/>
  <c r="K2052" i="2"/>
  <c r="M2052" i="2" s="1"/>
  <c r="M2041" i="2"/>
  <c r="AA2012" i="2"/>
  <c r="AA2026" i="2"/>
  <c r="AA2008" i="2"/>
  <c r="AA2022" i="2"/>
  <c r="K2020" i="2"/>
  <c r="M2020" i="2" s="1"/>
  <c r="M2011" i="2"/>
  <c r="K2006" i="2"/>
  <c r="M2006" i="2" s="1"/>
  <c r="M2014" i="2"/>
  <c r="M2021" i="2"/>
  <c r="K2015" i="2"/>
  <c r="M2015" i="2" s="1"/>
  <c r="K2029" i="2"/>
  <c r="M2029" i="2" s="1"/>
  <c r="M2023" i="2"/>
  <c r="M2008" i="2"/>
  <c r="AA1992" i="2"/>
  <c r="M1993" i="2"/>
  <c r="AA1983" i="2"/>
  <c r="AA1997" i="2"/>
  <c r="AA1984" i="2"/>
  <c r="AA1998" i="2"/>
  <c r="K1990" i="2"/>
  <c r="M1990" i="2" s="1"/>
  <c r="K2004" i="2"/>
  <c r="M2004" i="2" s="1"/>
  <c r="M1994" i="2"/>
  <c r="K1977" i="2"/>
  <c r="M1977" i="2" s="1"/>
  <c r="AA1964" i="2"/>
  <c r="AA1978" i="2"/>
  <c r="M1971" i="2"/>
  <c r="AA1960" i="2"/>
  <c r="AA1974" i="2"/>
  <c r="K1963" i="2"/>
  <c r="M1963" i="2" s="1"/>
  <c r="AA1961" i="2"/>
  <c r="AA1975" i="2"/>
  <c r="M1965" i="2"/>
  <c r="M1961" i="2"/>
  <c r="M1917" i="2"/>
  <c r="AA1643" i="2"/>
  <c r="AA1678" i="2"/>
  <c r="M1691" i="2"/>
  <c r="K1712" i="2"/>
  <c r="M1712" i="2" s="1"/>
  <c r="K1777" i="2"/>
  <c r="M1777" i="2" s="1"/>
  <c r="K1789" i="2"/>
  <c r="M1789" i="2" s="1"/>
  <c r="M1776" i="2"/>
  <c r="AA1808" i="2"/>
  <c r="AA1817" i="2"/>
  <c r="AA1844" i="2"/>
  <c r="K1871" i="2"/>
  <c r="M1871" i="2" s="1"/>
  <c r="K1885" i="2"/>
  <c r="M1885" i="2" s="1"/>
  <c r="AA1872" i="2"/>
  <c r="AA1877" i="2"/>
  <c r="M1882" i="2"/>
  <c r="K1908" i="2"/>
  <c r="M1908" i="2" s="1"/>
  <c r="AA1888" i="2"/>
  <c r="AA1893" i="2"/>
  <c r="AA1916" i="2"/>
  <c r="AA1921" i="2"/>
  <c r="M1926" i="2"/>
  <c r="AA1935" i="2"/>
  <c r="M1791" i="2"/>
  <c r="M1817" i="2"/>
  <c r="K1923" i="2"/>
  <c r="M1923" i="2" s="1"/>
  <c r="M1779" i="2"/>
  <c r="M1782" i="2"/>
  <c r="AA1788" i="2"/>
  <c r="AA1803" i="2"/>
  <c r="M1853" i="2"/>
  <c r="AA1839" i="2"/>
  <c r="K1909" i="2"/>
  <c r="M1909" i="2" s="1"/>
  <c r="K1910" i="2"/>
  <c r="M1910" i="2" s="1"/>
  <c r="AA1911" i="2"/>
  <c r="M1927" i="2"/>
  <c r="M1839" i="2"/>
  <c r="AA1873" i="2"/>
  <c r="AA1878" i="2"/>
  <c r="AA1889" i="2"/>
  <c r="K1924" i="2"/>
  <c r="M1924" i="2" s="1"/>
  <c r="M1911" i="2"/>
  <c r="AA1917" i="2"/>
  <c r="M1942" i="2"/>
  <c r="M1928" i="2"/>
  <c r="M1714" i="2"/>
  <c r="M1840" i="2"/>
  <c r="K1865" i="2"/>
  <c r="M1865" i="2" s="1"/>
  <c r="AA1863" i="2"/>
  <c r="K1892" i="2"/>
  <c r="M1892" i="2" s="1"/>
  <c r="AA1949" i="2"/>
  <c r="AA1955" i="2"/>
  <c r="M1792" i="2"/>
  <c r="K1726" i="2"/>
  <c r="M1726" i="2" s="1"/>
  <c r="M1899" i="2"/>
  <c r="M1903" i="2"/>
  <c r="AA1896" i="2"/>
  <c r="M1901" i="2"/>
  <c r="M1944" i="2"/>
  <c r="M1798" i="2"/>
  <c r="K1772" i="2"/>
  <c r="M1772" i="2" s="1"/>
  <c r="K1653" i="2"/>
  <c r="M1653" i="2" s="1"/>
  <c r="K1701" i="2"/>
  <c r="M1701" i="2" s="1"/>
  <c r="M1697" i="2"/>
  <c r="K1736" i="2"/>
  <c r="M1736" i="2" s="1"/>
  <c r="M1768" i="2"/>
  <c r="AA1774" i="2"/>
  <c r="AA1794" i="2"/>
  <c r="M1820" i="2"/>
  <c r="K1847" i="2"/>
  <c r="M1847" i="2" s="1"/>
  <c r="M1859" i="2"/>
  <c r="M1858" i="2"/>
  <c r="K1880" i="2"/>
  <c r="M1880" i="2" s="1"/>
  <c r="K1900" i="2"/>
  <c r="M1900" i="2" s="1"/>
  <c r="M1896" i="2"/>
  <c r="K1679" i="2"/>
  <c r="M1679" i="2" s="1"/>
  <c r="K1751" i="2"/>
  <c r="M1751" i="2" s="1"/>
  <c r="M1838" i="2"/>
  <c r="M1904" i="2"/>
  <c r="K1956" i="2"/>
  <c r="M1956" i="2" s="1"/>
  <c r="K1692" i="2"/>
  <c r="M1692" i="2" s="1"/>
  <c r="K1703" i="2"/>
  <c r="M1703" i="2" s="1"/>
  <c r="M1698" i="2"/>
  <c r="AA1705" i="2"/>
  <c r="M1730" i="2"/>
  <c r="K1787" i="2"/>
  <c r="M1787" i="2" s="1"/>
  <c r="M1800" i="2"/>
  <c r="K1821" i="2"/>
  <c r="M1821" i="2" s="1"/>
  <c r="K1849" i="2"/>
  <c r="M1849" i="2" s="1"/>
  <c r="K1883" i="2"/>
  <c r="M1883" i="2" s="1"/>
  <c r="M1870" i="2"/>
  <c r="M1902" i="2"/>
  <c r="K1919" i="2"/>
  <c r="M1919" i="2" s="1"/>
  <c r="M1930" i="2"/>
  <c r="K1941" i="2"/>
  <c r="M1941" i="2" s="1"/>
  <c r="AA1671" i="2"/>
  <c r="K1720" i="2"/>
  <c r="M1720" i="2" s="1"/>
  <c r="M1848" i="2"/>
  <c r="K1869" i="2"/>
  <c r="M1869" i="2" s="1"/>
  <c r="AA1887" i="2"/>
  <c r="K1933" i="2"/>
  <c r="M1933" i="2" s="1"/>
  <c r="AA1920" i="2"/>
  <c r="AA1925" i="2"/>
  <c r="K1707" i="2"/>
  <c r="M1707" i="2" s="1"/>
  <c r="K1804" i="2"/>
  <c r="M1804" i="2" s="1"/>
  <c r="K1861" i="2"/>
  <c r="M1861" i="2" s="1"/>
  <c r="M1884" i="2"/>
  <c r="K1809" i="2"/>
  <c r="M1809" i="2" s="1"/>
  <c r="K1708" i="2"/>
  <c r="M1708" i="2" s="1"/>
  <c r="K1721" i="2"/>
  <c r="M1721" i="2" s="1"/>
  <c r="AA1776" i="2"/>
  <c r="K1795" i="2"/>
  <c r="M1795" i="2" s="1"/>
  <c r="M1834" i="2"/>
  <c r="AA1882" i="2"/>
  <c r="K1894" i="2"/>
  <c r="M1894" i="2" s="1"/>
  <c r="K1922" i="2"/>
  <c r="M1922" i="2" s="1"/>
  <c r="M1937" i="2"/>
  <c r="M1954" i="2"/>
  <c r="K1953" i="2"/>
  <c r="M1953" i="2" s="1"/>
  <c r="K1943" i="2"/>
  <c r="M1943" i="2" s="1"/>
  <c r="M1945" i="2"/>
  <c r="K1934" i="2"/>
  <c r="M1934" i="2" s="1"/>
  <c r="K1947" i="2"/>
  <c r="M1947" i="2" s="1"/>
  <c r="M1940" i="2"/>
  <c r="M1951" i="2"/>
  <c r="AA1944" i="2"/>
  <c r="AA1940" i="2"/>
  <c r="AA1954" i="2"/>
  <c r="AA1936" i="2"/>
  <c r="AA1950" i="2"/>
  <c r="M1948" i="2"/>
  <c r="AA1937" i="2"/>
  <c r="AA1951" i="2"/>
  <c r="M1935" i="2"/>
  <c r="M1936" i="2"/>
  <c r="M1912" i="2"/>
  <c r="AA1912" i="2"/>
  <c r="AA1926" i="2"/>
  <c r="K1915" i="2"/>
  <c r="M1915" i="2" s="1"/>
  <c r="K1929" i="2"/>
  <c r="M1929" i="2" s="1"/>
  <c r="AA1913" i="2"/>
  <c r="AA1927" i="2"/>
  <c r="M1921" i="2"/>
  <c r="M1913" i="2"/>
  <c r="M1920" i="2"/>
  <c r="K1898" i="2"/>
  <c r="M1898" i="2" s="1"/>
  <c r="M1893" i="2"/>
  <c r="M1890" i="2"/>
  <c r="M1888" i="2"/>
  <c r="M1906" i="2"/>
  <c r="K1905" i="2"/>
  <c r="M1905" i="2" s="1"/>
  <c r="K1891" i="2"/>
  <c r="M1891" i="2" s="1"/>
  <c r="M1872" i="2"/>
  <c r="K1881" i="2"/>
  <c r="M1881" i="2" s="1"/>
  <c r="AA1879" i="2"/>
  <c r="M1878" i="2"/>
  <c r="K1867" i="2"/>
  <c r="M1867" i="2" s="1"/>
  <c r="M1855" i="2"/>
  <c r="AA1848" i="2"/>
  <c r="M1851" i="2"/>
  <c r="AA1840" i="2"/>
  <c r="AA1854" i="2"/>
  <c r="AA1841" i="2"/>
  <c r="AA1855" i="2"/>
  <c r="M1850" i="2"/>
  <c r="M1815" i="2"/>
  <c r="K1825" i="2"/>
  <c r="M1825" i="2" s="1"/>
  <c r="AA1816" i="2"/>
  <c r="AA1830" i="2"/>
  <c r="AA1831" i="2"/>
  <c r="M1829" i="2"/>
  <c r="M1835" i="2"/>
  <c r="AA1800" i="2"/>
  <c r="AA1791" i="2"/>
  <c r="AA1805" i="2"/>
  <c r="AA1801" i="2"/>
  <c r="AA1793" i="2"/>
  <c r="AA1807" i="2"/>
  <c r="M1778" i="2"/>
  <c r="K1785" i="2"/>
  <c r="M1785" i="2" s="1"/>
  <c r="K1771" i="2"/>
  <c r="M1771" i="2" s="1"/>
  <c r="AA1769" i="2"/>
  <c r="AA1783" i="2"/>
  <c r="M1769" i="2"/>
  <c r="K1753" i="2"/>
  <c r="M1753" i="2" s="1"/>
  <c r="AA1755" i="2"/>
  <c r="M1744" i="2"/>
  <c r="M1745" i="2"/>
  <c r="AA1746" i="2"/>
  <c r="M1758" i="2"/>
  <c r="M1681" i="2"/>
  <c r="K1682" i="2"/>
  <c r="M1682" i="2" s="1"/>
  <c r="M1668" i="2"/>
  <c r="AA1685" i="2"/>
  <c r="AA1691" i="2"/>
  <c r="AA1743" i="2"/>
  <c r="AA1749" i="2"/>
  <c r="M1680" i="2"/>
  <c r="AA1686" i="2"/>
  <c r="AA1697" i="2"/>
  <c r="M1735" i="2"/>
  <c r="K1742" i="2"/>
  <c r="M1742" i="2" s="1"/>
  <c r="K1693" i="2"/>
  <c r="M1693" i="2" s="1"/>
  <c r="K1677" i="2"/>
  <c r="M1677" i="2" s="1"/>
  <c r="AA1681" i="2"/>
  <c r="K1741" i="2"/>
  <c r="M1741" i="2" s="1"/>
  <c r="K1727" i="2"/>
  <c r="M1727" i="2" s="1"/>
  <c r="AA1724" i="2"/>
  <c r="AA1730" i="2"/>
  <c r="K1728" i="2"/>
  <c r="M1728" i="2" s="1"/>
  <c r="M1676" i="2"/>
  <c r="K1658" i="2"/>
  <c r="M1658" i="2" s="1"/>
  <c r="AA1700" i="2"/>
  <c r="K1718" i="2"/>
  <c r="M1718" i="2" s="1"/>
  <c r="K1731" i="2"/>
  <c r="M1731" i="2" s="1"/>
  <c r="M1738" i="2"/>
  <c r="K1655" i="2"/>
  <c r="M1655" i="2" s="1"/>
  <c r="K1732" i="2"/>
  <c r="M1732" i="2" s="1"/>
  <c r="M1739" i="2"/>
  <c r="M1637" i="2"/>
  <c r="AA1668" i="2"/>
  <c r="K1688" i="2"/>
  <c r="M1688" i="2" s="1"/>
  <c r="K1702" i="2"/>
  <c r="M1702" i="2" s="1"/>
  <c r="M1759" i="2"/>
  <c r="K1654" i="2"/>
  <c r="M1654" i="2" s="1"/>
  <c r="M1695" i="2"/>
  <c r="AA1739" i="2"/>
  <c r="M1750" i="2"/>
  <c r="M1678" i="2"/>
  <c r="K1713" i="2"/>
  <c r="M1713" i="2" s="1"/>
  <c r="K1670" i="2"/>
  <c r="M1670" i="2" s="1"/>
  <c r="M1762" i="2"/>
  <c r="K1629" i="2"/>
  <c r="M1629" i="2" s="1"/>
  <c r="AA1638" i="2"/>
  <c r="K1683" i="2"/>
  <c r="M1683" i="2" s="1"/>
  <c r="M1687" i="2"/>
  <c r="K1715" i="2"/>
  <c r="M1715" i="2" s="1"/>
  <c r="M1709" i="2"/>
  <c r="AA1752" i="2"/>
  <c r="AA1698" i="2"/>
  <c r="M1765" i="2"/>
  <c r="K1628" i="2"/>
  <c r="M1628" i="2" s="1"/>
  <c r="K1631" i="2"/>
  <c r="M1631" i="2" s="1"/>
  <c r="K1684" i="2"/>
  <c r="M1684" i="2" s="1"/>
  <c r="AA1672" i="2"/>
  <c r="K1716" i="2"/>
  <c r="M1716" i="2" s="1"/>
  <c r="M1704" i="2"/>
  <c r="M1710" i="2"/>
  <c r="K1669" i="2"/>
  <c r="M1669" i="2" s="1"/>
  <c r="M1652" i="2"/>
  <c r="M1672" i="2"/>
  <c r="M1746" i="2"/>
  <c r="K1756" i="2"/>
  <c r="M1756" i="2" s="1"/>
  <c r="M1748" i="2"/>
  <c r="K1694" i="2"/>
  <c r="M1694" i="2" s="1"/>
  <c r="K1717" i="2"/>
  <c r="M1717" i="2" s="1"/>
  <c r="AA1634" i="2"/>
  <c r="K1650" i="2"/>
  <c r="M1650" i="2" s="1"/>
  <c r="M1673" i="2"/>
  <c r="M1711" i="2"/>
  <c r="AA1738" i="2"/>
  <c r="M1749" i="2"/>
  <c r="AA1690" i="2"/>
  <c r="K1699" i="2"/>
  <c r="M1699" i="2" s="1"/>
  <c r="M1700" i="2"/>
  <c r="K1740" i="2"/>
  <c r="M1740" i="2" s="1"/>
  <c r="M1733" i="2"/>
  <c r="K1760" i="2"/>
  <c r="M1760" i="2" s="1"/>
  <c r="M1752" i="2"/>
  <c r="K1747" i="2"/>
  <c r="M1747" i="2" s="1"/>
  <c r="K1761" i="2"/>
  <c r="M1761" i="2" s="1"/>
  <c r="AA1748" i="2"/>
  <c r="AA1762" i="2"/>
  <c r="M1755" i="2"/>
  <c r="AA1744" i="2"/>
  <c r="AA1758" i="2"/>
  <c r="AA1745" i="2"/>
  <c r="AA1759" i="2"/>
  <c r="M1743" i="2"/>
  <c r="M1754" i="2"/>
  <c r="M1729" i="2"/>
  <c r="M1719" i="2"/>
  <c r="AA1719" i="2"/>
  <c r="AA1733" i="2"/>
  <c r="AA1735" i="2"/>
  <c r="M1724" i="2"/>
  <c r="K1723" i="2"/>
  <c r="M1723" i="2" s="1"/>
  <c r="M1737" i="2"/>
  <c r="AA1704" i="2"/>
  <c r="AA1695" i="2"/>
  <c r="AA1709" i="2"/>
  <c r="AA1696" i="2"/>
  <c r="AA1710" i="2"/>
  <c r="M1705" i="2"/>
  <c r="M1671" i="2"/>
  <c r="K1675" i="2"/>
  <c r="M1675" i="2" s="1"/>
  <c r="AA1673" i="2"/>
  <c r="AA1687" i="2"/>
  <c r="K1689" i="2"/>
  <c r="M1689" i="2" s="1"/>
  <c r="M1674" i="2"/>
  <c r="M1666" i="2"/>
  <c r="M1624" i="2"/>
  <c r="M1648" i="2"/>
  <c r="K1622" i="2"/>
  <c r="M1622" i="2" s="1"/>
  <c r="AA1633" i="2"/>
  <c r="M1662" i="2"/>
  <c r="K1657" i="2"/>
  <c r="M1657" i="2" s="1"/>
  <c r="K1636" i="2"/>
  <c r="M1636" i="2" s="1"/>
  <c r="AA1639" i="2"/>
  <c r="K1661" i="2"/>
  <c r="M1661" i="2" s="1"/>
  <c r="M1649" i="2"/>
  <c r="K1664" i="2"/>
  <c r="M1664" i="2" s="1"/>
  <c r="K1660" i="2"/>
  <c r="M1660" i="2" s="1"/>
  <c r="K1645" i="2"/>
  <c r="M1645" i="2" s="1"/>
  <c r="AA1632" i="2"/>
  <c r="AA1637" i="2"/>
  <c r="AA1642" i="2"/>
  <c r="AA1659" i="2"/>
  <c r="AA1623" i="2"/>
  <c r="M1633" i="2"/>
  <c r="M1638" i="2"/>
  <c r="M1623" i="2"/>
  <c r="AA1656" i="2"/>
  <c r="AA1624" i="2"/>
  <c r="M1639" i="2"/>
  <c r="K1640" i="2"/>
  <c r="M1640" i="2" s="1"/>
  <c r="M1663" i="2"/>
  <c r="M1643" i="2"/>
  <c r="M1625" i="2"/>
  <c r="K1647" i="2"/>
  <c r="M1647" i="2" s="1"/>
  <c r="K1665" i="2"/>
  <c r="M1665" i="2" s="1"/>
  <c r="AA1652" i="2"/>
  <c r="AA1666" i="2"/>
  <c r="M1659" i="2"/>
  <c r="AA1648" i="2"/>
  <c r="AA1662" i="2"/>
  <c r="K1651" i="2"/>
  <c r="M1651" i="2" s="1"/>
  <c r="M1646" i="2"/>
  <c r="AA1649" i="2"/>
  <c r="AA1663" i="2"/>
  <c r="M1656" i="2"/>
  <c r="M1667" i="2"/>
  <c r="K1627" i="2"/>
  <c r="M1627" i="2" s="1"/>
  <c r="M1634" i="2"/>
  <c r="K1630" i="2"/>
  <c r="M1630" i="2" s="1"/>
  <c r="K1644" i="2"/>
  <c r="M1644" i="2" s="1"/>
  <c r="K1641" i="2"/>
  <c r="M1641" i="2" s="1"/>
  <c r="M1626" i="2"/>
  <c r="AC1621" i="2" l="1"/>
  <c r="AB1621" i="2"/>
  <c r="AA1621" i="2" s="1"/>
  <c r="AC1620" i="2"/>
  <c r="AB1620" i="2"/>
  <c r="K1620" i="2" s="1"/>
  <c r="AC1619" i="2"/>
  <c r="L1619" i="2" s="1"/>
  <c r="AB1619" i="2"/>
  <c r="AA1619" i="2" s="1"/>
  <c r="AC1618" i="2"/>
  <c r="L1618" i="2" s="1"/>
  <c r="AB1618" i="2"/>
  <c r="K1618" i="2" s="1"/>
  <c r="M1618" i="2" s="1"/>
  <c r="AC1617" i="2"/>
  <c r="L1617" i="2" s="1"/>
  <c r="AB1617" i="2"/>
  <c r="AA1617" i="2" s="1"/>
  <c r="AC1616" i="2"/>
  <c r="L1616" i="2" s="1"/>
  <c r="AB1616" i="2"/>
  <c r="AA1616" i="2" s="1"/>
  <c r="AC1615" i="2"/>
  <c r="L1615" i="2" s="1"/>
  <c r="AB1615" i="2"/>
  <c r="K1615" i="2" s="1"/>
  <c r="M1615" i="2" s="1"/>
  <c r="AC1614" i="2"/>
  <c r="L1614" i="2" s="1"/>
  <c r="AB1614" i="2"/>
  <c r="K1614" i="2" s="1"/>
  <c r="AC1613" i="2"/>
  <c r="L1613" i="2" s="1"/>
  <c r="AB1613" i="2"/>
  <c r="K1613" i="2" s="1"/>
  <c r="M1613" i="2" s="1"/>
  <c r="AC1612" i="2"/>
  <c r="L1612" i="2" s="1"/>
  <c r="AB1612" i="2"/>
  <c r="AA1612" i="2" s="1"/>
  <c r="AC1611" i="2"/>
  <c r="L1611" i="2" s="1"/>
  <c r="AB1611" i="2"/>
  <c r="AA1611" i="2" s="1"/>
  <c r="AC1610" i="2"/>
  <c r="L1610" i="2" s="1"/>
  <c r="AB1610" i="2"/>
  <c r="AA1610" i="2" s="1"/>
  <c r="AC1609" i="2"/>
  <c r="L1609" i="2" s="1"/>
  <c r="AB1609" i="2"/>
  <c r="K1609" i="2" s="1"/>
  <c r="AC1608" i="2"/>
  <c r="L1608" i="2" s="1"/>
  <c r="AB1608" i="2"/>
  <c r="K1608" i="2" s="1"/>
  <c r="AC1607" i="2"/>
  <c r="L1607" i="2" s="1"/>
  <c r="AB1607" i="2"/>
  <c r="AA1607" i="2" s="1"/>
  <c r="AC1606" i="2"/>
  <c r="AB1606" i="2"/>
  <c r="AA1606" i="2" s="1"/>
  <c r="AC1605" i="2"/>
  <c r="L1605" i="2" s="1"/>
  <c r="AB1605" i="2"/>
  <c r="AA1605" i="2" s="1"/>
  <c r="AC1604" i="2"/>
  <c r="L1604" i="2" s="1"/>
  <c r="AB1604" i="2"/>
  <c r="K1604" i="2" s="1"/>
  <c r="AC1603" i="2"/>
  <c r="L1603" i="2" s="1"/>
  <c r="AB1603" i="2"/>
  <c r="AA1603" i="2" s="1"/>
  <c r="AC1602" i="2"/>
  <c r="L1602" i="2" s="1"/>
  <c r="AB1602" i="2"/>
  <c r="AA1602" i="2" s="1"/>
  <c r="AC1601" i="2"/>
  <c r="L1601" i="2" s="1"/>
  <c r="AB1601" i="2"/>
  <c r="K1601" i="2" s="1"/>
  <c r="AC1600" i="2"/>
  <c r="L1600" i="2" s="1"/>
  <c r="AB1600" i="2"/>
  <c r="K1600" i="2" s="1"/>
  <c r="AC1599" i="2"/>
  <c r="L1599" i="2" s="1"/>
  <c r="AB1599" i="2"/>
  <c r="K1599" i="2" s="1"/>
  <c r="AC1598" i="2"/>
  <c r="L1598" i="2" s="1"/>
  <c r="AB1598" i="2"/>
  <c r="AA1598" i="2" s="1"/>
  <c r="L1621" i="2"/>
  <c r="K1621" i="2"/>
  <c r="L1620" i="2"/>
  <c r="K1619" i="2"/>
  <c r="L1606" i="2"/>
  <c r="AC1597" i="2"/>
  <c r="L1597" i="2" s="1"/>
  <c r="AB1597" i="2"/>
  <c r="AA1597" i="2" s="1"/>
  <c r="AC1596" i="2"/>
  <c r="L1596" i="2" s="1"/>
  <c r="AB1596" i="2"/>
  <c r="K1596" i="2" s="1"/>
  <c r="AC1595" i="2"/>
  <c r="L1595" i="2" s="1"/>
  <c r="AB1595" i="2"/>
  <c r="AA1595" i="2" s="1"/>
  <c r="AC1594" i="2"/>
  <c r="L1594" i="2" s="1"/>
  <c r="AB1594" i="2"/>
  <c r="K1594" i="2" s="1"/>
  <c r="AC1593" i="2"/>
  <c r="L1593" i="2" s="1"/>
  <c r="AB1593" i="2"/>
  <c r="AA1593" i="2" s="1"/>
  <c r="AC1592" i="2"/>
  <c r="L1592" i="2" s="1"/>
  <c r="AB1592" i="2"/>
  <c r="AA1592" i="2" s="1"/>
  <c r="AC1591" i="2"/>
  <c r="L1591" i="2" s="1"/>
  <c r="AB1591" i="2"/>
  <c r="K1591" i="2" s="1"/>
  <c r="AC1590" i="2"/>
  <c r="L1590" i="2" s="1"/>
  <c r="AB1590" i="2"/>
  <c r="AA1590" i="2" s="1"/>
  <c r="AC1589" i="2"/>
  <c r="L1589" i="2" s="1"/>
  <c r="AB1589" i="2"/>
  <c r="K1589" i="2" s="1"/>
  <c r="AC1588" i="2"/>
  <c r="L1588" i="2" s="1"/>
  <c r="AB1588" i="2"/>
  <c r="AA1588" i="2" s="1"/>
  <c r="AC1587" i="2"/>
  <c r="L1587" i="2" s="1"/>
  <c r="AB1587" i="2"/>
  <c r="AA1587" i="2" s="1"/>
  <c r="AC1586" i="2"/>
  <c r="L1586" i="2" s="1"/>
  <c r="AB1586" i="2"/>
  <c r="K1586" i="2" s="1"/>
  <c r="AC1585" i="2"/>
  <c r="L1585" i="2" s="1"/>
  <c r="AB1585" i="2"/>
  <c r="K1585" i="2" s="1"/>
  <c r="AC1584" i="2"/>
  <c r="L1584" i="2" s="1"/>
  <c r="AB1584" i="2"/>
  <c r="K1584" i="2" s="1"/>
  <c r="AC1583" i="2"/>
  <c r="L1583" i="2" s="1"/>
  <c r="AB1583" i="2"/>
  <c r="AA1583" i="2" s="1"/>
  <c r="AC1582" i="2"/>
  <c r="L1582" i="2" s="1"/>
  <c r="AB1582" i="2"/>
  <c r="K1582" i="2" s="1"/>
  <c r="AC1581" i="2"/>
  <c r="L1581" i="2" s="1"/>
  <c r="AB1581" i="2"/>
  <c r="AA1581" i="2" s="1"/>
  <c r="AC1580" i="2"/>
  <c r="L1580" i="2" s="1"/>
  <c r="AB1580" i="2"/>
  <c r="AA1580" i="2" s="1"/>
  <c r="AC1579" i="2"/>
  <c r="L1579" i="2" s="1"/>
  <c r="AB1579" i="2"/>
  <c r="AA1579" i="2" s="1"/>
  <c r="AC1578" i="2"/>
  <c r="L1578" i="2" s="1"/>
  <c r="AB1578" i="2"/>
  <c r="K1578" i="2" s="1"/>
  <c r="AC1577" i="2"/>
  <c r="L1577" i="2" s="1"/>
  <c r="AB1577" i="2"/>
  <c r="K1577" i="2" s="1"/>
  <c r="AC1576" i="2"/>
  <c r="L1576" i="2" s="1"/>
  <c r="AB1576" i="2"/>
  <c r="K1576" i="2" s="1"/>
  <c r="AC1575" i="2"/>
  <c r="L1575" i="2" s="1"/>
  <c r="AB1575" i="2"/>
  <c r="K1575" i="2" s="1"/>
  <c r="AC1574" i="2"/>
  <c r="L1574" i="2" s="1"/>
  <c r="AB1574" i="2"/>
  <c r="AA1574" i="2" s="1"/>
  <c r="AC1573" i="2"/>
  <c r="L1573" i="2" s="1"/>
  <c r="AB1573" i="2"/>
  <c r="AA1573" i="2" s="1"/>
  <c r="AC1572" i="2"/>
  <c r="L1572" i="2" s="1"/>
  <c r="AB1572" i="2"/>
  <c r="K1572" i="2" s="1"/>
  <c r="AC1571" i="2"/>
  <c r="L1571" i="2" s="1"/>
  <c r="AB1571" i="2"/>
  <c r="AA1571" i="2" s="1"/>
  <c r="AC1570" i="2"/>
  <c r="L1570" i="2" s="1"/>
  <c r="AB1570" i="2"/>
  <c r="AA1570" i="2" s="1"/>
  <c r="AC1569" i="2"/>
  <c r="L1569" i="2" s="1"/>
  <c r="AB1569" i="2"/>
  <c r="AA1569" i="2" s="1"/>
  <c r="AC1568" i="2"/>
  <c r="L1568" i="2" s="1"/>
  <c r="AB1568" i="2"/>
  <c r="AA1568" i="2" s="1"/>
  <c r="AC1567" i="2"/>
  <c r="L1567" i="2" s="1"/>
  <c r="AB1567" i="2"/>
  <c r="AA1567" i="2" s="1"/>
  <c r="AC1566" i="2"/>
  <c r="L1566" i="2" s="1"/>
  <c r="AB1566" i="2"/>
  <c r="K1566" i="2" s="1"/>
  <c r="AC1565" i="2"/>
  <c r="L1565" i="2" s="1"/>
  <c r="AB1565" i="2"/>
  <c r="K1565" i="2" s="1"/>
  <c r="AC1564" i="2"/>
  <c r="L1564" i="2" s="1"/>
  <c r="AB1564" i="2"/>
  <c r="AA1564" i="2" s="1"/>
  <c r="AC1563" i="2"/>
  <c r="L1563" i="2" s="1"/>
  <c r="AB1563" i="2"/>
  <c r="AA1563" i="2" s="1"/>
  <c r="AC1562" i="2"/>
  <c r="L1562" i="2" s="1"/>
  <c r="AB1562" i="2"/>
  <c r="K1562" i="2" s="1"/>
  <c r="AC1561" i="2"/>
  <c r="L1561" i="2" s="1"/>
  <c r="AB1561" i="2"/>
  <c r="K1561" i="2" s="1"/>
  <c r="AC1560" i="2"/>
  <c r="L1560" i="2" s="1"/>
  <c r="AB1560" i="2"/>
  <c r="K1560" i="2" s="1"/>
  <c r="AC1559" i="2"/>
  <c r="L1559" i="2" s="1"/>
  <c r="AB1559" i="2"/>
  <c r="AA1559" i="2" s="1"/>
  <c r="AC1558" i="2"/>
  <c r="L1558" i="2" s="1"/>
  <c r="AB1558" i="2"/>
  <c r="K1558" i="2" s="1"/>
  <c r="AC1557" i="2"/>
  <c r="L1557" i="2" s="1"/>
  <c r="AB1557" i="2"/>
  <c r="AA1557" i="2" s="1"/>
  <c r="AC1556" i="2"/>
  <c r="L1556" i="2" s="1"/>
  <c r="AB1556" i="2"/>
  <c r="AA1556" i="2" s="1"/>
  <c r="AC1555" i="2"/>
  <c r="L1555" i="2" s="1"/>
  <c r="AB1555" i="2"/>
  <c r="AA1555" i="2" s="1"/>
  <c r="AC1554" i="2"/>
  <c r="L1554" i="2" s="1"/>
  <c r="AB1554" i="2"/>
  <c r="AA1554" i="2" s="1"/>
  <c r="AC1553" i="2"/>
  <c r="L1553" i="2" s="1"/>
  <c r="AB1553" i="2"/>
  <c r="AA1553" i="2" s="1"/>
  <c r="AC1552" i="2"/>
  <c r="L1552" i="2" s="1"/>
  <c r="AB1552" i="2"/>
  <c r="K1552" i="2" s="1"/>
  <c r="AC1551" i="2"/>
  <c r="L1551" i="2" s="1"/>
  <c r="AB1551" i="2"/>
  <c r="AA1551" i="2" s="1"/>
  <c r="AC1550" i="2"/>
  <c r="L1550" i="2" s="1"/>
  <c r="AB1550" i="2"/>
  <c r="AA1550" i="2" s="1"/>
  <c r="AC1549" i="2"/>
  <c r="L1549" i="2" s="1"/>
  <c r="AB1549" i="2"/>
  <c r="AA1549" i="2" s="1"/>
  <c r="AC1548" i="2"/>
  <c r="L1548" i="2" s="1"/>
  <c r="AB1548" i="2"/>
  <c r="AA1548" i="2" s="1"/>
  <c r="AC1547" i="2"/>
  <c r="L1547" i="2" s="1"/>
  <c r="AB1547" i="2"/>
  <c r="K1547" i="2" s="1"/>
  <c r="AC1546" i="2"/>
  <c r="L1546" i="2" s="1"/>
  <c r="AB1546" i="2"/>
  <c r="K1546" i="2" s="1"/>
  <c r="AC1545" i="2"/>
  <c r="L1545" i="2" s="1"/>
  <c r="AB1545" i="2"/>
  <c r="AA1545" i="2" s="1"/>
  <c r="AC1544" i="2"/>
  <c r="L1544" i="2" s="1"/>
  <c r="AB1544" i="2"/>
  <c r="AA1544" i="2" s="1"/>
  <c r="AC1543" i="2"/>
  <c r="L1543" i="2" s="1"/>
  <c r="AB1543" i="2"/>
  <c r="AA1543" i="2" s="1"/>
  <c r="AC1542" i="2"/>
  <c r="L1542" i="2" s="1"/>
  <c r="AB1542" i="2"/>
  <c r="K1542" i="2" s="1"/>
  <c r="AC1541" i="2"/>
  <c r="L1541" i="2" s="1"/>
  <c r="AB1541" i="2"/>
  <c r="K1541" i="2" s="1"/>
  <c r="AC1540" i="2"/>
  <c r="L1540" i="2" s="1"/>
  <c r="AB1540" i="2"/>
  <c r="AA1540" i="2" s="1"/>
  <c r="AC1539" i="2"/>
  <c r="L1539" i="2" s="1"/>
  <c r="AB1539" i="2"/>
  <c r="AA1539" i="2" s="1"/>
  <c r="AC1538" i="2"/>
  <c r="L1538" i="2" s="1"/>
  <c r="AB1538" i="2"/>
  <c r="AA1538" i="2" s="1"/>
  <c r="AC1537" i="2"/>
  <c r="L1537" i="2" s="1"/>
  <c r="AB1537" i="2"/>
  <c r="K1537" i="2" s="1"/>
  <c r="AC1536" i="2"/>
  <c r="L1536" i="2" s="1"/>
  <c r="AB1536" i="2"/>
  <c r="K1536" i="2" s="1"/>
  <c r="AC1535" i="2"/>
  <c r="L1535" i="2" s="1"/>
  <c r="AB1535" i="2"/>
  <c r="AA1535" i="2" s="1"/>
  <c r="AC1534" i="2"/>
  <c r="L1534" i="2" s="1"/>
  <c r="AB1534" i="2"/>
  <c r="K1534" i="2" s="1"/>
  <c r="AC1533" i="2"/>
  <c r="L1533" i="2" s="1"/>
  <c r="AB1533" i="2"/>
  <c r="K1533" i="2" s="1"/>
  <c r="AC1532" i="2"/>
  <c r="L1532" i="2" s="1"/>
  <c r="AB1532" i="2"/>
  <c r="AA1532" i="2" s="1"/>
  <c r="AC1531" i="2"/>
  <c r="L1531" i="2" s="1"/>
  <c r="AB1531" i="2"/>
  <c r="AA1531" i="2" s="1"/>
  <c r="AC1530" i="2"/>
  <c r="L1530" i="2" s="1"/>
  <c r="AB1530" i="2"/>
  <c r="AA1530" i="2" s="1"/>
  <c r="AC1529" i="2"/>
  <c r="L1529" i="2" s="1"/>
  <c r="AB1529" i="2"/>
  <c r="AA1529" i="2" s="1"/>
  <c r="AC1528" i="2"/>
  <c r="L1528" i="2" s="1"/>
  <c r="AB1528" i="2"/>
  <c r="AA1528" i="2" s="1"/>
  <c r="AC1527" i="2"/>
  <c r="L1527" i="2" s="1"/>
  <c r="AB1527" i="2"/>
  <c r="K1527" i="2" s="1"/>
  <c r="AC1526" i="2"/>
  <c r="L1526" i="2" s="1"/>
  <c r="AB1526" i="2"/>
  <c r="AA1526" i="2" s="1"/>
  <c r="AC1525" i="2"/>
  <c r="L1525" i="2" s="1"/>
  <c r="AB1525" i="2"/>
  <c r="AA1525" i="2" s="1"/>
  <c r="AC1524" i="2"/>
  <c r="L1524" i="2" s="1"/>
  <c r="AB1524" i="2"/>
  <c r="AA1524" i="2" s="1"/>
  <c r="AC1523" i="2"/>
  <c r="L1523" i="2" s="1"/>
  <c r="AB1523" i="2"/>
  <c r="AA1523" i="2" s="1"/>
  <c r="AC1522" i="2"/>
  <c r="L1522" i="2" s="1"/>
  <c r="AB1522" i="2"/>
  <c r="AA1522" i="2" s="1"/>
  <c r="AC1521" i="2"/>
  <c r="L1521" i="2" s="1"/>
  <c r="AB1521" i="2"/>
  <c r="AA1521" i="2" s="1"/>
  <c r="AC1520" i="2"/>
  <c r="L1520" i="2" s="1"/>
  <c r="AB1520" i="2"/>
  <c r="AA1520" i="2" s="1"/>
  <c r="AC1519" i="2"/>
  <c r="L1519" i="2" s="1"/>
  <c r="AB1519" i="2"/>
  <c r="K1519" i="2" s="1"/>
  <c r="AC1518" i="2"/>
  <c r="L1518" i="2" s="1"/>
  <c r="AB1518" i="2"/>
  <c r="AA1518" i="2" s="1"/>
  <c r="AC1517" i="2"/>
  <c r="L1517" i="2" s="1"/>
  <c r="AB1517" i="2"/>
  <c r="K1517" i="2" s="1"/>
  <c r="AC1516" i="2"/>
  <c r="L1516" i="2" s="1"/>
  <c r="AB1516" i="2"/>
  <c r="AA1516" i="2" s="1"/>
  <c r="AC1515" i="2"/>
  <c r="L1515" i="2" s="1"/>
  <c r="AB1515" i="2"/>
  <c r="AA1515" i="2" s="1"/>
  <c r="AC1514" i="2"/>
  <c r="L1514" i="2" s="1"/>
  <c r="AB1514" i="2"/>
  <c r="AA1514" i="2" s="1"/>
  <c r="AC1513" i="2"/>
  <c r="L1513" i="2" s="1"/>
  <c r="AB1513" i="2"/>
  <c r="AA1513" i="2" s="1"/>
  <c r="AC1512" i="2"/>
  <c r="L1512" i="2" s="1"/>
  <c r="AB1512" i="2"/>
  <c r="AA1512" i="2" s="1"/>
  <c r="AC1511" i="2"/>
  <c r="L1511" i="2" s="1"/>
  <c r="AB1511" i="2"/>
  <c r="K1511" i="2" s="1"/>
  <c r="AC1510" i="2"/>
  <c r="L1510" i="2" s="1"/>
  <c r="AB1510" i="2"/>
  <c r="AA1510" i="2" s="1"/>
  <c r="AC1509" i="2"/>
  <c r="L1509" i="2" s="1"/>
  <c r="AB1509" i="2"/>
  <c r="AA1509" i="2" s="1"/>
  <c r="AC1508" i="2"/>
  <c r="L1508" i="2" s="1"/>
  <c r="AB1508" i="2"/>
  <c r="AA1508" i="2" s="1"/>
  <c r="AC1507" i="2"/>
  <c r="L1507" i="2" s="1"/>
  <c r="AB1507" i="2"/>
  <c r="AA1507" i="2" s="1"/>
  <c r="AC1506" i="2"/>
  <c r="L1506" i="2" s="1"/>
  <c r="AB1506" i="2"/>
  <c r="K1506" i="2" s="1"/>
  <c r="AC1505" i="2"/>
  <c r="L1505" i="2" s="1"/>
  <c r="AB1505" i="2"/>
  <c r="AA1505" i="2" s="1"/>
  <c r="AC1504" i="2"/>
  <c r="L1504" i="2" s="1"/>
  <c r="AB1504" i="2"/>
  <c r="AA1504" i="2" s="1"/>
  <c r="AC1503" i="2"/>
  <c r="L1503" i="2" s="1"/>
  <c r="AB1503" i="2"/>
  <c r="K1503" i="2" s="1"/>
  <c r="Z1521" i="2"/>
  <c r="Q1503" i="2"/>
  <c r="AC1502" i="2"/>
  <c r="L1502" i="2" s="1"/>
  <c r="AB1502" i="2"/>
  <c r="K1502" i="2" s="1"/>
  <c r="AC1501" i="2"/>
  <c r="L1501" i="2" s="1"/>
  <c r="AB1501" i="2"/>
  <c r="AA1501" i="2" s="1"/>
  <c r="AC1500" i="2"/>
  <c r="L1500" i="2" s="1"/>
  <c r="AB1500" i="2"/>
  <c r="AA1500" i="2" s="1"/>
  <c r="AC1499" i="2"/>
  <c r="L1499" i="2" s="1"/>
  <c r="AB1499" i="2"/>
  <c r="AA1499" i="2" s="1"/>
  <c r="AC1498" i="2"/>
  <c r="L1498" i="2" s="1"/>
  <c r="AB1498" i="2"/>
  <c r="AA1498" i="2" s="1"/>
  <c r="AC1497" i="2"/>
  <c r="L1497" i="2" s="1"/>
  <c r="AB1497" i="2"/>
  <c r="AA1497" i="2" s="1"/>
  <c r="AC1496" i="2"/>
  <c r="L1496" i="2" s="1"/>
  <c r="AB1496" i="2"/>
  <c r="AA1496" i="2" s="1"/>
  <c r="AC1495" i="2"/>
  <c r="L1495" i="2" s="1"/>
  <c r="AB1495" i="2"/>
  <c r="AA1495" i="2" s="1"/>
  <c r="AC1494" i="2"/>
  <c r="L1494" i="2" s="1"/>
  <c r="AB1494" i="2"/>
  <c r="K1494" i="2" s="1"/>
  <c r="AC1493" i="2"/>
  <c r="L1493" i="2" s="1"/>
  <c r="AB1493" i="2"/>
  <c r="K1493" i="2" s="1"/>
  <c r="AC1492" i="2"/>
  <c r="L1492" i="2" s="1"/>
  <c r="AB1492" i="2"/>
  <c r="AA1492" i="2" s="1"/>
  <c r="AC1491" i="2"/>
  <c r="L1491" i="2" s="1"/>
  <c r="AB1491" i="2"/>
  <c r="K1491" i="2" s="1"/>
  <c r="AC1490" i="2"/>
  <c r="L1490" i="2" s="1"/>
  <c r="AB1490" i="2"/>
  <c r="K1490" i="2" s="1"/>
  <c r="AC1489" i="2"/>
  <c r="L1489" i="2" s="1"/>
  <c r="AB1489" i="2"/>
  <c r="AA1489" i="2" s="1"/>
  <c r="AC1488" i="2"/>
  <c r="L1488" i="2" s="1"/>
  <c r="AB1488" i="2"/>
  <c r="AA1488" i="2" s="1"/>
  <c r="AC1487" i="2"/>
  <c r="L1487" i="2" s="1"/>
  <c r="AB1487" i="2"/>
  <c r="AA1487" i="2" s="1"/>
  <c r="AC1486" i="2"/>
  <c r="L1486" i="2" s="1"/>
  <c r="AB1486" i="2"/>
  <c r="AA1486" i="2" s="1"/>
  <c r="AC1485" i="2"/>
  <c r="L1485" i="2" s="1"/>
  <c r="AB1485" i="2"/>
  <c r="AA1485" i="2" s="1"/>
  <c r="AC1484" i="2"/>
  <c r="L1484" i="2" s="1"/>
  <c r="AB1484" i="2"/>
  <c r="K1484" i="2" s="1"/>
  <c r="AC1483" i="2"/>
  <c r="L1483" i="2" s="1"/>
  <c r="AB1483" i="2"/>
  <c r="AA1483" i="2" s="1"/>
  <c r="AC1482" i="2"/>
  <c r="L1482" i="2" s="1"/>
  <c r="AB1482" i="2"/>
  <c r="AA1482" i="2" s="1"/>
  <c r="AC1481" i="2"/>
  <c r="L1481" i="2" s="1"/>
  <c r="AB1481" i="2"/>
  <c r="AA1481" i="2" s="1"/>
  <c r="AC1480" i="2"/>
  <c r="L1480" i="2" s="1"/>
  <c r="AB1480" i="2"/>
  <c r="K1480" i="2" s="1"/>
  <c r="AC1479" i="2"/>
  <c r="L1479" i="2" s="1"/>
  <c r="AB1479" i="2"/>
  <c r="AA1479" i="2" s="1"/>
  <c r="AC1478" i="2"/>
  <c r="L1478" i="2" s="1"/>
  <c r="AB1478" i="2"/>
  <c r="AA1478" i="2" s="1"/>
  <c r="AC1477" i="2"/>
  <c r="L1477" i="2" s="1"/>
  <c r="AB1477" i="2"/>
  <c r="AA1477" i="2" s="1"/>
  <c r="AC1476" i="2"/>
  <c r="L1476" i="2" s="1"/>
  <c r="AB1476" i="2"/>
  <c r="AA1476" i="2" s="1"/>
  <c r="AC1475" i="2"/>
  <c r="L1475" i="2" s="1"/>
  <c r="AB1475" i="2"/>
  <c r="AA1475" i="2" s="1"/>
  <c r="AC1474" i="2"/>
  <c r="L1474" i="2" s="1"/>
  <c r="AB1474" i="2"/>
  <c r="AA1474" i="2" s="1"/>
  <c r="AC1473" i="2"/>
  <c r="L1473" i="2" s="1"/>
  <c r="AB1473" i="2"/>
  <c r="AA1473" i="2" s="1"/>
  <c r="AC1472" i="2"/>
  <c r="L1472" i="2" s="1"/>
  <c r="AB1472" i="2"/>
  <c r="K1472" i="2" s="1"/>
  <c r="AC1471" i="2"/>
  <c r="L1471" i="2" s="1"/>
  <c r="AB1471" i="2"/>
  <c r="K1471" i="2" s="1"/>
  <c r="AC1470" i="2"/>
  <c r="L1470" i="2" s="1"/>
  <c r="AB1470" i="2"/>
  <c r="AA1470" i="2" s="1"/>
  <c r="AC1469" i="2"/>
  <c r="L1469" i="2" s="1"/>
  <c r="AB1469" i="2"/>
  <c r="K1469" i="2" s="1"/>
  <c r="AC1468" i="2"/>
  <c r="L1468" i="2" s="1"/>
  <c r="AB1468" i="2"/>
  <c r="K1468" i="2" s="1"/>
  <c r="AC1467" i="2"/>
  <c r="L1467" i="2" s="1"/>
  <c r="AB1467" i="2"/>
  <c r="AA1467" i="2" s="1"/>
  <c r="AC1466" i="2"/>
  <c r="L1466" i="2" s="1"/>
  <c r="AB1466" i="2"/>
  <c r="AA1466" i="2" s="1"/>
  <c r="AC1465" i="2"/>
  <c r="L1465" i="2" s="1"/>
  <c r="AB1465" i="2"/>
  <c r="AA1465" i="2" s="1"/>
  <c r="AC1464" i="2"/>
  <c r="L1464" i="2" s="1"/>
  <c r="AB1464" i="2"/>
  <c r="AA1464" i="2" s="1"/>
  <c r="AC1463" i="2"/>
  <c r="L1463" i="2" s="1"/>
  <c r="AB1463" i="2"/>
  <c r="AA1463" i="2" s="1"/>
  <c r="AC1462" i="2"/>
  <c r="L1462" i="2" s="1"/>
  <c r="AB1462" i="2"/>
  <c r="AA1462" i="2" s="1"/>
  <c r="AC1461" i="2"/>
  <c r="L1461" i="2" s="1"/>
  <c r="AB1461" i="2"/>
  <c r="AA1461" i="2" s="1"/>
  <c r="AC1460" i="2"/>
  <c r="L1460" i="2" s="1"/>
  <c r="AB1460" i="2"/>
  <c r="AA1460" i="2" s="1"/>
  <c r="AC1459" i="2"/>
  <c r="L1459" i="2" s="1"/>
  <c r="AB1459" i="2"/>
  <c r="AA1459" i="2" s="1"/>
  <c r="AC1458" i="2"/>
  <c r="L1458" i="2" s="1"/>
  <c r="AB1458" i="2"/>
  <c r="K1458" i="2" s="1"/>
  <c r="AC1457" i="2"/>
  <c r="L1457" i="2" s="1"/>
  <c r="AB1457" i="2"/>
  <c r="AA1457" i="2" s="1"/>
  <c r="AC1456" i="2"/>
  <c r="L1456" i="2" s="1"/>
  <c r="AB1456" i="2"/>
  <c r="AA1456" i="2" s="1"/>
  <c r="AC1455" i="2"/>
  <c r="L1455" i="2" s="1"/>
  <c r="AB1455" i="2"/>
  <c r="AA1455" i="2" s="1"/>
  <c r="AC1454" i="2"/>
  <c r="L1454" i="2" s="1"/>
  <c r="AB1454" i="2"/>
  <c r="AA1454" i="2" s="1"/>
  <c r="AC1453" i="2"/>
  <c r="L1453" i="2" s="1"/>
  <c r="AB1453" i="2"/>
  <c r="AA1453" i="2" s="1"/>
  <c r="AC1452" i="2"/>
  <c r="L1452" i="2" s="1"/>
  <c r="AB1452" i="2"/>
  <c r="AA1452" i="2" s="1"/>
  <c r="AC1451" i="2"/>
  <c r="L1451" i="2" s="1"/>
  <c r="AB1451" i="2"/>
  <c r="AA1451" i="2" s="1"/>
  <c r="AC1450" i="2"/>
  <c r="L1450" i="2" s="1"/>
  <c r="AB1450" i="2"/>
  <c r="K1450" i="2" s="1"/>
  <c r="AC1449" i="2"/>
  <c r="L1449" i="2" s="1"/>
  <c r="AB1449" i="2"/>
  <c r="AA1449" i="2" s="1"/>
  <c r="AC1448" i="2"/>
  <c r="L1448" i="2" s="1"/>
  <c r="AB1448" i="2"/>
  <c r="AA1448" i="2" s="1"/>
  <c r="AC1447" i="2"/>
  <c r="L1447" i="2" s="1"/>
  <c r="AB1447" i="2"/>
  <c r="AA1447" i="2" s="1"/>
  <c r="AC1446" i="2"/>
  <c r="L1446" i="2" s="1"/>
  <c r="AB1446" i="2"/>
  <c r="K1446" i="2" s="1"/>
  <c r="AC1445" i="2"/>
  <c r="L1445" i="2" s="1"/>
  <c r="AB1445" i="2"/>
  <c r="K1445" i="2" s="1"/>
  <c r="AC1444" i="2"/>
  <c r="L1444" i="2" s="1"/>
  <c r="AB1444" i="2"/>
  <c r="K1444" i="2" s="1"/>
  <c r="AC1443" i="2"/>
  <c r="L1443" i="2" s="1"/>
  <c r="AB1443" i="2"/>
  <c r="AA1443" i="2" s="1"/>
  <c r="AC1442" i="2"/>
  <c r="L1442" i="2" s="1"/>
  <c r="AB1442" i="2"/>
  <c r="AA1442" i="2" s="1"/>
  <c r="AC1441" i="2"/>
  <c r="L1441" i="2" s="1"/>
  <c r="AB1441" i="2"/>
  <c r="AA1441" i="2" s="1"/>
  <c r="AC1440" i="2"/>
  <c r="L1440" i="2" s="1"/>
  <c r="AB1440" i="2"/>
  <c r="AA1440" i="2" s="1"/>
  <c r="AC1439" i="2"/>
  <c r="L1439" i="2" s="1"/>
  <c r="AB1439" i="2"/>
  <c r="AA1439" i="2" s="1"/>
  <c r="AC1438" i="2"/>
  <c r="L1438" i="2" s="1"/>
  <c r="AB1438" i="2"/>
  <c r="AA1438" i="2" s="1"/>
  <c r="AC1437" i="2"/>
  <c r="L1437" i="2" s="1"/>
  <c r="AB1437" i="2"/>
  <c r="AA1437" i="2" s="1"/>
  <c r="AC1436" i="2"/>
  <c r="L1436" i="2" s="1"/>
  <c r="AB1436" i="2"/>
  <c r="K1436" i="2" s="1"/>
  <c r="AC1435" i="2"/>
  <c r="L1435" i="2" s="1"/>
  <c r="AB1435" i="2"/>
  <c r="AA1435" i="2" s="1"/>
  <c r="AC1434" i="2"/>
  <c r="L1434" i="2" s="1"/>
  <c r="AB1434" i="2"/>
  <c r="AA1434" i="2" s="1"/>
  <c r="AC1433" i="2"/>
  <c r="L1433" i="2" s="1"/>
  <c r="AB1433" i="2"/>
  <c r="AA1433" i="2" s="1"/>
  <c r="AC1432" i="2"/>
  <c r="L1432" i="2" s="1"/>
  <c r="AB1432" i="2"/>
  <c r="AA1432" i="2" s="1"/>
  <c r="AC1431" i="2"/>
  <c r="L1431" i="2" s="1"/>
  <c r="AB1431" i="2"/>
  <c r="AA1431" i="2" s="1"/>
  <c r="AC1430" i="2"/>
  <c r="L1430" i="2" s="1"/>
  <c r="AB1430" i="2"/>
  <c r="AA1430" i="2" s="1"/>
  <c r="AC1429" i="2"/>
  <c r="L1429" i="2" s="1"/>
  <c r="AB1429" i="2"/>
  <c r="AA1429" i="2" s="1"/>
  <c r="AC1428" i="2"/>
  <c r="L1428" i="2" s="1"/>
  <c r="AB1428" i="2"/>
  <c r="AA1428" i="2" s="1"/>
  <c r="AC1427" i="2"/>
  <c r="L1427" i="2" s="1"/>
  <c r="AB1427" i="2"/>
  <c r="K1427" i="2" s="1"/>
  <c r="AC1426" i="2"/>
  <c r="L1426" i="2" s="1"/>
  <c r="AB1426" i="2"/>
  <c r="AA1426" i="2" s="1"/>
  <c r="AC1425" i="2"/>
  <c r="L1425" i="2" s="1"/>
  <c r="AB1425" i="2"/>
  <c r="AA1425" i="2" s="1"/>
  <c r="AC1424" i="2"/>
  <c r="L1424" i="2" s="1"/>
  <c r="AB1424" i="2"/>
  <c r="K1424" i="2" s="1"/>
  <c r="AC1423" i="2"/>
  <c r="L1423" i="2" s="1"/>
  <c r="AB1423" i="2"/>
  <c r="K1423" i="2" s="1"/>
  <c r="AC1422" i="2"/>
  <c r="L1422" i="2" s="1"/>
  <c r="AB1422" i="2"/>
  <c r="K1422" i="2" s="1"/>
  <c r="AC1421" i="2"/>
  <c r="L1421" i="2" s="1"/>
  <c r="AB1421" i="2"/>
  <c r="AA1421" i="2" s="1"/>
  <c r="AC1420" i="2"/>
  <c r="L1420" i="2" s="1"/>
  <c r="AB1420" i="2"/>
  <c r="AA1420" i="2" s="1"/>
  <c r="AC1419" i="2"/>
  <c r="L1419" i="2" s="1"/>
  <c r="AB1419" i="2"/>
  <c r="AA1419" i="2" s="1"/>
  <c r="AC1418" i="2"/>
  <c r="L1418" i="2" s="1"/>
  <c r="AB1418" i="2"/>
  <c r="AA1418" i="2" s="1"/>
  <c r="AC1417" i="2"/>
  <c r="L1417" i="2" s="1"/>
  <c r="AB1417" i="2"/>
  <c r="AA1417" i="2" s="1"/>
  <c r="AC1416" i="2"/>
  <c r="L1416" i="2" s="1"/>
  <c r="AB1416" i="2"/>
  <c r="AA1416" i="2" s="1"/>
  <c r="AC1415" i="2"/>
  <c r="L1415" i="2" s="1"/>
  <c r="AB1415" i="2"/>
  <c r="AA1415" i="2" s="1"/>
  <c r="AC1414" i="2"/>
  <c r="L1414" i="2" s="1"/>
  <c r="AB1414" i="2"/>
  <c r="K1414" i="2" s="1"/>
  <c r="AC1413" i="2"/>
  <c r="L1413" i="2" s="1"/>
  <c r="AB1413" i="2"/>
  <c r="AA1413" i="2" s="1"/>
  <c r="AC1412" i="2"/>
  <c r="L1412" i="2" s="1"/>
  <c r="AB1412" i="2"/>
  <c r="AA1412" i="2" s="1"/>
  <c r="AC1411" i="2"/>
  <c r="L1411" i="2" s="1"/>
  <c r="AB1411" i="2"/>
  <c r="AA1411" i="2" s="1"/>
  <c r="AC1410" i="2"/>
  <c r="L1410" i="2" s="1"/>
  <c r="AB1410" i="2"/>
  <c r="K1410" i="2" s="1"/>
  <c r="AC1409" i="2"/>
  <c r="L1409" i="2" s="1"/>
  <c r="AB1409" i="2"/>
  <c r="AA1409" i="2" s="1"/>
  <c r="AC1408" i="2"/>
  <c r="L1408" i="2" s="1"/>
  <c r="AB1408" i="2"/>
  <c r="AA1408" i="2" s="1"/>
  <c r="AC1407" i="2"/>
  <c r="L1407" i="2" s="1"/>
  <c r="AB1407" i="2"/>
  <c r="AA1407" i="2" s="1"/>
  <c r="AC1406" i="2"/>
  <c r="L1406" i="2" s="1"/>
  <c r="AB1406" i="2"/>
  <c r="AA1406" i="2" s="1"/>
  <c r="AC1405" i="2"/>
  <c r="L1405" i="2" s="1"/>
  <c r="AB1405" i="2"/>
  <c r="AA1405" i="2" s="1"/>
  <c r="AC1404" i="2"/>
  <c r="L1404" i="2" s="1"/>
  <c r="AB1404" i="2"/>
  <c r="AA1404" i="2" s="1"/>
  <c r="AC1403" i="2"/>
  <c r="L1403" i="2" s="1"/>
  <c r="AB1403" i="2"/>
  <c r="AA1403" i="2" s="1"/>
  <c r="AC1402" i="2"/>
  <c r="L1402" i="2" s="1"/>
  <c r="AB1402" i="2"/>
  <c r="AA1402" i="2" s="1"/>
  <c r="AC1401" i="2"/>
  <c r="L1401" i="2" s="1"/>
  <c r="AB1401" i="2"/>
  <c r="AA1401" i="2" s="1"/>
  <c r="AC1400" i="2"/>
  <c r="L1400" i="2" s="1"/>
  <c r="AB1400" i="2"/>
  <c r="AA1400" i="2" s="1"/>
  <c r="AC1399" i="2"/>
  <c r="L1399" i="2" s="1"/>
  <c r="AB1399" i="2"/>
  <c r="AA1399" i="2" s="1"/>
  <c r="AC1398" i="2"/>
  <c r="L1398" i="2" s="1"/>
  <c r="AB1398" i="2"/>
  <c r="AA1398" i="2" s="1"/>
  <c r="AC1397" i="2"/>
  <c r="L1397" i="2" s="1"/>
  <c r="AB1397" i="2"/>
  <c r="AA1397" i="2" s="1"/>
  <c r="AC1396" i="2"/>
  <c r="L1396" i="2" s="1"/>
  <c r="AB1396" i="2"/>
  <c r="K1396" i="2" s="1"/>
  <c r="AC1395" i="2"/>
  <c r="L1395" i="2" s="1"/>
  <c r="AB1395" i="2"/>
  <c r="AA1395" i="2" s="1"/>
  <c r="AC1394" i="2"/>
  <c r="L1394" i="2" s="1"/>
  <c r="AB1394" i="2"/>
  <c r="AA1394" i="2" s="1"/>
  <c r="AC1393" i="2"/>
  <c r="L1393" i="2" s="1"/>
  <c r="AB1393" i="2"/>
  <c r="AA1393" i="2" s="1"/>
  <c r="AC1392" i="2"/>
  <c r="L1392" i="2" s="1"/>
  <c r="AB1392" i="2"/>
  <c r="AA1392" i="2" s="1"/>
  <c r="AC1391" i="2"/>
  <c r="L1391" i="2" s="1"/>
  <c r="AB1391" i="2"/>
  <c r="AA1391" i="2" s="1"/>
  <c r="AC1390" i="2"/>
  <c r="L1390" i="2" s="1"/>
  <c r="AB1390" i="2"/>
  <c r="AA1390" i="2" s="1"/>
  <c r="AC1389" i="2"/>
  <c r="L1389" i="2" s="1"/>
  <c r="AB1389" i="2"/>
  <c r="AA1389" i="2" s="1"/>
  <c r="AC1388" i="2"/>
  <c r="L1388" i="2" s="1"/>
  <c r="AB1388" i="2"/>
  <c r="K1388" i="2" s="1"/>
  <c r="AC1387" i="2"/>
  <c r="L1387" i="2" s="1"/>
  <c r="AB1387" i="2"/>
  <c r="AA1387" i="2" s="1"/>
  <c r="AC1386" i="2"/>
  <c r="L1386" i="2" s="1"/>
  <c r="AB1386" i="2"/>
  <c r="AA1386" i="2" s="1"/>
  <c r="AC1385" i="2"/>
  <c r="L1385" i="2" s="1"/>
  <c r="AB1385" i="2"/>
  <c r="K1385" i="2" s="1"/>
  <c r="AC1384" i="2"/>
  <c r="L1384" i="2" s="1"/>
  <c r="AB1384" i="2"/>
  <c r="K1384" i="2" s="1"/>
  <c r="AC1383" i="2"/>
  <c r="L1383" i="2" s="1"/>
  <c r="AB1383" i="2"/>
  <c r="AA1383" i="2" s="1"/>
  <c r="AC1382" i="2"/>
  <c r="L1382" i="2" s="1"/>
  <c r="AB1382" i="2"/>
  <c r="AA1382" i="2" s="1"/>
  <c r="AC1381" i="2"/>
  <c r="L1381" i="2" s="1"/>
  <c r="AB1381" i="2"/>
  <c r="AA1381" i="2" s="1"/>
  <c r="AC1380" i="2"/>
  <c r="L1380" i="2" s="1"/>
  <c r="AB1380" i="2"/>
  <c r="AA1380" i="2" s="1"/>
  <c r="AC1379" i="2"/>
  <c r="L1379" i="2" s="1"/>
  <c r="AB1379" i="2"/>
  <c r="AA1379" i="2" s="1"/>
  <c r="AC1378" i="2"/>
  <c r="L1378" i="2" s="1"/>
  <c r="AB1378" i="2"/>
  <c r="K1378" i="2" s="1"/>
  <c r="AC1377" i="2"/>
  <c r="L1377" i="2" s="1"/>
  <c r="AB1377" i="2"/>
  <c r="AA1377" i="2" s="1"/>
  <c r="AC1376" i="2"/>
  <c r="L1376" i="2" s="1"/>
  <c r="AB1376" i="2"/>
  <c r="AA1376" i="2" s="1"/>
  <c r="AC1375" i="2"/>
  <c r="L1375" i="2" s="1"/>
  <c r="AB1375" i="2"/>
  <c r="AA1375" i="2" s="1"/>
  <c r="AC1374" i="2"/>
  <c r="L1374" i="2" s="1"/>
  <c r="AB1374" i="2"/>
  <c r="K1374" i="2" s="1"/>
  <c r="AC1373" i="2"/>
  <c r="L1373" i="2" s="1"/>
  <c r="AB1373" i="2"/>
  <c r="AA1373" i="2" s="1"/>
  <c r="AC1372" i="2"/>
  <c r="L1372" i="2" s="1"/>
  <c r="AB1372" i="2"/>
  <c r="AA1372" i="2" s="1"/>
  <c r="AC1371" i="2"/>
  <c r="L1371" i="2" s="1"/>
  <c r="AB1371" i="2"/>
  <c r="K1371" i="2" s="1"/>
  <c r="AC1370" i="2"/>
  <c r="L1370" i="2" s="1"/>
  <c r="AB1370" i="2"/>
  <c r="K1370" i="2" s="1"/>
  <c r="AC1369" i="2"/>
  <c r="L1369" i="2" s="1"/>
  <c r="AB1369" i="2"/>
  <c r="AA1369" i="2" s="1"/>
  <c r="AC1368" i="2"/>
  <c r="L1368" i="2" s="1"/>
  <c r="AB1368" i="2"/>
  <c r="AA1368" i="2" s="1"/>
  <c r="AC1367" i="2"/>
  <c r="L1367" i="2" s="1"/>
  <c r="AB1367" i="2"/>
  <c r="AA1367" i="2" s="1"/>
  <c r="AC1366" i="2"/>
  <c r="L1366" i="2" s="1"/>
  <c r="AB1366" i="2"/>
  <c r="K1366" i="2" s="1"/>
  <c r="AC1365" i="2"/>
  <c r="L1365" i="2" s="1"/>
  <c r="AB1365" i="2"/>
  <c r="AA1365" i="2" s="1"/>
  <c r="AC1364" i="2"/>
  <c r="L1364" i="2" s="1"/>
  <c r="AB1364" i="2"/>
  <c r="AA1364" i="2" s="1"/>
  <c r="AC1363" i="2"/>
  <c r="L1363" i="2" s="1"/>
  <c r="AB1363" i="2"/>
  <c r="AA1363" i="2" s="1"/>
  <c r="AC1362" i="2"/>
  <c r="L1362" i="2" s="1"/>
  <c r="AB1362" i="2"/>
  <c r="K1362" i="2" s="1"/>
  <c r="AC1361" i="2"/>
  <c r="L1361" i="2" s="1"/>
  <c r="AB1361" i="2"/>
  <c r="AA1361" i="2" s="1"/>
  <c r="AC1360" i="2"/>
  <c r="L1360" i="2" s="1"/>
  <c r="AB1360" i="2"/>
  <c r="AA1360" i="2" s="1"/>
  <c r="AC1359" i="2"/>
  <c r="L1359" i="2" s="1"/>
  <c r="AB1359" i="2"/>
  <c r="AA1359" i="2" s="1"/>
  <c r="AC1358" i="2"/>
  <c r="L1358" i="2" s="1"/>
  <c r="AB1358" i="2"/>
  <c r="AA1358" i="2" s="1"/>
  <c r="AC1357" i="2"/>
  <c r="L1357" i="2" s="1"/>
  <c r="AB1357" i="2"/>
  <c r="AA1357" i="2" s="1"/>
  <c r="AC1356" i="2"/>
  <c r="L1356" i="2" s="1"/>
  <c r="AB1356" i="2"/>
  <c r="K1356" i="2" s="1"/>
  <c r="AC1355" i="2"/>
  <c r="L1355" i="2" s="1"/>
  <c r="AB1355" i="2"/>
  <c r="AA1355" i="2" s="1"/>
  <c r="AC1354" i="2"/>
  <c r="L1354" i="2" s="1"/>
  <c r="AB1354" i="2"/>
  <c r="AA1354" i="2" s="1"/>
  <c r="AC1353" i="2"/>
  <c r="L1353" i="2" s="1"/>
  <c r="AB1353" i="2"/>
  <c r="AA1353" i="2" s="1"/>
  <c r="AC1352" i="2"/>
  <c r="L1352" i="2" s="1"/>
  <c r="AB1352" i="2"/>
  <c r="K1352" i="2" s="1"/>
  <c r="AC1351" i="2"/>
  <c r="L1351" i="2" s="1"/>
  <c r="AB1351" i="2"/>
  <c r="AA1351" i="2" s="1"/>
  <c r="AC1350" i="2"/>
  <c r="L1350" i="2" s="1"/>
  <c r="AB1350" i="2"/>
  <c r="AA1350" i="2" s="1"/>
  <c r="AC1349" i="2"/>
  <c r="L1349" i="2" s="1"/>
  <c r="AB1349" i="2"/>
  <c r="AA1349" i="2" s="1"/>
  <c r="AC1348" i="2"/>
  <c r="L1348" i="2" s="1"/>
  <c r="AB1348" i="2"/>
  <c r="K1348" i="2" s="1"/>
  <c r="AC1347" i="2"/>
  <c r="L1347" i="2" s="1"/>
  <c r="AB1347" i="2"/>
  <c r="AA1347" i="2" s="1"/>
  <c r="AC1346" i="2"/>
  <c r="L1346" i="2" s="1"/>
  <c r="AB1346" i="2"/>
  <c r="AA1346" i="2" s="1"/>
  <c r="AC1345" i="2"/>
  <c r="L1345" i="2" s="1"/>
  <c r="AB1345" i="2"/>
  <c r="AA1345" i="2" s="1"/>
  <c r="AC1344" i="2"/>
  <c r="L1344" i="2" s="1"/>
  <c r="AB1344" i="2"/>
  <c r="K1344" i="2" s="1"/>
  <c r="AC1343" i="2"/>
  <c r="L1343" i="2" s="1"/>
  <c r="AB1343" i="2"/>
  <c r="AA1343" i="2" s="1"/>
  <c r="AC1342" i="2"/>
  <c r="L1342" i="2" s="1"/>
  <c r="AB1342" i="2"/>
  <c r="AA1342" i="2" s="1"/>
  <c r="AC1341" i="2"/>
  <c r="L1341" i="2" s="1"/>
  <c r="AB1341" i="2"/>
  <c r="K1341" i="2" s="1"/>
  <c r="AC1340" i="2"/>
  <c r="L1340" i="2" s="1"/>
  <c r="AB1340" i="2"/>
  <c r="AA1340" i="2" s="1"/>
  <c r="AC1339" i="2"/>
  <c r="L1339" i="2" s="1"/>
  <c r="AB1339" i="2"/>
  <c r="AA1339" i="2" s="1"/>
  <c r="AC1338" i="2"/>
  <c r="L1338" i="2" s="1"/>
  <c r="AB1338" i="2"/>
  <c r="AA1338" i="2" s="1"/>
  <c r="AC1337" i="2"/>
  <c r="L1337" i="2" s="1"/>
  <c r="AB1337" i="2"/>
  <c r="AA1337" i="2" s="1"/>
  <c r="AC1336" i="2"/>
  <c r="L1336" i="2" s="1"/>
  <c r="AB1336" i="2"/>
  <c r="AA1336" i="2" s="1"/>
  <c r="AC1335" i="2"/>
  <c r="L1335" i="2" s="1"/>
  <c r="AB1335" i="2"/>
  <c r="K1335" i="2" s="1"/>
  <c r="AC1334" i="2"/>
  <c r="L1334" i="2" s="1"/>
  <c r="AB1334" i="2"/>
  <c r="K1334" i="2" s="1"/>
  <c r="AC1333" i="2"/>
  <c r="L1333" i="2" s="1"/>
  <c r="AB1333" i="2"/>
  <c r="AA1333" i="2" s="1"/>
  <c r="AC1332" i="2"/>
  <c r="L1332" i="2" s="1"/>
  <c r="AB1332" i="2"/>
  <c r="AA1332" i="2" s="1"/>
  <c r="AC1331" i="2"/>
  <c r="L1331" i="2" s="1"/>
  <c r="AB1331" i="2"/>
  <c r="AA1331" i="2" s="1"/>
  <c r="AC1330" i="2"/>
  <c r="L1330" i="2" s="1"/>
  <c r="AB1330" i="2"/>
  <c r="K1330" i="2" s="1"/>
  <c r="AC1329" i="2"/>
  <c r="L1329" i="2" s="1"/>
  <c r="AB1329" i="2"/>
  <c r="AA1329" i="2" s="1"/>
  <c r="AC1328" i="2"/>
  <c r="L1328" i="2" s="1"/>
  <c r="AB1328" i="2"/>
  <c r="AA1328" i="2" s="1"/>
  <c r="AC1327" i="2"/>
  <c r="L1327" i="2" s="1"/>
  <c r="AB1327" i="2"/>
  <c r="K1327" i="2" s="1"/>
  <c r="AC1326" i="2"/>
  <c r="L1326" i="2" s="1"/>
  <c r="AB1326" i="2"/>
  <c r="AA1326" i="2" s="1"/>
  <c r="AC1325" i="2"/>
  <c r="L1325" i="2" s="1"/>
  <c r="AB1325" i="2"/>
  <c r="AA1325" i="2" s="1"/>
  <c r="AC1324" i="2"/>
  <c r="L1324" i="2" s="1"/>
  <c r="AB1324" i="2"/>
  <c r="AA1324" i="2" s="1"/>
  <c r="AC1323" i="2"/>
  <c r="L1323" i="2" s="1"/>
  <c r="AB1323" i="2"/>
  <c r="AA1323" i="2" s="1"/>
  <c r="AC1322" i="2"/>
  <c r="L1322" i="2" s="1"/>
  <c r="AB1322" i="2"/>
  <c r="K1322" i="2" s="1"/>
  <c r="AC1321" i="2"/>
  <c r="L1321" i="2" s="1"/>
  <c r="AB1321" i="2"/>
  <c r="AA1321" i="2" s="1"/>
  <c r="AC1320" i="2"/>
  <c r="L1320" i="2" s="1"/>
  <c r="AB1320" i="2"/>
  <c r="AA1320" i="2" s="1"/>
  <c r="AC1319" i="2"/>
  <c r="L1319" i="2" s="1"/>
  <c r="AB1319" i="2"/>
  <c r="K1319" i="2" s="1"/>
  <c r="AC1318" i="2"/>
  <c r="L1318" i="2" s="1"/>
  <c r="AB1318" i="2"/>
  <c r="K1318" i="2" s="1"/>
  <c r="AC1317" i="2"/>
  <c r="L1317" i="2" s="1"/>
  <c r="AB1317" i="2"/>
  <c r="K1317" i="2" s="1"/>
  <c r="AC1316" i="2"/>
  <c r="L1316" i="2" s="1"/>
  <c r="AB1316" i="2"/>
  <c r="AA1316" i="2" s="1"/>
  <c r="AC1315" i="2"/>
  <c r="L1315" i="2" s="1"/>
  <c r="AB1315" i="2"/>
  <c r="AA1315" i="2" s="1"/>
  <c r="AC1314" i="2"/>
  <c r="L1314" i="2" s="1"/>
  <c r="AB1314" i="2"/>
  <c r="AA1314" i="2" s="1"/>
  <c r="AC1313" i="2"/>
  <c r="L1313" i="2" s="1"/>
  <c r="AB1313" i="2"/>
  <c r="AA1313" i="2" s="1"/>
  <c r="AC1312" i="2"/>
  <c r="L1312" i="2" s="1"/>
  <c r="AB1312" i="2"/>
  <c r="K1312" i="2" s="1"/>
  <c r="AC1311" i="2"/>
  <c r="L1311" i="2" s="1"/>
  <c r="AB1311" i="2"/>
  <c r="AA1311" i="2" s="1"/>
  <c r="AC1310" i="2"/>
  <c r="L1310" i="2" s="1"/>
  <c r="AB1310" i="2"/>
  <c r="AA1310" i="2" s="1"/>
  <c r="AC1309" i="2"/>
  <c r="L1309" i="2" s="1"/>
  <c r="AB1309" i="2"/>
  <c r="AA1309" i="2" s="1"/>
  <c r="AC1308" i="2"/>
  <c r="L1308" i="2" s="1"/>
  <c r="AB1308" i="2"/>
  <c r="K1308" i="2" s="1"/>
  <c r="AC1307" i="2"/>
  <c r="L1307" i="2" s="1"/>
  <c r="AB1307" i="2"/>
  <c r="AA1307" i="2" s="1"/>
  <c r="AC1306" i="2"/>
  <c r="L1306" i="2" s="1"/>
  <c r="AB1306" i="2"/>
  <c r="AA1306" i="2" s="1"/>
  <c r="AC1305" i="2"/>
  <c r="L1305" i="2" s="1"/>
  <c r="AB1305" i="2"/>
  <c r="K1305" i="2" s="1"/>
  <c r="AC1304" i="2"/>
  <c r="L1304" i="2" s="1"/>
  <c r="AB1304" i="2"/>
  <c r="AA1304" i="2" s="1"/>
  <c r="AC1303" i="2"/>
  <c r="L1303" i="2" s="1"/>
  <c r="AB1303" i="2"/>
  <c r="AA1303" i="2" s="1"/>
  <c r="AC1302" i="2"/>
  <c r="L1302" i="2" s="1"/>
  <c r="AB1302" i="2"/>
  <c r="AA1302" i="2" s="1"/>
  <c r="AC1301" i="2"/>
  <c r="L1301" i="2" s="1"/>
  <c r="AB1301" i="2"/>
  <c r="AA1301" i="2" s="1"/>
  <c r="AC1300" i="2"/>
  <c r="L1300" i="2" s="1"/>
  <c r="AB1300" i="2"/>
  <c r="K1300" i="2" s="1"/>
  <c r="AC1299" i="2"/>
  <c r="L1299" i="2" s="1"/>
  <c r="AB1299" i="2"/>
  <c r="AA1299" i="2" s="1"/>
  <c r="AC1298" i="2"/>
  <c r="L1298" i="2" s="1"/>
  <c r="AB1298" i="2"/>
  <c r="AA1298" i="2" s="1"/>
  <c r="AC1297" i="2"/>
  <c r="L1297" i="2" s="1"/>
  <c r="AB1297" i="2"/>
  <c r="AA1297" i="2" s="1"/>
  <c r="AC1296" i="2"/>
  <c r="L1296" i="2" s="1"/>
  <c r="AB1296" i="2"/>
  <c r="AC1295" i="2"/>
  <c r="L1295" i="2" s="1"/>
  <c r="AB1295" i="2"/>
  <c r="K1295" i="2" s="1"/>
  <c r="AC1294" i="2"/>
  <c r="L1294" i="2" s="1"/>
  <c r="AB1294" i="2"/>
  <c r="AA1294" i="2" s="1"/>
  <c r="AC1293" i="2"/>
  <c r="L1293" i="2" s="1"/>
  <c r="AB1293" i="2"/>
  <c r="K1293" i="2" s="1"/>
  <c r="AC1292" i="2"/>
  <c r="L1292" i="2" s="1"/>
  <c r="AB1292" i="2"/>
  <c r="AA1292" i="2" s="1"/>
  <c r="AC1291" i="2"/>
  <c r="L1291" i="2" s="1"/>
  <c r="AB1291" i="2"/>
  <c r="K1291" i="2" s="1"/>
  <c r="AC1290" i="2"/>
  <c r="L1290" i="2" s="1"/>
  <c r="AB1290" i="2"/>
  <c r="AA1290" i="2" s="1"/>
  <c r="AC1289" i="2"/>
  <c r="L1289" i="2" s="1"/>
  <c r="AB1289" i="2"/>
  <c r="AA1289" i="2" s="1"/>
  <c r="AC1288" i="2"/>
  <c r="L1288" i="2" s="1"/>
  <c r="AB1288" i="2"/>
  <c r="AA1288" i="2" s="1"/>
  <c r="AC1287" i="2"/>
  <c r="L1287" i="2" s="1"/>
  <c r="AB1287" i="2"/>
  <c r="AA1287" i="2" s="1"/>
  <c r="AC1286" i="2"/>
  <c r="L1286" i="2" s="1"/>
  <c r="AB1286" i="2"/>
  <c r="K1286" i="2" s="1"/>
  <c r="AC1285" i="2"/>
  <c r="L1285" i="2" s="1"/>
  <c r="AB1285" i="2"/>
  <c r="AA1285" i="2" s="1"/>
  <c r="AC1284" i="2"/>
  <c r="L1284" i="2" s="1"/>
  <c r="AB1284" i="2"/>
  <c r="AA1284" i="2" s="1"/>
  <c r="AC1283" i="2"/>
  <c r="L1283" i="2" s="1"/>
  <c r="AB1283" i="2"/>
  <c r="AA1283" i="2" s="1"/>
  <c r="AC1282" i="2"/>
  <c r="L1282" i="2" s="1"/>
  <c r="AB1282" i="2"/>
  <c r="K1282" i="2" s="1"/>
  <c r="AC1281" i="2"/>
  <c r="L1281" i="2" s="1"/>
  <c r="AB1281" i="2"/>
  <c r="AA1281" i="2" s="1"/>
  <c r="AC1280" i="2"/>
  <c r="L1280" i="2" s="1"/>
  <c r="AB1280" i="2"/>
  <c r="AA1280" i="2" s="1"/>
  <c r="AC1279" i="2"/>
  <c r="L1279" i="2" s="1"/>
  <c r="AB1279" i="2"/>
  <c r="AA1279" i="2" s="1"/>
  <c r="AC1278" i="2"/>
  <c r="L1278" i="2" s="1"/>
  <c r="AB1278" i="2"/>
  <c r="AA1278" i="2" s="1"/>
  <c r="AC1277" i="2"/>
  <c r="L1277" i="2" s="1"/>
  <c r="AB1277" i="2"/>
  <c r="AA1277" i="2" s="1"/>
  <c r="AC1276" i="2"/>
  <c r="L1276" i="2" s="1"/>
  <c r="AB1276" i="2"/>
  <c r="AA1276" i="2" s="1"/>
  <c r="AC1275" i="2"/>
  <c r="L1275" i="2" s="1"/>
  <c r="AB1275" i="2"/>
  <c r="K1275" i="2" s="1"/>
  <c r="AC1274" i="2"/>
  <c r="L1274" i="2" s="1"/>
  <c r="AB1274" i="2"/>
  <c r="AA1274" i="2" s="1"/>
  <c r="AC1273" i="2"/>
  <c r="L1273" i="2" s="1"/>
  <c r="AB1273" i="2"/>
  <c r="K1273" i="2" s="1"/>
  <c r="AC1272" i="2"/>
  <c r="L1272" i="2" s="1"/>
  <c r="AB1272" i="2"/>
  <c r="AA1272" i="2" s="1"/>
  <c r="AC1271" i="2"/>
  <c r="L1271" i="2" s="1"/>
  <c r="AB1271" i="2"/>
  <c r="AA1271" i="2" s="1"/>
  <c r="AC1270" i="2"/>
  <c r="L1270" i="2" s="1"/>
  <c r="AB1270" i="2"/>
  <c r="K1270" i="2" s="1"/>
  <c r="AC1269" i="2"/>
  <c r="L1269" i="2" s="1"/>
  <c r="AB1269" i="2"/>
  <c r="K1269" i="2" s="1"/>
  <c r="AC1268" i="2"/>
  <c r="L1268" i="2" s="1"/>
  <c r="AB1268" i="2"/>
  <c r="K1268" i="2" s="1"/>
  <c r="AC1267" i="2"/>
  <c r="L1267" i="2" s="1"/>
  <c r="AB1267" i="2"/>
  <c r="AA1267" i="2" s="1"/>
  <c r="AC1266" i="2"/>
  <c r="L1266" i="2" s="1"/>
  <c r="AB1266" i="2"/>
  <c r="AA1266" i="2" s="1"/>
  <c r="AC1265" i="2"/>
  <c r="L1265" i="2" s="1"/>
  <c r="AB1265" i="2"/>
  <c r="AA1265" i="2" s="1"/>
  <c r="AC1264" i="2"/>
  <c r="L1264" i="2" s="1"/>
  <c r="AB1264" i="2"/>
  <c r="AA1264" i="2" s="1"/>
  <c r="AC1263" i="2"/>
  <c r="L1263" i="2" s="1"/>
  <c r="AB1263" i="2"/>
  <c r="AA1263" i="2" s="1"/>
  <c r="AC1262" i="2"/>
  <c r="L1262" i="2" s="1"/>
  <c r="AB1262" i="2"/>
  <c r="AA1262" i="2" s="1"/>
  <c r="AC1261" i="2"/>
  <c r="L1261" i="2" s="1"/>
  <c r="AB1261" i="2"/>
  <c r="K1261" i="2" s="1"/>
  <c r="AC1260" i="2"/>
  <c r="L1260" i="2" s="1"/>
  <c r="AB1260" i="2"/>
  <c r="AA1260" i="2" s="1"/>
  <c r="AC1259" i="2"/>
  <c r="L1259" i="2" s="1"/>
  <c r="AB1259" i="2"/>
  <c r="AA1259" i="2" s="1"/>
  <c r="AC1258" i="2"/>
  <c r="L1258" i="2" s="1"/>
  <c r="AB1258" i="2"/>
  <c r="K1258" i="2" s="1"/>
  <c r="AC1257" i="2"/>
  <c r="L1257" i="2" s="1"/>
  <c r="AB1257" i="2"/>
  <c r="K1257" i="2" s="1"/>
  <c r="AC1256" i="2"/>
  <c r="L1256" i="2" s="1"/>
  <c r="AB1256" i="2"/>
  <c r="AA1256" i="2" s="1"/>
  <c r="AC1255" i="2"/>
  <c r="L1255" i="2" s="1"/>
  <c r="AB1255" i="2"/>
  <c r="AA1255" i="2" s="1"/>
  <c r="AC1254" i="2"/>
  <c r="L1254" i="2" s="1"/>
  <c r="AB1254" i="2"/>
  <c r="AA1254" i="2" s="1"/>
  <c r="AC1253" i="2"/>
  <c r="L1253" i="2" s="1"/>
  <c r="AB1253" i="2"/>
  <c r="AA1253" i="2" s="1"/>
  <c r="AC1252" i="2"/>
  <c r="L1252" i="2" s="1"/>
  <c r="AB1252" i="2"/>
  <c r="AA1252" i="2" s="1"/>
  <c r="AC1251" i="2"/>
  <c r="L1251" i="2" s="1"/>
  <c r="AB1251" i="2"/>
  <c r="K1251" i="2" s="1"/>
  <c r="AC1250" i="2"/>
  <c r="L1250" i="2" s="1"/>
  <c r="AB1250" i="2"/>
  <c r="AA1250" i="2" s="1"/>
  <c r="AC1249" i="2"/>
  <c r="L1249" i="2" s="1"/>
  <c r="AB1249" i="2"/>
  <c r="AA1249" i="2" s="1"/>
  <c r="AC1248" i="2"/>
  <c r="L1248" i="2" s="1"/>
  <c r="AB1248" i="2"/>
  <c r="K1248" i="2" s="1"/>
  <c r="AC1247" i="2"/>
  <c r="L1247" i="2" s="1"/>
  <c r="AB1247" i="2"/>
  <c r="K1247" i="2" s="1"/>
  <c r="AC1246" i="2"/>
  <c r="L1246" i="2" s="1"/>
  <c r="AB1246" i="2"/>
  <c r="K1246" i="2" s="1"/>
  <c r="AC1245" i="2"/>
  <c r="L1245" i="2" s="1"/>
  <c r="AB1245" i="2"/>
  <c r="K1245" i="2" s="1"/>
  <c r="AC1244" i="2"/>
  <c r="L1244" i="2" s="1"/>
  <c r="AB1244" i="2"/>
  <c r="K1244" i="2" s="1"/>
  <c r="AC1243" i="2"/>
  <c r="L1243" i="2" s="1"/>
  <c r="AB1243" i="2"/>
  <c r="K1243" i="2" s="1"/>
  <c r="AC1242" i="2"/>
  <c r="L1242" i="2" s="1"/>
  <c r="AB1242" i="2"/>
  <c r="AA1242" i="2" s="1"/>
  <c r="AC1241" i="2"/>
  <c r="L1241" i="2" s="1"/>
  <c r="AB1241" i="2"/>
  <c r="AA1241" i="2" s="1"/>
  <c r="AC1240" i="2"/>
  <c r="L1240" i="2" s="1"/>
  <c r="AB1240" i="2"/>
  <c r="AA1240" i="2" s="1"/>
  <c r="AC1239" i="2"/>
  <c r="L1239" i="2" s="1"/>
  <c r="AB1239" i="2"/>
  <c r="AA1239" i="2" s="1"/>
  <c r="AC1238" i="2"/>
  <c r="L1238" i="2" s="1"/>
  <c r="AB1238" i="2"/>
  <c r="AA1238" i="2" s="1"/>
  <c r="AC1237" i="2"/>
  <c r="L1237" i="2" s="1"/>
  <c r="AB1237" i="2"/>
  <c r="AA1237" i="2" s="1"/>
  <c r="AC1236" i="2"/>
  <c r="L1236" i="2" s="1"/>
  <c r="AB1236" i="2"/>
  <c r="K1236" i="2" s="1"/>
  <c r="AC1235" i="2"/>
  <c r="L1235" i="2" s="1"/>
  <c r="AB1235" i="2"/>
  <c r="AA1235" i="2" s="1"/>
  <c r="AC1234" i="2"/>
  <c r="L1234" i="2" s="1"/>
  <c r="AB1234" i="2"/>
  <c r="K1234" i="2" s="1"/>
  <c r="AC1233" i="2"/>
  <c r="L1233" i="2" s="1"/>
  <c r="AB1233" i="2"/>
  <c r="AA1233" i="2" s="1"/>
  <c r="AC1232" i="2"/>
  <c r="L1232" i="2" s="1"/>
  <c r="AB1232" i="2"/>
  <c r="AA1232" i="2" s="1"/>
  <c r="AC1231" i="2"/>
  <c r="L1231" i="2" s="1"/>
  <c r="AB1231" i="2"/>
  <c r="AA1231" i="2" s="1"/>
  <c r="AC1230" i="2"/>
  <c r="L1230" i="2" s="1"/>
  <c r="AB1230" i="2"/>
  <c r="AA1230" i="2" s="1"/>
  <c r="AC1229" i="2"/>
  <c r="L1229" i="2" s="1"/>
  <c r="AB1229" i="2"/>
  <c r="K1229" i="2" s="1"/>
  <c r="AC1228" i="2"/>
  <c r="L1228" i="2" s="1"/>
  <c r="AB1228" i="2"/>
  <c r="AA1228" i="2" s="1"/>
  <c r="AC1227" i="2"/>
  <c r="L1227" i="2" s="1"/>
  <c r="AB1227" i="2"/>
  <c r="AA1227" i="2" s="1"/>
  <c r="AC1226" i="2"/>
  <c r="L1226" i="2" s="1"/>
  <c r="AB1226" i="2"/>
  <c r="AA1226" i="2" s="1"/>
  <c r="AC1225" i="2"/>
  <c r="L1225" i="2" s="1"/>
  <c r="AB1225" i="2"/>
  <c r="K1225" i="2" s="1"/>
  <c r="AC1224" i="2"/>
  <c r="L1224" i="2" s="1"/>
  <c r="AB1224" i="2"/>
  <c r="AC1223" i="2"/>
  <c r="L1223" i="2" s="1"/>
  <c r="AB1223" i="2"/>
  <c r="AA1223" i="2" s="1"/>
  <c r="AC1222" i="2"/>
  <c r="L1222" i="2" s="1"/>
  <c r="AB1222" i="2"/>
  <c r="K1222" i="2" s="1"/>
  <c r="AC1221" i="2"/>
  <c r="L1221" i="2" s="1"/>
  <c r="AB1221" i="2"/>
  <c r="AA1221" i="2" s="1"/>
  <c r="AC1220" i="2"/>
  <c r="L1220" i="2" s="1"/>
  <c r="AB1220" i="2"/>
  <c r="K1220" i="2" s="1"/>
  <c r="AC1219" i="2"/>
  <c r="L1219" i="2" s="1"/>
  <c r="AB1219" i="2"/>
  <c r="AA1219" i="2" s="1"/>
  <c r="AC1218" i="2"/>
  <c r="L1218" i="2" s="1"/>
  <c r="AB1218" i="2"/>
  <c r="AA1218" i="2" s="1"/>
  <c r="AC1217" i="2"/>
  <c r="L1217" i="2" s="1"/>
  <c r="AB1217" i="2"/>
  <c r="AA1217" i="2" s="1"/>
  <c r="AC1216" i="2"/>
  <c r="L1216" i="2" s="1"/>
  <c r="AB1216" i="2"/>
  <c r="AA1216" i="2" s="1"/>
  <c r="AC1215" i="2"/>
  <c r="L1215" i="2" s="1"/>
  <c r="AB1215" i="2"/>
  <c r="AA1215" i="2" s="1"/>
  <c r="AC1214" i="2"/>
  <c r="L1214" i="2" s="1"/>
  <c r="AB1214" i="2"/>
  <c r="AA1214" i="2" s="1"/>
  <c r="AC1213" i="2"/>
  <c r="L1213" i="2" s="1"/>
  <c r="AB1213" i="2"/>
  <c r="K1213" i="2" s="1"/>
  <c r="AC1212" i="2"/>
  <c r="L1212" i="2" s="1"/>
  <c r="AB1212" i="2"/>
  <c r="AA1212" i="2" s="1"/>
  <c r="AC1211" i="2"/>
  <c r="L1211" i="2" s="1"/>
  <c r="AB1211" i="2"/>
  <c r="AA1211" i="2" s="1"/>
  <c r="AC1210" i="2"/>
  <c r="L1210" i="2" s="1"/>
  <c r="AB1210" i="2"/>
  <c r="AA1210" i="2" s="1"/>
  <c r="AC1209" i="2"/>
  <c r="L1209" i="2" s="1"/>
  <c r="AB1209" i="2"/>
  <c r="AA1209" i="2" s="1"/>
  <c r="AC1208" i="2"/>
  <c r="L1208" i="2" s="1"/>
  <c r="AB1208" i="2"/>
  <c r="AA1208" i="2" s="1"/>
  <c r="AC1207" i="2"/>
  <c r="L1207" i="2" s="1"/>
  <c r="AB1207" i="2"/>
  <c r="AA1207" i="2" s="1"/>
  <c r="AC1206" i="2"/>
  <c r="L1206" i="2" s="1"/>
  <c r="AB1206" i="2"/>
  <c r="AA1206" i="2" s="1"/>
  <c r="AC1205" i="2"/>
  <c r="L1205" i="2" s="1"/>
  <c r="AB1205" i="2"/>
  <c r="AA1205" i="2" s="1"/>
  <c r="AC1204" i="2"/>
  <c r="L1204" i="2" s="1"/>
  <c r="AB1204" i="2"/>
  <c r="AA1204" i="2" s="1"/>
  <c r="AC1203" i="2"/>
  <c r="L1203" i="2" s="1"/>
  <c r="AB1203" i="2"/>
  <c r="K1203" i="2" s="1"/>
  <c r="AC1202" i="2"/>
  <c r="L1202" i="2" s="1"/>
  <c r="AB1202" i="2"/>
  <c r="K1202" i="2" s="1"/>
  <c r="AC1201" i="2"/>
  <c r="L1201" i="2" s="1"/>
  <c r="AB1201" i="2"/>
  <c r="AA1201" i="2" s="1"/>
  <c r="AC1200" i="2"/>
  <c r="L1200" i="2" s="1"/>
  <c r="AB1200" i="2"/>
  <c r="AA1200" i="2" s="1"/>
  <c r="AC1199" i="2"/>
  <c r="L1199" i="2" s="1"/>
  <c r="AB1199" i="2"/>
  <c r="K1199" i="2" s="1"/>
  <c r="AC1198" i="2"/>
  <c r="L1198" i="2" s="1"/>
  <c r="AB1198" i="2"/>
  <c r="AA1198" i="2" s="1"/>
  <c r="AC1197" i="2"/>
  <c r="L1197" i="2" s="1"/>
  <c r="AB1197" i="2"/>
  <c r="AA1197" i="2" s="1"/>
  <c r="AC1196" i="2"/>
  <c r="L1196" i="2" s="1"/>
  <c r="AB1196" i="2"/>
  <c r="AA1196" i="2" s="1"/>
  <c r="AC1195" i="2"/>
  <c r="L1195" i="2" s="1"/>
  <c r="AB1195" i="2"/>
  <c r="AA1195" i="2" s="1"/>
  <c r="AC1194" i="2"/>
  <c r="L1194" i="2" s="1"/>
  <c r="AB1194" i="2"/>
  <c r="AA1194" i="2" s="1"/>
  <c r="AC1193" i="2"/>
  <c r="L1193" i="2" s="1"/>
  <c r="AB1193" i="2"/>
  <c r="AA1193" i="2" s="1"/>
  <c r="AC1192" i="2"/>
  <c r="L1192" i="2" s="1"/>
  <c r="AB1192" i="2"/>
  <c r="AA1192" i="2" s="1"/>
  <c r="AC1191" i="2"/>
  <c r="L1191" i="2" s="1"/>
  <c r="AB1191" i="2"/>
  <c r="AA1191" i="2" s="1"/>
  <c r="AC1190" i="2"/>
  <c r="L1190" i="2" s="1"/>
  <c r="AB1190" i="2"/>
  <c r="AA1190" i="2" s="1"/>
  <c r="AC1189" i="2"/>
  <c r="L1189" i="2" s="1"/>
  <c r="AB1189" i="2"/>
  <c r="AA1189" i="2" s="1"/>
  <c r="AC1188" i="2"/>
  <c r="L1188" i="2" s="1"/>
  <c r="AB1188" i="2"/>
  <c r="AA1188" i="2" s="1"/>
  <c r="AC1187" i="2"/>
  <c r="L1187" i="2" s="1"/>
  <c r="AB1187" i="2"/>
  <c r="AA1187" i="2" s="1"/>
  <c r="AC1186" i="2"/>
  <c r="L1186" i="2" s="1"/>
  <c r="AB1186" i="2"/>
  <c r="AA1186" i="2" s="1"/>
  <c r="AC1185" i="2"/>
  <c r="L1185" i="2" s="1"/>
  <c r="AB1185" i="2"/>
  <c r="K1185" i="2" s="1"/>
  <c r="AC1184" i="2"/>
  <c r="L1184" i="2" s="1"/>
  <c r="AB1184" i="2"/>
  <c r="AA1184" i="2" s="1"/>
  <c r="AC1183" i="2"/>
  <c r="L1183" i="2" s="1"/>
  <c r="AB1183" i="2"/>
  <c r="AA1183" i="2" s="1"/>
  <c r="AC1182" i="2"/>
  <c r="L1182" i="2" s="1"/>
  <c r="AB1182" i="2"/>
  <c r="K1182" i="2" s="1"/>
  <c r="AC1181" i="2"/>
  <c r="L1181" i="2" s="1"/>
  <c r="AB1181" i="2"/>
  <c r="K1181" i="2" s="1"/>
  <c r="AC1180" i="2"/>
  <c r="L1180" i="2" s="1"/>
  <c r="AB1180" i="2"/>
  <c r="AC1179" i="2"/>
  <c r="L1179" i="2" s="1"/>
  <c r="AB1179" i="2"/>
  <c r="AA1179" i="2" s="1"/>
  <c r="AC1178" i="2"/>
  <c r="L1178" i="2" s="1"/>
  <c r="AB1178" i="2"/>
  <c r="AA1178" i="2" s="1"/>
  <c r="AC1177" i="2"/>
  <c r="L1177" i="2" s="1"/>
  <c r="AB1177" i="2"/>
  <c r="AA1177" i="2" s="1"/>
  <c r="AC1176" i="2"/>
  <c r="L1176" i="2" s="1"/>
  <c r="AB1176" i="2"/>
  <c r="K1176" i="2" s="1"/>
  <c r="AC1175" i="2"/>
  <c r="L1175" i="2" s="1"/>
  <c r="AB1175" i="2"/>
  <c r="AA1175" i="2" s="1"/>
  <c r="AC1174" i="2"/>
  <c r="L1174" i="2" s="1"/>
  <c r="AB1174" i="2"/>
  <c r="AA1174" i="2" s="1"/>
  <c r="AC1173" i="2"/>
  <c r="L1173" i="2" s="1"/>
  <c r="AB1173" i="2"/>
  <c r="AA1173" i="2" s="1"/>
  <c r="AC1172" i="2"/>
  <c r="L1172" i="2" s="1"/>
  <c r="AB1172" i="2"/>
  <c r="AA1172" i="2" s="1"/>
  <c r="AC1171" i="2"/>
  <c r="L1171" i="2" s="1"/>
  <c r="AB1171" i="2"/>
  <c r="AA1171" i="2" s="1"/>
  <c r="AC1170" i="2"/>
  <c r="L1170" i="2" s="1"/>
  <c r="AB1170" i="2"/>
  <c r="K1170" i="2" s="1"/>
  <c r="AC1169" i="2"/>
  <c r="L1169" i="2" s="1"/>
  <c r="AB1169" i="2"/>
  <c r="AA1169" i="2" s="1"/>
  <c r="AC1168" i="2"/>
  <c r="L1168" i="2" s="1"/>
  <c r="AB1168" i="2"/>
  <c r="AA1168" i="2" s="1"/>
  <c r="AC1167" i="2"/>
  <c r="L1167" i="2" s="1"/>
  <c r="AB1167" i="2"/>
  <c r="AA1167" i="2" s="1"/>
  <c r="AC1166" i="2"/>
  <c r="L1166" i="2" s="1"/>
  <c r="AB1166" i="2"/>
  <c r="AA1166" i="2" s="1"/>
  <c r="AC1165" i="2"/>
  <c r="L1165" i="2" s="1"/>
  <c r="AB1165" i="2"/>
  <c r="AA1165" i="2" s="1"/>
  <c r="AC1164" i="2"/>
  <c r="L1164" i="2" s="1"/>
  <c r="AB1164" i="2"/>
  <c r="AA1164" i="2" s="1"/>
  <c r="AC1163" i="2"/>
  <c r="L1163" i="2" s="1"/>
  <c r="AB1163" i="2"/>
  <c r="AC1162" i="2"/>
  <c r="L1162" i="2" s="1"/>
  <c r="AB1162" i="2"/>
  <c r="AA1162" i="2" s="1"/>
  <c r="AC1161" i="2"/>
  <c r="L1161" i="2" s="1"/>
  <c r="AB1161" i="2"/>
  <c r="AA1161" i="2" s="1"/>
  <c r="AC1160" i="2"/>
  <c r="L1160" i="2" s="1"/>
  <c r="AB1160" i="2"/>
  <c r="K1160" i="2" s="1"/>
  <c r="AC1159" i="2"/>
  <c r="L1159" i="2" s="1"/>
  <c r="AB1159" i="2"/>
  <c r="AA1159" i="2" s="1"/>
  <c r="AC1158" i="2"/>
  <c r="L1158" i="2" s="1"/>
  <c r="AB1158" i="2"/>
  <c r="K1158" i="2" s="1"/>
  <c r="AC1157" i="2"/>
  <c r="L1157" i="2" s="1"/>
  <c r="AB1157" i="2"/>
  <c r="AA1157" i="2" s="1"/>
  <c r="AC1156" i="2"/>
  <c r="L1156" i="2" s="1"/>
  <c r="AB1156" i="2"/>
  <c r="K1156" i="2" s="1"/>
  <c r="AC1155" i="2"/>
  <c r="L1155" i="2" s="1"/>
  <c r="AB1155" i="2"/>
  <c r="AA1155" i="2" s="1"/>
  <c r="AC1154" i="2"/>
  <c r="L1154" i="2" s="1"/>
  <c r="AB1154" i="2"/>
  <c r="AA1154" i="2" s="1"/>
  <c r="AC1153" i="2"/>
  <c r="L1153" i="2" s="1"/>
  <c r="AB1153" i="2"/>
  <c r="AA1153" i="2" s="1"/>
  <c r="AC1152" i="2"/>
  <c r="L1152" i="2" s="1"/>
  <c r="AB1152" i="2"/>
  <c r="AA1152" i="2" s="1"/>
  <c r="AC1151" i="2"/>
  <c r="L1151" i="2" s="1"/>
  <c r="AB1151" i="2"/>
  <c r="AA1151" i="2" s="1"/>
  <c r="AC1150" i="2"/>
  <c r="L1150" i="2" s="1"/>
  <c r="AB1150" i="2"/>
  <c r="AA1150" i="2" s="1"/>
  <c r="AC1149" i="2"/>
  <c r="L1149" i="2" s="1"/>
  <c r="AB1149" i="2"/>
  <c r="AA1149" i="2" s="1"/>
  <c r="AC1148" i="2"/>
  <c r="L1148" i="2" s="1"/>
  <c r="AB1148" i="2"/>
  <c r="AA1148" i="2" s="1"/>
  <c r="AC1147" i="2"/>
  <c r="L1147" i="2" s="1"/>
  <c r="AB1147" i="2"/>
  <c r="AA1147" i="2" s="1"/>
  <c r="AC1146" i="2"/>
  <c r="L1146" i="2" s="1"/>
  <c r="AB1146" i="2"/>
  <c r="AA1146" i="2" s="1"/>
  <c r="AC1145" i="2"/>
  <c r="L1145" i="2" s="1"/>
  <c r="AB1145" i="2"/>
  <c r="AA1145" i="2" s="1"/>
  <c r="AC1144" i="2"/>
  <c r="L1144" i="2" s="1"/>
  <c r="AB1144" i="2"/>
  <c r="AA1144" i="2" s="1"/>
  <c r="AC1143" i="2"/>
  <c r="L1143" i="2" s="1"/>
  <c r="AB1143" i="2"/>
  <c r="AA1143" i="2" s="1"/>
  <c r="AC1142" i="2"/>
  <c r="L1142" i="2" s="1"/>
  <c r="AB1142" i="2"/>
  <c r="AA1142" i="2" s="1"/>
  <c r="AC1141" i="2"/>
  <c r="L1141" i="2" s="1"/>
  <c r="AB1141" i="2"/>
  <c r="K1141" i="2" s="1"/>
  <c r="AC1140" i="2"/>
  <c r="L1140" i="2" s="1"/>
  <c r="AB1140" i="2"/>
  <c r="AA1140" i="2" s="1"/>
  <c r="AC1139" i="2"/>
  <c r="L1139" i="2" s="1"/>
  <c r="AB1139" i="2"/>
  <c r="AA1139" i="2" s="1"/>
  <c r="AC1138" i="2"/>
  <c r="L1138" i="2" s="1"/>
  <c r="AB1138" i="2"/>
  <c r="AA1138" i="2" s="1"/>
  <c r="AC1137" i="2"/>
  <c r="L1137" i="2" s="1"/>
  <c r="AB1137" i="2"/>
  <c r="K1137" i="2" s="1"/>
  <c r="AC1136" i="2"/>
  <c r="L1136" i="2" s="1"/>
  <c r="AB1136" i="2"/>
  <c r="AC1135" i="2"/>
  <c r="L1135" i="2" s="1"/>
  <c r="AB1135" i="2"/>
  <c r="AA1135" i="2" s="1"/>
  <c r="AC1134" i="2"/>
  <c r="L1134" i="2" s="1"/>
  <c r="AB1134" i="2"/>
  <c r="AA1134" i="2" s="1"/>
  <c r="AC1133" i="2"/>
  <c r="L1133" i="2" s="1"/>
  <c r="AB1133" i="2"/>
  <c r="AA1133" i="2" s="1"/>
  <c r="AC1132" i="2"/>
  <c r="L1132" i="2" s="1"/>
  <c r="AB1132" i="2"/>
  <c r="AA1132" i="2" s="1"/>
  <c r="AC1131" i="2"/>
  <c r="L1131" i="2" s="1"/>
  <c r="AB1131" i="2"/>
  <c r="AA1131" i="2" s="1"/>
  <c r="AC1130" i="2"/>
  <c r="L1130" i="2" s="1"/>
  <c r="AB1130" i="2"/>
  <c r="AA1130" i="2" s="1"/>
  <c r="AC1129" i="2"/>
  <c r="L1129" i="2" s="1"/>
  <c r="AB1129" i="2"/>
  <c r="AA1129" i="2" s="1"/>
  <c r="AC1128" i="2"/>
  <c r="L1128" i="2" s="1"/>
  <c r="AB1128" i="2"/>
  <c r="AA1128" i="2" s="1"/>
  <c r="AC1127" i="2"/>
  <c r="L1127" i="2" s="1"/>
  <c r="AB1127" i="2"/>
  <c r="AA1127" i="2" s="1"/>
  <c r="AC1126" i="2"/>
  <c r="L1126" i="2" s="1"/>
  <c r="AB1126" i="2"/>
  <c r="K1126" i="2" s="1"/>
  <c r="AC1125" i="2"/>
  <c r="L1125" i="2" s="1"/>
  <c r="AB1125" i="2"/>
  <c r="AA1125" i="2" s="1"/>
  <c r="AC1124" i="2"/>
  <c r="L1124" i="2" s="1"/>
  <c r="AB1124" i="2"/>
  <c r="K1124" i="2" s="1"/>
  <c r="AC1123" i="2"/>
  <c r="L1123" i="2" s="1"/>
  <c r="AB1123" i="2"/>
  <c r="AA1123" i="2" s="1"/>
  <c r="AC1122" i="2"/>
  <c r="L1122" i="2" s="1"/>
  <c r="AB1122" i="2"/>
  <c r="AA1122" i="2" s="1"/>
  <c r="AC1121" i="2"/>
  <c r="L1121" i="2" s="1"/>
  <c r="AB1121" i="2"/>
  <c r="AA1121" i="2" s="1"/>
  <c r="AC1120" i="2"/>
  <c r="L1120" i="2" s="1"/>
  <c r="AB1120" i="2"/>
  <c r="AA1120" i="2" s="1"/>
  <c r="AC1119" i="2"/>
  <c r="L1119" i="2" s="1"/>
  <c r="AB1119" i="2"/>
  <c r="AA1119" i="2" s="1"/>
  <c r="AC1118" i="2"/>
  <c r="L1118" i="2" s="1"/>
  <c r="AB1118" i="2"/>
  <c r="AA1118" i="2" s="1"/>
  <c r="AC1117" i="2"/>
  <c r="L1117" i="2" s="1"/>
  <c r="AB1117" i="2"/>
  <c r="AC1116" i="2"/>
  <c r="L1116" i="2" s="1"/>
  <c r="AB1116" i="2"/>
  <c r="AA1116" i="2" s="1"/>
  <c r="AC1115" i="2"/>
  <c r="L1115" i="2" s="1"/>
  <c r="AB1115" i="2"/>
  <c r="K1115" i="2" s="1"/>
  <c r="AC1114" i="2"/>
  <c r="L1114" i="2" s="1"/>
  <c r="AB1114" i="2"/>
  <c r="K1114" i="2" s="1"/>
  <c r="AC1113" i="2"/>
  <c r="L1113" i="2" s="1"/>
  <c r="AB1113" i="2"/>
  <c r="AA1113" i="2" s="1"/>
  <c r="AC1112" i="2"/>
  <c r="L1112" i="2" s="1"/>
  <c r="AB1112" i="2"/>
  <c r="K1112" i="2" s="1"/>
  <c r="AC1111" i="2"/>
  <c r="L1111" i="2" s="1"/>
  <c r="AB1111" i="2"/>
  <c r="AA1111" i="2" s="1"/>
  <c r="AC1110" i="2"/>
  <c r="L1110" i="2" s="1"/>
  <c r="AB1110" i="2"/>
  <c r="K1110" i="2" s="1"/>
  <c r="AC1109" i="2"/>
  <c r="L1109" i="2" s="1"/>
  <c r="AB1109" i="2"/>
  <c r="AA1109" i="2" s="1"/>
  <c r="AC1108" i="2"/>
  <c r="L1108" i="2" s="1"/>
  <c r="AB1108" i="2"/>
  <c r="AA1108" i="2" s="1"/>
  <c r="AC1107" i="2"/>
  <c r="L1107" i="2" s="1"/>
  <c r="AB1107" i="2"/>
  <c r="AA1107" i="2" s="1"/>
  <c r="AC1106" i="2"/>
  <c r="L1106" i="2" s="1"/>
  <c r="AB1106" i="2"/>
  <c r="AA1106" i="2" s="1"/>
  <c r="AC1105" i="2"/>
  <c r="L1105" i="2" s="1"/>
  <c r="AB1105" i="2"/>
  <c r="AA1105" i="2" s="1"/>
  <c r="AC1104" i="2"/>
  <c r="L1104" i="2" s="1"/>
  <c r="AB1104" i="2"/>
  <c r="K1104" i="2" s="1"/>
  <c r="AC1103" i="2"/>
  <c r="L1103" i="2" s="1"/>
  <c r="AB1103" i="2"/>
  <c r="K1103" i="2" s="1"/>
  <c r="AC1102" i="2"/>
  <c r="L1102" i="2" s="1"/>
  <c r="AB1102" i="2"/>
  <c r="AA1102" i="2" s="1"/>
  <c r="AC1101" i="2"/>
  <c r="L1101" i="2" s="1"/>
  <c r="AB1101" i="2"/>
  <c r="AA1101" i="2" s="1"/>
  <c r="AC1100" i="2"/>
  <c r="L1100" i="2" s="1"/>
  <c r="AB1100" i="2"/>
  <c r="AA1100" i="2" s="1"/>
  <c r="AC1099" i="2"/>
  <c r="L1099" i="2" s="1"/>
  <c r="AB1099" i="2"/>
  <c r="AA1099" i="2" s="1"/>
  <c r="AC1098" i="2"/>
  <c r="L1098" i="2" s="1"/>
  <c r="AB1098" i="2"/>
  <c r="AA1098" i="2" s="1"/>
  <c r="AC1097" i="2"/>
  <c r="L1097" i="2" s="1"/>
  <c r="AB1097" i="2"/>
  <c r="AC1096" i="2"/>
  <c r="L1096" i="2" s="1"/>
  <c r="AB1096" i="2"/>
  <c r="AA1096" i="2" s="1"/>
  <c r="AC1095" i="2"/>
  <c r="L1095" i="2" s="1"/>
  <c r="AB1095" i="2"/>
  <c r="AA1095" i="2" s="1"/>
  <c r="AC1094" i="2"/>
  <c r="L1094" i="2" s="1"/>
  <c r="AB1094" i="2"/>
  <c r="K1094" i="2" s="1"/>
  <c r="AC1093" i="2"/>
  <c r="L1093" i="2" s="1"/>
  <c r="AB1093" i="2"/>
  <c r="AC1092" i="2"/>
  <c r="L1092" i="2" s="1"/>
  <c r="AB1092" i="2"/>
  <c r="K1092" i="2" s="1"/>
  <c r="AC1091" i="2"/>
  <c r="L1091" i="2" s="1"/>
  <c r="AB1091" i="2"/>
  <c r="AA1091" i="2" s="1"/>
  <c r="AC1090" i="2"/>
  <c r="L1090" i="2" s="1"/>
  <c r="AB1090" i="2"/>
  <c r="K1090" i="2" s="1"/>
  <c r="AC1089" i="2"/>
  <c r="L1089" i="2" s="1"/>
  <c r="AB1089" i="2"/>
  <c r="K1089" i="2" s="1"/>
  <c r="AC1088" i="2"/>
  <c r="L1088" i="2" s="1"/>
  <c r="AB1088" i="2"/>
  <c r="AA1088" i="2" s="1"/>
  <c r="AC1087" i="2"/>
  <c r="L1087" i="2" s="1"/>
  <c r="AB1087" i="2"/>
  <c r="AA1087" i="2" s="1"/>
  <c r="AC1086" i="2"/>
  <c r="L1086" i="2" s="1"/>
  <c r="AB1086" i="2"/>
  <c r="AA1086" i="2" s="1"/>
  <c r="AC1085" i="2"/>
  <c r="L1085" i="2" s="1"/>
  <c r="AB1085" i="2"/>
  <c r="AA1085" i="2" s="1"/>
  <c r="AC1084" i="2"/>
  <c r="L1084" i="2" s="1"/>
  <c r="AB1084" i="2"/>
  <c r="K1084" i="2" s="1"/>
  <c r="AC1083" i="2"/>
  <c r="L1083" i="2" s="1"/>
  <c r="AB1083" i="2"/>
  <c r="AA1083" i="2" s="1"/>
  <c r="AC1082" i="2"/>
  <c r="L1082" i="2" s="1"/>
  <c r="AB1082" i="2"/>
  <c r="AA1082" i="2" s="1"/>
  <c r="AC1081" i="2"/>
  <c r="L1081" i="2" s="1"/>
  <c r="AB1081" i="2"/>
  <c r="AA1081" i="2" s="1"/>
  <c r="AC1080" i="2"/>
  <c r="L1080" i="2" s="1"/>
  <c r="AB1080" i="2"/>
  <c r="AA1080" i="2" s="1"/>
  <c r="AC1079" i="2"/>
  <c r="L1079" i="2" s="1"/>
  <c r="AB1079" i="2"/>
  <c r="AA1079" i="2" s="1"/>
  <c r="AC1078" i="2"/>
  <c r="L1078" i="2" s="1"/>
  <c r="AB1078" i="2"/>
  <c r="AA1078" i="2" s="1"/>
  <c r="AC1077" i="2"/>
  <c r="L1077" i="2" s="1"/>
  <c r="AB1077" i="2"/>
  <c r="AA1077" i="2" s="1"/>
  <c r="AC1076" i="2"/>
  <c r="L1076" i="2" s="1"/>
  <c r="AB1076" i="2"/>
  <c r="AC1075" i="2"/>
  <c r="L1075" i="2" s="1"/>
  <c r="AB1075" i="2"/>
  <c r="AC1074" i="2"/>
  <c r="L1074" i="2" s="1"/>
  <c r="AB1074" i="2"/>
  <c r="AA1074" i="2" s="1"/>
  <c r="AC1073" i="2"/>
  <c r="L1073" i="2" s="1"/>
  <c r="AB1073" i="2"/>
  <c r="AA1073" i="2" s="1"/>
  <c r="AC1072" i="2"/>
  <c r="L1072" i="2" s="1"/>
  <c r="AB1072" i="2"/>
  <c r="K1072" i="2" s="1"/>
  <c r="AC1071" i="2"/>
  <c r="L1071" i="2" s="1"/>
  <c r="AB1071" i="2"/>
  <c r="K1071" i="2" s="1"/>
  <c r="AC1070" i="2"/>
  <c r="L1070" i="2" s="1"/>
  <c r="AB1070" i="2"/>
  <c r="K1070" i="2" s="1"/>
  <c r="AC1069" i="2"/>
  <c r="L1069" i="2" s="1"/>
  <c r="AB1069" i="2"/>
  <c r="AA1069" i="2" s="1"/>
  <c r="AC1068" i="2"/>
  <c r="L1068" i="2" s="1"/>
  <c r="AB1068" i="2"/>
  <c r="AA1068" i="2" s="1"/>
  <c r="AC1067" i="2"/>
  <c r="L1067" i="2" s="1"/>
  <c r="AB1067" i="2"/>
  <c r="AA1067" i="2" s="1"/>
  <c r="AC1066" i="2"/>
  <c r="L1066" i="2" s="1"/>
  <c r="AB1066" i="2"/>
  <c r="AA1066" i="2" s="1"/>
  <c r="AC1065" i="2"/>
  <c r="L1065" i="2" s="1"/>
  <c r="AB1065" i="2"/>
  <c r="AA1065" i="2" s="1"/>
  <c r="AC1064" i="2"/>
  <c r="L1064" i="2" s="1"/>
  <c r="AB1064" i="2"/>
  <c r="AA1064" i="2" s="1"/>
  <c r="AC1063" i="2"/>
  <c r="L1063" i="2" s="1"/>
  <c r="AB1063" i="2"/>
  <c r="AA1063" i="2" s="1"/>
  <c r="AC1062" i="2"/>
  <c r="L1062" i="2" s="1"/>
  <c r="AB1062" i="2"/>
  <c r="AC1061" i="2"/>
  <c r="L1061" i="2" s="1"/>
  <c r="AB1061" i="2"/>
  <c r="AA1061" i="2" s="1"/>
  <c r="AC1060" i="2"/>
  <c r="L1060" i="2" s="1"/>
  <c r="AB1060" i="2"/>
  <c r="AA1060" i="2" s="1"/>
  <c r="AC1059" i="2"/>
  <c r="L1059" i="2" s="1"/>
  <c r="AB1059" i="2"/>
  <c r="K1059" i="2" s="1"/>
  <c r="AC1058" i="2"/>
  <c r="L1058" i="2" s="1"/>
  <c r="AB1058" i="2"/>
  <c r="K1058" i="2" s="1"/>
  <c r="AC1057" i="2"/>
  <c r="L1057" i="2" s="1"/>
  <c r="AB1057" i="2"/>
  <c r="AA1057" i="2" s="1"/>
  <c r="AC1056" i="2"/>
  <c r="L1056" i="2" s="1"/>
  <c r="AB1056" i="2"/>
  <c r="AA1056" i="2" s="1"/>
  <c r="AC1055" i="2"/>
  <c r="L1055" i="2" s="1"/>
  <c r="AB1055" i="2"/>
  <c r="AA1055" i="2" s="1"/>
  <c r="AC1054" i="2"/>
  <c r="L1054" i="2" s="1"/>
  <c r="AB1054" i="2"/>
  <c r="AA1054" i="2" s="1"/>
  <c r="AC1053" i="2"/>
  <c r="L1053" i="2" s="1"/>
  <c r="AB1053" i="2"/>
  <c r="K1053" i="2" s="1"/>
  <c r="AC1052" i="2"/>
  <c r="L1052" i="2" s="1"/>
  <c r="AB1052" i="2"/>
  <c r="AA1052" i="2" s="1"/>
  <c r="AC1051" i="2"/>
  <c r="L1051" i="2" s="1"/>
  <c r="AB1051" i="2"/>
  <c r="AA1051" i="2" s="1"/>
  <c r="AC1050" i="2"/>
  <c r="L1050" i="2" s="1"/>
  <c r="AB1050" i="2"/>
  <c r="AA1050" i="2" s="1"/>
  <c r="AC1049" i="2"/>
  <c r="L1049" i="2" s="1"/>
  <c r="AB1049" i="2"/>
  <c r="AA1049" i="2" s="1"/>
  <c r="AC1048" i="2"/>
  <c r="L1048" i="2" s="1"/>
  <c r="AB1048" i="2"/>
  <c r="AA1048" i="2" s="1"/>
  <c r="AC1047" i="2"/>
  <c r="L1047" i="2" s="1"/>
  <c r="AB1047" i="2"/>
  <c r="AA1047" i="2" s="1"/>
  <c r="AC1046" i="2"/>
  <c r="L1046" i="2" s="1"/>
  <c r="AB1046" i="2"/>
  <c r="AA1046" i="2" s="1"/>
  <c r="AC1045" i="2"/>
  <c r="L1045" i="2" s="1"/>
  <c r="AB1045" i="2"/>
  <c r="K1045" i="2" s="1"/>
  <c r="AC1044" i="2"/>
  <c r="L1044" i="2" s="1"/>
  <c r="AB1044" i="2"/>
  <c r="AC1043" i="2"/>
  <c r="L1043" i="2" s="1"/>
  <c r="AB1043" i="2"/>
  <c r="AA1043" i="2" s="1"/>
  <c r="AC1042" i="2"/>
  <c r="L1042" i="2" s="1"/>
  <c r="AB1042" i="2"/>
  <c r="AA1042" i="2" s="1"/>
  <c r="AC1041" i="2"/>
  <c r="L1041" i="2" s="1"/>
  <c r="AB1041" i="2"/>
  <c r="AA1041" i="2" s="1"/>
  <c r="AC1040" i="2"/>
  <c r="L1040" i="2" s="1"/>
  <c r="AB1040" i="2"/>
  <c r="AA1040" i="2" s="1"/>
  <c r="AC1039" i="2"/>
  <c r="L1039" i="2" s="1"/>
  <c r="AB1039" i="2"/>
  <c r="AA1039" i="2" s="1"/>
  <c r="AC1038" i="2"/>
  <c r="L1038" i="2" s="1"/>
  <c r="AB1038" i="2"/>
  <c r="AA1038" i="2" s="1"/>
  <c r="AC1037" i="2"/>
  <c r="L1037" i="2" s="1"/>
  <c r="AB1037" i="2"/>
  <c r="AA1037" i="2" s="1"/>
  <c r="AC1036" i="2"/>
  <c r="L1036" i="2" s="1"/>
  <c r="AB1036" i="2"/>
  <c r="K1036" i="2" s="1"/>
  <c r="AC1035" i="2"/>
  <c r="L1035" i="2" s="1"/>
  <c r="AB1035" i="2"/>
  <c r="AA1035" i="2" s="1"/>
  <c r="AC1034" i="2"/>
  <c r="L1034" i="2" s="1"/>
  <c r="AB1034" i="2"/>
  <c r="AA1034" i="2" s="1"/>
  <c r="AC1033" i="2"/>
  <c r="L1033" i="2" s="1"/>
  <c r="AB1033" i="2"/>
  <c r="AA1033" i="2" s="1"/>
  <c r="AC1032" i="2"/>
  <c r="L1032" i="2" s="1"/>
  <c r="AB1032" i="2"/>
  <c r="AA1032" i="2" s="1"/>
  <c r="AC1031" i="2"/>
  <c r="L1031" i="2" s="1"/>
  <c r="AB1031" i="2"/>
  <c r="AA1031" i="2" s="1"/>
  <c r="AC1030" i="2"/>
  <c r="L1030" i="2" s="1"/>
  <c r="AB1030" i="2"/>
  <c r="AA1030" i="2" s="1"/>
  <c r="AC1029" i="2"/>
  <c r="L1029" i="2" s="1"/>
  <c r="AB1029" i="2"/>
  <c r="AA1029" i="2" s="1"/>
  <c r="AC1028" i="2"/>
  <c r="L1028" i="2" s="1"/>
  <c r="AB1028" i="2"/>
  <c r="AA1028" i="2" s="1"/>
  <c r="AC1027" i="2"/>
  <c r="L1027" i="2" s="1"/>
  <c r="AB1027" i="2"/>
  <c r="K1027" i="2" s="1"/>
  <c r="AC1026" i="2"/>
  <c r="L1026" i="2" s="1"/>
  <c r="AB1026" i="2"/>
  <c r="AC1025" i="2"/>
  <c r="L1025" i="2" s="1"/>
  <c r="AB1025" i="2"/>
  <c r="AA1025" i="2" s="1"/>
  <c r="AC1024" i="2"/>
  <c r="L1024" i="2" s="1"/>
  <c r="AB1024" i="2"/>
  <c r="AA1024" i="2" s="1"/>
  <c r="AC1023" i="2"/>
  <c r="L1023" i="2" s="1"/>
  <c r="AB1023" i="2"/>
  <c r="AA1023" i="2" s="1"/>
  <c r="AC1022" i="2"/>
  <c r="L1022" i="2" s="1"/>
  <c r="AB1022" i="2"/>
  <c r="K1022" i="2" s="1"/>
  <c r="AC1021" i="2"/>
  <c r="L1021" i="2" s="1"/>
  <c r="AB1021" i="2"/>
  <c r="AA1021" i="2" s="1"/>
  <c r="AC1020" i="2"/>
  <c r="L1020" i="2" s="1"/>
  <c r="AB1020" i="2"/>
  <c r="AA1020" i="2" s="1"/>
  <c r="AC1019" i="2"/>
  <c r="L1019" i="2" s="1"/>
  <c r="AB1019" i="2"/>
  <c r="AA1019" i="2" s="1"/>
  <c r="AC1018" i="2"/>
  <c r="L1018" i="2" s="1"/>
  <c r="AB1018" i="2"/>
  <c r="AA1018" i="2" s="1"/>
  <c r="AC1017" i="2"/>
  <c r="L1017" i="2" s="1"/>
  <c r="AB1017" i="2"/>
  <c r="AA1017" i="2" s="1"/>
  <c r="AC1016" i="2"/>
  <c r="L1016" i="2" s="1"/>
  <c r="AB1016" i="2"/>
  <c r="AA1016" i="2" s="1"/>
  <c r="AC1015" i="2"/>
  <c r="L1015" i="2" s="1"/>
  <c r="AB1015" i="2"/>
  <c r="AA1015" i="2" s="1"/>
  <c r="AC1014" i="2"/>
  <c r="L1014" i="2" s="1"/>
  <c r="AB1014" i="2"/>
  <c r="K1014" i="2" s="1"/>
  <c r="AC1013" i="2"/>
  <c r="L1013" i="2" s="1"/>
  <c r="AB1013" i="2"/>
  <c r="AA1013" i="2" s="1"/>
  <c r="AC1012" i="2"/>
  <c r="L1012" i="2" s="1"/>
  <c r="AB1012" i="2"/>
  <c r="AA1012" i="2" s="1"/>
  <c r="AC1011" i="2"/>
  <c r="L1011" i="2" s="1"/>
  <c r="AB1011" i="2"/>
  <c r="K1011" i="2" s="1"/>
  <c r="AC1010" i="2"/>
  <c r="L1010" i="2" s="1"/>
  <c r="AB1010" i="2"/>
  <c r="K1010" i="2" s="1"/>
  <c r="AC1009" i="2"/>
  <c r="L1009" i="2" s="1"/>
  <c r="AB1009" i="2"/>
  <c r="AA1009" i="2" s="1"/>
  <c r="AC1008" i="2"/>
  <c r="L1008" i="2" s="1"/>
  <c r="AB1008" i="2"/>
  <c r="K1008" i="2" s="1"/>
  <c r="AC1007" i="2"/>
  <c r="L1007" i="2" s="1"/>
  <c r="AB1007" i="2"/>
  <c r="AA1007" i="2" s="1"/>
  <c r="AC1006" i="2"/>
  <c r="L1006" i="2" s="1"/>
  <c r="AB1006" i="2"/>
  <c r="AA1006" i="2" s="1"/>
  <c r="AC1005" i="2"/>
  <c r="L1005" i="2" s="1"/>
  <c r="AB1005" i="2"/>
  <c r="AA1005" i="2" s="1"/>
  <c r="AC1004" i="2"/>
  <c r="L1004" i="2" s="1"/>
  <c r="AB1004" i="2"/>
  <c r="AC1003" i="2"/>
  <c r="L1003" i="2" s="1"/>
  <c r="AB1003" i="2"/>
  <c r="AA1003" i="2" s="1"/>
  <c r="AC1002" i="2"/>
  <c r="L1002" i="2" s="1"/>
  <c r="AB1002" i="2"/>
  <c r="AA1002" i="2" s="1"/>
  <c r="AC1001" i="2"/>
  <c r="L1001" i="2" s="1"/>
  <c r="AB1001" i="2"/>
  <c r="AA1001" i="2" s="1"/>
  <c r="AC1000" i="2"/>
  <c r="L1000" i="2" s="1"/>
  <c r="AB1000" i="2"/>
  <c r="AC999" i="2"/>
  <c r="L999" i="2" s="1"/>
  <c r="AB999" i="2"/>
  <c r="AA999" i="2" s="1"/>
  <c r="AC998" i="2"/>
  <c r="L998" i="2" s="1"/>
  <c r="AB998" i="2"/>
  <c r="AA998" i="2" s="1"/>
  <c r="AC997" i="2"/>
  <c r="L997" i="2" s="1"/>
  <c r="AB997" i="2"/>
  <c r="K997" i="2" s="1"/>
  <c r="AC996" i="2"/>
  <c r="L996" i="2" s="1"/>
  <c r="AB996" i="2"/>
  <c r="K996" i="2" s="1"/>
  <c r="AC995" i="2"/>
  <c r="L995" i="2" s="1"/>
  <c r="AB995" i="2"/>
  <c r="AA995" i="2" s="1"/>
  <c r="AC994" i="2"/>
  <c r="L994" i="2" s="1"/>
  <c r="AB994" i="2"/>
  <c r="K994" i="2" s="1"/>
  <c r="AC993" i="2"/>
  <c r="L993" i="2" s="1"/>
  <c r="AB993" i="2"/>
  <c r="AA993" i="2" s="1"/>
  <c r="AC992" i="2"/>
  <c r="L992" i="2" s="1"/>
  <c r="AB992" i="2"/>
  <c r="K992" i="2" s="1"/>
  <c r="AC991" i="2"/>
  <c r="L991" i="2" s="1"/>
  <c r="AB991" i="2"/>
  <c r="AA991" i="2" s="1"/>
  <c r="AC990" i="2"/>
  <c r="L990" i="2" s="1"/>
  <c r="AB990" i="2"/>
  <c r="AA990" i="2" s="1"/>
  <c r="AC989" i="2"/>
  <c r="L989" i="2" s="1"/>
  <c r="AB989" i="2"/>
  <c r="K989" i="2" s="1"/>
  <c r="AC988" i="2"/>
  <c r="L988" i="2" s="1"/>
  <c r="AB988" i="2"/>
  <c r="K988" i="2" s="1"/>
  <c r="AC987" i="2"/>
  <c r="L987" i="2" s="1"/>
  <c r="AB987" i="2"/>
  <c r="AA987" i="2" s="1"/>
  <c r="AC986" i="2"/>
  <c r="L986" i="2" s="1"/>
  <c r="AB986" i="2"/>
  <c r="AA986" i="2" s="1"/>
  <c r="AC985" i="2"/>
  <c r="L985" i="2" s="1"/>
  <c r="AB985" i="2"/>
  <c r="AA985" i="2" s="1"/>
  <c r="AC984" i="2"/>
  <c r="L984" i="2" s="1"/>
  <c r="AB984" i="2"/>
  <c r="AA984" i="2" s="1"/>
  <c r="AC983" i="2"/>
  <c r="L983" i="2" s="1"/>
  <c r="AB983" i="2"/>
  <c r="AA983" i="2" s="1"/>
  <c r="AC982" i="2"/>
  <c r="L982" i="2" s="1"/>
  <c r="AB982" i="2"/>
  <c r="K982" i="2" s="1"/>
  <c r="AC981" i="2"/>
  <c r="L981" i="2" s="1"/>
  <c r="AB981" i="2"/>
  <c r="AA981" i="2" s="1"/>
  <c r="AC980" i="2"/>
  <c r="L980" i="2" s="1"/>
  <c r="AB980" i="2"/>
  <c r="K980" i="2" s="1"/>
  <c r="AC979" i="2"/>
  <c r="L979" i="2" s="1"/>
  <c r="AB979" i="2"/>
  <c r="AA979" i="2" s="1"/>
  <c r="AC978" i="2"/>
  <c r="L978" i="2" s="1"/>
  <c r="AB978" i="2"/>
  <c r="AC977" i="2"/>
  <c r="L977" i="2" s="1"/>
  <c r="AB977" i="2"/>
  <c r="AA977" i="2" s="1"/>
  <c r="AC976" i="2"/>
  <c r="L976" i="2" s="1"/>
  <c r="AB976" i="2"/>
  <c r="AA976" i="2" s="1"/>
  <c r="AC975" i="2"/>
  <c r="L975" i="2" s="1"/>
  <c r="AB975" i="2"/>
  <c r="K975" i="2" s="1"/>
  <c r="AC974" i="2"/>
  <c r="L974" i="2" s="1"/>
  <c r="AB974" i="2"/>
  <c r="K974" i="2" s="1"/>
  <c r="AC973" i="2"/>
  <c r="L973" i="2" s="1"/>
  <c r="AB973" i="2"/>
  <c r="AA973" i="2" s="1"/>
  <c r="AC972" i="2"/>
  <c r="L972" i="2" s="1"/>
  <c r="AB972" i="2"/>
  <c r="AA972" i="2" s="1"/>
  <c r="AC971" i="2"/>
  <c r="L971" i="2" s="1"/>
  <c r="AB971" i="2"/>
  <c r="AA971" i="2" s="1"/>
  <c r="AC970" i="2"/>
  <c r="L970" i="2" s="1"/>
  <c r="AB970" i="2"/>
  <c r="AC969" i="2"/>
  <c r="L969" i="2" s="1"/>
  <c r="AB969" i="2"/>
  <c r="AA969" i="2" s="1"/>
  <c r="AC968" i="2"/>
  <c r="L968" i="2" s="1"/>
  <c r="AB968" i="2"/>
  <c r="AA968" i="2" s="1"/>
  <c r="AC967" i="2"/>
  <c r="L967" i="2" s="1"/>
  <c r="AB967" i="2"/>
  <c r="K967" i="2" s="1"/>
  <c r="AC966" i="2"/>
  <c r="L966" i="2" s="1"/>
  <c r="AB966" i="2"/>
  <c r="K966" i="2" s="1"/>
  <c r="AC965" i="2"/>
  <c r="L965" i="2" s="1"/>
  <c r="AB965" i="2"/>
  <c r="K965" i="2" s="1"/>
  <c r="AC964" i="2"/>
  <c r="L964" i="2" s="1"/>
  <c r="AB964" i="2"/>
  <c r="AA964" i="2" s="1"/>
  <c r="AC963" i="2"/>
  <c r="L963" i="2" s="1"/>
  <c r="AB963" i="2"/>
  <c r="AA963" i="2" s="1"/>
  <c r="AC962" i="2"/>
  <c r="L962" i="2" s="1"/>
  <c r="AB962" i="2"/>
  <c r="AA962" i="2" s="1"/>
  <c r="AC961" i="2"/>
  <c r="L961" i="2" s="1"/>
  <c r="AB961" i="2"/>
  <c r="AA961" i="2" s="1"/>
  <c r="AC960" i="2"/>
  <c r="L960" i="2" s="1"/>
  <c r="AB960" i="2"/>
  <c r="AC959" i="2"/>
  <c r="L959" i="2" s="1"/>
  <c r="AB959" i="2"/>
  <c r="AA959" i="2" s="1"/>
  <c r="AC958" i="2"/>
  <c r="L958" i="2" s="1"/>
  <c r="AB958" i="2"/>
  <c r="AA958" i="2" s="1"/>
  <c r="AC957" i="2"/>
  <c r="L957" i="2" s="1"/>
  <c r="AB957" i="2"/>
  <c r="AA957" i="2" s="1"/>
  <c r="AC956" i="2"/>
  <c r="L956" i="2" s="1"/>
  <c r="AB956" i="2"/>
  <c r="K956" i="2" s="1"/>
  <c r="AC955" i="2"/>
  <c r="L955" i="2" s="1"/>
  <c r="AB955" i="2"/>
  <c r="AA955" i="2" s="1"/>
  <c r="AC954" i="2"/>
  <c r="L954" i="2" s="1"/>
  <c r="AB954" i="2"/>
  <c r="AA954" i="2" s="1"/>
  <c r="AC953" i="2"/>
  <c r="L953" i="2" s="1"/>
  <c r="AB953" i="2"/>
  <c r="K953" i="2" s="1"/>
  <c r="AC952" i="2"/>
  <c r="L952" i="2" s="1"/>
  <c r="AB952" i="2"/>
  <c r="K952" i="2" s="1"/>
  <c r="AC951" i="2"/>
  <c r="L951" i="2" s="1"/>
  <c r="AB951" i="2"/>
  <c r="AA951" i="2" s="1"/>
  <c r="AC950" i="2"/>
  <c r="L950" i="2" s="1"/>
  <c r="AB950" i="2"/>
  <c r="AA950" i="2" s="1"/>
  <c r="AC949" i="2"/>
  <c r="L949" i="2" s="1"/>
  <c r="AB949" i="2"/>
  <c r="AA949" i="2" s="1"/>
  <c r="AC948" i="2"/>
  <c r="L948" i="2" s="1"/>
  <c r="AB948" i="2"/>
  <c r="K948" i="2" s="1"/>
  <c r="AC947" i="2"/>
  <c r="L947" i="2" s="1"/>
  <c r="AB947" i="2"/>
  <c r="AA947" i="2" s="1"/>
  <c r="AC946" i="2"/>
  <c r="L946" i="2" s="1"/>
  <c r="AB946" i="2"/>
  <c r="AA946" i="2" s="1"/>
  <c r="AC945" i="2"/>
  <c r="L945" i="2" s="1"/>
  <c r="AB945" i="2"/>
  <c r="AA945" i="2" s="1"/>
  <c r="AC944" i="2"/>
  <c r="L944" i="2" s="1"/>
  <c r="AB944" i="2"/>
  <c r="K944" i="2" s="1"/>
  <c r="AC943" i="2"/>
  <c r="L943" i="2" s="1"/>
  <c r="AB943" i="2"/>
  <c r="AC942" i="2"/>
  <c r="L942" i="2" s="1"/>
  <c r="AB942" i="2"/>
  <c r="AA942" i="2" s="1"/>
  <c r="AC941" i="2"/>
  <c r="L941" i="2" s="1"/>
  <c r="AB941" i="2"/>
  <c r="AA941" i="2" s="1"/>
  <c r="AC940" i="2"/>
  <c r="L940" i="2" s="1"/>
  <c r="AB940" i="2"/>
  <c r="AA940" i="2" s="1"/>
  <c r="AC939" i="2"/>
  <c r="L939" i="2" s="1"/>
  <c r="AB939" i="2"/>
  <c r="K939" i="2" s="1"/>
  <c r="AC938" i="2"/>
  <c r="L938" i="2" s="1"/>
  <c r="AB938" i="2"/>
  <c r="AA938" i="2" s="1"/>
  <c r="AC937" i="2"/>
  <c r="L937" i="2" s="1"/>
  <c r="AB937" i="2"/>
  <c r="AA937" i="2" s="1"/>
  <c r="AC936" i="2"/>
  <c r="L936" i="2" s="1"/>
  <c r="AB936" i="2"/>
  <c r="AA936" i="2" s="1"/>
  <c r="AC935" i="2"/>
  <c r="L935" i="2" s="1"/>
  <c r="AB935" i="2"/>
  <c r="AA935" i="2" s="1"/>
  <c r="AC934" i="2"/>
  <c r="L934" i="2" s="1"/>
  <c r="AB934" i="2"/>
  <c r="K934" i="2" s="1"/>
  <c r="AC933" i="2"/>
  <c r="L933" i="2" s="1"/>
  <c r="AB933" i="2"/>
  <c r="AA933" i="2" s="1"/>
  <c r="AC932" i="2"/>
  <c r="L932" i="2" s="1"/>
  <c r="AB932" i="2"/>
  <c r="AA932" i="2" s="1"/>
  <c r="AC931" i="2"/>
  <c r="L931" i="2" s="1"/>
  <c r="AB931" i="2"/>
  <c r="AA931" i="2" s="1"/>
  <c r="AC930" i="2"/>
  <c r="L930" i="2" s="1"/>
  <c r="AB930" i="2"/>
  <c r="AC929" i="2"/>
  <c r="L929" i="2" s="1"/>
  <c r="AB929" i="2"/>
  <c r="AA929" i="2" s="1"/>
  <c r="AC928" i="2"/>
  <c r="L928" i="2" s="1"/>
  <c r="AB928" i="2"/>
  <c r="AA928" i="2" s="1"/>
  <c r="AC927" i="2"/>
  <c r="L927" i="2" s="1"/>
  <c r="AB927" i="2"/>
  <c r="AA927" i="2" s="1"/>
  <c r="AC926" i="2"/>
  <c r="L926" i="2" s="1"/>
  <c r="AB926" i="2"/>
  <c r="K926" i="2" s="1"/>
  <c r="AC925" i="2"/>
  <c r="L925" i="2" s="1"/>
  <c r="AB925" i="2"/>
  <c r="AA925" i="2" s="1"/>
  <c r="AC924" i="2"/>
  <c r="L924" i="2" s="1"/>
  <c r="AB924" i="2"/>
  <c r="AA924" i="2" s="1"/>
  <c r="AC923" i="2"/>
  <c r="L923" i="2" s="1"/>
  <c r="AB923" i="2"/>
  <c r="K923" i="2" s="1"/>
  <c r="AC922" i="2"/>
  <c r="L922" i="2" s="1"/>
  <c r="AB922" i="2"/>
  <c r="AC921" i="2"/>
  <c r="L921" i="2" s="1"/>
  <c r="AB921" i="2"/>
  <c r="K921" i="2" s="1"/>
  <c r="AC920" i="2"/>
  <c r="L920" i="2" s="1"/>
  <c r="AB920" i="2"/>
  <c r="AA920" i="2" s="1"/>
  <c r="AC919" i="2"/>
  <c r="L919" i="2" s="1"/>
  <c r="AB919" i="2"/>
  <c r="K919" i="2" s="1"/>
  <c r="AC918" i="2"/>
  <c r="L918" i="2" s="1"/>
  <c r="AB918" i="2"/>
  <c r="K918" i="2" s="1"/>
  <c r="AC917" i="2"/>
  <c r="L917" i="2" s="1"/>
  <c r="AB917" i="2"/>
  <c r="K917" i="2" s="1"/>
  <c r="AC916" i="2"/>
  <c r="L916" i="2" s="1"/>
  <c r="AB916" i="2"/>
  <c r="AA916" i="2" s="1"/>
  <c r="AC915" i="2"/>
  <c r="L915" i="2" s="1"/>
  <c r="AB915" i="2"/>
  <c r="AA915" i="2" s="1"/>
  <c r="AC914" i="2"/>
  <c r="L914" i="2" s="1"/>
  <c r="AB914" i="2"/>
  <c r="AA914" i="2" s="1"/>
  <c r="AC913" i="2"/>
  <c r="L913" i="2" s="1"/>
  <c r="AB913" i="2"/>
  <c r="AA913" i="2" s="1"/>
  <c r="AC912" i="2"/>
  <c r="L912" i="2" s="1"/>
  <c r="AB912" i="2"/>
  <c r="K912" i="2" s="1"/>
  <c r="AC911" i="2"/>
  <c r="L911" i="2" s="1"/>
  <c r="AB911" i="2"/>
  <c r="AA911" i="2" s="1"/>
  <c r="AC910" i="2"/>
  <c r="L910" i="2" s="1"/>
  <c r="AB910" i="2"/>
  <c r="AA910" i="2" s="1"/>
  <c r="AC909" i="2"/>
  <c r="L909" i="2" s="1"/>
  <c r="AB909" i="2"/>
  <c r="AA909" i="2" s="1"/>
  <c r="AC908" i="2"/>
  <c r="L908" i="2" s="1"/>
  <c r="AB908" i="2"/>
  <c r="K908" i="2" s="1"/>
  <c r="AC907" i="2"/>
  <c r="L907" i="2" s="1"/>
  <c r="AB907" i="2"/>
  <c r="AA907" i="2" s="1"/>
  <c r="AC906" i="2"/>
  <c r="L906" i="2" s="1"/>
  <c r="AB906" i="2"/>
  <c r="AA906" i="2" s="1"/>
  <c r="AC905" i="2"/>
  <c r="L905" i="2" s="1"/>
  <c r="AB905" i="2"/>
  <c r="AA905" i="2" s="1"/>
  <c r="AC904" i="2"/>
  <c r="L904" i="2" s="1"/>
  <c r="AB904" i="2"/>
  <c r="AC903" i="2"/>
  <c r="L903" i="2" s="1"/>
  <c r="AB903" i="2"/>
  <c r="AA903" i="2" s="1"/>
  <c r="AC902" i="2"/>
  <c r="L902" i="2" s="1"/>
  <c r="AB902" i="2"/>
  <c r="AA902" i="2" s="1"/>
  <c r="AC901" i="2"/>
  <c r="L901" i="2" s="1"/>
  <c r="AB901" i="2"/>
  <c r="AA901" i="2" s="1"/>
  <c r="AC900" i="2"/>
  <c r="L900" i="2" s="1"/>
  <c r="AB900" i="2"/>
  <c r="AA900" i="2" s="1"/>
  <c r="AC899" i="2"/>
  <c r="L899" i="2" s="1"/>
  <c r="AB899" i="2"/>
  <c r="K899" i="2" s="1"/>
  <c r="AC898" i="2"/>
  <c r="L898" i="2" s="1"/>
  <c r="AB898" i="2"/>
  <c r="AA898" i="2" s="1"/>
  <c r="AC897" i="2"/>
  <c r="L897" i="2" s="1"/>
  <c r="AB897" i="2"/>
  <c r="AA897" i="2" s="1"/>
  <c r="AC896" i="2"/>
  <c r="L896" i="2" s="1"/>
  <c r="AB896" i="2"/>
  <c r="K896" i="2" s="1"/>
  <c r="AC895" i="2"/>
  <c r="L895" i="2" s="1"/>
  <c r="AB895" i="2"/>
  <c r="AA895" i="2" s="1"/>
  <c r="AC894" i="2"/>
  <c r="L894" i="2" s="1"/>
  <c r="AB894" i="2"/>
  <c r="AA894" i="2" s="1"/>
  <c r="AC893" i="2"/>
  <c r="L893" i="2" s="1"/>
  <c r="AB893" i="2"/>
  <c r="AA893" i="2" s="1"/>
  <c r="AC892" i="2"/>
  <c r="L892" i="2" s="1"/>
  <c r="AB892" i="2"/>
  <c r="AA892" i="2" s="1"/>
  <c r="AC891" i="2"/>
  <c r="L891" i="2" s="1"/>
  <c r="AB891" i="2"/>
  <c r="AA891" i="2" s="1"/>
  <c r="AC890" i="2"/>
  <c r="L890" i="2" s="1"/>
  <c r="AB890" i="2"/>
  <c r="K890" i="2" s="1"/>
  <c r="AC889" i="2"/>
  <c r="L889" i="2" s="1"/>
  <c r="AB889" i="2"/>
  <c r="AA889" i="2" s="1"/>
  <c r="AC888" i="2"/>
  <c r="L888" i="2" s="1"/>
  <c r="AB888" i="2"/>
  <c r="AA888" i="2" s="1"/>
  <c r="AC887" i="2"/>
  <c r="L887" i="2" s="1"/>
  <c r="AB887" i="2"/>
  <c r="AA887" i="2" s="1"/>
  <c r="AC886" i="2"/>
  <c r="L886" i="2" s="1"/>
  <c r="AB886" i="2"/>
  <c r="K886" i="2" s="1"/>
  <c r="AC885" i="2"/>
  <c r="L885" i="2" s="1"/>
  <c r="AB885" i="2"/>
  <c r="AA885" i="2" s="1"/>
  <c r="AC884" i="2"/>
  <c r="L884" i="2" s="1"/>
  <c r="AB884" i="2"/>
  <c r="AA884" i="2" s="1"/>
  <c r="AC883" i="2"/>
  <c r="L883" i="2" s="1"/>
  <c r="AB883" i="2"/>
  <c r="AA883" i="2" s="1"/>
  <c r="AC882" i="2"/>
  <c r="L882" i="2" s="1"/>
  <c r="AB882" i="2"/>
  <c r="AA882" i="2" s="1"/>
  <c r="AC881" i="2"/>
  <c r="L881" i="2" s="1"/>
  <c r="AB881" i="2"/>
  <c r="AA881" i="2" s="1"/>
  <c r="AC880" i="2"/>
  <c r="L880" i="2" s="1"/>
  <c r="AB880" i="2"/>
  <c r="AA880" i="2" s="1"/>
  <c r="AC879" i="2"/>
  <c r="L879" i="2" s="1"/>
  <c r="AB879" i="2"/>
  <c r="AA879" i="2" s="1"/>
  <c r="AC878" i="2"/>
  <c r="L878" i="2" s="1"/>
  <c r="AB878" i="2"/>
  <c r="AA878" i="2" s="1"/>
  <c r="AC877" i="2"/>
  <c r="L877" i="2" s="1"/>
  <c r="AB877" i="2"/>
  <c r="AA877" i="2" s="1"/>
  <c r="AC876" i="2"/>
  <c r="L876" i="2" s="1"/>
  <c r="AB876" i="2"/>
  <c r="AA876" i="2" s="1"/>
  <c r="AC875" i="2"/>
  <c r="L875" i="2" s="1"/>
  <c r="AB875" i="2"/>
  <c r="AA875" i="2" s="1"/>
  <c r="AC874" i="2"/>
  <c r="L874" i="2" s="1"/>
  <c r="AB874" i="2"/>
  <c r="K874" i="2" s="1"/>
  <c r="AC873" i="2"/>
  <c r="L873" i="2" s="1"/>
  <c r="AB873" i="2"/>
  <c r="K873" i="2" s="1"/>
  <c r="AC872" i="2"/>
  <c r="L872" i="2" s="1"/>
  <c r="AB872" i="2"/>
  <c r="AC871" i="2"/>
  <c r="L871" i="2" s="1"/>
  <c r="AB871" i="2"/>
  <c r="AA871" i="2" s="1"/>
  <c r="AC870" i="2"/>
  <c r="L870" i="2" s="1"/>
  <c r="AB870" i="2"/>
  <c r="AA870" i="2" s="1"/>
  <c r="AC869" i="2"/>
  <c r="L869" i="2" s="1"/>
  <c r="AB869" i="2"/>
  <c r="AA869" i="2" s="1"/>
  <c r="AC868" i="2"/>
  <c r="L868" i="2" s="1"/>
  <c r="AB868" i="2"/>
  <c r="AA868" i="2" s="1"/>
  <c r="AC867" i="2"/>
  <c r="L867" i="2" s="1"/>
  <c r="AB867" i="2"/>
  <c r="AA867" i="2" s="1"/>
  <c r="AC866" i="2"/>
  <c r="L866" i="2" s="1"/>
  <c r="AB866" i="2"/>
  <c r="AA866" i="2" s="1"/>
  <c r="AC865" i="2"/>
  <c r="L865" i="2" s="1"/>
  <c r="AB865" i="2"/>
  <c r="AA865" i="2" s="1"/>
  <c r="AC864" i="2"/>
  <c r="L864" i="2" s="1"/>
  <c r="AB864" i="2"/>
  <c r="AA864" i="2" s="1"/>
  <c r="AC863" i="2"/>
  <c r="L863" i="2" s="1"/>
  <c r="AB863" i="2"/>
  <c r="AA863" i="2" s="1"/>
  <c r="AC862" i="2"/>
  <c r="L862" i="2" s="1"/>
  <c r="AB862" i="2"/>
  <c r="K862" i="2" s="1"/>
  <c r="AC861" i="2"/>
  <c r="L861" i="2" s="1"/>
  <c r="AB861" i="2"/>
  <c r="K861" i="2" s="1"/>
  <c r="AC860" i="2"/>
  <c r="L860" i="2" s="1"/>
  <c r="AB860" i="2"/>
  <c r="K860" i="2" s="1"/>
  <c r="AC859" i="2"/>
  <c r="L859" i="2" s="1"/>
  <c r="AB859" i="2"/>
  <c r="AA859" i="2" s="1"/>
  <c r="AC858" i="2"/>
  <c r="L858" i="2" s="1"/>
  <c r="AB858" i="2"/>
  <c r="K858" i="2" s="1"/>
  <c r="AC857" i="2"/>
  <c r="L857" i="2" s="1"/>
  <c r="AB857" i="2"/>
  <c r="AA857" i="2" s="1"/>
  <c r="AC856" i="2"/>
  <c r="L856" i="2" s="1"/>
  <c r="AB856" i="2"/>
  <c r="K856" i="2" s="1"/>
  <c r="AC855" i="2"/>
  <c r="L855" i="2" s="1"/>
  <c r="AB855" i="2"/>
  <c r="AC854" i="2"/>
  <c r="L854" i="2" s="1"/>
  <c r="AB854" i="2"/>
  <c r="AA854" i="2" s="1"/>
  <c r="AC853" i="2"/>
  <c r="L853" i="2" s="1"/>
  <c r="AB853" i="2"/>
  <c r="AA853" i="2" s="1"/>
  <c r="AC852" i="2"/>
  <c r="L852" i="2" s="1"/>
  <c r="AB852" i="2"/>
  <c r="K852" i="2" s="1"/>
  <c r="AC851" i="2"/>
  <c r="L851" i="2" s="1"/>
  <c r="AB851" i="2"/>
  <c r="AC850" i="2"/>
  <c r="L850" i="2" s="1"/>
  <c r="AB850" i="2"/>
  <c r="K850" i="2" s="1"/>
  <c r="AC849" i="2"/>
  <c r="L849" i="2" s="1"/>
  <c r="AB849" i="2"/>
  <c r="AA849" i="2" s="1"/>
  <c r="AC848" i="2"/>
  <c r="L848" i="2" s="1"/>
  <c r="AB848" i="2"/>
  <c r="AA848" i="2" s="1"/>
  <c r="AC847" i="2"/>
  <c r="L847" i="2" s="1"/>
  <c r="AB847" i="2"/>
  <c r="AA847" i="2" s="1"/>
  <c r="AC846" i="2"/>
  <c r="L846" i="2" s="1"/>
  <c r="AB846" i="2"/>
  <c r="AA846" i="2" s="1"/>
  <c r="AC845" i="2"/>
  <c r="L845" i="2" s="1"/>
  <c r="AB845" i="2"/>
  <c r="AA845" i="2" s="1"/>
  <c r="AC844" i="2"/>
  <c r="L844" i="2" s="1"/>
  <c r="AB844" i="2"/>
  <c r="AA844" i="2" s="1"/>
  <c r="AC843" i="2"/>
  <c r="L843" i="2" s="1"/>
  <c r="AB843" i="2"/>
  <c r="AA843" i="2" s="1"/>
  <c r="AC842" i="2"/>
  <c r="L842" i="2" s="1"/>
  <c r="AB842" i="2"/>
  <c r="K842" i="2" s="1"/>
  <c r="AC841" i="2"/>
  <c r="L841" i="2" s="1"/>
  <c r="AB841" i="2"/>
  <c r="AA841" i="2" s="1"/>
  <c r="AC840" i="2"/>
  <c r="L840" i="2" s="1"/>
  <c r="AB840" i="2"/>
  <c r="AA840" i="2" s="1"/>
  <c r="AC839" i="2"/>
  <c r="L839" i="2" s="1"/>
  <c r="AB839" i="2"/>
  <c r="AC838" i="2"/>
  <c r="L838" i="2" s="1"/>
  <c r="AB838" i="2"/>
  <c r="K838" i="2" s="1"/>
  <c r="AC837" i="2"/>
  <c r="L837" i="2" s="1"/>
  <c r="AB837" i="2"/>
  <c r="AA837" i="2" s="1"/>
  <c r="AC836" i="2"/>
  <c r="L836" i="2" s="1"/>
  <c r="AB836" i="2"/>
  <c r="AA836" i="2" s="1"/>
  <c r="AC835" i="2"/>
  <c r="L835" i="2" s="1"/>
  <c r="AB835" i="2"/>
  <c r="AA835" i="2" s="1"/>
  <c r="AC834" i="2"/>
  <c r="L834" i="2" s="1"/>
  <c r="AB834" i="2"/>
  <c r="AA834" i="2" s="1"/>
  <c r="AC833" i="2"/>
  <c r="L833" i="2" s="1"/>
  <c r="AB833" i="2"/>
  <c r="AC832" i="2"/>
  <c r="L832" i="2" s="1"/>
  <c r="AB832" i="2"/>
  <c r="AA832" i="2" s="1"/>
  <c r="AC831" i="2"/>
  <c r="L831" i="2" s="1"/>
  <c r="AB831" i="2"/>
  <c r="AA831" i="2" s="1"/>
  <c r="AC830" i="2"/>
  <c r="L830" i="2" s="1"/>
  <c r="AB830" i="2"/>
  <c r="AA830" i="2" s="1"/>
  <c r="AC829" i="2"/>
  <c r="L829" i="2" s="1"/>
  <c r="AB829" i="2"/>
  <c r="AA829" i="2" s="1"/>
  <c r="AC828" i="2"/>
  <c r="L828" i="2" s="1"/>
  <c r="AB828" i="2"/>
  <c r="K828" i="2" s="1"/>
  <c r="AC827" i="2"/>
  <c r="L827" i="2" s="1"/>
  <c r="AB827" i="2"/>
  <c r="AA827" i="2" s="1"/>
  <c r="AC826" i="2"/>
  <c r="L826" i="2" s="1"/>
  <c r="AB826" i="2"/>
  <c r="K826" i="2" s="1"/>
  <c r="AC825" i="2"/>
  <c r="L825" i="2" s="1"/>
  <c r="AB825" i="2"/>
  <c r="AC824" i="2"/>
  <c r="L824" i="2" s="1"/>
  <c r="AB824" i="2"/>
  <c r="AC823" i="2"/>
  <c r="L823" i="2" s="1"/>
  <c r="AB823" i="2"/>
  <c r="AA823" i="2" s="1"/>
  <c r="AC822" i="2"/>
  <c r="L822" i="2" s="1"/>
  <c r="AB822" i="2"/>
  <c r="AA822" i="2" s="1"/>
  <c r="AC821" i="2"/>
  <c r="L821" i="2" s="1"/>
  <c r="AB821" i="2"/>
  <c r="AA821" i="2" s="1"/>
  <c r="AC820" i="2"/>
  <c r="L820" i="2" s="1"/>
  <c r="AB820" i="2"/>
  <c r="AA820" i="2" s="1"/>
  <c r="AC819" i="2"/>
  <c r="L819" i="2" s="1"/>
  <c r="AB819" i="2"/>
  <c r="AA819" i="2" s="1"/>
  <c r="AC818" i="2"/>
  <c r="L818" i="2" s="1"/>
  <c r="AB818" i="2"/>
  <c r="AA818" i="2" s="1"/>
  <c r="AC817" i="2"/>
  <c r="L817" i="2" s="1"/>
  <c r="AB817" i="2"/>
  <c r="AA817" i="2" s="1"/>
  <c r="AC816" i="2"/>
  <c r="L816" i="2" s="1"/>
  <c r="AB816" i="2"/>
  <c r="K816" i="2" s="1"/>
  <c r="AC815" i="2"/>
  <c r="L815" i="2" s="1"/>
  <c r="AB815" i="2"/>
  <c r="AA815" i="2" s="1"/>
  <c r="AC814" i="2"/>
  <c r="L814" i="2" s="1"/>
  <c r="AB814" i="2"/>
  <c r="AA814" i="2" s="1"/>
  <c r="AC813" i="2"/>
  <c r="L813" i="2" s="1"/>
  <c r="AB813" i="2"/>
  <c r="K813" i="2" s="1"/>
  <c r="AC812" i="2"/>
  <c r="L812" i="2" s="1"/>
  <c r="AB812" i="2"/>
  <c r="K812" i="2" s="1"/>
  <c r="AC811" i="2"/>
  <c r="L811" i="2" s="1"/>
  <c r="AB811" i="2"/>
  <c r="K811" i="2" s="1"/>
  <c r="AC810" i="2"/>
  <c r="L810" i="2" s="1"/>
  <c r="AB810" i="2"/>
  <c r="AA810" i="2" s="1"/>
  <c r="AC809" i="2"/>
  <c r="L809" i="2" s="1"/>
  <c r="AB809" i="2"/>
  <c r="AA809" i="2" s="1"/>
  <c r="AC808" i="2"/>
  <c r="L808" i="2" s="1"/>
  <c r="AB808" i="2"/>
  <c r="AA808" i="2" s="1"/>
  <c r="AC807" i="2"/>
  <c r="L807" i="2" s="1"/>
  <c r="AB807" i="2"/>
  <c r="AA807" i="2" s="1"/>
  <c r="AC806" i="2"/>
  <c r="L806" i="2" s="1"/>
  <c r="AB806" i="2"/>
  <c r="K806" i="2" s="1"/>
  <c r="AC805" i="2"/>
  <c r="L805" i="2" s="1"/>
  <c r="AB805" i="2"/>
  <c r="AA805" i="2" s="1"/>
  <c r="AC804" i="2"/>
  <c r="L804" i="2" s="1"/>
  <c r="AB804" i="2"/>
  <c r="AA804" i="2" s="1"/>
  <c r="AC803" i="2"/>
  <c r="L803" i="2" s="1"/>
  <c r="AB803" i="2"/>
  <c r="AA803" i="2" s="1"/>
  <c r="AC802" i="2"/>
  <c r="L802" i="2" s="1"/>
  <c r="AB802" i="2"/>
  <c r="K802" i="2" s="1"/>
  <c r="AC801" i="2"/>
  <c r="L801" i="2" s="1"/>
  <c r="AB801" i="2"/>
  <c r="AA801" i="2" s="1"/>
  <c r="AC800" i="2"/>
  <c r="L800" i="2" s="1"/>
  <c r="AB800" i="2"/>
  <c r="K800" i="2" s="1"/>
  <c r="AC799" i="2"/>
  <c r="L799" i="2" s="1"/>
  <c r="AB799" i="2"/>
  <c r="AC798" i="2"/>
  <c r="L798" i="2" s="1"/>
  <c r="AB798" i="2"/>
  <c r="AC797" i="2"/>
  <c r="L797" i="2" s="1"/>
  <c r="AB797" i="2"/>
  <c r="AA797" i="2" s="1"/>
  <c r="AC796" i="2"/>
  <c r="L796" i="2" s="1"/>
  <c r="AB796" i="2"/>
  <c r="AA796" i="2" s="1"/>
  <c r="AC795" i="2"/>
  <c r="L795" i="2" s="1"/>
  <c r="AB795" i="2"/>
  <c r="AA795" i="2" s="1"/>
  <c r="AC794" i="2"/>
  <c r="L794" i="2" s="1"/>
  <c r="AB794" i="2"/>
  <c r="AC793" i="2"/>
  <c r="L793" i="2" s="1"/>
  <c r="AB793" i="2"/>
  <c r="AA793" i="2" s="1"/>
  <c r="AC792" i="2"/>
  <c r="L792" i="2" s="1"/>
  <c r="AB792" i="2"/>
  <c r="AA792" i="2" s="1"/>
  <c r="AC791" i="2"/>
  <c r="L791" i="2" s="1"/>
  <c r="AB791" i="2"/>
  <c r="AA791" i="2" s="1"/>
  <c r="AC790" i="2"/>
  <c r="L790" i="2" s="1"/>
  <c r="AB790" i="2"/>
  <c r="AA790" i="2" s="1"/>
  <c r="AC789" i="2"/>
  <c r="L789" i="2" s="1"/>
  <c r="AB789" i="2"/>
  <c r="AA789" i="2" s="1"/>
  <c r="AC788" i="2"/>
  <c r="L788" i="2" s="1"/>
  <c r="AB788" i="2"/>
  <c r="AA788" i="2" s="1"/>
  <c r="AC787" i="2"/>
  <c r="L787" i="2" s="1"/>
  <c r="AB787" i="2"/>
  <c r="AA787" i="2" s="1"/>
  <c r="AC786" i="2"/>
  <c r="L786" i="2" s="1"/>
  <c r="AB786" i="2"/>
  <c r="AA786" i="2" s="1"/>
  <c r="AC785" i="2"/>
  <c r="L785" i="2" s="1"/>
  <c r="AB785" i="2"/>
  <c r="K785" i="2" s="1"/>
  <c r="AC784" i="2"/>
  <c r="L784" i="2" s="1"/>
  <c r="AB784" i="2"/>
  <c r="K784" i="2" s="1"/>
  <c r="AC783" i="2"/>
  <c r="L783" i="2" s="1"/>
  <c r="AB783" i="2"/>
  <c r="AA783" i="2" s="1"/>
  <c r="AC782" i="2"/>
  <c r="L782" i="2" s="1"/>
  <c r="AB782" i="2"/>
  <c r="AA782" i="2" s="1"/>
  <c r="AC781" i="2"/>
  <c r="L781" i="2" s="1"/>
  <c r="AB781" i="2"/>
  <c r="AA781" i="2" s="1"/>
  <c r="AC780" i="2"/>
  <c r="L780" i="2" s="1"/>
  <c r="AB780" i="2"/>
  <c r="AC779" i="2"/>
  <c r="L779" i="2" s="1"/>
  <c r="AB779" i="2"/>
  <c r="AA779" i="2" s="1"/>
  <c r="AC778" i="2"/>
  <c r="L778" i="2" s="1"/>
  <c r="AB778" i="2"/>
  <c r="AA778" i="2" s="1"/>
  <c r="AC777" i="2"/>
  <c r="L777" i="2" s="1"/>
  <c r="AB777" i="2"/>
  <c r="AA777" i="2" s="1"/>
  <c r="AC776" i="2"/>
  <c r="L776" i="2" s="1"/>
  <c r="AB776" i="2"/>
  <c r="K776" i="2" s="1"/>
  <c r="AC775" i="2"/>
  <c r="L775" i="2" s="1"/>
  <c r="AB775" i="2"/>
  <c r="AA775" i="2" s="1"/>
  <c r="AC774" i="2"/>
  <c r="L774" i="2" s="1"/>
  <c r="AB774" i="2"/>
  <c r="AA774" i="2" s="1"/>
  <c r="AC773" i="2"/>
  <c r="L773" i="2" s="1"/>
  <c r="AB773" i="2"/>
  <c r="AA773" i="2" s="1"/>
  <c r="AC772" i="2"/>
  <c r="L772" i="2" s="1"/>
  <c r="AB772" i="2"/>
  <c r="AC771" i="2"/>
  <c r="L771" i="2" s="1"/>
  <c r="AB771" i="2"/>
  <c r="AA771" i="2" s="1"/>
  <c r="AC770" i="2"/>
  <c r="L770" i="2" s="1"/>
  <c r="AB770" i="2"/>
  <c r="AA770" i="2" s="1"/>
  <c r="AC769" i="2"/>
  <c r="L769" i="2" s="1"/>
  <c r="AB769" i="2"/>
  <c r="AA769" i="2" s="1"/>
  <c r="AC768" i="2"/>
  <c r="L768" i="2" s="1"/>
  <c r="AB768" i="2"/>
  <c r="AA768" i="2" s="1"/>
  <c r="AC767" i="2"/>
  <c r="L767" i="2" s="1"/>
  <c r="AB767" i="2"/>
  <c r="AC766" i="2"/>
  <c r="L766" i="2" s="1"/>
  <c r="AB766" i="2"/>
  <c r="AA766" i="2" s="1"/>
  <c r="AC765" i="2"/>
  <c r="L765" i="2" s="1"/>
  <c r="AB765" i="2"/>
  <c r="AA765" i="2" s="1"/>
  <c r="AC764" i="2"/>
  <c r="L764" i="2" s="1"/>
  <c r="AB764" i="2"/>
  <c r="AA764" i="2" s="1"/>
  <c r="AC763" i="2"/>
  <c r="L763" i="2" s="1"/>
  <c r="AB763" i="2"/>
  <c r="K763" i="2" s="1"/>
  <c r="AC762" i="2"/>
  <c r="L762" i="2" s="1"/>
  <c r="AB762" i="2"/>
  <c r="AC761" i="2"/>
  <c r="L761" i="2" s="1"/>
  <c r="AB761" i="2"/>
  <c r="AA761" i="2" s="1"/>
  <c r="AC760" i="2"/>
  <c r="L760" i="2" s="1"/>
  <c r="AB760" i="2"/>
  <c r="AA760" i="2" s="1"/>
  <c r="AC759" i="2"/>
  <c r="L759" i="2" s="1"/>
  <c r="AB759" i="2"/>
  <c r="AA759" i="2" s="1"/>
  <c r="AC758" i="2"/>
  <c r="L758" i="2" s="1"/>
  <c r="AB758" i="2"/>
  <c r="K758" i="2" s="1"/>
  <c r="AC757" i="2"/>
  <c r="L757" i="2" s="1"/>
  <c r="AB757" i="2"/>
  <c r="AA757" i="2" s="1"/>
  <c r="AC756" i="2"/>
  <c r="L756" i="2" s="1"/>
  <c r="AB756" i="2"/>
  <c r="AA756" i="2" s="1"/>
  <c r="AC755" i="2"/>
  <c r="L755" i="2" s="1"/>
  <c r="AB755" i="2"/>
  <c r="AA755" i="2" s="1"/>
  <c r="AC754" i="2"/>
  <c r="L754" i="2" s="1"/>
  <c r="AB754" i="2"/>
  <c r="AA754" i="2" s="1"/>
  <c r="AC753" i="2"/>
  <c r="L753" i="2" s="1"/>
  <c r="AB753" i="2"/>
  <c r="AA753" i="2" s="1"/>
  <c r="AC752" i="2"/>
  <c r="L752" i="2" s="1"/>
  <c r="AB752" i="2"/>
  <c r="K752" i="2" s="1"/>
  <c r="AC751" i="2"/>
  <c r="L751" i="2" s="1"/>
  <c r="AB751" i="2"/>
  <c r="AA751" i="2" s="1"/>
  <c r="AC750" i="2"/>
  <c r="L750" i="2" s="1"/>
  <c r="AB750" i="2"/>
  <c r="AA750" i="2" s="1"/>
  <c r="AC749" i="2"/>
  <c r="L749" i="2" s="1"/>
  <c r="AB749" i="2"/>
  <c r="AA749" i="2" s="1"/>
  <c r="AC748" i="2"/>
  <c r="L748" i="2" s="1"/>
  <c r="AB748" i="2"/>
  <c r="AA748" i="2" s="1"/>
  <c r="AC747" i="2"/>
  <c r="L747" i="2" s="1"/>
  <c r="AB747" i="2"/>
  <c r="AA747" i="2" s="1"/>
  <c r="AC746" i="2"/>
  <c r="L746" i="2" s="1"/>
  <c r="AB746" i="2"/>
  <c r="AA746" i="2" s="1"/>
  <c r="AC745" i="2"/>
  <c r="L745" i="2" s="1"/>
  <c r="AB745" i="2"/>
  <c r="K745" i="2" s="1"/>
  <c r="AC744" i="2"/>
  <c r="L744" i="2" s="1"/>
  <c r="AB744" i="2"/>
  <c r="AA744" i="2" s="1"/>
  <c r="AC743" i="2"/>
  <c r="L743" i="2" s="1"/>
  <c r="AB743" i="2"/>
  <c r="K743" i="2" s="1"/>
  <c r="AC742" i="2"/>
  <c r="L742" i="2" s="1"/>
  <c r="AB742" i="2"/>
  <c r="K742" i="2" s="1"/>
  <c r="AC741" i="2"/>
  <c r="L741" i="2" s="1"/>
  <c r="AB741" i="2"/>
  <c r="K741" i="2" s="1"/>
  <c r="AC740" i="2"/>
  <c r="L740" i="2" s="1"/>
  <c r="AB740" i="2"/>
  <c r="AC739" i="2"/>
  <c r="L739" i="2" s="1"/>
  <c r="AB739" i="2"/>
  <c r="AA739" i="2" s="1"/>
  <c r="AC738" i="2"/>
  <c r="L738" i="2" s="1"/>
  <c r="AB738" i="2"/>
  <c r="K738" i="2" s="1"/>
  <c r="AC737" i="2"/>
  <c r="L737" i="2" s="1"/>
  <c r="AB737" i="2"/>
  <c r="AA737" i="2" s="1"/>
  <c r="AC736" i="2"/>
  <c r="L736" i="2" s="1"/>
  <c r="AB736" i="2"/>
  <c r="K736" i="2" s="1"/>
  <c r="AC735" i="2"/>
  <c r="L735" i="2" s="1"/>
  <c r="AB735" i="2"/>
  <c r="AA735" i="2" s="1"/>
  <c r="AC734" i="2"/>
  <c r="L734" i="2" s="1"/>
  <c r="AB734" i="2"/>
  <c r="AA734" i="2" s="1"/>
  <c r="AC733" i="2"/>
  <c r="L733" i="2" s="1"/>
  <c r="AB733" i="2"/>
  <c r="K733" i="2" s="1"/>
  <c r="AC732" i="2"/>
  <c r="L732" i="2" s="1"/>
  <c r="AB732" i="2"/>
  <c r="AA732" i="2" s="1"/>
  <c r="AC731" i="2"/>
  <c r="L731" i="2" s="1"/>
  <c r="AB731" i="2"/>
  <c r="AA731" i="2" s="1"/>
  <c r="AC730" i="2"/>
  <c r="L730" i="2" s="1"/>
  <c r="AB730" i="2"/>
  <c r="AA730" i="2" s="1"/>
  <c r="AC729" i="2"/>
  <c r="L729" i="2" s="1"/>
  <c r="AB729" i="2"/>
  <c r="K729" i="2" s="1"/>
  <c r="AC728" i="2"/>
  <c r="L728" i="2" s="1"/>
  <c r="AB728" i="2"/>
  <c r="AC727" i="2"/>
  <c r="L727" i="2" s="1"/>
  <c r="AB727" i="2"/>
  <c r="AA727" i="2" s="1"/>
  <c r="AC726" i="2"/>
  <c r="L726" i="2" s="1"/>
  <c r="AB726" i="2"/>
  <c r="AA726" i="2" s="1"/>
  <c r="AC725" i="2"/>
  <c r="L725" i="2" s="1"/>
  <c r="AB725" i="2"/>
  <c r="AA725" i="2" s="1"/>
  <c r="AC724" i="2"/>
  <c r="L724" i="2" s="1"/>
  <c r="AB724" i="2"/>
  <c r="AA724" i="2" s="1"/>
  <c r="AC723" i="2"/>
  <c r="L723" i="2" s="1"/>
  <c r="AB723" i="2"/>
  <c r="K723" i="2" s="1"/>
  <c r="AC722" i="2"/>
  <c r="L722" i="2" s="1"/>
  <c r="AB722" i="2"/>
  <c r="AA722" i="2" s="1"/>
  <c r="AC721" i="2"/>
  <c r="L721" i="2" s="1"/>
  <c r="AB721" i="2"/>
  <c r="AA721" i="2" s="1"/>
  <c r="AC720" i="2"/>
  <c r="L720" i="2" s="1"/>
  <c r="AB720" i="2"/>
  <c r="AA720" i="2" s="1"/>
  <c r="AC719" i="2"/>
  <c r="L719" i="2" s="1"/>
  <c r="AB719" i="2"/>
  <c r="AC718" i="2"/>
  <c r="L718" i="2" s="1"/>
  <c r="AB718" i="2"/>
  <c r="K718" i="2" s="1"/>
  <c r="AC717" i="2"/>
  <c r="L717" i="2" s="1"/>
  <c r="AB717" i="2"/>
  <c r="AA717" i="2" s="1"/>
  <c r="AC716" i="2"/>
  <c r="L716" i="2" s="1"/>
  <c r="AB716" i="2"/>
  <c r="AA716" i="2" s="1"/>
  <c r="AC715" i="2"/>
  <c r="L715" i="2" s="1"/>
  <c r="AB715" i="2"/>
  <c r="K715" i="2" s="1"/>
  <c r="AC714" i="2"/>
  <c r="L714" i="2" s="1"/>
  <c r="AB714" i="2"/>
  <c r="K714" i="2" s="1"/>
  <c r="AC713" i="2"/>
  <c r="L713" i="2" s="1"/>
  <c r="AB713" i="2"/>
  <c r="AA713" i="2" s="1"/>
  <c r="AC712" i="2"/>
  <c r="L712" i="2" s="1"/>
  <c r="AB712" i="2"/>
  <c r="AA712" i="2" s="1"/>
  <c r="AC711" i="2"/>
  <c r="L711" i="2" s="1"/>
  <c r="AB711" i="2"/>
  <c r="AA711" i="2" s="1"/>
  <c r="AC710" i="2"/>
  <c r="L710" i="2" s="1"/>
  <c r="AB710" i="2"/>
  <c r="K710" i="2" s="1"/>
  <c r="AC709" i="2"/>
  <c r="L709" i="2" s="1"/>
  <c r="AB709" i="2"/>
  <c r="AA709" i="2" s="1"/>
  <c r="AC708" i="2"/>
  <c r="L708" i="2" s="1"/>
  <c r="AB708" i="2"/>
  <c r="AA708" i="2" s="1"/>
  <c r="AC707" i="2"/>
  <c r="L707" i="2" s="1"/>
  <c r="AB707" i="2"/>
  <c r="AA707" i="2" s="1"/>
  <c r="AC706" i="2"/>
  <c r="L706" i="2" s="1"/>
  <c r="AB706" i="2"/>
  <c r="AC705" i="2"/>
  <c r="L705" i="2" s="1"/>
  <c r="AB705" i="2"/>
  <c r="AA705" i="2" s="1"/>
  <c r="AC704" i="2"/>
  <c r="L704" i="2" s="1"/>
  <c r="AB704" i="2"/>
  <c r="AA704" i="2" s="1"/>
  <c r="AC703" i="2"/>
  <c r="L703" i="2" s="1"/>
  <c r="AB703" i="2"/>
  <c r="AA703" i="2" s="1"/>
  <c r="AC702" i="2"/>
  <c r="L702" i="2" s="1"/>
  <c r="AB702" i="2"/>
  <c r="AA702" i="2" s="1"/>
  <c r="AC701" i="2"/>
  <c r="L701" i="2" s="1"/>
  <c r="AB701" i="2"/>
  <c r="AA701" i="2" s="1"/>
  <c r="AC700" i="2"/>
  <c r="L700" i="2" s="1"/>
  <c r="AB700" i="2"/>
  <c r="AA700" i="2" s="1"/>
  <c r="AC699" i="2"/>
  <c r="L699" i="2" s="1"/>
  <c r="AB699" i="2"/>
  <c r="AA699" i="2" s="1"/>
  <c r="AC698" i="2"/>
  <c r="L698" i="2" s="1"/>
  <c r="AB698" i="2"/>
  <c r="AA698" i="2" s="1"/>
  <c r="AC697" i="2"/>
  <c r="L697" i="2" s="1"/>
  <c r="AB697" i="2"/>
  <c r="K697" i="2" s="1"/>
  <c r="AC696" i="2"/>
  <c r="L696" i="2" s="1"/>
  <c r="AB696" i="2"/>
  <c r="AC695" i="2"/>
  <c r="L695" i="2" s="1"/>
  <c r="AB695" i="2"/>
  <c r="AC694" i="2"/>
  <c r="L694" i="2" s="1"/>
  <c r="AB694" i="2"/>
  <c r="AA694" i="2" s="1"/>
  <c r="AC693" i="2"/>
  <c r="L693" i="2" s="1"/>
  <c r="AB693" i="2"/>
  <c r="AA693" i="2" s="1"/>
  <c r="AC692" i="2"/>
  <c r="L692" i="2" s="1"/>
  <c r="AB692" i="2"/>
  <c r="K692" i="2" s="1"/>
  <c r="AC691" i="2"/>
  <c r="L691" i="2" s="1"/>
  <c r="AB691" i="2"/>
  <c r="AA691" i="2" s="1"/>
  <c r="AC690" i="2"/>
  <c r="L690" i="2" s="1"/>
  <c r="AB690" i="2"/>
  <c r="AA690" i="2" s="1"/>
  <c r="AC689" i="2"/>
  <c r="L689" i="2" s="1"/>
  <c r="AB689" i="2"/>
  <c r="AA689" i="2" s="1"/>
  <c r="AC688" i="2"/>
  <c r="L688" i="2" s="1"/>
  <c r="AB688" i="2"/>
  <c r="AA688" i="2" s="1"/>
  <c r="AC687" i="2"/>
  <c r="L687" i="2" s="1"/>
  <c r="AB687" i="2"/>
  <c r="AA687" i="2" s="1"/>
  <c r="AC686" i="2"/>
  <c r="L686" i="2" s="1"/>
  <c r="AB686" i="2"/>
  <c r="AA686" i="2" s="1"/>
  <c r="AC685" i="2"/>
  <c r="L685" i="2" s="1"/>
  <c r="AB685" i="2"/>
  <c r="K685" i="2" s="1"/>
  <c r="AC684" i="2"/>
  <c r="L684" i="2" s="1"/>
  <c r="AB684" i="2"/>
  <c r="AA684" i="2" s="1"/>
  <c r="AC683" i="2"/>
  <c r="L683" i="2" s="1"/>
  <c r="AB683" i="2"/>
  <c r="AA683" i="2" s="1"/>
  <c r="AC682" i="2"/>
  <c r="L682" i="2" s="1"/>
  <c r="AB682" i="2"/>
  <c r="AA682" i="2" s="1"/>
  <c r="AC681" i="2"/>
  <c r="L681" i="2" s="1"/>
  <c r="AB681" i="2"/>
  <c r="K681" i="2" s="1"/>
  <c r="AC680" i="2"/>
  <c r="L680" i="2" s="1"/>
  <c r="AB680" i="2"/>
  <c r="AA680" i="2" s="1"/>
  <c r="AC679" i="2"/>
  <c r="L679" i="2" s="1"/>
  <c r="AB679" i="2"/>
  <c r="AA679" i="2" s="1"/>
  <c r="AC678" i="2"/>
  <c r="L678" i="2" s="1"/>
  <c r="AB678" i="2"/>
  <c r="AA678" i="2" s="1"/>
  <c r="AC677" i="2"/>
  <c r="L677" i="2" s="1"/>
  <c r="AB677" i="2"/>
  <c r="AA677" i="2" s="1"/>
  <c r="AC676" i="2"/>
  <c r="L676" i="2" s="1"/>
  <c r="AB676" i="2"/>
  <c r="AA676" i="2" s="1"/>
  <c r="AC675" i="2"/>
  <c r="L675" i="2" s="1"/>
  <c r="AB675" i="2"/>
  <c r="K675" i="2" s="1"/>
  <c r="AC674" i="2"/>
  <c r="L674" i="2" s="1"/>
  <c r="AB674" i="2"/>
  <c r="AC673" i="2"/>
  <c r="L673" i="2" s="1"/>
  <c r="AB673" i="2"/>
  <c r="AA673" i="2" s="1"/>
  <c r="AC672" i="2"/>
  <c r="L672" i="2" s="1"/>
  <c r="AB672" i="2"/>
  <c r="AA672" i="2" s="1"/>
  <c r="AC671" i="2"/>
  <c r="L671" i="2" s="1"/>
  <c r="AB671" i="2"/>
  <c r="AA671" i="2" s="1"/>
  <c r="AC670" i="2"/>
  <c r="L670" i="2" s="1"/>
  <c r="AB670" i="2"/>
  <c r="K670" i="2" s="1"/>
  <c r="AC669" i="2"/>
  <c r="L669" i="2" s="1"/>
  <c r="AB669" i="2"/>
  <c r="AA669" i="2" s="1"/>
  <c r="AC668" i="2"/>
  <c r="L668" i="2" s="1"/>
  <c r="AB668" i="2"/>
  <c r="K668" i="2" s="1"/>
  <c r="AC667" i="2"/>
  <c r="L667" i="2" s="1"/>
  <c r="AB667" i="2"/>
  <c r="K667" i="2" s="1"/>
  <c r="AC666" i="2"/>
  <c r="L666" i="2" s="1"/>
  <c r="AB666" i="2"/>
  <c r="AA666" i="2" s="1"/>
  <c r="AC665" i="2"/>
  <c r="L665" i="2" s="1"/>
  <c r="AB665" i="2"/>
  <c r="AA665" i="2" s="1"/>
  <c r="AC664" i="2"/>
  <c r="L664" i="2" s="1"/>
  <c r="AB664" i="2"/>
  <c r="K664" i="2" s="1"/>
  <c r="AC663" i="2"/>
  <c r="L663" i="2" s="1"/>
  <c r="AB663" i="2"/>
  <c r="AA663" i="2" s="1"/>
  <c r="AC662" i="2"/>
  <c r="L662" i="2" s="1"/>
  <c r="AB662" i="2"/>
  <c r="K662" i="2" s="1"/>
  <c r="AC661" i="2"/>
  <c r="L661" i="2" s="1"/>
  <c r="AB661" i="2"/>
  <c r="AA661" i="2" s="1"/>
  <c r="AC660" i="2"/>
  <c r="L660" i="2" s="1"/>
  <c r="AB660" i="2"/>
  <c r="AA660" i="2" s="1"/>
  <c r="AC659" i="2"/>
  <c r="L659" i="2" s="1"/>
  <c r="AB659" i="2"/>
  <c r="K659" i="2" s="1"/>
  <c r="AC658" i="2"/>
  <c r="L658" i="2" s="1"/>
  <c r="AB658" i="2"/>
  <c r="K658" i="2" s="1"/>
  <c r="AC657" i="2"/>
  <c r="L657" i="2" s="1"/>
  <c r="AB657" i="2"/>
  <c r="K657" i="2" s="1"/>
  <c r="AC656" i="2"/>
  <c r="L656" i="2" s="1"/>
  <c r="AB656" i="2"/>
  <c r="AA656" i="2" s="1"/>
  <c r="AC655" i="2"/>
  <c r="L655" i="2" s="1"/>
  <c r="AB655" i="2"/>
  <c r="K655" i="2" s="1"/>
  <c r="AC654" i="2"/>
  <c r="L654" i="2" s="1"/>
  <c r="AB654" i="2"/>
  <c r="AA654" i="2" s="1"/>
  <c r="AC653" i="2"/>
  <c r="L653" i="2" s="1"/>
  <c r="AB653" i="2"/>
  <c r="AA653" i="2" s="1"/>
  <c r="AC652" i="2"/>
  <c r="L652" i="2" s="1"/>
  <c r="AB652" i="2"/>
  <c r="K652" i="2" s="1"/>
  <c r="AC651" i="2"/>
  <c r="L651" i="2" s="1"/>
  <c r="AB651" i="2"/>
  <c r="AA651" i="2" s="1"/>
  <c r="AC650" i="2"/>
  <c r="L650" i="2" s="1"/>
  <c r="AB650" i="2"/>
  <c r="AA650" i="2" s="1"/>
  <c r="AC649" i="2"/>
  <c r="L649" i="2" s="1"/>
  <c r="AB649" i="2"/>
  <c r="K649" i="2" s="1"/>
  <c r="AC648" i="2"/>
  <c r="L648" i="2" s="1"/>
  <c r="AB648" i="2"/>
  <c r="K648" i="2" s="1"/>
  <c r="AC647" i="2"/>
  <c r="L647" i="2" s="1"/>
  <c r="AB647" i="2"/>
  <c r="AA647" i="2" s="1"/>
  <c r="AC646" i="2"/>
  <c r="L646" i="2" s="1"/>
  <c r="AB646" i="2"/>
  <c r="AA646" i="2" s="1"/>
  <c r="AC645" i="2"/>
  <c r="L645" i="2" s="1"/>
  <c r="AB645" i="2"/>
  <c r="K645" i="2" s="1"/>
  <c r="AC644" i="2"/>
  <c r="L644" i="2" s="1"/>
  <c r="AB644" i="2"/>
  <c r="K644" i="2" s="1"/>
  <c r="AC643" i="2"/>
  <c r="L643" i="2" s="1"/>
  <c r="AB643" i="2"/>
  <c r="AA643" i="2" s="1"/>
  <c r="AC642" i="2"/>
  <c r="L642" i="2" s="1"/>
  <c r="AB642" i="2"/>
  <c r="AA642" i="2" s="1"/>
  <c r="AC641" i="2"/>
  <c r="L641" i="2" s="1"/>
  <c r="AB641" i="2"/>
  <c r="AA641" i="2" s="1"/>
  <c r="AC640" i="2"/>
  <c r="L640" i="2" s="1"/>
  <c r="AB640" i="2"/>
  <c r="K640" i="2" s="1"/>
  <c r="AC639" i="2"/>
  <c r="L639" i="2" s="1"/>
  <c r="AB639" i="2"/>
  <c r="AA639" i="2" s="1"/>
  <c r="AC638" i="2"/>
  <c r="L638" i="2" s="1"/>
  <c r="AB638" i="2"/>
  <c r="AA638" i="2" s="1"/>
  <c r="AC637" i="2"/>
  <c r="L637" i="2" s="1"/>
  <c r="AB637" i="2"/>
  <c r="AA637" i="2" s="1"/>
  <c r="AC636" i="2"/>
  <c r="L636" i="2" s="1"/>
  <c r="AB636" i="2"/>
  <c r="AA636" i="2" s="1"/>
  <c r="AC635" i="2"/>
  <c r="L635" i="2" s="1"/>
  <c r="AB635" i="2"/>
  <c r="K635" i="2" s="1"/>
  <c r="AC634" i="2"/>
  <c r="L634" i="2" s="1"/>
  <c r="AB634" i="2"/>
  <c r="AA634" i="2" s="1"/>
  <c r="AC633" i="2"/>
  <c r="L633" i="2" s="1"/>
  <c r="AB633" i="2"/>
  <c r="K633" i="2" s="1"/>
  <c r="AC632" i="2"/>
  <c r="L632" i="2" s="1"/>
  <c r="AB632" i="2"/>
  <c r="AA632" i="2" s="1"/>
  <c r="AC631" i="2"/>
  <c r="L631" i="2" s="1"/>
  <c r="AB631" i="2"/>
  <c r="AA631" i="2" s="1"/>
  <c r="AC630" i="2"/>
  <c r="L630" i="2" s="1"/>
  <c r="AB630" i="2"/>
  <c r="AA630" i="2" s="1"/>
  <c r="AC629" i="2"/>
  <c r="L629" i="2" s="1"/>
  <c r="AB629" i="2"/>
  <c r="AA629" i="2" s="1"/>
  <c r="AC628" i="2"/>
  <c r="L628" i="2" s="1"/>
  <c r="AB628" i="2"/>
  <c r="AA628" i="2" s="1"/>
  <c r="AC627" i="2"/>
  <c r="L627" i="2" s="1"/>
  <c r="AB627" i="2"/>
  <c r="AA627" i="2" s="1"/>
  <c r="AC626" i="2"/>
  <c r="L626" i="2" s="1"/>
  <c r="AB626" i="2"/>
  <c r="K626" i="2" s="1"/>
  <c r="AC625" i="2"/>
  <c r="L625" i="2" s="1"/>
  <c r="AB625" i="2"/>
  <c r="AA625" i="2" s="1"/>
  <c r="AC624" i="2"/>
  <c r="L624" i="2" s="1"/>
  <c r="AB624" i="2"/>
  <c r="AA624" i="2" s="1"/>
  <c r="AC623" i="2"/>
  <c r="L623" i="2" s="1"/>
  <c r="AB623" i="2"/>
  <c r="AA623" i="2" s="1"/>
  <c r="AC622" i="2"/>
  <c r="L622" i="2" s="1"/>
  <c r="AB622" i="2"/>
  <c r="K622" i="2" s="1"/>
  <c r="AC621" i="2"/>
  <c r="L621" i="2" s="1"/>
  <c r="AB621" i="2"/>
  <c r="AA621" i="2" s="1"/>
  <c r="AC620" i="2"/>
  <c r="L620" i="2" s="1"/>
  <c r="AB620" i="2"/>
  <c r="K620" i="2" s="1"/>
  <c r="AC619" i="2"/>
  <c r="L619" i="2" s="1"/>
  <c r="AB619" i="2"/>
  <c r="AA619" i="2" s="1"/>
  <c r="AC618" i="2"/>
  <c r="L618" i="2" s="1"/>
  <c r="AB618" i="2"/>
  <c r="AA618" i="2" s="1"/>
  <c r="AC617" i="2"/>
  <c r="L617" i="2" s="1"/>
  <c r="AB617" i="2"/>
  <c r="AA617" i="2" s="1"/>
  <c r="AC616" i="2"/>
  <c r="L616" i="2" s="1"/>
  <c r="AB616" i="2"/>
  <c r="AA616" i="2" s="1"/>
  <c r="AC615" i="2"/>
  <c r="L615" i="2" s="1"/>
  <c r="AB615" i="2"/>
  <c r="K615" i="2" s="1"/>
  <c r="AC614" i="2"/>
  <c r="L614" i="2" s="1"/>
  <c r="AB614" i="2"/>
  <c r="AA614" i="2" s="1"/>
  <c r="AC613" i="2"/>
  <c r="L613" i="2" s="1"/>
  <c r="AB613" i="2"/>
  <c r="K613" i="2" s="1"/>
  <c r="AC612" i="2"/>
  <c r="L612" i="2" s="1"/>
  <c r="AB612" i="2"/>
  <c r="AA612" i="2" s="1"/>
  <c r="AC611" i="2"/>
  <c r="L611" i="2" s="1"/>
  <c r="AB611" i="2"/>
  <c r="AA611" i="2" s="1"/>
  <c r="AC610" i="2"/>
  <c r="L610" i="2" s="1"/>
  <c r="AB610" i="2"/>
  <c r="K610" i="2" s="1"/>
  <c r="AC609" i="2"/>
  <c r="L609" i="2" s="1"/>
  <c r="AB609" i="2"/>
  <c r="K609" i="2" s="1"/>
  <c r="AC608" i="2"/>
  <c r="L608" i="2" s="1"/>
  <c r="AB608" i="2"/>
  <c r="K608" i="2" s="1"/>
  <c r="AC607" i="2"/>
  <c r="L607" i="2" s="1"/>
  <c r="AB607" i="2"/>
  <c r="AA607" i="2" s="1"/>
  <c r="AC606" i="2"/>
  <c r="L606" i="2" s="1"/>
  <c r="AB606" i="2"/>
  <c r="K606" i="2" s="1"/>
  <c r="AC605" i="2"/>
  <c r="L605" i="2" s="1"/>
  <c r="AB605" i="2"/>
  <c r="AC604" i="2"/>
  <c r="L604" i="2" s="1"/>
  <c r="AB604" i="2"/>
  <c r="AA604" i="2" s="1"/>
  <c r="AC603" i="2"/>
  <c r="L603" i="2" s="1"/>
  <c r="AB603" i="2"/>
  <c r="AC602" i="2"/>
  <c r="L602" i="2" s="1"/>
  <c r="AB602" i="2"/>
  <c r="AA602" i="2" s="1"/>
  <c r="AC601" i="2"/>
  <c r="L601" i="2" s="1"/>
  <c r="AB601" i="2"/>
  <c r="K601" i="2" s="1"/>
  <c r="AC600" i="2"/>
  <c r="L600" i="2" s="1"/>
  <c r="AB600" i="2"/>
  <c r="AA600" i="2" s="1"/>
  <c r="AC599" i="2"/>
  <c r="L599" i="2" s="1"/>
  <c r="AB599" i="2"/>
  <c r="AA599" i="2" s="1"/>
  <c r="AC598" i="2"/>
  <c r="L598" i="2" s="1"/>
  <c r="AB598" i="2"/>
  <c r="AA598" i="2" s="1"/>
  <c r="AC597" i="2"/>
  <c r="L597" i="2" s="1"/>
  <c r="AB597" i="2"/>
  <c r="AA597" i="2" s="1"/>
  <c r="AC596" i="2"/>
  <c r="L596" i="2" s="1"/>
  <c r="AB596" i="2"/>
  <c r="K596" i="2" s="1"/>
  <c r="AC595" i="2"/>
  <c r="L595" i="2" s="1"/>
  <c r="AB595" i="2"/>
  <c r="AA595" i="2" s="1"/>
  <c r="AC594" i="2"/>
  <c r="L594" i="2" s="1"/>
  <c r="AB594" i="2"/>
  <c r="AA594" i="2" s="1"/>
  <c r="AC593" i="2"/>
  <c r="L593" i="2" s="1"/>
  <c r="AB593" i="2"/>
  <c r="AA593" i="2" s="1"/>
  <c r="AC592" i="2"/>
  <c r="L592" i="2" s="1"/>
  <c r="AB592" i="2"/>
  <c r="K592" i="2" s="1"/>
  <c r="AC591" i="2"/>
  <c r="L591" i="2" s="1"/>
  <c r="AB591" i="2"/>
  <c r="K591" i="2" s="1"/>
  <c r="AC590" i="2"/>
  <c r="L590" i="2" s="1"/>
  <c r="AB590" i="2"/>
  <c r="AA590" i="2" s="1"/>
  <c r="AC589" i="2"/>
  <c r="L589" i="2" s="1"/>
  <c r="AB589" i="2"/>
  <c r="K589" i="2" s="1"/>
  <c r="AC588" i="2"/>
  <c r="L588" i="2" s="1"/>
  <c r="AB588" i="2"/>
  <c r="AA588" i="2" s="1"/>
  <c r="AC587" i="2"/>
  <c r="L587" i="2" s="1"/>
  <c r="AB587" i="2"/>
  <c r="AA587" i="2" s="1"/>
  <c r="AC586" i="2"/>
  <c r="L586" i="2" s="1"/>
  <c r="AB586" i="2"/>
  <c r="K586" i="2" s="1"/>
  <c r="AC585" i="2"/>
  <c r="L585" i="2" s="1"/>
  <c r="AB585" i="2"/>
  <c r="AA585" i="2" s="1"/>
  <c r="AC584" i="2"/>
  <c r="L584" i="2" s="1"/>
  <c r="AB584" i="2"/>
  <c r="K584" i="2" s="1"/>
  <c r="AC583" i="2"/>
  <c r="L583" i="2" s="1"/>
  <c r="AB583" i="2"/>
  <c r="AA583" i="2" s="1"/>
  <c r="AC582" i="2"/>
  <c r="L582" i="2" s="1"/>
  <c r="AB582" i="2"/>
  <c r="K582" i="2" s="1"/>
  <c r="AC581" i="2"/>
  <c r="L581" i="2" s="1"/>
  <c r="AB581" i="2"/>
  <c r="AA581" i="2" s="1"/>
  <c r="AC580" i="2"/>
  <c r="L580" i="2" s="1"/>
  <c r="AB580" i="2"/>
  <c r="AA580" i="2" s="1"/>
  <c r="AC579" i="2"/>
  <c r="L579" i="2" s="1"/>
  <c r="AB579" i="2"/>
  <c r="AA579" i="2" s="1"/>
  <c r="AC578" i="2"/>
  <c r="L578" i="2" s="1"/>
  <c r="AB578" i="2"/>
  <c r="K578" i="2" s="1"/>
  <c r="AC577" i="2"/>
  <c r="L577" i="2" s="1"/>
  <c r="AB577" i="2"/>
  <c r="AA577" i="2" s="1"/>
  <c r="AC576" i="2"/>
  <c r="L576" i="2" s="1"/>
  <c r="AB576" i="2"/>
  <c r="AA576" i="2" s="1"/>
  <c r="AC575" i="2"/>
  <c r="L575" i="2" s="1"/>
  <c r="AB575" i="2"/>
  <c r="AA575" i="2" s="1"/>
  <c r="AC574" i="2"/>
  <c r="L574" i="2" s="1"/>
  <c r="AB574" i="2"/>
  <c r="K574" i="2" s="1"/>
  <c r="AC573" i="2"/>
  <c r="L573" i="2" s="1"/>
  <c r="AB573" i="2"/>
  <c r="AA573" i="2" s="1"/>
  <c r="AC572" i="2"/>
  <c r="L572" i="2" s="1"/>
  <c r="AB572" i="2"/>
  <c r="AA572" i="2" s="1"/>
  <c r="AC571" i="2"/>
  <c r="L571" i="2" s="1"/>
  <c r="AB571" i="2"/>
  <c r="K571" i="2" s="1"/>
  <c r="AC570" i="2"/>
  <c r="L570" i="2" s="1"/>
  <c r="AB570" i="2"/>
  <c r="K570" i="2" s="1"/>
  <c r="AC569" i="2"/>
  <c r="L569" i="2" s="1"/>
  <c r="AB569" i="2"/>
  <c r="AA569" i="2" s="1"/>
  <c r="AC568" i="2"/>
  <c r="L568" i="2" s="1"/>
  <c r="AB568" i="2"/>
  <c r="AA568" i="2" s="1"/>
  <c r="AC567" i="2"/>
  <c r="L567" i="2" s="1"/>
  <c r="AB567" i="2"/>
  <c r="AA567" i="2" s="1"/>
  <c r="AC566" i="2"/>
  <c r="L566" i="2" s="1"/>
  <c r="AB566" i="2"/>
  <c r="AA566" i="2" s="1"/>
  <c r="AC565" i="2"/>
  <c r="L565" i="2" s="1"/>
  <c r="AB565" i="2"/>
  <c r="AA565" i="2" s="1"/>
  <c r="AC564" i="2"/>
  <c r="L564" i="2" s="1"/>
  <c r="AB564" i="2"/>
  <c r="K564" i="2" s="1"/>
  <c r="AC563" i="2"/>
  <c r="L563" i="2" s="1"/>
  <c r="AB563" i="2"/>
  <c r="AA563" i="2" s="1"/>
  <c r="AC562" i="2"/>
  <c r="L562" i="2" s="1"/>
  <c r="AB562" i="2"/>
  <c r="AA562" i="2" s="1"/>
  <c r="AC561" i="2"/>
  <c r="L561" i="2" s="1"/>
  <c r="AB561" i="2"/>
  <c r="K561" i="2" s="1"/>
  <c r="AC560" i="2"/>
  <c r="L560" i="2" s="1"/>
  <c r="AB560" i="2"/>
  <c r="AC559" i="2"/>
  <c r="L559" i="2" s="1"/>
  <c r="AB559" i="2"/>
  <c r="AA559" i="2" s="1"/>
  <c r="AC558" i="2"/>
  <c r="L558" i="2" s="1"/>
  <c r="AB558" i="2"/>
  <c r="AA558" i="2" s="1"/>
  <c r="AC557" i="2"/>
  <c r="L557" i="2" s="1"/>
  <c r="AB557" i="2"/>
  <c r="K557" i="2" s="1"/>
  <c r="AC556" i="2"/>
  <c r="L556" i="2" s="1"/>
  <c r="AB556" i="2"/>
  <c r="K556" i="2" s="1"/>
  <c r="AC555" i="2"/>
  <c r="L555" i="2" s="1"/>
  <c r="AB555" i="2"/>
  <c r="AA555" i="2" s="1"/>
  <c r="AC554" i="2"/>
  <c r="L554" i="2" s="1"/>
  <c r="AB554" i="2"/>
  <c r="AA554" i="2" s="1"/>
  <c r="AC553" i="2"/>
  <c r="L553" i="2" s="1"/>
  <c r="AB553" i="2"/>
  <c r="AA553" i="2" s="1"/>
  <c r="AC552" i="2"/>
  <c r="L552" i="2" s="1"/>
  <c r="AB552" i="2"/>
  <c r="AA552" i="2" s="1"/>
  <c r="AC551" i="2"/>
  <c r="L551" i="2" s="1"/>
  <c r="AB551" i="2"/>
  <c r="K551" i="2" s="1"/>
  <c r="AC550" i="2"/>
  <c r="L550" i="2" s="1"/>
  <c r="AB550" i="2"/>
  <c r="AA550" i="2" s="1"/>
  <c r="AC549" i="2"/>
  <c r="L549" i="2" s="1"/>
  <c r="AB549" i="2"/>
  <c r="AC548" i="2"/>
  <c r="L548" i="2" s="1"/>
  <c r="AB548" i="2"/>
  <c r="K548" i="2" s="1"/>
  <c r="AC547" i="2"/>
  <c r="L547" i="2" s="1"/>
  <c r="AB547" i="2"/>
  <c r="K547" i="2" s="1"/>
  <c r="AC546" i="2"/>
  <c r="L546" i="2" s="1"/>
  <c r="AB546" i="2"/>
  <c r="AA546" i="2" s="1"/>
  <c r="AC545" i="2"/>
  <c r="L545" i="2" s="1"/>
  <c r="AB545" i="2"/>
  <c r="AA545" i="2" s="1"/>
  <c r="AC544" i="2"/>
  <c r="L544" i="2" s="1"/>
  <c r="AB544" i="2"/>
  <c r="AA544" i="2" s="1"/>
  <c r="AC543" i="2"/>
  <c r="L543" i="2" s="1"/>
  <c r="AB543" i="2"/>
  <c r="AA543" i="2" s="1"/>
  <c r="AC542" i="2"/>
  <c r="L542" i="2" s="1"/>
  <c r="AB542" i="2"/>
  <c r="K542" i="2" s="1"/>
  <c r="AC541" i="2"/>
  <c r="L541" i="2" s="1"/>
  <c r="AB541" i="2"/>
  <c r="AA541" i="2" s="1"/>
  <c r="AC540" i="2"/>
  <c r="L540" i="2" s="1"/>
  <c r="AB540" i="2"/>
  <c r="AA540" i="2" s="1"/>
  <c r="AC539" i="2"/>
  <c r="L539" i="2" s="1"/>
  <c r="AB539" i="2"/>
  <c r="AA539" i="2" s="1"/>
  <c r="AC538" i="2"/>
  <c r="L538" i="2" s="1"/>
  <c r="AB538" i="2"/>
  <c r="AA538" i="2" s="1"/>
  <c r="AC537" i="2"/>
  <c r="L537" i="2" s="1"/>
  <c r="AB537" i="2"/>
  <c r="K537" i="2" s="1"/>
  <c r="AC536" i="2"/>
  <c r="L536" i="2" s="1"/>
  <c r="AB536" i="2"/>
  <c r="AA536" i="2" s="1"/>
  <c r="AC535" i="2"/>
  <c r="L535" i="2" s="1"/>
  <c r="AB535" i="2"/>
  <c r="K535" i="2" s="1"/>
  <c r="AC534" i="2"/>
  <c r="L534" i="2" s="1"/>
  <c r="AB534" i="2"/>
  <c r="K534" i="2" s="1"/>
  <c r="AC533" i="2"/>
  <c r="L533" i="2" s="1"/>
  <c r="AB533" i="2"/>
  <c r="AA533" i="2" s="1"/>
  <c r="AC532" i="2"/>
  <c r="L532" i="2" s="1"/>
  <c r="AB532" i="2"/>
  <c r="AA532" i="2" s="1"/>
  <c r="AC531" i="2"/>
  <c r="L531" i="2" s="1"/>
  <c r="AB531" i="2"/>
  <c r="K531" i="2" s="1"/>
  <c r="AC530" i="2"/>
  <c r="L530" i="2" s="1"/>
  <c r="AB530" i="2"/>
  <c r="K530" i="2" s="1"/>
  <c r="AC529" i="2"/>
  <c r="L529" i="2" s="1"/>
  <c r="AB529" i="2"/>
  <c r="AA529" i="2" s="1"/>
  <c r="AC528" i="2"/>
  <c r="L528" i="2" s="1"/>
  <c r="AB528" i="2"/>
  <c r="AC527" i="2"/>
  <c r="L527" i="2" s="1"/>
  <c r="AB527" i="2"/>
  <c r="AA527" i="2" s="1"/>
  <c r="AC526" i="2"/>
  <c r="L526" i="2" s="1"/>
  <c r="AB526" i="2"/>
  <c r="K526" i="2" s="1"/>
  <c r="AC525" i="2"/>
  <c r="L525" i="2" s="1"/>
  <c r="AB525" i="2"/>
  <c r="K525" i="2" s="1"/>
  <c r="AC524" i="2"/>
  <c r="L524" i="2" s="1"/>
  <c r="AB524" i="2"/>
  <c r="AA524" i="2" s="1"/>
  <c r="AC523" i="2"/>
  <c r="L523" i="2" s="1"/>
  <c r="AB523" i="2"/>
  <c r="K523" i="2" s="1"/>
  <c r="AC522" i="2"/>
  <c r="L522" i="2" s="1"/>
  <c r="AB522" i="2"/>
  <c r="AA522" i="2" s="1"/>
  <c r="AC521" i="2"/>
  <c r="L521" i="2" s="1"/>
  <c r="AB521" i="2"/>
  <c r="AA521" i="2" s="1"/>
  <c r="AC520" i="2"/>
  <c r="L520" i="2" s="1"/>
  <c r="AB520" i="2"/>
  <c r="K520" i="2" s="1"/>
  <c r="AC519" i="2"/>
  <c r="L519" i="2" s="1"/>
  <c r="AB519" i="2"/>
  <c r="AA519" i="2" s="1"/>
  <c r="AC518" i="2"/>
  <c r="L518" i="2" s="1"/>
  <c r="AB518" i="2"/>
  <c r="AA518" i="2" s="1"/>
  <c r="AC517" i="2"/>
  <c r="L517" i="2" s="1"/>
  <c r="AB517" i="2"/>
  <c r="AA517" i="2" s="1"/>
  <c r="AC516" i="2"/>
  <c r="L516" i="2" s="1"/>
  <c r="AB516" i="2"/>
  <c r="K516" i="2" s="1"/>
  <c r="AC515" i="2"/>
  <c r="L515" i="2" s="1"/>
  <c r="AB515" i="2"/>
  <c r="AA515" i="2" s="1"/>
  <c r="AC514" i="2"/>
  <c r="L514" i="2" s="1"/>
  <c r="AB514" i="2"/>
  <c r="K514" i="2" s="1"/>
  <c r="AC513" i="2"/>
  <c r="L513" i="2" s="1"/>
  <c r="AB513" i="2"/>
  <c r="AA513" i="2" s="1"/>
  <c r="AC512" i="2"/>
  <c r="L512" i="2" s="1"/>
  <c r="AB512" i="2"/>
  <c r="K512" i="2" s="1"/>
  <c r="AC511" i="2"/>
  <c r="L511" i="2" s="1"/>
  <c r="AB511" i="2"/>
  <c r="AA511" i="2" s="1"/>
  <c r="AC510" i="2"/>
  <c r="L510" i="2" s="1"/>
  <c r="AB510" i="2"/>
  <c r="AA510" i="2" s="1"/>
  <c r="AC509" i="2"/>
  <c r="L509" i="2" s="1"/>
  <c r="AB509" i="2"/>
  <c r="AA509" i="2" s="1"/>
  <c r="AC508" i="2"/>
  <c r="L508" i="2" s="1"/>
  <c r="AB508" i="2"/>
  <c r="K508" i="2" s="1"/>
  <c r="AC507" i="2"/>
  <c r="L507" i="2" s="1"/>
  <c r="AB507" i="2"/>
  <c r="AA507" i="2" s="1"/>
  <c r="AC506" i="2"/>
  <c r="L506" i="2" s="1"/>
  <c r="AB506" i="2"/>
  <c r="AA506" i="2" s="1"/>
  <c r="AC505" i="2"/>
  <c r="L505" i="2" s="1"/>
  <c r="AB505" i="2"/>
  <c r="AA505" i="2" s="1"/>
  <c r="AC504" i="2"/>
  <c r="L504" i="2" s="1"/>
  <c r="AB504" i="2"/>
  <c r="K504" i="2" s="1"/>
  <c r="AC503" i="2"/>
  <c r="L503" i="2" s="1"/>
  <c r="AB503" i="2"/>
  <c r="K503" i="2" s="1"/>
  <c r="AC502" i="2"/>
  <c r="L502" i="2" s="1"/>
  <c r="AB502" i="2"/>
  <c r="AA502" i="2" s="1"/>
  <c r="AC501" i="2"/>
  <c r="L501" i="2" s="1"/>
  <c r="AB501" i="2"/>
  <c r="AA501" i="2" s="1"/>
  <c r="AC500" i="2"/>
  <c r="L500" i="2" s="1"/>
  <c r="AB500" i="2"/>
  <c r="K500" i="2" s="1"/>
  <c r="AC499" i="2"/>
  <c r="L499" i="2" s="1"/>
  <c r="AB499" i="2"/>
  <c r="K499" i="2" s="1"/>
  <c r="AC498" i="2"/>
  <c r="L498" i="2" s="1"/>
  <c r="AB498" i="2"/>
  <c r="K498" i="2" s="1"/>
  <c r="AC497" i="2"/>
  <c r="L497" i="2" s="1"/>
  <c r="AB497" i="2"/>
  <c r="AA497" i="2" s="1"/>
  <c r="AC496" i="2"/>
  <c r="L496" i="2" s="1"/>
  <c r="AB496" i="2"/>
  <c r="AA496" i="2" s="1"/>
  <c r="AC495" i="2"/>
  <c r="L495" i="2" s="1"/>
  <c r="AB495" i="2"/>
  <c r="AA495" i="2" s="1"/>
  <c r="AC494" i="2"/>
  <c r="L494" i="2" s="1"/>
  <c r="AB494" i="2"/>
  <c r="K494" i="2" s="1"/>
  <c r="AC493" i="2"/>
  <c r="L493" i="2" s="1"/>
  <c r="AB493" i="2"/>
  <c r="AA493" i="2" s="1"/>
  <c r="AC492" i="2"/>
  <c r="L492" i="2" s="1"/>
  <c r="AB492" i="2"/>
  <c r="AA492" i="2" s="1"/>
  <c r="AC491" i="2"/>
  <c r="L491" i="2" s="1"/>
  <c r="AB491" i="2"/>
  <c r="AA491" i="2" s="1"/>
  <c r="AC490" i="2"/>
  <c r="L490" i="2" s="1"/>
  <c r="AB490" i="2"/>
  <c r="K490" i="2" s="1"/>
  <c r="AC489" i="2"/>
  <c r="L489" i="2" s="1"/>
  <c r="AB489" i="2"/>
  <c r="AA489" i="2" s="1"/>
  <c r="AC488" i="2"/>
  <c r="L488" i="2" s="1"/>
  <c r="AB488" i="2"/>
  <c r="AA488" i="2" s="1"/>
  <c r="AC487" i="2"/>
  <c r="L487" i="2" s="1"/>
  <c r="AB487" i="2"/>
  <c r="AA487" i="2" s="1"/>
  <c r="AC486" i="2"/>
  <c r="L486" i="2" s="1"/>
  <c r="AB486" i="2"/>
  <c r="K486" i="2" s="1"/>
  <c r="AC485" i="2"/>
  <c r="L485" i="2" s="1"/>
  <c r="AB485" i="2"/>
  <c r="AA485" i="2" s="1"/>
  <c r="AC484" i="2"/>
  <c r="L484" i="2" s="1"/>
  <c r="AB484" i="2"/>
  <c r="AA484" i="2" s="1"/>
  <c r="AC483" i="2"/>
  <c r="L483" i="2" s="1"/>
  <c r="AB483" i="2"/>
  <c r="AA483" i="2" s="1"/>
  <c r="AC482" i="2"/>
  <c r="L482" i="2" s="1"/>
  <c r="AB482" i="2"/>
  <c r="AA482" i="2" s="1"/>
  <c r="AC481" i="2"/>
  <c r="L481" i="2" s="1"/>
  <c r="AB481" i="2"/>
  <c r="K481" i="2" s="1"/>
  <c r="AC480" i="2"/>
  <c r="L480" i="2" s="1"/>
  <c r="AB480" i="2"/>
  <c r="AA480" i="2" s="1"/>
  <c r="AC479" i="2"/>
  <c r="L479" i="2" s="1"/>
  <c r="AB479" i="2"/>
  <c r="AC478" i="2"/>
  <c r="L478" i="2" s="1"/>
  <c r="AB478" i="2"/>
  <c r="K478" i="2" s="1"/>
  <c r="AC477" i="2"/>
  <c r="L477" i="2" s="1"/>
  <c r="AB477" i="2"/>
  <c r="K477" i="2" s="1"/>
  <c r="AC476" i="2"/>
  <c r="L476" i="2" s="1"/>
  <c r="AB476" i="2"/>
  <c r="AA476" i="2" s="1"/>
  <c r="AC475" i="2"/>
  <c r="L475" i="2" s="1"/>
  <c r="AB475" i="2"/>
  <c r="AA475" i="2" s="1"/>
  <c r="AC474" i="2"/>
  <c r="L474" i="2" s="1"/>
  <c r="AB474" i="2"/>
  <c r="AA474" i="2" s="1"/>
  <c r="AC473" i="2"/>
  <c r="L473" i="2" s="1"/>
  <c r="AB473" i="2"/>
  <c r="AA473" i="2" s="1"/>
  <c r="AC472" i="2"/>
  <c r="L472" i="2" s="1"/>
  <c r="AB472" i="2"/>
  <c r="K472" i="2" s="1"/>
  <c r="AC471" i="2"/>
  <c r="L471" i="2" s="1"/>
  <c r="AB471" i="2"/>
  <c r="AA471" i="2" s="1"/>
  <c r="AC470" i="2"/>
  <c r="L470" i="2" s="1"/>
  <c r="AB470" i="2"/>
  <c r="K470" i="2" s="1"/>
  <c r="AC469" i="2"/>
  <c r="L469" i="2" s="1"/>
  <c r="AB469" i="2"/>
  <c r="AA469" i="2" s="1"/>
  <c r="AC468" i="2"/>
  <c r="L468" i="2" s="1"/>
  <c r="AB468" i="2"/>
  <c r="K468" i="2" s="1"/>
  <c r="AC467" i="2"/>
  <c r="L467" i="2" s="1"/>
  <c r="AB467" i="2"/>
  <c r="AA467" i="2" s="1"/>
  <c r="AC466" i="2"/>
  <c r="L466" i="2" s="1"/>
  <c r="AB466" i="2"/>
  <c r="AA466" i="2" s="1"/>
  <c r="AC465" i="2"/>
  <c r="L465" i="2" s="1"/>
  <c r="AB465" i="2"/>
  <c r="AA465" i="2" s="1"/>
  <c r="AC464" i="2"/>
  <c r="L464" i="2" s="1"/>
  <c r="AB464" i="2"/>
  <c r="AA464" i="2" s="1"/>
  <c r="AC463" i="2"/>
  <c r="L463" i="2" s="1"/>
  <c r="AB463" i="2"/>
  <c r="AA463" i="2" s="1"/>
  <c r="AC462" i="2"/>
  <c r="L462" i="2" s="1"/>
  <c r="AB462" i="2"/>
  <c r="AA462" i="2" s="1"/>
  <c r="AC461" i="2"/>
  <c r="L461" i="2" s="1"/>
  <c r="AB461" i="2"/>
  <c r="AA461" i="2" s="1"/>
  <c r="AC460" i="2"/>
  <c r="L460" i="2" s="1"/>
  <c r="AB460" i="2"/>
  <c r="K460" i="2" s="1"/>
  <c r="AC459" i="2"/>
  <c r="L459" i="2" s="1"/>
  <c r="AB459" i="2"/>
  <c r="K459" i="2" s="1"/>
  <c r="AC458" i="2"/>
  <c r="L458" i="2" s="1"/>
  <c r="AB458" i="2"/>
  <c r="AA458" i="2" s="1"/>
  <c r="AC457" i="2"/>
  <c r="L457" i="2" s="1"/>
  <c r="AB457" i="2"/>
  <c r="AA457" i="2" s="1"/>
  <c r="AC456" i="2"/>
  <c r="L456" i="2" s="1"/>
  <c r="AB456" i="2"/>
  <c r="AC455" i="2"/>
  <c r="L455" i="2" s="1"/>
  <c r="AB455" i="2"/>
  <c r="K455" i="2" s="1"/>
  <c r="AC454" i="2"/>
  <c r="L454" i="2" s="1"/>
  <c r="AB454" i="2"/>
  <c r="K454" i="2" s="1"/>
  <c r="AC453" i="2"/>
  <c r="L453" i="2" s="1"/>
  <c r="AB453" i="2"/>
  <c r="AA453" i="2" s="1"/>
  <c r="AC452" i="2"/>
  <c r="L452" i="2" s="1"/>
  <c r="AB452" i="2"/>
  <c r="AA452" i="2" s="1"/>
  <c r="AC451" i="2"/>
  <c r="L451" i="2" s="1"/>
  <c r="AB451" i="2"/>
  <c r="AA451" i="2" s="1"/>
  <c r="AC450" i="2"/>
  <c r="L450" i="2" s="1"/>
  <c r="AB450" i="2"/>
  <c r="AA450" i="2" s="1"/>
  <c r="AC449" i="2"/>
  <c r="L449" i="2" s="1"/>
  <c r="AB449" i="2"/>
  <c r="AA449" i="2" s="1"/>
  <c r="AC448" i="2"/>
  <c r="L448" i="2" s="1"/>
  <c r="AB448" i="2"/>
  <c r="AA448" i="2" s="1"/>
  <c r="AC447" i="2"/>
  <c r="L447" i="2" s="1"/>
  <c r="AB447" i="2"/>
  <c r="AA447" i="2" s="1"/>
  <c r="AC446" i="2"/>
  <c r="L446" i="2" s="1"/>
  <c r="AB446" i="2"/>
  <c r="K446" i="2" s="1"/>
  <c r="AC445" i="2"/>
  <c r="L445" i="2" s="1"/>
  <c r="AB445" i="2"/>
  <c r="AA445" i="2" s="1"/>
  <c r="AC444" i="2"/>
  <c r="L444" i="2" s="1"/>
  <c r="AB444" i="2"/>
  <c r="AA444" i="2" s="1"/>
  <c r="AC443" i="2"/>
  <c r="L443" i="2" s="1"/>
  <c r="AB443" i="2"/>
  <c r="AA443" i="2" s="1"/>
  <c r="AC442" i="2"/>
  <c r="L442" i="2" s="1"/>
  <c r="AB442" i="2"/>
  <c r="AA442" i="2" s="1"/>
  <c r="AC441" i="2"/>
  <c r="L441" i="2" s="1"/>
  <c r="AB441" i="2"/>
  <c r="AA441" i="2" s="1"/>
  <c r="AC440" i="2"/>
  <c r="L440" i="2" s="1"/>
  <c r="AB440" i="2"/>
  <c r="AA440" i="2" s="1"/>
  <c r="AC439" i="2"/>
  <c r="L439" i="2" s="1"/>
  <c r="AB439" i="2"/>
  <c r="AA439" i="2" s="1"/>
  <c r="AC438" i="2"/>
  <c r="L438" i="2" s="1"/>
  <c r="AB438" i="2"/>
  <c r="K438" i="2" s="1"/>
  <c r="AC437" i="2"/>
  <c r="L437" i="2" s="1"/>
  <c r="AB437" i="2"/>
  <c r="K437" i="2" s="1"/>
  <c r="AC436" i="2"/>
  <c r="L436" i="2" s="1"/>
  <c r="AB436" i="2"/>
  <c r="AA436" i="2" s="1"/>
  <c r="AC435" i="2"/>
  <c r="L435" i="2" s="1"/>
  <c r="AB435" i="2"/>
  <c r="AA435" i="2" s="1"/>
  <c r="AC434" i="2"/>
  <c r="L434" i="2" s="1"/>
  <c r="AB434" i="2"/>
  <c r="K434" i="2" s="1"/>
  <c r="AC433" i="2"/>
  <c r="L433" i="2" s="1"/>
  <c r="AB433" i="2"/>
  <c r="K433" i="2" s="1"/>
  <c r="AC432" i="2"/>
  <c r="L432" i="2" s="1"/>
  <c r="AB432" i="2"/>
  <c r="K432" i="2" s="1"/>
  <c r="AC431" i="2"/>
  <c r="L431" i="2" s="1"/>
  <c r="AB431" i="2"/>
  <c r="AC430" i="2"/>
  <c r="L430" i="2" s="1"/>
  <c r="AB430" i="2"/>
  <c r="AA430" i="2" s="1"/>
  <c r="AC429" i="2"/>
  <c r="L429" i="2" s="1"/>
  <c r="AB429" i="2"/>
  <c r="K429" i="2" s="1"/>
  <c r="AC428" i="2"/>
  <c r="L428" i="2" s="1"/>
  <c r="AB428" i="2"/>
  <c r="AA428" i="2" s="1"/>
  <c r="AC427" i="2"/>
  <c r="L427" i="2" s="1"/>
  <c r="AB427" i="2"/>
  <c r="AA427" i="2" s="1"/>
  <c r="AC426" i="2"/>
  <c r="L426" i="2" s="1"/>
  <c r="AB426" i="2"/>
  <c r="AA426" i="2" s="1"/>
  <c r="AC425" i="2"/>
  <c r="L425" i="2" s="1"/>
  <c r="AB425" i="2"/>
  <c r="AA425" i="2" s="1"/>
  <c r="AC424" i="2"/>
  <c r="L424" i="2" s="1"/>
  <c r="AB424" i="2"/>
  <c r="K424" i="2" s="1"/>
  <c r="AC423" i="2"/>
  <c r="L423" i="2" s="1"/>
  <c r="AB423" i="2"/>
  <c r="AA423" i="2" s="1"/>
  <c r="AC422" i="2"/>
  <c r="L422" i="2" s="1"/>
  <c r="AB422" i="2"/>
  <c r="K422" i="2" s="1"/>
  <c r="AC421" i="2"/>
  <c r="L421" i="2" s="1"/>
  <c r="AB421" i="2"/>
  <c r="AA421" i="2" s="1"/>
  <c r="AC420" i="2"/>
  <c r="L420" i="2" s="1"/>
  <c r="AB420" i="2"/>
  <c r="K420" i="2" s="1"/>
  <c r="AC419" i="2"/>
  <c r="L419" i="2" s="1"/>
  <c r="AB419" i="2"/>
  <c r="AA419" i="2" s="1"/>
  <c r="AC418" i="2"/>
  <c r="L418" i="2" s="1"/>
  <c r="AB418" i="2"/>
  <c r="AA418" i="2" s="1"/>
  <c r="AC417" i="2"/>
  <c r="L417" i="2" s="1"/>
  <c r="AB417" i="2"/>
  <c r="AA417" i="2" s="1"/>
  <c r="AC416" i="2"/>
  <c r="L416" i="2" s="1"/>
  <c r="AB416" i="2"/>
  <c r="AA416" i="2" s="1"/>
  <c r="AC415" i="2"/>
  <c r="L415" i="2" s="1"/>
  <c r="AB415" i="2"/>
  <c r="K415" i="2" s="1"/>
  <c r="AC414" i="2"/>
  <c r="L414" i="2" s="1"/>
  <c r="AB414" i="2"/>
  <c r="AA414" i="2" s="1"/>
  <c r="AC413" i="2"/>
  <c r="L413" i="2" s="1"/>
  <c r="AB413" i="2"/>
  <c r="AC412" i="2"/>
  <c r="L412" i="2" s="1"/>
  <c r="AB412" i="2"/>
  <c r="K412" i="2" s="1"/>
  <c r="AC411" i="2"/>
  <c r="L411" i="2" s="1"/>
  <c r="AB411" i="2"/>
  <c r="AA411" i="2" s="1"/>
  <c r="AC410" i="2"/>
  <c r="L410" i="2" s="1"/>
  <c r="AB410" i="2"/>
  <c r="K410" i="2" s="1"/>
  <c r="AC409" i="2"/>
  <c r="L409" i="2" s="1"/>
  <c r="AB409" i="2"/>
  <c r="AA409" i="2" s="1"/>
  <c r="AC408" i="2"/>
  <c r="L408" i="2" s="1"/>
  <c r="AB408" i="2"/>
  <c r="K408" i="2" s="1"/>
  <c r="AC407" i="2"/>
  <c r="L407" i="2" s="1"/>
  <c r="AB407" i="2"/>
  <c r="AA407" i="2" s="1"/>
  <c r="AC406" i="2"/>
  <c r="L406" i="2" s="1"/>
  <c r="AB406" i="2"/>
  <c r="K406" i="2" s="1"/>
  <c r="AC405" i="2"/>
  <c r="L405" i="2" s="1"/>
  <c r="AB405" i="2"/>
  <c r="AA405" i="2" s="1"/>
  <c r="AC404" i="2"/>
  <c r="L404" i="2" s="1"/>
  <c r="AB404" i="2"/>
  <c r="AA404" i="2" s="1"/>
  <c r="AC403" i="2"/>
  <c r="L403" i="2" s="1"/>
  <c r="AB403" i="2"/>
  <c r="AA403" i="2" s="1"/>
  <c r="AC402" i="2"/>
  <c r="L402" i="2" s="1"/>
  <c r="AB402" i="2"/>
  <c r="AA402" i="2" s="1"/>
  <c r="AC401" i="2"/>
  <c r="L401" i="2" s="1"/>
  <c r="AB401" i="2"/>
  <c r="AA401" i="2" s="1"/>
  <c r="AC400" i="2"/>
  <c r="L400" i="2" s="1"/>
  <c r="AB400" i="2"/>
  <c r="K400" i="2" s="1"/>
  <c r="AC399" i="2"/>
  <c r="L399" i="2" s="1"/>
  <c r="AB399" i="2"/>
  <c r="K399" i="2" s="1"/>
  <c r="AC398" i="2"/>
  <c r="L398" i="2" s="1"/>
  <c r="AB398" i="2"/>
  <c r="K398" i="2" s="1"/>
  <c r="AC397" i="2"/>
  <c r="L397" i="2" s="1"/>
  <c r="AB397" i="2"/>
  <c r="AA397" i="2" s="1"/>
  <c r="AC396" i="2"/>
  <c r="L396" i="2" s="1"/>
  <c r="AB396" i="2"/>
  <c r="K396" i="2" s="1"/>
  <c r="AC395" i="2"/>
  <c r="L395" i="2" s="1"/>
  <c r="AB395" i="2"/>
  <c r="AA395" i="2" s="1"/>
  <c r="AC394" i="2"/>
  <c r="L394" i="2" s="1"/>
  <c r="AB394" i="2"/>
  <c r="AA394" i="2" s="1"/>
  <c r="AC393" i="2"/>
  <c r="L393" i="2" s="1"/>
  <c r="AB393" i="2"/>
  <c r="K393" i="2" s="1"/>
  <c r="AC392" i="2"/>
  <c r="L392" i="2" s="1"/>
  <c r="AB392" i="2"/>
  <c r="AA392" i="2" s="1"/>
  <c r="AC391" i="2"/>
  <c r="L391" i="2" s="1"/>
  <c r="AB391" i="2"/>
  <c r="AA391" i="2" s="1"/>
  <c r="AC390" i="2"/>
  <c r="L390" i="2" s="1"/>
  <c r="AB390" i="2"/>
  <c r="K390" i="2" s="1"/>
  <c r="AC389" i="2"/>
  <c r="L389" i="2" s="1"/>
  <c r="AB389" i="2"/>
  <c r="K389" i="2" s="1"/>
  <c r="AC388" i="2"/>
  <c r="L388" i="2" s="1"/>
  <c r="AB388" i="2"/>
  <c r="K388" i="2" s="1"/>
  <c r="AC387" i="2"/>
  <c r="L387" i="2" s="1"/>
  <c r="AB387" i="2"/>
  <c r="AA387" i="2" s="1"/>
  <c r="AC386" i="2"/>
  <c r="L386" i="2" s="1"/>
  <c r="AB386" i="2"/>
  <c r="K386" i="2" s="1"/>
  <c r="AC385" i="2"/>
  <c r="L385" i="2" s="1"/>
  <c r="AB385" i="2"/>
  <c r="K385" i="2" s="1"/>
  <c r="AC384" i="2"/>
  <c r="L384" i="2" s="1"/>
  <c r="AB384" i="2"/>
  <c r="K384" i="2" s="1"/>
  <c r="AC383" i="2"/>
  <c r="L383" i="2" s="1"/>
  <c r="AB383" i="2"/>
  <c r="AA383" i="2" s="1"/>
  <c r="AC382" i="2"/>
  <c r="L382" i="2" s="1"/>
  <c r="AB382" i="2"/>
  <c r="K382" i="2" s="1"/>
  <c r="AC381" i="2"/>
  <c r="L381" i="2" s="1"/>
  <c r="AB381" i="2"/>
  <c r="AA381" i="2" s="1"/>
  <c r="AC380" i="2"/>
  <c r="L380" i="2" s="1"/>
  <c r="AB380" i="2"/>
  <c r="AA380" i="2" s="1"/>
  <c r="AC379" i="2"/>
  <c r="L379" i="2" s="1"/>
  <c r="AB379" i="2"/>
  <c r="AA379" i="2" s="1"/>
  <c r="AC378" i="2"/>
  <c r="L378" i="2" s="1"/>
  <c r="AB378" i="2"/>
  <c r="AA378" i="2" s="1"/>
  <c r="AC377" i="2"/>
  <c r="L377" i="2" s="1"/>
  <c r="AB377" i="2"/>
  <c r="AA377" i="2" s="1"/>
  <c r="AC376" i="2"/>
  <c r="L376" i="2" s="1"/>
  <c r="AB376" i="2"/>
  <c r="K376" i="2" s="1"/>
  <c r="AC375" i="2"/>
  <c r="L375" i="2" s="1"/>
  <c r="AB375" i="2"/>
  <c r="AA375" i="2" s="1"/>
  <c r="AC374" i="2"/>
  <c r="L374" i="2" s="1"/>
  <c r="AB374" i="2"/>
  <c r="AA374" i="2" s="1"/>
  <c r="AC373" i="2"/>
  <c r="L373" i="2" s="1"/>
  <c r="AB373" i="2"/>
  <c r="K373" i="2" s="1"/>
  <c r="AC372" i="2"/>
  <c r="L372" i="2" s="1"/>
  <c r="AB372" i="2"/>
  <c r="AA372" i="2" s="1"/>
  <c r="AC371" i="2"/>
  <c r="L371" i="2" s="1"/>
  <c r="AB371" i="2"/>
  <c r="K371" i="2" s="1"/>
  <c r="AC370" i="2"/>
  <c r="L370" i="2" s="1"/>
  <c r="AB370" i="2"/>
  <c r="K370" i="2" s="1"/>
  <c r="AC369" i="2"/>
  <c r="L369" i="2" s="1"/>
  <c r="AB369" i="2"/>
  <c r="AA369" i="2" s="1"/>
  <c r="AC368" i="2"/>
  <c r="L368" i="2" s="1"/>
  <c r="AB368" i="2"/>
  <c r="AA368" i="2" s="1"/>
  <c r="AC367" i="2"/>
  <c r="L367" i="2" s="1"/>
  <c r="AB367" i="2"/>
  <c r="AC366" i="2"/>
  <c r="L366" i="2" s="1"/>
  <c r="AB366" i="2"/>
  <c r="K366" i="2" s="1"/>
  <c r="AC365" i="2"/>
  <c r="L365" i="2" s="1"/>
  <c r="AB365" i="2"/>
  <c r="AA365" i="2" s="1"/>
  <c r="AC364" i="2"/>
  <c r="L364" i="2" s="1"/>
  <c r="AB364" i="2"/>
  <c r="AA364" i="2" s="1"/>
  <c r="AC363" i="2"/>
  <c r="L363" i="2" s="1"/>
  <c r="AB363" i="2"/>
  <c r="AA363" i="2" s="1"/>
  <c r="AC362" i="2"/>
  <c r="L362" i="2" s="1"/>
  <c r="AB362" i="2"/>
  <c r="K362" i="2" s="1"/>
  <c r="AC361" i="2"/>
  <c r="L361" i="2" s="1"/>
  <c r="AB361" i="2"/>
  <c r="AA361" i="2" s="1"/>
  <c r="AC360" i="2"/>
  <c r="L360" i="2" s="1"/>
  <c r="AB360" i="2"/>
  <c r="K360" i="2" s="1"/>
  <c r="AC359" i="2"/>
  <c r="L359" i="2" s="1"/>
  <c r="AB359" i="2"/>
  <c r="AA359" i="2" s="1"/>
  <c r="AC358" i="2"/>
  <c r="L358" i="2" s="1"/>
  <c r="AB358" i="2"/>
  <c r="AA358" i="2" s="1"/>
  <c r="AC357" i="2"/>
  <c r="L357" i="2" s="1"/>
  <c r="AC356" i="2"/>
  <c r="L356" i="2" s="1"/>
  <c r="AC355" i="2"/>
  <c r="L355" i="2" s="1"/>
  <c r="AC354" i="2"/>
  <c r="L354" i="2" s="1"/>
  <c r="AC353" i="2"/>
  <c r="L353" i="2" s="1"/>
  <c r="AC352" i="2"/>
  <c r="L352" i="2" s="1"/>
  <c r="AC351" i="2"/>
  <c r="L351" i="2" s="1"/>
  <c r="AC350" i="2"/>
  <c r="L350" i="2" s="1"/>
  <c r="AC349" i="2"/>
  <c r="L349" i="2" s="1"/>
  <c r="AC348" i="2"/>
  <c r="L348" i="2" s="1"/>
  <c r="AC347" i="2"/>
  <c r="L347" i="2" s="1"/>
  <c r="AC346" i="2"/>
  <c r="L346" i="2" s="1"/>
  <c r="AC345" i="2"/>
  <c r="L345" i="2" s="1"/>
  <c r="AC344" i="2"/>
  <c r="L344" i="2" s="1"/>
  <c r="AC343" i="2"/>
  <c r="L343" i="2" s="1"/>
  <c r="AC342" i="2"/>
  <c r="L342" i="2" s="1"/>
  <c r="AC341" i="2"/>
  <c r="L341" i="2" s="1"/>
  <c r="AC340" i="2"/>
  <c r="L340" i="2" s="1"/>
  <c r="AC339" i="2"/>
  <c r="L339" i="2" s="1"/>
  <c r="AC338" i="2"/>
  <c r="L338" i="2" s="1"/>
  <c r="AC337" i="2"/>
  <c r="L337" i="2" s="1"/>
  <c r="AC336" i="2"/>
  <c r="L336" i="2" s="1"/>
  <c r="AC335" i="2"/>
  <c r="L335" i="2" s="1"/>
  <c r="AC334" i="2"/>
  <c r="L334" i="2" s="1"/>
  <c r="AC333" i="2"/>
  <c r="L333" i="2" s="1"/>
  <c r="AC332" i="2"/>
  <c r="L332" i="2" s="1"/>
  <c r="AC331" i="2"/>
  <c r="L331" i="2" s="1"/>
  <c r="AC330" i="2"/>
  <c r="L330" i="2" s="1"/>
  <c r="AC329" i="2"/>
  <c r="L329" i="2" s="1"/>
  <c r="AC328" i="2"/>
  <c r="L328" i="2" s="1"/>
  <c r="AC327" i="2"/>
  <c r="L327" i="2" s="1"/>
  <c r="AC326" i="2"/>
  <c r="L326" i="2" s="1"/>
  <c r="AC325" i="2"/>
  <c r="L325" i="2" s="1"/>
  <c r="AC324" i="2"/>
  <c r="L324" i="2" s="1"/>
  <c r="AC323" i="2"/>
  <c r="L323" i="2" s="1"/>
  <c r="AC322" i="2"/>
  <c r="L322" i="2" s="1"/>
  <c r="AC321" i="2"/>
  <c r="L321" i="2" s="1"/>
  <c r="AC320" i="2"/>
  <c r="L320" i="2" s="1"/>
  <c r="AC319" i="2"/>
  <c r="L319" i="2" s="1"/>
  <c r="AC318" i="2"/>
  <c r="L318" i="2" s="1"/>
  <c r="AC317" i="2"/>
  <c r="L317" i="2" s="1"/>
  <c r="AC316" i="2"/>
  <c r="L316" i="2" s="1"/>
  <c r="AC315" i="2"/>
  <c r="L315" i="2" s="1"/>
  <c r="AC314" i="2"/>
  <c r="L314" i="2" s="1"/>
  <c r="AC313" i="2"/>
  <c r="L313" i="2" s="1"/>
  <c r="AC312" i="2"/>
  <c r="L312" i="2" s="1"/>
  <c r="AC311" i="2"/>
  <c r="L311" i="2" s="1"/>
  <c r="AC310" i="2"/>
  <c r="L310" i="2" s="1"/>
  <c r="AC309" i="2"/>
  <c r="L309" i="2" s="1"/>
  <c r="AC308" i="2"/>
  <c r="L308" i="2" s="1"/>
  <c r="AC307" i="2"/>
  <c r="L307" i="2" s="1"/>
  <c r="AC306" i="2"/>
  <c r="L306" i="2" s="1"/>
  <c r="AC305" i="2"/>
  <c r="L305" i="2" s="1"/>
  <c r="AC304" i="2"/>
  <c r="L304" i="2" s="1"/>
  <c r="AC303" i="2"/>
  <c r="L303" i="2" s="1"/>
  <c r="AC302" i="2"/>
  <c r="L302" i="2" s="1"/>
  <c r="AC301" i="2"/>
  <c r="L301" i="2" s="1"/>
  <c r="AC300" i="2"/>
  <c r="L300" i="2" s="1"/>
  <c r="AC299" i="2"/>
  <c r="L299" i="2" s="1"/>
  <c r="AC298" i="2"/>
  <c r="L298" i="2" s="1"/>
  <c r="AC297" i="2"/>
  <c r="L297" i="2" s="1"/>
  <c r="AC296" i="2"/>
  <c r="L296" i="2" s="1"/>
  <c r="AC295" i="2"/>
  <c r="L295" i="2" s="1"/>
  <c r="AC294" i="2"/>
  <c r="L294" i="2" s="1"/>
  <c r="AC293" i="2"/>
  <c r="L293" i="2" s="1"/>
  <c r="AC292" i="2"/>
  <c r="L292" i="2" s="1"/>
  <c r="AC291" i="2"/>
  <c r="L291" i="2" s="1"/>
  <c r="AC290" i="2"/>
  <c r="L290" i="2" s="1"/>
  <c r="AC289" i="2"/>
  <c r="L289" i="2" s="1"/>
  <c r="AC288" i="2"/>
  <c r="L288" i="2" s="1"/>
  <c r="AC287" i="2"/>
  <c r="L287" i="2" s="1"/>
  <c r="AC286" i="2"/>
  <c r="L286" i="2" s="1"/>
  <c r="AC285" i="2"/>
  <c r="L285" i="2" s="1"/>
  <c r="AC284" i="2"/>
  <c r="L284" i="2" s="1"/>
  <c r="AC283" i="2"/>
  <c r="L283" i="2" s="1"/>
  <c r="AC282" i="2"/>
  <c r="L282" i="2" s="1"/>
  <c r="AC281" i="2"/>
  <c r="L281" i="2" s="1"/>
  <c r="AC280" i="2"/>
  <c r="L280" i="2" s="1"/>
  <c r="AC279" i="2"/>
  <c r="L279" i="2" s="1"/>
  <c r="AC278" i="2"/>
  <c r="L278" i="2" s="1"/>
  <c r="AC277" i="2"/>
  <c r="L277" i="2" s="1"/>
  <c r="AC276" i="2"/>
  <c r="L276" i="2" s="1"/>
  <c r="AC275" i="2"/>
  <c r="L275" i="2" s="1"/>
  <c r="AC274" i="2"/>
  <c r="L274" i="2" s="1"/>
  <c r="AC273" i="2"/>
  <c r="L273" i="2" s="1"/>
  <c r="AC272" i="2"/>
  <c r="L272" i="2" s="1"/>
  <c r="AC271" i="2"/>
  <c r="L271" i="2" s="1"/>
  <c r="AC270" i="2"/>
  <c r="L270" i="2" s="1"/>
  <c r="AC269" i="2"/>
  <c r="L269" i="2" s="1"/>
  <c r="AC268" i="2"/>
  <c r="L268" i="2" s="1"/>
  <c r="AC267" i="2"/>
  <c r="L267" i="2" s="1"/>
  <c r="AC266" i="2"/>
  <c r="L266" i="2" s="1"/>
  <c r="AC265" i="2"/>
  <c r="L265" i="2" s="1"/>
  <c r="AC264" i="2"/>
  <c r="L264" i="2" s="1"/>
  <c r="AC263" i="2"/>
  <c r="L263" i="2" s="1"/>
  <c r="AC262" i="2"/>
  <c r="L262" i="2" s="1"/>
  <c r="AC261" i="2"/>
  <c r="L261" i="2" s="1"/>
  <c r="AC260" i="2"/>
  <c r="L260" i="2" s="1"/>
  <c r="AC259" i="2"/>
  <c r="L259" i="2" s="1"/>
  <c r="AC258" i="2"/>
  <c r="L258" i="2" s="1"/>
  <c r="AC257" i="2"/>
  <c r="L257" i="2" s="1"/>
  <c r="AC256" i="2"/>
  <c r="L256" i="2" s="1"/>
  <c r="AC255" i="2"/>
  <c r="L255" i="2" s="1"/>
  <c r="AC254" i="2"/>
  <c r="L254" i="2" s="1"/>
  <c r="AC253" i="2"/>
  <c r="L253" i="2" s="1"/>
  <c r="AC252" i="2"/>
  <c r="L252" i="2" s="1"/>
  <c r="AC251" i="2"/>
  <c r="L251" i="2" s="1"/>
  <c r="AC250" i="2"/>
  <c r="L250" i="2" s="1"/>
  <c r="AC249" i="2"/>
  <c r="L249" i="2" s="1"/>
  <c r="AC248" i="2"/>
  <c r="L248" i="2" s="1"/>
  <c r="AC247" i="2"/>
  <c r="L247" i="2" s="1"/>
  <c r="AC246" i="2"/>
  <c r="L246" i="2" s="1"/>
  <c r="AC245" i="2"/>
  <c r="L245" i="2" s="1"/>
  <c r="AC244" i="2"/>
  <c r="L244" i="2" s="1"/>
  <c r="AC243" i="2"/>
  <c r="L243" i="2" s="1"/>
  <c r="AC242" i="2"/>
  <c r="L242" i="2" s="1"/>
  <c r="AC241" i="2"/>
  <c r="L241" i="2" s="1"/>
  <c r="AC240" i="2"/>
  <c r="L240" i="2" s="1"/>
  <c r="AC239" i="2"/>
  <c r="L239" i="2" s="1"/>
  <c r="AC238" i="2"/>
  <c r="L238" i="2" s="1"/>
  <c r="AC237" i="2"/>
  <c r="L237" i="2" s="1"/>
  <c r="AC236" i="2"/>
  <c r="L236" i="2" s="1"/>
  <c r="AC235" i="2"/>
  <c r="L235" i="2" s="1"/>
  <c r="AC234" i="2"/>
  <c r="L234" i="2" s="1"/>
  <c r="AC233" i="2"/>
  <c r="L233" i="2" s="1"/>
  <c r="AC232" i="2"/>
  <c r="L232" i="2" s="1"/>
  <c r="AC231" i="2"/>
  <c r="L231" i="2" s="1"/>
  <c r="AC230" i="2"/>
  <c r="L230" i="2" s="1"/>
  <c r="AC229" i="2"/>
  <c r="L229" i="2" s="1"/>
  <c r="AC228" i="2"/>
  <c r="L228" i="2" s="1"/>
  <c r="AC227" i="2"/>
  <c r="L227" i="2" s="1"/>
  <c r="AC226" i="2"/>
  <c r="L226" i="2" s="1"/>
  <c r="AC225" i="2"/>
  <c r="L225" i="2" s="1"/>
  <c r="AC224" i="2"/>
  <c r="L224" i="2" s="1"/>
  <c r="AC223" i="2"/>
  <c r="L223" i="2" s="1"/>
  <c r="AC222" i="2"/>
  <c r="L222" i="2" s="1"/>
  <c r="AC221" i="2"/>
  <c r="L221" i="2" s="1"/>
  <c r="AC220" i="2"/>
  <c r="L220" i="2" s="1"/>
  <c r="AC219" i="2"/>
  <c r="L219" i="2" s="1"/>
  <c r="AC218" i="2"/>
  <c r="L218" i="2" s="1"/>
  <c r="AC217" i="2"/>
  <c r="L217" i="2" s="1"/>
  <c r="AC216" i="2"/>
  <c r="L216" i="2" s="1"/>
  <c r="AC215" i="2"/>
  <c r="L215" i="2" s="1"/>
  <c r="AC214" i="2"/>
  <c r="L214" i="2" s="1"/>
  <c r="AC213" i="2"/>
  <c r="L213" i="2" s="1"/>
  <c r="AC212" i="2"/>
  <c r="L212" i="2" s="1"/>
  <c r="AC211" i="2"/>
  <c r="L211" i="2" s="1"/>
  <c r="AC210" i="2"/>
  <c r="L210" i="2" s="1"/>
  <c r="AC209" i="2"/>
  <c r="L209" i="2" s="1"/>
  <c r="AC208" i="2"/>
  <c r="L208" i="2" s="1"/>
  <c r="AC207" i="2"/>
  <c r="L207" i="2" s="1"/>
  <c r="AC206" i="2"/>
  <c r="L206" i="2" s="1"/>
  <c r="AC205" i="2"/>
  <c r="L205" i="2" s="1"/>
  <c r="AC204" i="2"/>
  <c r="L204" i="2" s="1"/>
  <c r="AC203" i="2"/>
  <c r="L203" i="2" s="1"/>
  <c r="AC202" i="2"/>
  <c r="L202" i="2" s="1"/>
  <c r="AC201" i="2"/>
  <c r="L201" i="2" s="1"/>
  <c r="AC200" i="2"/>
  <c r="L200" i="2" s="1"/>
  <c r="AC199" i="2"/>
  <c r="L199" i="2" s="1"/>
  <c r="AC198" i="2"/>
  <c r="L198" i="2" s="1"/>
  <c r="AC197" i="2"/>
  <c r="L197" i="2" s="1"/>
  <c r="AC196" i="2"/>
  <c r="L196" i="2" s="1"/>
  <c r="AC195" i="2"/>
  <c r="L195" i="2" s="1"/>
  <c r="AC194" i="2"/>
  <c r="L194" i="2" s="1"/>
  <c r="AC193" i="2"/>
  <c r="L193" i="2" s="1"/>
  <c r="AC192" i="2"/>
  <c r="L192" i="2" s="1"/>
  <c r="AC191" i="2"/>
  <c r="L191" i="2" s="1"/>
  <c r="AC190" i="2"/>
  <c r="L190" i="2" s="1"/>
  <c r="AC189" i="2"/>
  <c r="L189" i="2" s="1"/>
  <c r="AC188" i="2"/>
  <c r="L188" i="2" s="1"/>
  <c r="AC187" i="2"/>
  <c r="L187" i="2" s="1"/>
  <c r="AC186" i="2"/>
  <c r="L186" i="2" s="1"/>
  <c r="AC185" i="2"/>
  <c r="L185" i="2" s="1"/>
  <c r="AC184" i="2"/>
  <c r="L184" i="2" s="1"/>
  <c r="AC183" i="2"/>
  <c r="L183" i="2" s="1"/>
  <c r="AC182" i="2"/>
  <c r="L182" i="2" s="1"/>
  <c r="AC181" i="2"/>
  <c r="L181" i="2" s="1"/>
  <c r="AC180" i="2"/>
  <c r="L180" i="2" s="1"/>
  <c r="AC179" i="2"/>
  <c r="L179" i="2" s="1"/>
  <c r="AC178" i="2"/>
  <c r="L178" i="2" s="1"/>
  <c r="AC177" i="2"/>
  <c r="L177" i="2" s="1"/>
  <c r="AC176" i="2"/>
  <c r="L176" i="2" s="1"/>
  <c r="AC175" i="2"/>
  <c r="L175" i="2" s="1"/>
  <c r="AC174" i="2"/>
  <c r="L174" i="2" s="1"/>
  <c r="AC173" i="2"/>
  <c r="L173" i="2" s="1"/>
  <c r="AC172" i="2"/>
  <c r="L172" i="2" s="1"/>
  <c r="AC171" i="2"/>
  <c r="L171" i="2" s="1"/>
  <c r="AC170" i="2"/>
  <c r="L170" i="2" s="1"/>
  <c r="AC169" i="2"/>
  <c r="L169" i="2" s="1"/>
  <c r="AC168" i="2"/>
  <c r="L168" i="2" s="1"/>
  <c r="AC167" i="2"/>
  <c r="L167" i="2" s="1"/>
  <c r="AC166" i="2"/>
  <c r="L166" i="2" s="1"/>
  <c r="AC165" i="2"/>
  <c r="L165" i="2" s="1"/>
  <c r="AC164" i="2"/>
  <c r="L164" i="2" s="1"/>
  <c r="AC163" i="2"/>
  <c r="L163" i="2" s="1"/>
  <c r="AC162" i="2"/>
  <c r="L162" i="2" s="1"/>
  <c r="AC161" i="2"/>
  <c r="L161" i="2" s="1"/>
  <c r="AC160" i="2"/>
  <c r="L160" i="2" s="1"/>
  <c r="AC159" i="2"/>
  <c r="L159" i="2" s="1"/>
  <c r="AC158" i="2"/>
  <c r="L158" i="2" s="1"/>
  <c r="AC157" i="2"/>
  <c r="L157" i="2" s="1"/>
  <c r="AC156" i="2"/>
  <c r="L156" i="2" s="1"/>
  <c r="AC155" i="2"/>
  <c r="L155" i="2" s="1"/>
  <c r="AC154" i="2"/>
  <c r="L154" i="2" s="1"/>
  <c r="AC153" i="2"/>
  <c r="L153" i="2" s="1"/>
  <c r="AC152" i="2"/>
  <c r="L152" i="2" s="1"/>
  <c r="AC151" i="2"/>
  <c r="L151" i="2" s="1"/>
  <c r="AC150" i="2"/>
  <c r="L150" i="2" s="1"/>
  <c r="AC149" i="2"/>
  <c r="L149" i="2" s="1"/>
  <c r="AC148" i="2"/>
  <c r="L148" i="2" s="1"/>
  <c r="AC147" i="2"/>
  <c r="L147" i="2" s="1"/>
  <c r="AC146" i="2"/>
  <c r="L146" i="2" s="1"/>
  <c r="AC145" i="2"/>
  <c r="L145" i="2" s="1"/>
  <c r="AC144" i="2"/>
  <c r="L144" i="2" s="1"/>
  <c r="AC143" i="2"/>
  <c r="L143" i="2" s="1"/>
  <c r="AC142" i="2"/>
  <c r="L142" i="2" s="1"/>
  <c r="AC141" i="2"/>
  <c r="L141" i="2" s="1"/>
  <c r="AC140" i="2"/>
  <c r="L140" i="2" s="1"/>
  <c r="AC139" i="2"/>
  <c r="L139" i="2" s="1"/>
  <c r="AC138" i="2"/>
  <c r="L138" i="2" s="1"/>
  <c r="AC137" i="2"/>
  <c r="L137" i="2" s="1"/>
  <c r="AC136" i="2"/>
  <c r="L136" i="2" s="1"/>
  <c r="AC135" i="2"/>
  <c r="L135" i="2" s="1"/>
  <c r="AC134" i="2"/>
  <c r="L134" i="2" s="1"/>
  <c r="AC133" i="2"/>
  <c r="L133" i="2" s="1"/>
  <c r="AC132" i="2"/>
  <c r="L132" i="2" s="1"/>
  <c r="AC131" i="2"/>
  <c r="L131" i="2" s="1"/>
  <c r="AC130" i="2"/>
  <c r="L130" i="2" s="1"/>
  <c r="AC129" i="2"/>
  <c r="L129" i="2" s="1"/>
  <c r="AC128" i="2"/>
  <c r="L128" i="2" s="1"/>
  <c r="AC127" i="2"/>
  <c r="L127" i="2" s="1"/>
  <c r="AC126" i="2"/>
  <c r="L126" i="2" s="1"/>
  <c r="AC125" i="2"/>
  <c r="L125" i="2" s="1"/>
  <c r="AC124" i="2"/>
  <c r="L124" i="2" s="1"/>
  <c r="AC123" i="2"/>
  <c r="L123" i="2" s="1"/>
  <c r="AC122" i="2"/>
  <c r="L122" i="2" s="1"/>
  <c r="AC121" i="2"/>
  <c r="L121" i="2" s="1"/>
  <c r="AC120" i="2"/>
  <c r="L120" i="2" s="1"/>
  <c r="AC119" i="2"/>
  <c r="L119" i="2" s="1"/>
  <c r="AC118" i="2"/>
  <c r="L118" i="2" s="1"/>
  <c r="AC117" i="2"/>
  <c r="L117" i="2" s="1"/>
  <c r="AC116" i="2"/>
  <c r="L116" i="2" s="1"/>
  <c r="AC115" i="2"/>
  <c r="L115" i="2" s="1"/>
  <c r="AC114" i="2"/>
  <c r="L114" i="2" s="1"/>
  <c r="AC113" i="2"/>
  <c r="L113" i="2" s="1"/>
  <c r="AC112" i="2"/>
  <c r="L112" i="2" s="1"/>
  <c r="AC111" i="2"/>
  <c r="L111" i="2" s="1"/>
  <c r="AC110" i="2"/>
  <c r="L110" i="2" s="1"/>
  <c r="AC109" i="2"/>
  <c r="L109" i="2" s="1"/>
  <c r="AC108" i="2"/>
  <c r="L108" i="2" s="1"/>
  <c r="AC107" i="2"/>
  <c r="L107" i="2" s="1"/>
  <c r="AC106" i="2"/>
  <c r="L106" i="2" s="1"/>
  <c r="AC105" i="2"/>
  <c r="L105" i="2" s="1"/>
  <c r="AC104" i="2"/>
  <c r="L104" i="2" s="1"/>
  <c r="AC103" i="2"/>
  <c r="L103" i="2" s="1"/>
  <c r="AC102" i="2"/>
  <c r="L102" i="2" s="1"/>
  <c r="AC101" i="2"/>
  <c r="L101" i="2" s="1"/>
  <c r="AC100" i="2"/>
  <c r="L100" i="2" s="1"/>
  <c r="AC99" i="2"/>
  <c r="L99" i="2" s="1"/>
  <c r="AC98" i="2"/>
  <c r="L98" i="2" s="1"/>
  <c r="AC97" i="2"/>
  <c r="L97" i="2" s="1"/>
  <c r="AC96" i="2"/>
  <c r="L96" i="2" s="1"/>
  <c r="AC95" i="2"/>
  <c r="L95" i="2" s="1"/>
  <c r="AC94" i="2"/>
  <c r="L94" i="2" s="1"/>
  <c r="AC93" i="2"/>
  <c r="L93" i="2" s="1"/>
  <c r="AC92" i="2"/>
  <c r="L92" i="2" s="1"/>
  <c r="AC91" i="2"/>
  <c r="L91" i="2" s="1"/>
  <c r="AC90" i="2"/>
  <c r="L90" i="2" s="1"/>
  <c r="AC89" i="2"/>
  <c r="L89" i="2" s="1"/>
  <c r="AC88" i="2"/>
  <c r="L88" i="2" s="1"/>
  <c r="AC87" i="2"/>
  <c r="L87" i="2" s="1"/>
  <c r="AC86" i="2"/>
  <c r="L86" i="2" s="1"/>
  <c r="AC85" i="2"/>
  <c r="L85" i="2" s="1"/>
  <c r="AC84" i="2"/>
  <c r="L84" i="2" s="1"/>
  <c r="AC83" i="2"/>
  <c r="L83" i="2" s="1"/>
  <c r="AC82" i="2"/>
  <c r="L82" i="2" s="1"/>
  <c r="AC81" i="2"/>
  <c r="L81" i="2" s="1"/>
  <c r="AC80" i="2"/>
  <c r="L80" i="2" s="1"/>
  <c r="AC79" i="2"/>
  <c r="L79" i="2" s="1"/>
  <c r="AC78" i="2"/>
  <c r="L78" i="2" s="1"/>
  <c r="AC77" i="2"/>
  <c r="L77" i="2" s="1"/>
  <c r="AC76" i="2"/>
  <c r="L76" i="2" s="1"/>
  <c r="AC75" i="2"/>
  <c r="L75" i="2" s="1"/>
  <c r="AC74" i="2"/>
  <c r="L74" i="2" s="1"/>
  <c r="AC73" i="2"/>
  <c r="L73" i="2" s="1"/>
  <c r="AC72" i="2"/>
  <c r="L72" i="2" s="1"/>
  <c r="AC71" i="2"/>
  <c r="L71" i="2" s="1"/>
  <c r="AC70" i="2"/>
  <c r="L70" i="2" s="1"/>
  <c r="AC69" i="2"/>
  <c r="L69" i="2" s="1"/>
  <c r="AC68" i="2"/>
  <c r="L68" i="2" s="1"/>
  <c r="AC67" i="2"/>
  <c r="L67" i="2" s="1"/>
  <c r="AC66" i="2"/>
  <c r="L66" i="2" s="1"/>
  <c r="AC65" i="2"/>
  <c r="L65" i="2" s="1"/>
  <c r="AC64" i="2"/>
  <c r="L64" i="2" s="1"/>
  <c r="AC63" i="2"/>
  <c r="L63" i="2" s="1"/>
  <c r="AC62" i="2"/>
  <c r="L62" i="2" s="1"/>
  <c r="AC61" i="2"/>
  <c r="L61" i="2" s="1"/>
  <c r="AC60" i="2"/>
  <c r="L60" i="2" s="1"/>
  <c r="AC59" i="2"/>
  <c r="L59" i="2" s="1"/>
  <c r="AC58" i="2"/>
  <c r="L58" i="2" s="1"/>
  <c r="AC57" i="2"/>
  <c r="L57" i="2" s="1"/>
  <c r="AC56" i="2"/>
  <c r="L56" i="2" s="1"/>
  <c r="AC55" i="2"/>
  <c r="L55" i="2" s="1"/>
  <c r="AC54" i="2"/>
  <c r="L54" i="2" s="1"/>
  <c r="AC53" i="2"/>
  <c r="L53" i="2" s="1"/>
  <c r="AC52" i="2"/>
  <c r="L52" i="2" s="1"/>
  <c r="AC51" i="2"/>
  <c r="L51" i="2" s="1"/>
  <c r="AC50" i="2"/>
  <c r="L50" i="2" s="1"/>
  <c r="AC49" i="2"/>
  <c r="L49" i="2" s="1"/>
  <c r="AC48" i="2"/>
  <c r="L48" i="2" s="1"/>
  <c r="AC47" i="2"/>
  <c r="L47" i="2" s="1"/>
  <c r="AC46" i="2"/>
  <c r="L46" i="2" s="1"/>
  <c r="AC45" i="2"/>
  <c r="L45" i="2" s="1"/>
  <c r="AC44" i="2"/>
  <c r="L44" i="2" s="1"/>
  <c r="AC43" i="2"/>
  <c r="L43" i="2" s="1"/>
  <c r="AC42" i="2"/>
  <c r="L42" i="2" s="1"/>
  <c r="AC41" i="2"/>
  <c r="L41" i="2" s="1"/>
  <c r="AC40" i="2"/>
  <c r="L40" i="2" s="1"/>
  <c r="AC39" i="2"/>
  <c r="L39" i="2" s="1"/>
  <c r="AC38" i="2"/>
  <c r="L38" i="2" s="1"/>
  <c r="AC37" i="2"/>
  <c r="L37" i="2" s="1"/>
  <c r="AC36" i="2"/>
  <c r="L36" i="2" s="1"/>
  <c r="AC35" i="2"/>
  <c r="L35" i="2" s="1"/>
  <c r="AC34" i="2"/>
  <c r="L34" i="2" s="1"/>
  <c r="AC33" i="2"/>
  <c r="L33" i="2" s="1"/>
  <c r="AC32" i="2"/>
  <c r="L32" i="2" s="1"/>
  <c r="AC31" i="2"/>
  <c r="L31" i="2" s="1"/>
  <c r="AC30" i="2"/>
  <c r="L30" i="2" s="1"/>
  <c r="AC29" i="2"/>
  <c r="L29" i="2" s="1"/>
  <c r="AC28" i="2"/>
  <c r="L28" i="2" s="1"/>
  <c r="AC27" i="2"/>
  <c r="L27" i="2" s="1"/>
  <c r="AC26" i="2"/>
  <c r="L26" i="2" s="1"/>
  <c r="AC25" i="2"/>
  <c r="L25" i="2" s="1"/>
  <c r="AC24" i="2"/>
  <c r="L24" i="2" s="1"/>
  <c r="AC23" i="2"/>
  <c r="L23" i="2" s="1"/>
  <c r="AC22" i="2"/>
  <c r="L22" i="2" s="1"/>
  <c r="AC21" i="2"/>
  <c r="L21" i="2" s="1"/>
  <c r="AC20" i="2"/>
  <c r="L20" i="2" s="1"/>
  <c r="AC19" i="2"/>
  <c r="L19" i="2" s="1"/>
  <c r="AC18" i="2"/>
  <c r="L18" i="2" s="1"/>
  <c r="AC17" i="2"/>
  <c r="L17" i="2" s="1"/>
  <c r="AC16" i="2"/>
  <c r="L16" i="2" s="1"/>
  <c r="AC15" i="2"/>
  <c r="L15" i="2" s="1"/>
  <c r="AC14" i="2"/>
  <c r="L14" i="2" s="1"/>
  <c r="AC13" i="2"/>
  <c r="L13" i="2" s="1"/>
  <c r="AC12" i="2"/>
  <c r="L12" i="2" s="1"/>
  <c r="AC11" i="2"/>
  <c r="L11" i="2" s="1"/>
  <c r="AC10" i="2"/>
  <c r="L10" i="2" s="1"/>
  <c r="AC9" i="2"/>
  <c r="L9" i="2" s="1"/>
  <c r="AC8" i="2"/>
  <c r="L8" i="2" s="1"/>
  <c r="AC7" i="2"/>
  <c r="L7" i="2" s="1"/>
  <c r="AC6" i="2"/>
  <c r="L6" i="2" s="1"/>
  <c r="AB357" i="2"/>
  <c r="AA357" i="2" s="1"/>
  <c r="AB356" i="2"/>
  <c r="AA356" i="2" s="1"/>
  <c r="AB355" i="2"/>
  <c r="K355" i="2" s="1"/>
  <c r="AB354" i="2"/>
  <c r="K354" i="2" s="1"/>
  <c r="AB353" i="2"/>
  <c r="AA353" i="2" s="1"/>
  <c r="AB352" i="2"/>
  <c r="K352" i="2" s="1"/>
  <c r="AB351" i="2"/>
  <c r="K351" i="2" s="1"/>
  <c r="AB350" i="2"/>
  <c r="K350" i="2" s="1"/>
  <c r="AB349" i="2"/>
  <c r="K349" i="2" s="1"/>
  <c r="AB348" i="2"/>
  <c r="AA348" i="2" s="1"/>
  <c r="AB347" i="2"/>
  <c r="AA347" i="2" s="1"/>
  <c r="AB346" i="2"/>
  <c r="AB345" i="2"/>
  <c r="AA345" i="2" s="1"/>
  <c r="AB344" i="2"/>
  <c r="K344" i="2" s="1"/>
  <c r="AB343" i="2"/>
  <c r="AA343" i="2" s="1"/>
  <c r="AB342" i="2"/>
  <c r="AA342" i="2" s="1"/>
  <c r="AB341" i="2"/>
  <c r="K341" i="2" s="1"/>
  <c r="AB340" i="2"/>
  <c r="K340" i="2" s="1"/>
  <c r="AB339" i="2"/>
  <c r="AA339" i="2" s="1"/>
  <c r="AB338" i="2"/>
  <c r="AA338" i="2" s="1"/>
  <c r="AB337" i="2"/>
  <c r="K337" i="2" s="1"/>
  <c r="AB336" i="2"/>
  <c r="K336" i="2" s="1"/>
  <c r="AB335" i="2"/>
  <c r="AA335" i="2" s="1"/>
  <c r="AB334" i="2"/>
  <c r="AA334" i="2" s="1"/>
  <c r="AB333" i="2"/>
  <c r="K333" i="2" s="1"/>
  <c r="AB332" i="2"/>
  <c r="K332" i="2" s="1"/>
  <c r="AB331" i="2"/>
  <c r="AA331" i="2" s="1"/>
  <c r="AB330" i="2"/>
  <c r="K330" i="2" s="1"/>
  <c r="AB329" i="2"/>
  <c r="K329" i="2" s="1"/>
  <c r="AB328" i="2"/>
  <c r="AA328" i="2" s="1"/>
  <c r="AB327" i="2"/>
  <c r="K327" i="2" s="1"/>
  <c r="AB326" i="2"/>
  <c r="AA326" i="2" s="1"/>
  <c r="AB325" i="2"/>
  <c r="AA325" i="2" s="1"/>
  <c r="AB324" i="2"/>
  <c r="AA324" i="2" s="1"/>
  <c r="AB323" i="2"/>
  <c r="K323" i="2" s="1"/>
  <c r="AB322" i="2"/>
  <c r="AA322" i="2" s="1"/>
  <c r="AB321" i="2"/>
  <c r="AA321" i="2" s="1"/>
  <c r="AB320" i="2"/>
  <c r="AA320" i="2" s="1"/>
  <c r="AB319" i="2"/>
  <c r="K319" i="2" s="1"/>
  <c r="AB318" i="2"/>
  <c r="K318" i="2" s="1"/>
  <c r="AB317" i="2"/>
  <c r="AA317" i="2" s="1"/>
  <c r="AB316" i="2"/>
  <c r="K316" i="2" s="1"/>
  <c r="AB315" i="2"/>
  <c r="K315" i="2" s="1"/>
  <c r="AB314" i="2"/>
  <c r="K314" i="2" s="1"/>
  <c r="AB313" i="2"/>
  <c r="AA313" i="2" s="1"/>
  <c r="AB312" i="2"/>
  <c r="AA312" i="2" s="1"/>
  <c r="AB311" i="2"/>
  <c r="K311" i="2" s="1"/>
  <c r="AB310" i="2"/>
  <c r="AA310" i="2" s="1"/>
  <c r="AB309" i="2"/>
  <c r="AA309" i="2" s="1"/>
  <c r="AB308" i="2"/>
  <c r="K308" i="2" s="1"/>
  <c r="AB307" i="2"/>
  <c r="AA307" i="2" s="1"/>
  <c r="AB306" i="2"/>
  <c r="K306" i="2" s="1"/>
  <c r="AB305" i="2"/>
  <c r="K305" i="2" s="1"/>
  <c r="AB304" i="2"/>
  <c r="AB303" i="2"/>
  <c r="K303" i="2" s="1"/>
  <c r="AB302" i="2"/>
  <c r="AA302" i="2" s="1"/>
  <c r="AB301" i="2"/>
  <c r="AA301" i="2" s="1"/>
  <c r="AB300" i="2"/>
  <c r="K300" i="2" s="1"/>
  <c r="AB299" i="2"/>
  <c r="AA299" i="2" s="1"/>
  <c r="AB298" i="2"/>
  <c r="K298" i="2" s="1"/>
  <c r="AB297" i="2"/>
  <c r="K297" i="2" s="1"/>
  <c r="AB296" i="2"/>
  <c r="AA296" i="2" s="1"/>
  <c r="AB295" i="2"/>
  <c r="AA295" i="2" s="1"/>
  <c r="AB294" i="2"/>
  <c r="K294" i="2" s="1"/>
  <c r="AB293" i="2"/>
  <c r="AA293" i="2" s="1"/>
  <c r="AB292" i="2"/>
  <c r="K292" i="2" s="1"/>
  <c r="AB291" i="2"/>
  <c r="AA291" i="2" s="1"/>
  <c r="AB290" i="2"/>
  <c r="K290" i="2" s="1"/>
  <c r="AB289" i="2"/>
  <c r="K289" i="2" s="1"/>
  <c r="AB288" i="2"/>
  <c r="K288" i="2" s="1"/>
  <c r="AB287" i="2"/>
  <c r="AA287" i="2" s="1"/>
  <c r="AB286" i="2"/>
  <c r="AA286" i="2" s="1"/>
  <c r="AB285" i="2"/>
  <c r="K285" i="2" s="1"/>
  <c r="AB284" i="2"/>
  <c r="K284" i="2" s="1"/>
  <c r="AB283" i="2"/>
  <c r="AA283" i="2" s="1"/>
  <c r="AB282" i="2"/>
  <c r="AA282" i="2" s="1"/>
  <c r="AB281" i="2"/>
  <c r="AA281" i="2" s="1"/>
  <c r="AB280" i="2"/>
  <c r="K280" i="2" s="1"/>
  <c r="AB279" i="2"/>
  <c r="AA279" i="2" s="1"/>
  <c r="AB278" i="2"/>
  <c r="AA278" i="2" s="1"/>
  <c r="AB277" i="2"/>
  <c r="AA277" i="2" s="1"/>
  <c r="AB276" i="2"/>
  <c r="K276" i="2" s="1"/>
  <c r="AB275" i="2"/>
  <c r="K275" i="2" s="1"/>
  <c r="AB274" i="2"/>
  <c r="K274" i="2" s="1"/>
  <c r="AB273" i="2"/>
  <c r="AA273" i="2" s="1"/>
  <c r="AB272" i="2"/>
  <c r="AA272" i="2" s="1"/>
  <c r="AB271" i="2"/>
  <c r="AA271" i="2" s="1"/>
  <c r="AB270" i="2"/>
  <c r="AA270" i="2" s="1"/>
  <c r="AB269" i="2"/>
  <c r="AA269" i="2" s="1"/>
  <c r="AB268" i="2"/>
  <c r="AA268" i="2" s="1"/>
  <c r="AB267" i="2"/>
  <c r="K267" i="2" s="1"/>
  <c r="AB266" i="2"/>
  <c r="K266" i="2" s="1"/>
  <c r="AB265" i="2"/>
  <c r="AA265" i="2" s="1"/>
  <c r="AB264" i="2"/>
  <c r="K264" i="2" s="1"/>
  <c r="AB263" i="2"/>
  <c r="AA263" i="2" s="1"/>
  <c r="AB262" i="2"/>
  <c r="K262" i="2" s="1"/>
  <c r="AB261" i="2"/>
  <c r="AA261" i="2" s="1"/>
  <c r="AB260" i="2"/>
  <c r="AA260" i="2" s="1"/>
  <c r="AB259" i="2"/>
  <c r="K259" i="2" s="1"/>
  <c r="AB258" i="2"/>
  <c r="AA258" i="2" s="1"/>
  <c r="AB257" i="2"/>
  <c r="AA257" i="2" s="1"/>
  <c r="AB256" i="2"/>
  <c r="K256" i="2" s="1"/>
  <c r="AB255" i="2"/>
  <c r="AA255" i="2" s="1"/>
  <c r="AB254" i="2"/>
  <c r="K254" i="2" s="1"/>
  <c r="AB253" i="2"/>
  <c r="K253" i="2" s="1"/>
  <c r="AB252" i="2"/>
  <c r="K252" i="2" s="1"/>
  <c r="AB251" i="2"/>
  <c r="AA251" i="2" s="1"/>
  <c r="AB250" i="2"/>
  <c r="K250" i="2" s="1"/>
  <c r="AB249" i="2"/>
  <c r="AA249" i="2" s="1"/>
  <c r="AB248" i="2"/>
  <c r="K248" i="2" s="1"/>
  <c r="AB247" i="2"/>
  <c r="AA247" i="2" s="1"/>
  <c r="AB246" i="2"/>
  <c r="AA246" i="2" s="1"/>
  <c r="AB245" i="2"/>
  <c r="K245" i="2" s="1"/>
  <c r="AB244" i="2"/>
  <c r="K244" i="2" s="1"/>
  <c r="AB243" i="2"/>
  <c r="AA243" i="2" s="1"/>
  <c r="AB242" i="2"/>
  <c r="K242" i="2" s="1"/>
  <c r="AB241" i="2"/>
  <c r="K241" i="2" s="1"/>
  <c r="AB240" i="2"/>
  <c r="AA240" i="2" s="1"/>
  <c r="AB239" i="2"/>
  <c r="K239" i="2" s="1"/>
  <c r="AB238" i="2"/>
  <c r="AA238" i="2" s="1"/>
  <c r="AB237" i="2"/>
  <c r="K237" i="2" s="1"/>
  <c r="AB236" i="2"/>
  <c r="AA236" i="2" s="1"/>
  <c r="AB235" i="2"/>
  <c r="AA235" i="2" s="1"/>
  <c r="AB234" i="2"/>
  <c r="K234" i="2" s="1"/>
  <c r="AB233" i="2"/>
  <c r="AA233" i="2" s="1"/>
  <c r="AB232" i="2"/>
  <c r="AA232" i="2" s="1"/>
  <c r="AB231" i="2"/>
  <c r="K231" i="2" s="1"/>
  <c r="AB230" i="2"/>
  <c r="K230" i="2" s="1"/>
  <c r="AB229" i="2"/>
  <c r="AA229" i="2" s="1"/>
  <c r="AB228" i="2"/>
  <c r="K228" i="2" s="1"/>
  <c r="AB227" i="2"/>
  <c r="AA227" i="2" s="1"/>
  <c r="AB226" i="2"/>
  <c r="AA226" i="2" s="1"/>
  <c r="AB225" i="2"/>
  <c r="AA225" i="2" s="1"/>
  <c r="AB224" i="2"/>
  <c r="AA224" i="2" s="1"/>
  <c r="AB223" i="2"/>
  <c r="AA223" i="2" s="1"/>
  <c r="AB222" i="2"/>
  <c r="K222" i="2" s="1"/>
  <c r="AB221" i="2"/>
  <c r="AA221" i="2" s="1"/>
  <c r="AB220" i="2"/>
  <c r="K220" i="2" s="1"/>
  <c r="AB219" i="2"/>
  <c r="K219" i="2" s="1"/>
  <c r="AB218" i="2"/>
  <c r="K218" i="2" s="1"/>
  <c r="AB217" i="2"/>
  <c r="K217" i="2" s="1"/>
  <c r="AB216" i="2"/>
  <c r="AA216" i="2" s="1"/>
  <c r="AB215" i="2"/>
  <c r="AA215" i="2" s="1"/>
  <c r="AB214" i="2"/>
  <c r="K214" i="2" s="1"/>
  <c r="AB213" i="2"/>
  <c r="AA213" i="2" s="1"/>
  <c r="AB212" i="2"/>
  <c r="K212" i="2" s="1"/>
  <c r="AB211" i="2"/>
  <c r="AA211" i="2" s="1"/>
  <c r="AB210" i="2"/>
  <c r="K210" i="2" s="1"/>
  <c r="AB209" i="2"/>
  <c r="AA209" i="2" s="1"/>
  <c r="AB208" i="2"/>
  <c r="AA208" i="2" s="1"/>
  <c r="AB207" i="2"/>
  <c r="AA207" i="2" s="1"/>
  <c r="AB206" i="2"/>
  <c r="K206" i="2" s="1"/>
  <c r="AB205" i="2"/>
  <c r="K205" i="2" s="1"/>
  <c r="AB204" i="2"/>
  <c r="K204" i="2" s="1"/>
  <c r="AB203" i="2"/>
  <c r="AA203" i="2" s="1"/>
  <c r="AB202" i="2"/>
  <c r="AA202" i="2" s="1"/>
  <c r="AB201" i="2"/>
  <c r="AA201" i="2" s="1"/>
  <c r="AB200" i="2"/>
  <c r="AA200" i="2" s="1"/>
  <c r="AB199" i="2"/>
  <c r="AA199" i="2" s="1"/>
  <c r="AB198" i="2"/>
  <c r="K198" i="2" s="1"/>
  <c r="AB197" i="2"/>
  <c r="AA197" i="2" s="1"/>
  <c r="AB196" i="2"/>
  <c r="K196" i="2" s="1"/>
  <c r="AB195" i="2"/>
  <c r="K195" i="2" s="1"/>
  <c r="AB194" i="2"/>
  <c r="AA194" i="2" s="1"/>
  <c r="AB193" i="2"/>
  <c r="AA193" i="2" s="1"/>
  <c r="AB192" i="2"/>
  <c r="K192" i="2" s="1"/>
  <c r="AB191" i="2"/>
  <c r="K191" i="2" s="1"/>
  <c r="AB190" i="2"/>
  <c r="K190" i="2" s="1"/>
  <c r="AB189" i="2"/>
  <c r="AA189" i="2" s="1"/>
  <c r="AB188" i="2"/>
  <c r="AA188" i="2" s="1"/>
  <c r="AB187" i="2"/>
  <c r="AA187" i="2" s="1"/>
  <c r="AB186" i="2"/>
  <c r="K186" i="2" s="1"/>
  <c r="AB185" i="2"/>
  <c r="AA185" i="2" s="1"/>
  <c r="AB184" i="2"/>
  <c r="K184" i="2" s="1"/>
  <c r="AB183" i="2"/>
  <c r="K183" i="2" s="1"/>
  <c r="AB182" i="2"/>
  <c r="K182" i="2" s="1"/>
  <c r="AB181" i="2"/>
  <c r="AA181" i="2" s="1"/>
  <c r="AB180" i="2"/>
  <c r="K180" i="2" s="1"/>
  <c r="AB179" i="2"/>
  <c r="AA179" i="2" s="1"/>
  <c r="AB178" i="2"/>
  <c r="K178" i="2" s="1"/>
  <c r="AB177" i="2"/>
  <c r="AA177" i="2" s="1"/>
  <c r="AB176" i="2"/>
  <c r="K176" i="2" s="1"/>
  <c r="AB175" i="2"/>
  <c r="AA175" i="2" s="1"/>
  <c r="AB174" i="2"/>
  <c r="K174" i="2" s="1"/>
  <c r="AB173" i="2"/>
  <c r="K173" i="2" s="1"/>
  <c r="AB172" i="2"/>
  <c r="AA172" i="2" s="1"/>
  <c r="AB171" i="2"/>
  <c r="AA171" i="2" s="1"/>
  <c r="AB170" i="2"/>
  <c r="AA170" i="2" s="1"/>
  <c r="AB169" i="2"/>
  <c r="AA169" i="2" s="1"/>
  <c r="AB168" i="2"/>
  <c r="K168" i="2" s="1"/>
  <c r="AB167" i="2"/>
  <c r="AA167" i="2" s="1"/>
  <c r="AB166" i="2"/>
  <c r="K166" i="2" s="1"/>
  <c r="AB165" i="2"/>
  <c r="AA165" i="2" s="1"/>
  <c r="AB164" i="2"/>
  <c r="K164" i="2" s="1"/>
  <c r="AB163" i="2"/>
  <c r="AA163" i="2" s="1"/>
  <c r="AB162" i="2"/>
  <c r="AA162" i="2" s="1"/>
  <c r="AB161" i="2"/>
  <c r="AA161" i="2" s="1"/>
  <c r="AB160" i="2"/>
  <c r="AA160" i="2" s="1"/>
  <c r="AB159" i="2"/>
  <c r="AA159" i="2" s="1"/>
  <c r="AB158" i="2"/>
  <c r="K158" i="2" s="1"/>
  <c r="AB157" i="2"/>
  <c r="AA157" i="2" s="1"/>
  <c r="AB156" i="2"/>
  <c r="K156" i="2" s="1"/>
  <c r="AB155" i="2"/>
  <c r="AA155" i="2" s="1"/>
  <c r="AB154" i="2"/>
  <c r="AA154" i="2" s="1"/>
  <c r="AB153" i="2"/>
  <c r="K153" i="2" s="1"/>
  <c r="AB152" i="2"/>
  <c r="K152" i="2" s="1"/>
  <c r="AB151" i="2"/>
  <c r="K151" i="2" s="1"/>
  <c r="AB150" i="2"/>
  <c r="AB149" i="2"/>
  <c r="AA149" i="2" s="1"/>
  <c r="AB148" i="2"/>
  <c r="AA148" i="2" s="1"/>
  <c r="AB147" i="2"/>
  <c r="K147" i="2" s="1"/>
  <c r="AB146" i="2"/>
  <c r="K146" i="2" s="1"/>
  <c r="AB145" i="2"/>
  <c r="AA145" i="2" s="1"/>
  <c r="AB144" i="2"/>
  <c r="AA144" i="2" s="1"/>
  <c r="AB143" i="2"/>
  <c r="AA143" i="2" s="1"/>
  <c r="AB142" i="2"/>
  <c r="K142" i="2" s="1"/>
  <c r="AB141" i="2"/>
  <c r="AA141" i="2" s="1"/>
  <c r="AB140" i="2"/>
  <c r="K140" i="2" s="1"/>
  <c r="AB139" i="2"/>
  <c r="K139" i="2" s="1"/>
  <c r="AB138" i="2"/>
  <c r="K138" i="2" s="1"/>
  <c r="AB137" i="2"/>
  <c r="AA137" i="2" s="1"/>
  <c r="AB136" i="2"/>
  <c r="AB135" i="2"/>
  <c r="AA135" i="2" s="1"/>
  <c r="AB134" i="2"/>
  <c r="K134" i="2" s="1"/>
  <c r="AB133" i="2"/>
  <c r="AA133" i="2" s="1"/>
  <c r="AB132" i="2"/>
  <c r="K132" i="2" s="1"/>
  <c r="AB131" i="2"/>
  <c r="K131" i="2" s="1"/>
  <c r="AB130" i="2"/>
  <c r="K130" i="2" s="1"/>
  <c r="AB129" i="2"/>
  <c r="K129" i="2" s="1"/>
  <c r="AB128" i="2"/>
  <c r="AA128" i="2" s="1"/>
  <c r="AB127" i="2"/>
  <c r="AA127" i="2" s="1"/>
  <c r="AB126" i="2"/>
  <c r="AA126" i="2" s="1"/>
  <c r="AB125" i="2"/>
  <c r="K125" i="2" s="1"/>
  <c r="AB124" i="2"/>
  <c r="K124" i="2" s="1"/>
  <c r="AB123" i="2"/>
  <c r="AA123" i="2" s="1"/>
  <c r="AB122" i="2"/>
  <c r="AB121" i="2"/>
  <c r="K121" i="2" s="1"/>
  <c r="AB120" i="2"/>
  <c r="K120" i="2" s="1"/>
  <c r="AB119" i="2"/>
  <c r="AA119" i="2" s="1"/>
  <c r="AB118" i="2"/>
  <c r="K118" i="2" s="1"/>
  <c r="AB117" i="2"/>
  <c r="K117" i="2" s="1"/>
  <c r="AB116" i="2"/>
  <c r="AA116" i="2" s="1"/>
  <c r="AB115" i="2"/>
  <c r="AA115" i="2" s="1"/>
  <c r="AB114" i="2"/>
  <c r="AA114" i="2" s="1"/>
  <c r="AB113" i="2"/>
  <c r="K113" i="2" s="1"/>
  <c r="AB112" i="2"/>
  <c r="K112" i="2" s="1"/>
  <c r="AB111" i="2"/>
  <c r="AA111" i="2" s="1"/>
  <c r="AB110" i="2"/>
  <c r="AA110" i="2" s="1"/>
  <c r="AB109" i="2"/>
  <c r="K109" i="2" s="1"/>
  <c r="AB108" i="2"/>
  <c r="K108" i="2" s="1"/>
  <c r="AB107" i="2"/>
  <c r="AA107" i="2" s="1"/>
  <c r="AB106" i="2"/>
  <c r="AA106" i="2" s="1"/>
  <c r="AB105" i="2"/>
  <c r="AA105" i="2" s="1"/>
  <c r="AB104" i="2"/>
  <c r="AA104" i="2" s="1"/>
  <c r="AB103" i="2"/>
  <c r="K103" i="2" s="1"/>
  <c r="AB102" i="2"/>
  <c r="K102" i="2" s="1"/>
  <c r="AB101" i="2"/>
  <c r="AA101" i="2" s="1"/>
  <c r="AB100" i="2"/>
  <c r="K100" i="2" s="1"/>
  <c r="AB99" i="2"/>
  <c r="K99" i="2" s="1"/>
  <c r="AB98" i="2"/>
  <c r="K98" i="2" s="1"/>
  <c r="AB97" i="2"/>
  <c r="AA97" i="2" s="1"/>
  <c r="AB96" i="2"/>
  <c r="K96" i="2" s="1"/>
  <c r="AB95" i="2"/>
  <c r="K95" i="2" s="1"/>
  <c r="AB94" i="2"/>
  <c r="K94" i="2" s="1"/>
  <c r="AB93" i="2"/>
  <c r="AA93" i="2" s="1"/>
  <c r="AB92" i="2"/>
  <c r="AA92" i="2" s="1"/>
  <c r="AB91" i="2"/>
  <c r="AA91" i="2" s="1"/>
  <c r="AB90" i="2"/>
  <c r="K90" i="2" s="1"/>
  <c r="AB89" i="2"/>
  <c r="AA89" i="2" s="1"/>
  <c r="AB88" i="2"/>
  <c r="K88" i="2" s="1"/>
  <c r="AB87" i="2"/>
  <c r="K87" i="2" s="1"/>
  <c r="AB86" i="2"/>
  <c r="K86" i="2" s="1"/>
  <c r="AB85" i="2"/>
  <c r="K85" i="2" s="1"/>
  <c r="AB84" i="2"/>
  <c r="AA84" i="2" s="1"/>
  <c r="AB83" i="2"/>
  <c r="AA83" i="2" s="1"/>
  <c r="AB82" i="2"/>
  <c r="AA82" i="2" s="1"/>
  <c r="AB81" i="2"/>
  <c r="K81" i="2" s="1"/>
  <c r="AB80" i="2"/>
  <c r="K80" i="2" s="1"/>
  <c r="AB79" i="2"/>
  <c r="AA79" i="2" s="1"/>
  <c r="AB78" i="2"/>
  <c r="AA78" i="2" s="1"/>
  <c r="AB77" i="2"/>
  <c r="K77" i="2" s="1"/>
  <c r="AB76" i="2"/>
  <c r="AA76" i="2" s="1"/>
  <c r="AB75" i="2"/>
  <c r="AA75" i="2" s="1"/>
  <c r="AB74" i="2"/>
  <c r="K74" i="2" s="1"/>
  <c r="AB73" i="2"/>
  <c r="K73" i="2" s="1"/>
  <c r="AB72" i="2"/>
  <c r="AA72" i="2" s="1"/>
  <c r="AB71" i="2"/>
  <c r="K71" i="2" s="1"/>
  <c r="AB70" i="2"/>
  <c r="AA70" i="2" s="1"/>
  <c r="AB69" i="2"/>
  <c r="K69" i="2" s="1"/>
  <c r="AB68" i="2"/>
  <c r="AA68" i="2" s="1"/>
  <c r="AB67" i="2"/>
  <c r="AA67" i="2" s="1"/>
  <c r="AB66" i="2"/>
  <c r="AB65" i="2"/>
  <c r="AA65" i="2" s="1"/>
  <c r="AB64" i="2"/>
  <c r="K64" i="2" s="1"/>
  <c r="AB63" i="2"/>
  <c r="K63" i="2" s="1"/>
  <c r="AB62" i="2"/>
  <c r="K62" i="2" s="1"/>
  <c r="AB61" i="2"/>
  <c r="AA61" i="2" s="1"/>
  <c r="AB60" i="2"/>
  <c r="AA60" i="2" s="1"/>
  <c r="AB59" i="2"/>
  <c r="K59" i="2" s="1"/>
  <c r="AB58" i="2"/>
  <c r="K58" i="2" s="1"/>
  <c r="AB57" i="2"/>
  <c r="AA57" i="2" s="1"/>
  <c r="AB56" i="2"/>
  <c r="AA56" i="2" s="1"/>
  <c r="AB55" i="2"/>
  <c r="K55" i="2" s="1"/>
  <c r="AB54" i="2"/>
  <c r="AA54" i="2" s="1"/>
  <c r="AB53" i="2"/>
  <c r="AA53" i="2" s="1"/>
  <c r="AB52" i="2"/>
  <c r="AB51" i="2"/>
  <c r="K51" i="2" s="1"/>
  <c r="AB50" i="2"/>
  <c r="K50" i="2" s="1"/>
  <c r="AB49" i="2"/>
  <c r="AA49" i="2" s="1"/>
  <c r="AB48" i="2"/>
  <c r="K48" i="2" s="1"/>
  <c r="AB47" i="2"/>
  <c r="AA47" i="2" s="1"/>
  <c r="AB46" i="2"/>
  <c r="AA46" i="2" s="1"/>
  <c r="AB45" i="2"/>
  <c r="AA45" i="2" s="1"/>
  <c r="AB44" i="2"/>
  <c r="AA44" i="2" s="1"/>
  <c r="AB43" i="2"/>
  <c r="AA43" i="2" s="1"/>
  <c r="AB42" i="2"/>
  <c r="AA42" i="2" s="1"/>
  <c r="AB41" i="2"/>
  <c r="K41" i="2" s="1"/>
  <c r="AB40" i="2"/>
  <c r="AA40" i="2" s="1"/>
  <c r="AB39" i="2"/>
  <c r="AA39" i="2" s="1"/>
  <c r="AB38" i="2"/>
  <c r="K38" i="2" s="1"/>
  <c r="AB37" i="2"/>
  <c r="AA37" i="2" s="1"/>
  <c r="AB36" i="2"/>
  <c r="K36" i="2" s="1"/>
  <c r="AB35" i="2"/>
  <c r="AA35" i="2" s="1"/>
  <c r="AB34" i="2"/>
  <c r="K34" i="2" s="1"/>
  <c r="AB33" i="2"/>
  <c r="AA33" i="2" s="1"/>
  <c r="AB32" i="2"/>
  <c r="K32" i="2" s="1"/>
  <c r="AB31" i="2"/>
  <c r="AA31" i="2" s="1"/>
  <c r="AB30" i="2"/>
  <c r="K30" i="2" s="1"/>
  <c r="AB29" i="2"/>
  <c r="AA29" i="2" s="1"/>
  <c r="AB28" i="2"/>
  <c r="K28" i="2" s="1"/>
  <c r="AB27" i="2"/>
  <c r="AA27" i="2" s="1"/>
  <c r="AB26" i="2"/>
  <c r="K26" i="2" s="1"/>
  <c r="AB25" i="2"/>
  <c r="AA25" i="2" s="1"/>
  <c r="AB24" i="2"/>
  <c r="K24" i="2" s="1"/>
  <c r="AB23" i="2"/>
  <c r="AA23" i="2" s="1"/>
  <c r="AB22" i="2"/>
  <c r="K22" i="2" s="1"/>
  <c r="AB21" i="2"/>
  <c r="K21" i="2" s="1"/>
  <c r="AB20" i="2"/>
  <c r="K20" i="2" s="1"/>
  <c r="AB19" i="2"/>
  <c r="K19" i="2" s="1"/>
  <c r="AB18" i="2"/>
  <c r="K18" i="2" s="1"/>
  <c r="AB17" i="2"/>
  <c r="K17" i="2" s="1"/>
  <c r="AB16" i="2"/>
  <c r="AA16" i="2" s="1"/>
  <c r="AB15" i="2"/>
  <c r="AA15" i="2" s="1"/>
  <c r="AB14" i="2"/>
  <c r="K14" i="2" s="1"/>
  <c r="AB13" i="2"/>
  <c r="AA13" i="2" s="1"/>
  <c r="AB12" i="2"/>
  <c r="AA12" i="2" s="1"/>
  <c r="AB11" i="2"/>
  <c r="AA11" i="2" s="1"/>
  <c r="AB10" i="2"/>
  <c r="K10" i="2" s="1"/>
  <c r="AB9" i="2"/>
  <c r="AA9" i="2" s="1"/>
  <c r="AB8" i="2"/>
  <c r="K8" i="2" s="1"/>
  <c r="AB7" i="2"/>
  <c r="K7" i="2" s="1"/>
  <c r="AB6" i="2"/>
  <c r="K6" i="2" s="1"/>
  <c r="P1325" i="2"/>
  <c r="P1324" i="2"/>
  <c r="O1327" i="2"/>
  <c r="O1326" i="2"/>
  <c r="Q22" i="20"/>
  <c r="Q23" i="20"/>
  <c r="O39" i="20"/>
  <c r="N39" i="20"/>
  <c r="M39" i="20"/>
  <c r="P39" i="20"/>
  <c r="H39" i="20"/>
  <c r="I39" i="20"/>
  <c r="J39" i="20"/>
  <c r="Q37" i="20"/>
  <c r="Q36" i="20"/>
  <c r="Q35" i="20"/>
  <c r="Q34" i="20"/>
  <c r="Q33" i="20"/>
  <c r="Q32" i="20"/>
  <c r="Q31" i="20"/>
  <c r="Q30" i="20"/>
  <c r="Q29" i="20"/>
  <c r="Q28" i="20"/>
  <c r="Q27" i="20"/>
  <c r="Q26" i="20"/>
  <c r="Q25" i="20"/>
  <c r="Q24" i="20"/>
  <c r="P38" i="20"/>
  <c r="P37" i="20"/>
  <c r="P36" i="20"/>
  <c r="P35" i="20"/>
  <c r="P34" i="20"/>
  <c r="P33" i="20"/>
  <c r="P32" i="20"/>
  <c r="P31" i="20"/>
  <c r="P30" i="20"/>
  <c r="P29" i="20"/>
  <c r="P28" i="20"/>
  <c r="P27" i="20"/>
  <c r="P26" i="20"/>
  <c r="P25" i="20"/>
  <c r="P24" i="20"/>
  <c r="P23" i="20"/>
  <c r="P22" i="20"/>
  <c r="K38" i="20"/>
  <c r="K37" i="20"/>
  <c r="K36" i="20"/>
  <c r="K35" i="20"/>
  <c r="K34" i="20"/>
  <c r="K33" i="20"/>
  <c r="K32" i="20"/>
  <c r="K31" i="20"/>
  <c r="K30" i="20"/>
  <c r="K29" i="20"/>
  <c r="K28" i="20"/>
  <c r="K27" i="20"/>
  <c r="K26" i="20"/>
  <c r="K25" i="20"/>
  <c r="K24" i="20"/>
  <c r="K23" i="20"/>
  <c r="K22" i="20"/>
  <c r="M1127" i="19"/>
  <c r="M1126" i="19"/>
  <c r="M1125" i="19"/>
  <c r="M1124" i="19"/>
  <c r="M1123" i="19"/>
  <c r="M1122" i="19"/>
  <c r="M1121" i="19"/>
  <c r="M1120" i="19"/>
  <c r="M1119" i="19"/>
  <c r="M1118" i="19"/>
  <c r="M1117" i="19"/>
  <c r="M1116" i="19"/>
  <c r="M1115" i="19"/>
  <c r="M1114" i="19"/>
  <c r="M1113" i="19"/>
  <c r="M1112" i="19"/>
  <c r="M1111" i="19"/>
  <c r="M1110" i="19"/>
  <c r="M1109" i="19"/>
  <c r="M1108" i="19"/>
  <c r="M1107" i="19"/>
  <c r="M1106" i="19"/>
  <c r="M1105" i="19"/>
  <c r="M1104" i="19"/>
  <c r="M1103" i="19"/>
  <c r="M1102" i="19"/>
  <c r="M1101" i="19"/>
  <c r="M1100" i="19"/>
  <c r="M1099" i="19"/>
  <c r="M1098" i="19"/>
  <c r="M1097" i="19"/>
  <c r="M1096" i="19"/>
  <c r="M1095" i="19"/>
  <c r="M1094" i="19"/>
  <c r="M1093" i="19"/>
  <c r="M1092" i="19"/>
  <c r="M1091" i="19"/>
  <c r="M1090" i="19"/>
  <c r="M1089" i="19"/>
  <c r="M1088" i="19"/>
  <c r="M1087" i="19"/>
  <c r="M1086" i="19"/>
  <c r="M1085" i="19"/>
  <c r="M1084" i="19"/>
  <c r="M1083" i="19"/>
  <c r="M1082" i="19"/>
  <c r="M1081" i="19"/>
  <c r="M1080" i="19"/>
  <c r="M1079" i="19"/>
  <c r="M1078" i="19"/>
  <c r="M1077" i="19"/>
  <c r="M1076" i="19"/>
  <c r="M1075" i="19"/>
  <c r="M1074" i="19"/>
  <c r="M1073" i="19"/>
  <c r="M1072" i="19"/>
  <c r="M1071" i="19"/>
  <c r="M1070" i="19"/>
  <c r="M1069" i="19"/>
  <c r="M1068" i="19"/>
  <c r="M1067" i="19"/>
  <c r="M1066" i="19"/>
  <c r="M1065" i="19"/>
  <c r="M1064" i="19"/>
  <c r="M1063" i="19"/>
  <c r="M1062" i="19"/>
  <c r="M1061" i="19"/>
  <c r="M1060" i="19"/>
  <c r="M1059" i="19"/>
  <c r="M1058" i="19"/>
  <c r="M1057" i="19"/>
  <c r="M1056" i="19"/>
  <c r="M1055" i="19"/>
  <c r="M1054" i="19"/>
  <c r="M1053" i="19"/>
  <c r="M1052" i="19"/>
  <c r="M1051" i="19"/>
  <c r="M1050" i="19"/>
  <c r="M1049" i="19"/>
  <c r="M1048" i="19"/>
  <c r="M1047" i="19"/>
  <c r="M1046" i="19"/>
  <c r="M1045" i="19"/>
  <c r="M1044" i="19"/>
  <c r="M1043" i="19"/>
  <c r="M1042" i="19"/>
  <c r="M1041" i="19"/>
  <c r="M1040" i="19"/>
  <c r="M1039" i="19"/>
  <c r="M1038" i="19"/>
  <c r="M1037" i="19"/>
  <c r="M1036" i="19"/>
  <c r="M1035" i="19"/>
  <c r="M1034" i="19"/>
  <c r="M1033" i="19"/>
  <c r="M1032" i="19"/>
  <c r="M1031" i="19"/>
  <c r="M1030" i="19"/>
  <c r="M1029" i="19"/>
  <c r="M1028" i="19"/>
  <c r="M1027" i="19"/>
  <c r="M1026" i="19"/>
  <c r="M1025" i="19"/>
  <c r="M1024" i="19"/>
  <c r="M1023" i="19"/>
  <c r="M1022" i="19"/>
  <c r="M1021" i="19"/>
  <c r="M1020" i="19"/>
  <c r="M1019" i="19"/>
  <c r="M1018" i="19"/>
  <c r="M1017" i="19"/>
  <c r="M1016" i="19"/>
  <c r="M1015" i="19"/>
  <c r="M1014" i="19"/>
  <c r="M1013" i="19"/>
  <c r="M1012" i="19"/>
  <c r="M1011" i="19"/>
  <c r="M1010" i="19"/>
  <c r="M1009" i="19"/>
  <c r="M1008" i="19"/>
  <c r="M1007" i="19"/>
  <c r="M1006" i="19"/>
  <c r="M1005" i="19"/>
  <c r="M1004" i="19"/>
  <c r="M1003" i="19"/>
  <c r="M1002" i="19"/>
  <c r="M1001" i="19"/>
  <c r="M1000" i="19"/>
  <c r="M999" i="19"/>
  <c r="M998" i="19"/>
  <c r="M997" i="19"/>
  <c r="M996" i="19"/>
  <c r="M995" i="19"/>
  <c r="M994" i="19"/>
  <c r="M993" i="19"/>
  <c r="M992" i="19"/>
  <c r="M991" i="19"/>
  <c r="M990" i="19"/>
  <c r="M989" i="19"/>
  <c r="M988" i="19"/>
  <c r="M987" i="19"/>
  <c r="M986" i="19"/>
  <c r="M985" i="19"/>
  <c r="M984" i="19"/>
  <c r="M983" i="19"/>
  <c r="M982" i="19"/>
  <c r="M981" i="19"/>
  <c r="M980" i="19"/>
  <c r="M979" i="19"/>
  <c r="M978" i="19"/>
  <c r="M977" i="19"/>
  <c r="M976" i="19"/>
  <c r="M975" i="19"/>
  <c r="M974" i="19"/>
  <c r="M973" i="19"/>
  <c r="M972" i="19"/>
  <c r="M971" i="19"/>
  <c r="M970" i="19"/>
  <c r="M969" i="19"/>
  <c r="M968" i="19"/>
  <c r="M967" i="19"/>
  <c r="M966" i="19"/>
  <c r="M965" i="19"/>
  <c r="M964" i="19"/>
  <c r="M963" i="19"/>
  <c r="M962" i="19"/>
  <c r="M961" i="19"/>
  <c r="M960" i="19"/>
  <c r="M959" i="19"/>
  <c r="M958" i="19"/>
  <c r="M957" i="19"/>
  <c r="M956" i="19"/>
  <c r="M955" i="19"/>
  <c r="M954" i="19"/>
  <c r="M953" i="19"/>
  <c r="M952" i="19"/>
  <c r="M951" i="19"/>
  <c r="M950" i="19"/>
  <c r="M949" i="19"/>
  <c r="M948" i="19"/>
  <c r="M947" i="19"/>
  <c r="M946" i="19"/>
  <c r="M945" i="19"/>
  <c r="M944" i="19"/>
  <c r="M943" i="19"/>
  <c r="M942" i="19"/>
  <c r="M941" i="19"/>
  <c r="M940" i="19"/>
  <c r="M939" i="19"/>
  <c r="M938" i="19"/>
  <c r="M937" i="19"/>
  <c r="M936" i="19"/>
  <c r="M935" i="19"/>
  <c r="M934" i="19"/>
  <c r="M933" i="19"/>
  <c r="M932" i="19"/>
  <c r="M931" i="19"/>
  <c r="M930" i="19"/>
  <c r="M929" i="19"/>
  <c r="M928" i="19"/>
  <c r="M927" i="19"/>
  <c r="M926" i="19"/>
  <c r="M925" i="19"/>
  <c r="M924" i="19"/>
  <c r="M923" i="19"/>
  <c r="M922" i="19"/>
  <c r="M921" i="19"/>
  <c r="M920" i="19"/>
  <c r="M919" i="19"/>
  <c r="M918" i="19"/>
  <c r="M917" i="19"/>
  <c r="M916" i="19"/>
  <c r="M915" i="19"/>
  <c r="M914" i="19"/>
  <c r="M913" i="19"/>
  <c r="M912" i="19"/>
  <c r="M911" i="19"/>
  <c r="M910" i="19"/>
  <c r="M909" i="19"/>
  <c r="M908" i="19"/>
  <c r="M907" i="19"/>
  <c r="M906" i="19"/>
  <c r="M905" i="19"/>
  <c r="M904" i="19"/>
  <c r="M903" i="19"/>
  <c r="M902" i="19"/>
  <c r="M901" i="19"/>
  <c r="M900" i="19"/>
  <c r="M899" i="19"/>
  <c r="M898" i="19"/>
  <c r="M897" i="19"/>
  <c r="M896" i="19"/>
  <c r="M895" i="19"/>
  <c r="M894" i="19"/>
  <c r="M893" i="19"/>
  <c r="M892" i="19"/>
  <c r="M891" i="19"/>
  <c r="M890" i="19"/>
  <c r="M889" i="19"/>
  <c r="M888" i="19"/>
  <c r="M887" i="19"/>
  <c r="M886" i="19"/>
  <c r="M885" i="19"/>
  <c r="M884" i="19"/>
  <c r="M883" i="19"/>
  <c r="M882" i="19"/>
  <c r="M881" i="19"/>
  <c r="M880" i="19"/>
  <c r="M879" i="19"/>
  <c r="M878" i="19"/>
  <c r="M877" i="19"/>
  <c r="M876" i="19"/>
  <c r="M875" i="19"/>
  <c r="M874" i="19"/>
  <c r="M873" i="19"/>
  <c r="M872" i="19"/>
  <c r="M871" i="19"/>
  <c r="M870" i="19"/>
  <c r="M869" i="19"/>
  <c r="M868" i="19"/>
  <c r="M867" i="19"/>
  <c r="M866" i="19"/>
  <c r="M865" i="19"/>
  <c r="M864" i="19"/>
  <c r="M863" i="19"/>
  <c r="M862" i="19"/>
  <c r="M861" i="19"/>
  <c r="M860" i="19"/>
  <c r="M859" i="19"/>
  <c r="M858" i="19"/>
  <c r="M857" i="19"/>
  <c r="M856" i="19"/>
  <c r="M855" i="19"/>
  <c r="M854" i="19"/>
  <c r="M853" i="19"/>
  <c r="M852" i="19"/>
  <c r="M851" i="19"/>
  <c r="M850" i="19"/>
  <c r="M849" i="19"/>
  <c r="M848" i="19"/>
  <c r="M847" i="19"/>
  <c r="M846" i="19"/>
  <c r="M845" i="19"/>
  <c r="M844" i="19"/>
  <c r="M843" i="19"/>
  <c r="M842" i="19"/>
  <c r="M841" i="19"/>
  <c r="M840" i="19"/>
  <c r="M839" i="19"/>
  <c r="M838" i="19"/>
  <c r="M837" i="19"/>
  <c r="M836" i="19"/>
  <c r="M835" i="19"/>
  <c r="M834" i="19"/>
  <c r="M833" i="19"/>
  <c r="M832" i="19"/>
  <c r="M831" i="19"/>
  <c r="M830" i="19"/>
  <c r="M829" i="19"/>
  <c r="M828" i="19"/>
  <c r="M827" i="19"/>
  <c r="M826" i="19"/>
  <c r="M825" i="19"/>
  <c r="M824" i="19"/>
  <c r="M823" i="19"/>
  <c r="M822" i="19"/>
  <c r="M821" i="19"/>
  <c r="M820" i="19"/>
  <c r="M819" i="19"/>
  <c r="M818" i="19"/>
  <c r="M817" i="19"/>
  <c r="M816" i="19"/>
  <c r="M815" i="19"/>
  <c r="M814" i="19"/>
  <c r="M813" i="19"/>
  <c r="M812" i="19"/>
  <c r="M811" i="19"/>
  <c r="M810" i="19"/>
  <c r="M809" i="19"/>
  <c r="M808" i="19"/>
  <c r="M807" i="19"/>
  <c r="M806" i="19"/>
  <c r="M805" i="19"/>
  <c r="M804" i="19"/>
  <c r="M803" i="19"/>
  <c r="M802" i="19"/>
  <c r="M801" i="19"/>
  <c r="M800" i="19"/>
  <c r="M799" i="19"/>
  <c r="M798" i="19"/>
  <c r="M797" i="19"/>
  <c r="M796" i="19"/>
  <c r="M795" i="19"/>
  <c r="M794" i="19"/>
  <c r="M793" i="19"/>
  <c r="M792" i="19"/>
  <c r="M791" i="19"/>
  <c r="M790" i="19"/>
  <c r="M789" i="19"/>
  <c r="M788" i="19"/>
  <c r="M787" i="19"/>
  <c r="M786" i="19"/>
  <c r="M785" i="19"/>
  <c r="M784" i="19"/>
  <c r="M783" i="19"/>
  <c r="M782" i="19"/>
  <c r="M781" i="19"/>
  <c r="M780" i="19"/>
  <c r="M779" i="19"/>
  <c r="M778" i="19"/>
  <c r="M777" i="19"/>
  <c r="M776" i="19"/>
  <c r="M775" i="19"/>
  <c r="M774" i="19"/>
  <c r="M773" i="19"/>
  <c r="M772" i="19"/>
  <c r="M771" i="19"/>
  <c r="M770" i="19"/>
  <c r="M769" i="19"/>
  <c r="M768" i="19"/>
  <c r="M767" i="19"/>
  <c r="M766" i="19"/>
  <c r="M765" i="19"/>
  <c r="M764" i="19"/>
  <c r="M763" i="19"/>
  <c r="M762" i="19"/>
  <c r="M761" i="19"/>
  <c r="M760" i="19"/>
  <c r="M759" i="19"/>
  <c r="M758" i="19"/>
  <c r="M757" i="19"/>
  <c r="M756" i="19"/>
  <c r="M755" i="19"/>
  <c r="M754" i="19"/>
  <c r="M753" i="19"/>
  <c r="M752" i="19"/>
  <c r="M751" i="19"/>
  <c r="M750" i="19"/>
  <c r="M749" i="19"/>
  <c r="M748" i="19"/>
  <c r="M747" i="19"/>
  <c r="M746" i="19"/>
  <c r="M745" i="19"/>
  <c r="M744" i="19"/>
  <c r="M743" i="19"/>
  <c r="M742" i="19"/>
  <c r="M741" i="19"/>
  <c r="M740" i="19"/>
  <c r="M739" i="19"/>
  <c r="M738" i="19"/>
  <c r="M737" i="19"/>
  <c r="M736" i="19"/>
  <c r="M735" i="19"/>
  <c r="M734" i="19"/>
  <c r="M733" i="19"/>
  <c r="M732" i="19"/>
  <c r="M731" i="19"/>
  <c r="M730" i="19"/>
  <c r="M729" i="19"/>
  <c r="M728" i="19"/>
  <c r="M727" i="19"/>
  <c r="M726" i="19"/>
  <c r="M725" i="19"/>
  <c r="M724" i="19"/>
  <c r="M723" i="19"/>
  <c r="M722" i="19"/>
  <c r="M721" i="19"/>
  <c r="M720" i="19"/>
  <c r="M719" i="19"/>
  <c r="M718" i="19"/>
  <c r="M717" i="19"/>
  <c r="M716" i="19"/>
  <c r="M715" i="19"/>
  <c r="M714" i="19"/>
  <c r="M713" i="19"/>
  <c r="M712" i="19"/>
  <c r="M711" i="19"/>
  <c r="M710" i="19"/>
  <c r="M709" i="19"/>
  <c r="M708" i="19"/>
  <c r="M707" i="19"/>
  <c r="M706" i="19"/>
  <c r="M705" i="19"/>
  <c r="M704" i="19"/>
  <c r="M703" i="19"/>
  <c r="M702" i="19"/>
  <c r="M701" i="19"/>
  <c r="M700" i="19"/>
  <c r="M699" i="19"/>
  <c r="M698" i="19"/>
  <c r="M697" i="19"/>
  <c r="M696" i="19"/>
  <c r="M695" i="19"/>
  <c r="M694" i="19"/>
  <c r="M693" i="19"/>
  <c r="M692" i="19"/>
  <c r="M691" i="19"/>
  <c r="M690" i="19"/>
  <c r="M689" i="19"/>
  <c r="M688" i="19"/>
  <c r="M687" i="19"/>
  <c r="M686" i="19"/>
  <c r="M685" i="19"/>
  <c r="M684" i="19"/>
  <c r="M683" i="19"/>
  <c r="M682" i="19"/>
  <c r="M681" i="19"/>
  <c r="M680" i="19"/>
  <c r="M679" i="19"/>
  <c r="M678" i="19"/>
  <c r="M677" i="19"/>
  <c r="M676" i="19"/>
  <c r="M675" i="19"/>
  <c r="M674" i="19"/>
  <c r="M673" i="19"/>
  <c r="M672" i="19"/>
  <c r="M671" i="19"/>
  <c r="M670" i="19"/>
  <c r="M669" i="19"/>
  <c r="M668" i="19"/>
  <c r="M667" i="19"/>
  <c r="M666" i="19"/>
  <c r="M665" i="19"/>
  <c r="M664" i="19"/>
  <c r="M663" i="19"/>
  <c r="M662" i="19"/>
  <c r="M661" i="19"/>
  <c r="M660" i="19"/>
  <c r="M659" i="19"/>
  <c r="M658" i="19"/>
  <c r="M657" i="19"/>
  <c r="M656" i="19"/>
  <c r="M655" i="19"/>
  <c r="M654" i="19"/>
  <c r="M653" i="19"/>
  <c r="M652" i="19"/>
  <c r="M651" i="19"/>
  <c r="M650" i="19"/>
  <c r="M649" i="19"/>
  <c r="M648" i="19"/>
  <c r="M647" i="19"/>
  <c r="M646" i="19"/>
  <c r="M645" i="19"/>
  <c r="M644" i="19"/>
  <c r="M643" i="19"/>
  <c r="M642" i="19"/>
  <c r="M641" i="19"/>
  <c r="M640" i="19"/>
  <c r="M639" i="19"/>
  <c r="M638" i="19"/>
  <c r="M637" i="19"/>
  <c r="M636" i="19"/>
  <c r="M635" i="19"/>
  <c r="M634" i="19"/>
  <c r="M633" i="19"/>
  <c r="M632" i="19"/>
  <c r="M631" i="19"/>
  <c r="M630" i="19"/>
  <c r="M629" i="19"/>
  <c r="M628" i="19"/>
  <c r="M627" i="19"/>
  <c r="M626" i="19"/>
  <c r="M625" i="19"/>
  <c r="M624" i="19"/>
  <c r="M623" i="19"/>
  <c r="M622" i="19"/>
  <c r="M621" i="19"/>
  <c r="M620" i="19"/>
  <c r="M619" i="19"/>
  <c r="M618" i="19"/>
  <c r="M617" i="19"/>
  <c r="M616" i="19"/>
  <c r="M615" i="19"/>
  <c r="M614" i="19"/>
  <c r="M613" i="19"/>
  <c r="M612" i="19"/>
  <c r="M611" i="19"/>
  <c r="M610" i="19"/>
  <c r="M609" i="19"/>
  <c r="M608" i="19"/>
  <c r="M607" i="19"/>
  <c r="M606" i="19"/>
  <c r="M605" i="19"/>
  <c r="M604" i="19"/>
  <c r="M603" i="19"/>
  <c r="M602" i="19"/>
  <c r="M601" i="19"/>
  <c r="M600" i="19"/>
  <c r="M599" i="19"/>
  <c r="M598" i="19"/>
  <c r="M597" i="19"/>
  <c r="M596" i="19"/>
  <c r="M595" i="19"/>
  <c r="M594" i="19"/>
  <c r="M593" i="19"/>
  <c r="M592" i="19"/>
  <c r="M591" i="19"/>
  <c r="M590" i="19"/>
  <c r="M589" i="19"/>
  <c r="M588" i="19"/>
  <c r="M587" i="19"/>
  <c r="M586" i="19"/>
  <c r="M585" i="19"/>
  <c r="M584" i="19"/>
  <c r="M583" i="19"/>
  <c r="M582" i="19"/>
  <c r="M581" i="19"/>
  <c r="M580" i="19"/>
  <c r="M579" i="19"/>
  <c r="M578" i="19"/>
  <c r="M577" i="19"/>
  <c r="M576" i="19"/>
  <c r="M575" i="19"/>
  <c r="M574" i="19"/>
  <c r="M573" i="19"/>
  <c r="M572" i="19"/>
  <c r="M571" i="19"/>
  <c r="M570" i="19"/>
  <c r="M569" i="19"/>
  <c r="M568" i="19"/>
  <c r="M567" i="19"/>
  <c r="M566" i="19"/>
  <c r="M565" i="19"/>
  <c r="M564" i="19"/>
  <c r="M563" i="19"/>
  <c r="M562" i="19"/>
  <c r="M561" i="19"/>
  <c r="M560" i="19"/>
  <c r="M559" i="19"/>
  <c r="M558" i="19"/>
  <c r="M557" i="19"/>
  <c r="M556" i="19"/>
  <c r="M555" i="19"/>
  <c r="M554" i="19"/>
  <c r="M553" i="19"/>
  <c r="M552" i="19"/>
  <c r="M551" i="19"/>
  <c r="M550" i="19"/>
  <c r="M549" i="19"/>
  <c r="M548" i="19"/>
  <c r="M547" i="19"/>
  <c r="M546" i="19"/>
  <c r="M545" i="19"/>
  <c r="M544" i="19"/>
  <c r="M543" i="19"/>
  <c r="M542" i="19"/>
  <c r="M541" i="19"/>
  <c r="M540" i="19"/>
  <c r="M539" i="19"/>
  <c r="M538" i="19"/>
  <c r="M537" i="19"/>
  <c r="M536" i="19"/>
  <c r="M535" i="19"/>
  <c r="M534" i="19"/>
  <c r="M533" i="19"/>
  <c r="M532" i="19"/>
  <c r="M531" i="19"/>
  <c r="M530" i="19"/>
  <c r="M529" i="19"/>
  <c r="M528" i="19"/>
  <c r="M527" i="19"/>
  <c r="M526" i="19"/>
  <c r="M525" i="19"/>
  <c r="M524" i="19"/>
  <c r="M523" i="19"/>
  <c r="M522" i="19"/>
  <c r="M521" i="19"/>
  <c r="M520" i="19"/>
  <c r="M519" i="19"/>
  <c r="M518" i="19"/>
  <c r="M517" i="19"/>
  <c r="M516" i="19"/>
  <c r="M515" i="19"/>
  <c r="M514" i="19"/>
  <c r="M513" i="19"/>
  <c r="M512" i="19"/>
  <c r="M511" i="19"/>
  <c r="M510" i="19"/>
  <c r="M509" i="19"/>
  <c r="M508" i="19"/>
  <c r="M507" i="19"/>
  <c r="M506" i="19"/>
  <c r="M505" i="19"/>
  <c r="M504" i="19"/>
  <c r="M503" i="19"/>
  <c r="M502" i="19"/>
  <c r="M501" i="19"/>
  <c r="M500" i="19"/>
  <c r="M499" i="19"/>
  <c r="M498" i="19"/>
  <c r="M497" i="19"/>
  <c r="M496" i="19"/>
  <c r="M495" i="19"/>
  <c r="M494" i="19"/>
  <c r="M493" i="19"/>
  <c r="M492" i="19"/>
  <c r="M491" i="19"/>
  <c r="M490" i="19"/>
  <c r="M489" i="19"/>
  <c r="M488" i="19"/>
  <c r="M487" i="19"/>
  <c r="M486" i="19"/>
  <c r="M485" i="19"/>
  <c r="M484" i="19"/>
  <c r="M483" i="19"/>
  <c r="M482" i="19"/>
  <c r="M481" i="19"/>
  <c r="M480" i="19"/>
  <c r="M479" i="19"/>
  <c r="M478" i="19"/>
  <c r="M477" i="19"/>
  <c r="M476" i="19"/>
  <c r="M475" i="19"/>
  <c r="M474" i="19"/>
  <c r="M473" i="19"/>
  <c r="M472" i="19"/>
  <c r="M471" i="19"/>
  <c r="M470" i="19"/>
  <c r="M469" i="19"/>
  <c r="M468" i="19"/>
  <c r="M467" i="19"/>
  <c r="M466" i="19"/>
  <c r="M465" i="19"/>
  <c r="M464" i="19"/>
  <c r="M463" i="19"/>
  <c r="M462" i="19"/>
  <c r="M461" i="19"/>
  <c r="M460" i="19"/>
  <c r="M459" i="19"/>
  <c r="M458" i="19"/>
  <c r="M457" i="19"/>
  <c r="M456" i="19"/>
  <c r="M455" i="19"/>
  <c r="M454" i="19"/>
  <c r="M453" i="19"/>
  <c r="M452" i="19"/>
  <c r="M451" i="19"/>
  <c r="M450" i="19"/>
  <c r="M449" i="19"/>
  <c r="M448" i="19"/>
  <c r="M447" i="19"/>
  <c r="M446" i="19"/>
  <c r="M445" i="19"/>
  <c r="M444" i="19"/>
  <c r="M443" i="19"/>
  <c r="M442" i="19"/>
  <c r="M441" i="19"/>
  <c r="M440" i="19"/>
  <c r="M439" i="19"/>
  <c r="M438" i="19"/>
  <c r="M437" i="19"/>
  <c r="M436" i="19"/>
  <c r="M435" i="19"/>
  <c r="M434" i="19"/>
  <c r="M433" i="19"/>
  <c r="M432" i="19"/>
  <c r="M431" i="19"/>
  <c r="M430" i="19"/>
  <c r="M429" i="19"/>
  <c r="M428" i="19"/>
  <c r="M427" i="19"/>
  <c r="M426" i="19"/>
  <c r="M425" i="19"/>
  <c r="M424" i="19"/>
  <c r="M423" i="19"/>
  <c r="M422" i="19"/>
  <c r="M421" i="19"/>
  <c r="M420" i="19"/>
  <c r="M419" i="19"/>
  <c r="M418" i="19"/>
  <c r="M417" i="19"/>
  <c r="M416" i="19"/>
  <c r="M415" i="19"/>
  <c r="M414" i="19"/>
  <c r="M413" i="19"/>
  <c r="M412" i="19"/>
  <c r="M411" i="19"/>
  <c r="M410" i="19"/>
  <c r="M409" i="19"/>
  <c r="M408" i="19"/>
  <c r="M407" i="19"/>
  <c r="M406" i="19"/>
  <c r="M405" i="19"/>
  <c r="M404" i="19"/>
  <c r="M403" i="19"/>
  <c r="M402" i="19"/>
  <c r="M401" i="19"/>
  <c r="M400" i="19"/>
  <c r="M399" i="19"/>
  <c r="M398" i="19"/>
  <c r="M397" i="19"/>
  <c r="M396" i="19"/>
  <c r="M395" i="19"/>
  <c r="M394" i="19"/>
  <c r="M393" i="19"/>
  <c r="M392" i="19"/>
  <c r="M391" i="19"/>
  <c r="M390" i="19"/>
  <c r="M389" i="19"/>
  <c r="M388" i="19"/>
  <c r="M387" i="19"/>
  <c r="M386" i="19"/>
  <c r="M385" i="19"/>
  <c r="M384" i="19"/>
  <c r="M383" i="19"/>
  <c r="M382" i="19"/>
  <c r="M381" i="19"/>
  <c r="M380" i="19"/>
  <c r="M379" i="19"/>
  <c r="M378" i="19"/>
  <c r="M377" i="19"/>
  <c r="M376" i="19"/>
  <c r="M375" i="19"/>
  <c r="M374" i="19"/>
  <c r="M373" i="19"/>
  <c r="M372" i="19"/>
  <c r="M371" i="19"/>
  <c r="M370" i="19"/>
  <c r="M369" i="19"/>
  <c r="M368" i="19"/>
  <c r="M367" i="19"/>
  <c r="M366" i="19"/>
  <c r="M365" i="19"/>
  <c r="M364" i="19"/>
  <c r="M363" i="19"/>
  <c r="M362" i="19"/>
  <c r="M361" i="19"/>
  <c r="M360" i="19"/>
  <c r="M359" i="19"/>
  <c r="M358" i="19"/>
  <c r="M357" i="19"/>
  <c r="M356" i="19"/>
  <c r="M355" i="19"/>
  <c r="M354" i="19"/>
  <c r="M353" i="19"/>
  <c r="M352" i="19"/>
  <c r="M351" i="19"/>
  <c r="M350" i="19"/>
  <c r="M349" i="19"/>
  <c r="M348" i="19"/>
  <c r="M347" i="19"/>
  <c r="M346" i="19"/>
  <c r="M345" i="19"/>
  <c r="M344" i="19"/>
  <c r="M343" i="19"/>
  <c r="M342" i="19"/>
  <c r="M341" i="19"/>
  <c r="M340" i="19"/>
  <c r="M339" i="19"/>
  <c r="M338" i="19"/>
  <c r="M337" i="19"/>
  <c r="M336" i="19"/>
  <c r="M335" i="19"/>
  <c r="M334" i="19"/>
  <c r="M333" i="19"/>
  <c r="M332" i="19"/>
  <c r="M331" i="19"/>
  <c r="M330" i="19"/>
  <c r="M329" i="19"/>
  <c r="M328" i="19"/>
  <c r="M327" i="19"/>
  <c r="M326" i="19"/>
  <c r="M325" i="19"/>
  <c r="M324" i="19"/>
  <c r="M323" i="19"/>
  <c r="M322" i="19"/>
  <c r="M321" i="19"/>
  <c r="M320" i="19"/>
  <c r="M319" i="19"/>
  <c r="M318" i="19"/>
  <c r="M317" i="19"/>
  <c r="M316" i="19"/>
  <c r="M315" i="19"/>
  <c r="M314" i="19"/>
  <c r="M313" i="19"/>
  <c r="M312" i="19"/>
  <c r="M311" i="19"/>
  <c r="M310" i="19"/>
  <c r="M309" i="19"/>
  <c r="M308" i="19"/>
  <c r="M307" i="19"/>
  <c r="M306" i="19"/>
  <c r="M305" i="19"/>
  <c r="M304" i="19"/>
  <c r="M303" i="19"/>
  <c r="M302" i="19"/>
  <c r="M301" i="19"/>
  <c r="M300" i="19"/>
  <c r="M299" i="19"/>
  <c r="M298" i="19"/>
  <c r="M297" i="19"/>
  <c r="M296" i="19"/>
  <c r="M295" i="19"/>
  <c r="M294" i="19"/>
  <c r="M293" i="19"/>
  <c r="M292" i="19"/>
  <c r="M291" i="19"/>
  <c r="M290" i="19"/>
  <c r="M289" i="19"/>
  <c r="M288" i="19"/>
  <c r="M287" i="19"/>
  <c r="M286" i="19"/>
  <c r="M285" i="19"/>
  <c r="M284" i="19"/>
  <c r="M283" i="19"/>
  <c r="M282" i="19"/>
  <c r="M281" i="19"/>
  <c r="M280" i="19"/>
  <c r="M279" i="19"/>
  <c r="M278" i="19"/>
  <c r="M277" i="19"/>
  <c r="M276" i="19"/>
  <c r="M275" i="19"/>
  <c r="M274" i="19"/>
  <c r="M273" i="19"/>
  <c r="M272" i="19"/>
  <c r="M271" i="19"/>
  <c r="M270" i="19"/>
  <c r="M269" i="19"/>
  <c r="M268" i="19"/>
  <c r="M267" i="19"/>
  <c r="M266" i="19"/>
  <c r="M265" i="19"/>
  <c r="M264" i="19"/>
  <c r="M263" i="19"/>
  <c r="M262" i="19"/>
  <c r="M261" i="19"/>
  <c r="M260" i="19"/>
  <c r="M259" i="19"/>
  <c r="M258" i="19"/>
  <c r="M257" i="19"/>
  <c r="M256" i="19"/>
  <c r="M255" i="19"/>
  <c r="M254" i="19"/>
  <c r="M253" i="19"/>
  <c r="M252" i="19"/>
  <c r="M251" i="19"/>
  <c r="M250" i="19"/>
  <c r="M249" i="19"/>
  <c r="M248" i="19"/>
  <c r="M247" i="19"/>
  <c r="M246" i="19"/>
  <c r="M245" i="19"/>
  <c r="M244" i="19"/>
  <c r="M243" i="19"/>
  <c r="M242" i="19"/>
  <c r="M241" i="19"/>
  <c r="M240" i="19"/>
  <c r="M239" i="19"/>
  <c r="M238" i="19"/>
  <c r="M237" i="19"/>
  <c r="M236" i="19"/>
  <c r="M235" i="19"/>
  <c r="M234" i="19"/>
  <c r="M233" i="19"/>
  <c r="M232" i="19"/>
  <c r="M231" i="19"/>
  <c r="M230" i="19"/>
  <c r="M229" i="19"/>
  <c r="M228" i="19"/>
  <c r="M227" i="19"/>
  <c r="M226" i="19"/>
  <c r="M225" i="19"/>
  <c r="M224" i="19"/>
  <c r="M223" i="19"/>
  <c r="M222" i="19"/>
  <c r="M221" i="19"/>
  <c r="M220" i="19"/>
  <c r="M219" i="19"/>
  <c r="M218" i="19"/>
  <c r="M217" i="19"/>
  <c r="M216" i="19"/>
  <c r="M215" i="19"/>
  <c r="M214" i="19"/>
  <c r="M213" i="19"/>
  <c r="M212" i="19"/>
  <c r="M211" i="19"/>
  <c r="M210" i="19"/>
  <c r="M209" i="19"/>
  <c r="M208" i="19"/>
  <c r="M207" i="19"/>
  <c r="M206" i="19"/>
  <c r="M205" i="19"/>
  <c r="M204" i="19"/>
  <c r="M203" i="19"/>
  <c r="M202" i="19"/>
  <c r="M201" i="19"/>
  <c r="M200" i="19"/>
  <c r="M199" i="19"/>
  <c r="M198" i="19"/>
  <c r="M197" i="19"/>
  <c r="M196" i="19"/>
  <c r="M195" i="19"/>
  <c r="M194" i="19"/>
  <c r="M193" i="19"/>
  <c r="M192" i="19"/>
  <c r="M191" i="19"/>
  <c r="M190" i="19"/>
  <c r="M189" i="19"/>
  <c r="M188" i="19"/>
  <c r="M187" i="19"/>
  <c r="M186" i="19"/>
  <c r="M185" i="19"/>
  <c r="M184" i="19"/>
  <c r="M183" i="19"/>
  <c r="M182" i="19"/>
  <c r="M181" i="19"/>
  <c r="M180" i="19"/>
  <c r="M179" i="19"/>
  <c r="M178" i="19"/>
  <c r="M177" i="19"/>
  <c r="M176" i="19"/>
  <c r="M175" i="19"/>
  <c r="M174" i="19"/>
  <c r="M173" i="19"/>
  <c r="M172" i="19"/>
  <c r="M171" i="19"/>
  <c r="M170" i="19"/>
  <c r="M169" i="19"/>
  <c r="M168" i="19"/>
  <c r="M167" i="19"/>
  <c r="M166" i="19"/>
  <c r="M165" i="19"/>
  <c r="M164" i="19"/>
  <c r="M163" i="19"/>
  <c r="M162" i="19"/>
  <c r="M161" i="19"/>
  <c r="M160" i="19"/>
  <c r="M159" i="19"/>
  <c r="M158" i="19"/>
  <c r="M157" i="19"/>
  <c r="M156" i="19"/>
  <c r="M155" i="19"/>
  <c r="M154" i="19"/>
  <c r="M153" i="19"/>
  <c r="M152" i="19"/>
  <c r="M151" i="19"/>
  <c r="M150" i="19"/>
  <c r="M149" i="19"/>
  <c r="M148" i="19"/>
  <c r="M147" i="19"/>
  <c r="M146" i="19"/>
  <c r="M145" i="19"/>
  <c r="M144" i="19"/>
  <c r="M143" i="19"/>
  <c r="M142" i="19"/>
  <c r="M141" i="19"/>
  <c r="M140" i="19"/>
  <c r="M139" i="19"/>
  <c r="M138" i="19"/>
  <c r="M137" i="19"/>
  <c r="M136" i="19"/>
  <c r="M135" i="19"/>
  <c r="M134" i="19"/>
  <c r="M133" i="19"/>
  <c r="M132" i="19"/>
  <c r="M131" i="19"/>
  <c r="M130" i="19"/>
  <c r="M129" i="19"/>
  <c r="M128" i="19"/>
  <c r="M127" i="19"/>
  <c r="M126" i="19"/>
  <c r="M125" i="19"/>
  <c r="M124" i="19"/>
  <c r="M123" i="19"/>
  <c r="M122" i="19"/>
  <c r="M121" i="19"/>
  <c r="M120" i="19"/>
  <c r="M119" i="19"/>
  <c r="M118" i="19"/>
  <c r="M117" i="19"/>
  <c r="M116" i="19"/>
  <c r="M115" i="19"/>
  <c r="M114" i="19"/>
  <c r="M113" i="19"/>
  <c r="M112" i="19"/>
  <c r="M111" i="19"/>
  <c r="M110" i="19"/>
  <c r="M109" i="19"/>
  <c r="M108" i="19"/>
  <c r="M107" i="19"/>
  <c r="M106" i="19"/>
  <c r="M105" i="19"/>
  <c r="M104" i="19"/>
  <c r="M103" i="19"/>
  <c r="M102" i="19"/>
  <c r="M101" i="19"/>
  <c r="M100" i="19"/>
  <c r="M99" i="19"/>
  <c r="M98" i="19"/>
  <c r="M97" i="19"/>
  <c r="M96" i="19"/>
  <c r="M95" i="19"/>
  <c r="M94" i="19"/>
  <c r="M93" i="19"/>
  <c r="M92" i="19"/>
  <c r="M91" i="19"/>
  <c r="M90" i="19"/>
  <c r="M89" i="19"/>
  <c r="M88" i="19"/>
  <c r="M87" i="19"/>
  <c r="M86" i="19"/>
  <c r="M85" i="19"/>
  <c r="M84" i="19"/>
  <c r="M83" i="19"/>
  <c r="M82" i="19"/>
  <c r="M81" i="19"/>
  <c r="M80" i="19"/>
  <c r="M79" i="19"/>
  <c r="M78" i="19"/>
  <c r="M77" i="19"/>
  <c r="M76" i="19"/>
  <c r="M75" i="19"/>
  <c r="M74" i="19"/>
  <c r="M73" i="19"/>
  <c r="M72" i="19"/>
  <c r="M71" i="19"/>
  <c r="M70" i="19"/>
  <c r="M69" i="19"/>
  <c r="M68" i="19"/>
  <c r="M67" i="19"/>
  <c r="M66" i="19"/>
  <c r="M65" i="19"/>
  <c r="M64" i="19"/>
  <c r="M63" i="19"/>
  <c r="M62" i="19"/>
  <c r="M61" i="19"/>
  <c r="M60" i="19"/>
  <c r="M59" i="19"/>
  <c r="M58" i="19"/>
  <c r="M57" i="19"/>
  <c r="M56" i="19"/>
  <c r="M55" i="19"/>
  <c r="M54" i="19"/>
  <c r="M53" i="19"/>
  <c r="M52" i="19"/>
  <c r="M51" i="19"/>
  <c r="M50" i="19"/>
  <c r="M49" i="19"/>
  <c r="M48" i="19"/>
  <c r="M47" i="19"/>
  <c r="M46" i="19"/>
  <c r="M45" i="19"/>
  <c r="M44" i="19"/>
  <c r="M43" i="19"/>
  <c r="M42" i="19"/>
  <c r="M41" i="19"/>
  <c r="M40" i="19"/>
  <c r="M39" i="19"/>
  <c r="M38" i="19"/>
  <c r="M37" i="19"/>
  <c r="M36" i="19"/>
  <c r="M35" i="19"/>
  <c r="M34" i="19"/>
  <c r="M33" i="19"/>
  <c r="M32" i="19"/>
  <c r="M31" i="19"/>
  <c r="M30" i="19"/>
  <c r="M29" i="19"/>
  <c r="M28" i="19"/>
  <c r="M27" i="19"/>
  <c r="M26" i="19"/>
  <c r="M25" i="19"/>
  <c r="M24" i="19"/>
  <c r="M23" i="19"/>
  <c r="M22" i="19"/>
  <c r="M21" i="19"/>
  <c r="M20" i="19"/>
  <c r="M19" i="19"/>
  <c r="M18" i="19"/>
  <c r="M17" i="19"/>
  <c r="M16" i="19"/>
  <c r="M15" i="19"/>
  <c r="M14" i="19"/>
  <c r="M13" i="19"/>
  <c r="M12" i="19"/>
  <c r="M11" i="19"/>
  <c r="M10" i="19"/>
  <c r="M9" i="19"/>
  <c r="M8" i="19"/>
  <c r="M7" i="19"/>
  <c r="M6" i="19"/>
  <c r="L1127" i="19"/>
  <c r="K1127" i="19"/>
  <c r="L1126" i="19"/>
  <c r="K1126" i="19"/>
  <c r="L1125" i="19"/>
  <c r="K1125" i="19"/>
  <c r="L1124" i="19"/>
  <c r="K1124" i="19"/>
  <c r="L1123" i="19"/>
  <c r="K1123" i="19"/>
  <c r="L1122" i="19"/>
  <c r="K1122" i="19"/>
  <c r="L1121" i="19"/>
  <c r="K1121" i="19"/>
  <c r="L1120" i="19"/>
  <c r="K1120" i="19"/>
  <c r="L1119" i="19"/>
  <c r="K1119" i="19"/>
  <c r="L1118" i="19"/>
  <c r="K1118" i="19"/>
  <c r="L1117" i="19"/>
  <c r="K1117" i="19"/>
  <c r="L1116" i="19"/>
  <c r="K1116" i="19"/>
  <c r="L1115" i="19"/>
  <c r="K1115" i="19"/>
  <c r="L1114" i="19"/>
  <c r="K1114" i="19"/>
  <c r="L1113" i="19"/>
  <c r="K1113" i="19"/>
  <c r="L1112" i="19"/>
  <c r="K1112" i="19"/>
  <c r="L1111" i="19"/>
  <c r="K1111" i="19"/>
  <c r="L1110" i="19"/>
  <c r="K1110" i="19"/>
  <c r="L1109" i="19"/>
  <c r="K1109" i="19"/>
  <c r="L1108" i="19"/>
  <c r="K1108" i="19"/>
  <c r="L1107" i="19"/>
  <c r="K1107" i="19"/>
  <c r="L1106" i="19"/>
  <c r="K1106" i="19"/>
  <c r="L1105" i="19"/>
  <c r="K1105" i="19"/>
  <c r="L1104" i="19"/>
  <c r="K1104" i="19"/>
  <c r="L1103" i="19"/>
  <c r="K1103" i="19"/>
  <c r="L1102" i="19"/>
  <c r="K1102" i="19"/>
  <c r="L1101" i="19"/>
  <c r="K1101" i="19"/>
  <c r="L1100" i="19"/>
  <c r="K1100" i="19"/>
  <c r="L1099" i="19"/>
  <c r="K1099" i="19"/>
  <c r="L1098" i="19"/>
  <c r="K1098" i="19"/>
  <c r="L1097" i="19"/>
  <c r="K1097" i="19"/>
  <c r="L1096" i="19"/>
  <c r="K1096" i="19"/>
  <c r="L1095" i="19"/>
  <c r="K1095" i="19"/>
  <c r="L1094" i="19"/>
  <c r="K1094" i="19"/>
  <c r="L1093" i="19"/>
  <c r="K1093" i="19"/>
  <c r="L1092" i="19"/>
  <c r="K1092" i="19"/>
  <c r="L1091" i="19"/>
  <c r="K1091" i="19"/>
  <c r="L1090" i="19"/>
  <c r="K1090" i="19"/>
  <c r="L1089" i="19"/>
  <c r="K1089" i="19"/>
  <c r="L1088" i="19"/>
  <c r="K1088" i="19"/>
  <c r="L1087" i="19"/>
  <c r="K1087" i="19"/>
  <c r="L1086" i="19"/>
  <c r="K1086" i="19"/>
  <c r="L1085" i="19"/>
  <c r="K1085" i="19"/>
  <c r="L1084" i="19"/>
  <c r="K1084" i="19"/>
  <c r="L1083" i="19"/>
  <c r="K1083" i="19"/>
  <c r="L1082" i="19"/>
  <c r="K1082" i="19"/>
  <c r="L1081" i="19"/>
  <c r="K1081" i="19"/>
  <c r="L1080" i="19"/>
  <c r="K1080" i="19"/>
  <c r="L1079" i="19"/>
  <c r="K1079" i="19"/>
  <c r="L1078" i="19"/>
  <c r="K1078" i="19"/>
  <c r="L1077" i="19"/>
  <c r="K1077" i="19"/>
  <c r="L1076" i="19"/>
  <c r="K1076" i="19"/>
  <c r="L1075" i="19"/>
  <c r="K1075" i="19"/>
  <c r="L1074" i="19"/>
  <c r="K1074" i="19"/>
  <c r="L1073" i="19"/>
  <c r="K1073" i="19"/>
  <c r="L1072" i="19"/>
  <c r="K1072" i="19"/>
  <c r="L1071" i="19"/>
  <c r="K1071" i="19"/>
  <c r="L1070" i="19"/>
  <c r="K1070" i="19"/>
  <c r="L1069" i="19"/>
  <c r="K1069" i="19"/>
  <c r="L1068" i="19"/>
  <c r="K1068" i="19"/>
  <c r="L1067" i="19"/>
  <c r="K1067" i="19"/>
  <c r="L1066" i="19"/>
  <c r="K1066" i="19"/>
  <c r="L1065" i="19"/>
  <c r="K1065" i="19"/>
  <c r="L1064" i="19"/>
  <c r="K1064" i="19"/>
  <c r="L1063" i="19"/>
  <c r="K1063" i="19"/>
  <c r="L1062" i="19"/>
  <c r="K1062" i="19"/>
  <c r="L1061" i="19"/>
  <c r="K1061" i="19"/>
  <c r="L1060" i="19"/>
  <c r="K1060" i="19"/>
  <c r="L1059" i="19"/>
  <c r="K1059" i="19"/>
  <c r="L1058" i="19"/>
  <c r="K1058" i="19"/>
  <c r="L1057" i="19"/>
  <c r="K1057" i="19"/>
  <c r="L1056" i="19"/>
  <c r="K1056" i="19"/>
  <c r="L1055" i="19"/>
  <c r="K1055" i="19"/>
  <c r="L1054" i="19"/>
  <c r="K1054" i="19"/>
  <c r="L1053" i="19"/>
  <c r="K1053" i="19"/>
  <c r="L1052" i="19"/>
  <c r="K1052" i="19"/>
  <c r="L1051" i="19"/>
  <c r="K1051" i="19"/>
  <c r="L1050" i="19"/>
  <c r="K1050" i="19"/>
  <c r="L1049" i="19"/>
  <c r="K1049" i="19"/>
  <c r="L1048" i="19"/>
  <c r="K1048" i="19"/>
  <c r="L1047" i="19"/>
  <c r="K1047" i="19"/>
  <c r="L1046" i="19"/>
  <c r="K1046" i="19"/>
  <c r="L1045" i="19"/>
  <c r="K1045" i="19"/>
  <c r="L1044" i="19"/>
  <c r="K1044" i="19"/>
  <c r="L1043" i="19"/>
  <c r="K1043" i="19"/>
  <c r="L1042" i="19"/>
  <c r="K1042" i="19"/>
  <c r="L1041" i="19"/>
  <c r="K1041" i="19"/>
  <c r="L1040" i="19"/>
  <c r="K1040" i="19"/>
  <c r="L1039" i="19"/>
  <c r="K1039" i="19"/>
  <c r="L1038" i="19"/>
  <c r="K1038" i="19"/>
  <c r="L1037" i="19"/>
  <c r="K1037" i="19"/>
  <c r="L1036" i="19"/>
  <c r="K1036" i="19"/>
  <c r="L1035" i="19"/>
  <c r="K1035" i="19"/>
  <c r="L1034" i="19"/>
  <c r="K1034" i="19"/>
  <c r="L1033" i="19"/>
  <c r="K1033" i="19"/>
  <c r="L1032" i="19"/>
  <c r="K1032" i="19"/>
  <c r="L1031" i="19"/>
  <c r="K1031" i="19"/>
  <c r="L1030" i="19"/>
  <c r="K1030" i="19"/>
  <c r="L1029" i="19"/>
  <c r="K1029" i="19"/>
  <c r="L1028" i="19"/>
  <c r="K1028" i="19"/>
  <c r="L1027" i="19"/>
  <c r="K1027" i="19"/>
  <c r="L1026" i="19"/>
  <c r="K1026" i="19"/>
  <c r="L1025" i="19"/>
  <c r="K1025" i="19"/>
  <c r="L1024" i="19"/>
  <c r="K1024" i="19"/>
  <c r="L1023" i="19"/>
  <c r="K1023" i="19"/>
  <c r="L1022" i="19"/>
  <c r="K1022" i="19"/>
  <c r="L1021" i="19"/>
  <c r="K1021" i="19"/>
  <c r="L1020" i="19"/>
  <c r="K1020" i="19"/>
  <c r="L1019" i="19"/>
  <c r="K1019" i="19"/>
  <c r="L1018" i="19"/>
  <c r="K1018" i="19"/>
  <c r="L1017" i="19"/>
  <c r="K1017" i="19"/>
  <c r="L1016" i="19"/>
  <c r="K1016" i="19"/>
  <c r="L1015" i="19"/>
  <c r="K1015" i="19"/>
  <c r="L1014" i="19"/>
  <c r="K1014" i="19"/>
  <c r="L1013" i="19"/>
  <c r="K1013" i="19"/>
  <c r="L1012" i="19"/>
  <c r="K1012" i="19"/>
  <c r="L1011" i="19"/>
  <c r="K1011" i="19"/>
  <c r="L1010" i="19"/>
  <c r="K1010" i="19"/>
  <c r="L1009" i="19"/>
  <c r="K1009" i="19"/>
  <c r="L1008" i="19"/>
  <c r="K1008" i="19"/>
  <c r="L1007" i="19"/>
  <c r="K1007" i="19"/>
  <c r="L1006" i="19"/>
  <c r="K1006" i="19"/>
  <c r="L1005" i="19"/>
  <c r="K1005" i="19"/>
  <c r="L1004" i="19"/>
  <c r="K1004" i="19"/>
  <c r="L1003" i="19"/>
  <c r="K1003" i="19"/>
  <c r="L1002" i="19"/>
  <c r="K1002" i="19"/>
  <c r="L1001" i="19"/>
  <c r="K1001" i="19"/>
  <c r="L1000" i="19"/>
  <c r="K1000" i="19"/>
  <c r="L999" i="19"/>
  <c r="K999" i="19"/>
  <c r="L998" i="19"/>
  <c r="K998" i="19"/>
  <c r="L997" i="19"/>
  <c r="K997" i="19"/>
  <c r="L996" i="19"/>
  <c r="K996" i="19"/>
  <c r="L995" i="19"/>
  <c r="K995" i="19"/>
  <c r="L994" i="19"/>
  <c r="K994" i="19"/>
  <c r="L993" i="19"/>
  <c r="K993" i="19"/>
  <c r="L992" i="19"/>
  <c r="K992" i="19"/>
  <c r="L991" i="19"/>
  <c r="K991" i="19"/>
  <c r="L990" i="19"/>
  <c r="K990" i="19"/>
  <c r="L989" i="19"/>
  <c r="K989" i="19"/>
  <c r="L988" i="19"/>
  <c r="K988" i="19"/>
  <c r="L987" i="19"/>
  <c r="K987" i="19"/>
  <c r="L986" i="19"/>
  <c r="K986" i="19"/>
  <c r="L985" i="19"/>
  <c r="K985" i="19"/>
  <c r="L984" i="19"/>
  <c r="K984" i="19"/>
  <c r="L983" i="19"/>
  <c r="K983" i="19"/>
  <c r="L982" i="19"/>
  <c r="K982" i="19"/>
  <c r="L981" i="19"/>
  <c r="K981" i="19"/>
  <c r="L980" i="19"/>
  <c r="K980" i="19"/>
  <c r="L979" i="19"/>
  <c r="K979" i="19"/>
  <c r="L978" i="19"/>
  <c r="K978" i="19"/>
  <c r="L977" i="19"/>
  <c r="K977" i="19"/>
  <c r="L976" i="19"/>
  <c r="K976" i="19"/>
  <c r="L975" i="19"/>
  <c r="K975" i="19"/>
  <c r="L974" i="19"/>
  <c r="K974" i="19"/>
  <c r="L973" i="19"/>
  <c r="K973" i="19"/>
  <c r="L972" i="19"/>
  <c r="K972" i="19"/>
  <c r="L971" i="19"/>
  <c r="K971" i="19"/>
  <c r="L970" i="19"/>
  <c r="K970" i="19"/>
  <c r="L969" i="19"/>
  <c r="K969" i="19"/>
  <c r="L968" i="19"/>
  <c r="K968" i="19"/>
  <c r="L967" i="19"/>
  <c r="K967" i="19"/>
  <c r="L966" i="19"/>
  <c r="K966" i="19"/>
  <c r="L965" i="19"/>
  <c r="K965" i="19"/>
  <c r="L964" i="19"/>
  <c r="K964" i="19"/>
  <c r="L963" i="19"/>
  <c r="K963" i="19"/>
  <c r="L962" i="19"/>
  <c r="K962" i="19"/>
  <c r="L961" i="19"/>
  <c r="K961" i="19"/>
  <c r="L960" i="19"/>
  <c r="K960" i="19"/>
  <c r="L959" i="19"/>
  <c r="K959" i="19"/>
  <c r="L958" i="19"/>
  <c r="K958" i="19"/>
  <c r="L957" i="19"/>
  <c r="K957" i="19"/>
  <c r="L956" i="19"/>
  <c r="K956" i="19"/>
  <c r="L955" i="19"/>
  <c r="K955" i="19"/>
  <c r="L954" i="19"/>
  <c r="K954" i="19"/>
  <c r="L953" i="19"/>
  <c r="K953" i="19"/>
  <c r="L952" i="19"/>
  <c r="K952" i="19"/>
  <c r="L951" i="19"/>
  <c r="K951" i="19"/>
  <c r="L950" i="19"/>
  <c r="K950" i="19"/>
  <c r="L949" i="19"/>
  <c r="K949" i="19"/>
  <c r="L948" i="19"/>
  <c r="K948" i="19"/>
  <c r="L947" i="19"/>
  <c r="K947" i="19"/>
  <c r="L946" i="19"/>
  <c r="K946" i="19"/>
  <c r="L945" i="19"/>
  <c r="K945" i="19"/>
  <c r="L944" i="19"/>
  <c r="K944" i="19"/>
  <c r="L943" i="19"/>
  <c r="K943" i="19"/>
  <c r="L942" i="19"/>
  <c r="K942" i="19"/>
  <c r="L941" i="19"/>
  <c r="K941" i="19"/>
  <c r="L940" i="19"/>
  <c r="K940" i="19"/>
  <c r="L939" i="19"/>
  <c r="K939" i="19"/>
  <c r="L938" i="19"/>
  <c r="K938" i="19"/>
  <c r="L937" i="19"/>
  <c r="K937" i="19"/>
  <c r="L936" i="19"/>
  <c r="K936" i="19"/>
  <c r="L935" i="19"/>
  <c r="K935" i="19"/>
  <c r="L934" i="19"/>
  <c r="K934" i="19"/>
  <c r="L933" i="19"/>
  <c r="K933" i="19"/>
  <c r="L932" i="19"/>
  <c r="K932" i="19"/>
  <c r="L931" i="19"/>
  <c r="K931" i="19"/>
  <c r="L930" i="19"/>
  <c r="K930" i="19"/>
  <c r="L929" i="19"/>
  <c r="K929" i="19"/>
  <c r="L928" i="19"/>
  <c r="K928" i="19"/>
  <c r="L927" i="19"/>
  <c r="K927" i="19"/>
  <c r="L926" i="19"/>
  <c r="K926" i="19"/>
  <c r="L925" i="19"/>
  <c r="K925" i="19"/>
  <c r="L924" i="19"/>
  <c r="K924" i="19"/>
  <c r="L923" i="19"/>
  <c r="K923" i="19"/>
  <c r="L922" i="19"/>
  <c r="K922" i="19"/>
  <c r="L921" i="19"/>
  <c r="K921" i="19"/>
  <c r="L920" i="19"/>
  <c r="K920" i="19"/>
  <c r="L919" i="19"/>
  <c r="K919" i="19"/>
  <c r="L918" i="19"/>
  <c r="K918" i="19"/>
  <c r="L917" i="19"/>
  <c r="K917" i="19"/>
  <c r="L916" i="19"/>
  <c r="K916" i="19"/>
  <c r="L915" i="19"/>
  <c r="K915" i="19"/>
  <c r="L914" i="19"/>
  <c r="K914" i="19"/>
  <c r="L913" i="19"/>
  <c r="K913" i="19"/>
  <c r="L912" i="19"/>
  <c r="K912" i="19"/>
  <c r="L911" i="19"/>
  <c r="K911" i="19"/>
  <c r="L910" i="19"/>
  <c r="K910" i="19"/>
  <c r="L909" i="19"/>
  <c r="K909" i="19"/>
  <c r="L908" i="19"/>
  <c r="K908" i="19"/>
  <c r="L907" i="19"/>
  <c r="K907" i="19"/>
  <c r="L906" i="19"/>
  <c r="K906" i="19"/>
  <c r="L905" i="19"/>
  <c r="K905" i="19"/>
  <c r="L904" i="19"/>
  <c r="K904" i="19"/>
  <c r="L903" i="19"/>
  <c r="K903" i="19"/>
  <c r="L902" i="19"/>
  <c r="K902" i="19"/>
  <c r="L901" i="19"/>
  <c r="K901" i="19"/>
  <c r="L900" i="19"/>
  <c r="K900" i="19"/>
  <c r="L899" i="19"/>
  <c r="K899" i="19"/>
  <c r="L898" i="19"/>
  <c r="K898" i="19"/>
  <c r="L897" i="19"/>
  <c r="K897" i="19"/>
  <c r="L896" i="19"/>
  <c r="K896" i="19"/>
  <c r="L895" i="19"/>
  <c r="K895" i="19"/>
  <c r="L894" i="19"/>
  <c r="K894" i="19"/>
  <c r="L893" i="19"/>
  <c r="K893" i="19"/>
  <c r="L892" i="19"/>
  <c r="K892" i="19"/>
  <c r="L891" i="19"/>
  <c r="K891" i="19"/>
  <c r="L890" i="19"/>
  <c r="K890" i="19"/>
  <c r="L889" i="19"/>
  <c r="K889" i="19"/>
  <c r="L888" i="19"/>
  <c r="K888" i="19"/>
  <c r="L887" i="19"/>
  <c r="K887" i="19"/>
  <c r="L886" i="19"/>
  <c r="K886" i="19"/>
  <c r="L885" i="19"/>
  <c r="K885" i="19"/>
  <c r="L884" i="19"/>
  <c r="K884" i="19"/>
  <c r="L883" i="19"/>
  <c r="K883" i="19"/>
  <c r="L882" i="19"/>
  <c r="K882" i="19"/>
  <c r="L881" i="19"/>
  <c r="K881" i="19"/>
  <c r="L880" i="19"/>
  <c r="K880" i="19"/>
  <c r="L879" i="19"/>
  <c r="K879" i="19"/>
  <c r="L878" i="19"/>
  <c r="K878" i="19"/>
  <c r="L877" i="19"/>
  <c r="K877" i="19"/>
  <c r="L876" i="19"/>
  <c r="K876" i="19"/>
  <c r="L875" i="19"/>
  <c r="K875" i="19"/>
  <c r="L874" i="19"/>
  <c r="K874" i="19"/>
  <c r="L873" i="19"/>
  <c r="K873" i="19"/>
  <c r="L872" i="19"/>
  <c r="K872" i="19"/>
  <c r="L871" i="19"/>
  <c r="K871" i="19"/>
  <c r="L870" i="19"/>
  <c r="K870" i="19"/>
  <c r="L869" i="19"/>
  <c r="K869" i="19"/>
  <c r="L868" i="19"/>
  <c r="K868" i="19"/>
  <c r="L867" i="19"/>
  <c r="K867" i="19"/>
  <c r="L866" i="19"/>
  <c r="K866" i="19"/>
  <c r="L865" i="19"/>
  <c r="K865" i="19"/>
  <c r="L864" i="19"/>
  <c r="K864" i="19"/>
  <c r="L863" i="19"/>
  <c r="K863" i="19"/>
  <c r="L862" i="19"/>
  <c r="K862" i="19"/>
  <c r="L861" i="19"/>
  <c r="K861" i="19"/>
  <c r="L860" i="19"/>
  <c r="K860" i="19"/>
  <c r="L859" i="19"/>
  <c r="K859" i="19"/>
  <c r="L858" i="19"/>
  <c r="K858" i="19"/>
  <c r="L857" i="19"/>
  <c r="K857" i="19"/>
  <c r="L856" i="19"/>
  <c r="K856" i="19"/>
  <c r="L855" i="19"/>
  <c r="K855" i="19"/>
  <c r="L854" i="19"/>
  <c r="K854" i="19"/>
  <c r="L853" i="19"/>
  <c r="K853" i="19"/>
  <c r="L852" i="19"/>
  <c r="K852" i="19"/>
  <c r="L851" i="19"/>
  <c r="K851" i="19"/>
  <c r="L850" i="19"/>
  <c r="K850" i="19"/>
  <c r="L849" i="19"/>
  <c r="K849" i="19"/>
  <c r="L848" i="19"/>
  <c r="K848" i="19"/>
  <c r="L847" i="19"/>
  <c r="K847" i="19"/>
  <c r="L846" i="19"/>
  <c r="K846" i="19"/>
  <c r="L845" i="19"/>
  <c r="K845" i="19"/>
  <c r="L844" i="19"/>
  <c r="K844" i="19"/>
  <c r="L843" i="19"/>
  <c r="K843" i="19"/>
  <c r="L842" i="19"/>
  <c r="K842" i="19"/>
  <c r="L841" i="19"/>
  <c r="K841" i="19"/>
  <c r="L840" i="19"/>
  <c r="K840" i="19"/>
  <c r="L839" i="19"/>
  <c r="K839" i="19"/>
  <c r="L838" i="19"/>
  <c r="K838" i="19"/>
  <c r="L837" i="19"/>
  <c r="K837" i="19"/>
  <c r="L836" i="19"/>
  <c r="K836" i="19"/>
  <c r="L835" i="19"/>
  <c r="K835" i="19"/>
  <c r="L834" i="19"/>
  <c r="K834" i="19"/>
  <c r="L833" i="19"/>
  <c r="K833" i="19"/>
  <c r="L832" i="19"/>
  <c r="K832" i="19"/>
  <c r="L831" i="19"/>
  <c r="K831" i="19"/>
  <c r="L830" i="19"/>
  <c r="K830" i="19"/>
  <c r="L829" i="19"/>
  <c r="K829" i="19"/>
  <c r="L828" i="19"/>
  <c r="K828" i="19"/>
  <c r="L827" i="19"/>
  <c r="K827" i="19"/>
  <c r="L826" i="19"/>
  <c r="K826" i="19"/>
  <c r="L825" i="19"/>
  <c r="K825" i="19"/>
  <c r="L824" i="19"/>
  <c r="K824" i="19"/>
  <c r="L823" i="19"/>
  <c r="K823" i="19"/>
  <c r="L822" i="19"/>
  <c r="K822" i="19"/>
  <c r="L821" i="19"/>
  <c r="K821" i="19"/>
  <c r="L820" i="19"/>
  <c r="K820" i="19"/>
  <c r="L819" i="19"/>
  <c r="K819" i="19"/>
  <c r="L818" i="19"/>
  <c r="K818" i="19"/>
  <c r="L817" i="19"/>
  <c r="K817" i="19"/>
  <c r="L816" i="19"/>
  <c r="K816" i="19"/>
  <c r="L815" i="19"/>
  <c r="K815" i="19"/>
  <c r="L814" i="19"/>
  <c r="K814" i="19"/>
  <c r="L813" i="19"/>
  <c r="K813" i="19"/>
  <c r="L812" i="19"/>
  <c r="K812" i="19"/>
  <c r="L811" i="19"/>
  <c r="K811" i="19"/>
  <c r="L810" i="19"/>
  <c r="K810" i="19"/>
  <c r="L809" i="19"/>
  <c r="K809" i="19"/>
  <c r="L808" i="19"/>
  <c r="K808" i="19"/>
  <c r="L807" i="19"/>
  <c r="K807" i="19"/>
  <c r="L806" i="19"/>
  <c r="K806" i="19"/>
  <c r="L805" i="19"/>
  <c r="K805" i="19"/>
  <c r="L804" i="19"/>
  <c r="K804" i="19"/>
  <c r="L803" i="19"/>
  <c r="K803" i="19"/>
  <c r="L802" i="19"/>
  <c r="K802" i="19"/>
  <c r="L801" i="19"/>
  <c r="K801" i="19"/>
  <c r="L800" i="19"/>
  <c r="K800" i="19"/>
  <c r="L799" i="19"/>
  <c r="K799" i="19"/>
  <c r="L798" i="19"/>
  <c r="K798" i="19"/>
  <c r="L797" i="19"/>
  <c r="K797" i="19"/>
  <c r="L796" i="19"/>
  <c r="K796" i="19"/>
  <c r="L795" i="19"/>
  <c r="K795" i="19"/>
  <c r="L794" i="19"/>
  <c r="K794" i="19"/>
  <c r="L793" i="19"/>
  <c r="K793" i="19"/>
  <c r="L792" i="19"/>
  <c r="K792" i="19"/>
  <c r="L791" i="19"/>
  <c r="K791" i="19"/>
  <c r="L790" i="19"/>
  <c r="K790" i="19"/>
  <c r="L789" i="19"/>
  <c r="K789" i="19"/>
  <c r="L788" i="19"/>
  <c r="K788" i="19"/>
  <c r="L787" i="19"/>
  <c r="K787" i="19"/>
  <c r="L786" i="19"/>
  <c r="K786" i="19"/>
  <c r="L785" i="19"/>
  <c r="K785" i="19"/>
  <c r="L784" i="19"/>
  <c r="K784" i="19"/>
  <c r="L783" i="19"/>
  <c r="K783" i="19"/>
  <c r="L782" i="19"/>
  <c r="K782" i="19"/>
  <c r="L781" i="19"/>
  <c r="K781" i="19"/>
  <c r="L780" i="19"/>
  <c r="K780" i="19"/>
  <c r="L779" i="19"/>
  <c r="K779" i="19"/>
  <c r="L778" i="19"/>
  <c r="K778" i="19"/>
  <c r="L777" i="19"/>
  <c r="K777" i="19"/>
  <c r="L776" i="19"/>
  <c r="K776" i="19"/>
  <c r="L775" i="19"/>
  <c r="K775" i="19"/>
  <c r="L774" i="19"/>
  <c r="K774" i="19"/>
  <c r="L773" i="19"/>
  <c r="K773" i="19"/>
  <c r="L772" i="19"/>
  <c r="K772" i="19"/>
  <c r="L771" i="19"/>
  <c r="K771" i="19"/>
  <c r="L770" i="19"/>
  <c r="K770" i="19"/>
  <c r="L769" i="19"/>
  <c r="K769" i="19"/>
  <c r="L768" i="19"/>
  <c r="K768" i="19"/>
  <c r="L767" i="19"/>
  <c r="K767" i="19"/>
  <c r="L766" i="19"/>
  <c r="K766" i="19"/>
  <c r="L765" i="19"/>
  <c r="K765" i="19"/>
  <c r="L764" i="19"/>
  <c r="K764" i="19"/>
  <c r="L763" i="19"/>
  <c r="K763" i="19"/>
  <c r="L762" i="19"/>
  <c r="K762" i="19"/>
  <c r="L761" i="19"/>
  <c r="K761" i="19"/>
  <c r="L760" i="19"/>
  <c r="K760" i="19"/>
  <c r="L759" i="19"/>
  <c r="K759" i="19"/>
  <c r="L758" i="19"/>
  <c r="K758" i="19"/>
  <c r="L757" i="19"/>
  <c r="K757" i="19"/>
  <c r="L756" i="19"/>
  <c r="K756" i="19"/>
  <c r="L755" i="19"/>
  <c r="K755" i="19"/>
  <c r="L754" i="19"/>
  <c r="K754" i="19"/>
  <c r="L753" i="19"/>
  <c r="K753" i="19"/>
  <c r="L752" i="19"/>
  <c r="K752" i="19"/>
  <c r="L751" i="19"/>
  <c r="K751" i="19"/>
  <c r="L750" i="19"/>
  <c r="K750" i="19"/>
  <c r="L749" i="19"/>
  <c r="K749" i="19"/>
  <c r="L748" i="19"/>
  <c r="K748" i="19"/>
  <c r="L747" i="19"/>
  <c r="K747" i="19"/>
  <c r="L746" i="19"/>
  <c r="K746" i="19"/>
  <c r="L745" i="19"/>
  <c r="K745" i="19"/>
  <c r="L744" i="19"/>
  <c r="K744" i="19"/>
  <c r="L743" i="19"/>
  <c r="K743" i="19"/>
  <c r="L742" i="19"/>
  <c r="K742" i="19"/>
  <c r="L741" i="19"/>
  <c r="K741" i="19"/>
  <c r="L740" i="19"/>
  <c r="K740" i="19"/>
  <c r="L739" i="19"/>
  <c r="K739" i="19"/>
  <c r="L738" i="19"/>
  <c r="K738" i="19"/>
  <c r="L737" i="19"/>
  <c r="K737" i="19"/>
  <c r="L736" i="19"/>
  <c r="K736" i="19"/>
  <c r="L735" i="19"/>
  <c r="K735" i="19"/>
  <c r="L734" i="19"/>
  <c r="K734" i="19"/>
  <c r="L733" i="19"/>
  <c r="K733" i="19"/>
  <c r="L732" i="19"/>
  <c r="K732" i="19"/>
  <c r="L731" i="19"/>
  <c r="K731" i="19"/>
  <c r="L730" i="19"/>
  <c r="K730" i="19"/>
  <c r="L729" i="19"/>
  <c r="K729" i="19"/>
  <c r="L728" i="19"/>
  <c r="K728" i="19"/>
  <c r="L727" i="19"/>
  <c r="K727" i="19"/>
  <c r="L726" i="19"/>
  <c r="K726" i="19"/>
  <c r="L725" i="19"/>
  <c r="K725" i="19"/>
  <c r="L724" i="19"/>
  <c r="K724" i="19"/>
  <c r="L723" i="19"/>
  <c r="K723" i="19"/>
  <c r="L722" i="19"/>
  <c r="K722" i="19"/>
  <c r="L721" i="19"/>
  <c r="K721" i="19"/>
  <c r="L720" i="19"/>
  <c r="K720" i="19"/>
  <c r="L719" i="19"/>
  <c r="K719" i="19"/>
  <c r="L718" i="19"/>
  <c r="K718" i="19"/>
  <c r="L717" i="19"/>
  <c r="K717" i="19"/>
  <c r="L716" i="19"/>
  <c r="K716" i="19"/>
  <c r="L715" i="19"/>
  <c r="K715" i="19"/>
  <c r="L714" i="19"/>
  <c r="K714" i="19"/>
  <c r="L713" i="19"/>
  <c r="K713" i="19"/>
  <c r="L712" i="19"/>
  <c r="K712" i="19"/>
  <c r="L711" i="19"/>
  <c r="K711" i="19"/>
  <c r="L710" i="19"/>
  <c r="K710" i="19"/>
  <c r="L709" i="19"/>
  <c r="K709" i="19"/>
  <c r="L708" i="19"/>
  <c r="K708" i="19"/>
  <c r="L707" i="19"/>
  <c r="K707" i="19"/>
  <c r="L706" i="19"/>
  <c r="K706" i="19"/>
  <c r="L705" i="19"/>
  <c r="K705" i="19"/>
  <c r="L704" i="19"/>
  <c r="K704" i="19"/>
  <c r="L703" i="19"/>
  <c r="K703" i="19"/>
  <c r="L702" i="19"/>
  <c r="K702" i="19"/>
  <c r="L701" i="19"/>
  <c r="K701" i="19"/>
  <c r="L700" i="19"/>
  <c r="K700" i="19"/>
  <c r="L699" i="19"/>
  <c r="K699" i="19"/>
  <c r="L698" i="19"/>
  <c r="K698" i="19"/>
  <c r="L697" i="19"/>
  <c r="K697" i="19"/>
  <c r="L696" i="19"/>
  <c r="K696" i="19"/>
  <c r="L695" i="19"/>
  <c r="K695" i="19"/>
  <c r="L694" i="19"/>
  <c r="K694" i="19"/>
  <c r="L693" i="19"/>
  <c r="K693" i="19"/>
  <c r="L692" i="19"/>
  <c r="K692" i="19"/>
  <c r="L691" i="19"/>
  <c r="K691" i="19"/>
  <c r="L690" i="19"/>
  <c r="K690" i="19"/>
  <c r="L689" i="19"/>
  <c r="K689" i="19"/>
  <c r="L688" i="19"/>
  <c r="K688" i="19"/>
  <c r="L687" i="19"/>
  <c r="K687" i="19"/>
  <c r="L686" i="19"/>
  <c r="K686" i="19"/>
  <c r="L685" i="19"/>
  <c r="K685" i="19"/>
  <c r="L684" i="19"/>
  <c r="K684" i="19"/>
  <c r="L683" i="19"/>
  <c r="K683" i="19"/>
  <c r="L682" i="19"/>
  <c r="K682" i="19"/>
  <c r="L681" i="19"/>
  <c r="K681" i="19"/>
  <c r="L680" i="19"/>
  <c r="K680" i="19"/>
  <c r="L679" i="19"/>
  <c r="K679" i="19"/>
  <c r="L678" i="19"/>
  <c r="K678" i="19"/>
  <c r="L677" i="19"/>
  <c r="K677" i="19"/>
  <c r="L676" i="19"/>
  <c r="K676" i="19"/>
  <c r="L675" i="19"/>
  <c r="K675" i="19"/>
  <c r="L674" i="19"/>
  <c r="K674" i="19"/>
  <c r="L673" i="19"/>
  <c r="K673" i="19"/>
  <c r="L672" i="19"/>
  <c r="K672" i="19"/>
  <c r="L671" i="19"/>
  <c r="K671" i="19"/>
  <c r="L670" i="19"/>
  <c r="K670" i="19"/>
  <c r="L669" i="19"/>
  <c r="K669" i="19"/>
  <c r="L668" i="19"/>
  <c r="K668" i="19"/>
  <c r="L667" i="19"/>
  <c r="K667" i="19"/>
  <c r="L666" i="19"/>
  <c r="K666" i="19"/>
  <c r="L665" i="19"/>
  <c r="K665" i="19"/>
  <c r="L664" i="19"/>
  <c r="K664" i="19"/>
  <c r="L663" i="19"/>
  <c r="K663" i="19"/>
  <c r="L662" i="19"/>
  <c r="K662" i="19"/>
  <c r="L661" i="19"/>
  <c r="K661" i="19"/>
  <c r="L660" i="19"/>
  <c r="K660" i="19"/>
  <c r="L659" i="19"/>
  <c r="K659" i="19"/>
  <c r="L658" i="19"/>
  <c r="K658" i="19"/>
  <c r="L657" i="19"/>
  <c r="K657" i="19"/>
  <c r="L656" i="19"/>
  <c r="K656" i="19"/>
  <c r="L655" i="19"/>
  <c r="K655" i="19"/>
  <c r="L654" i="19"/>
  <c r="K654" i="19"/>
  <c r="L653" i="19"/>
  <c r="K653" i="19"/>
  <c r="L652" i="19"/>
  <c r="K652" i="19"/>
  <c r="L651" i="19"/>
  <c r="K651" i="19"/>
  <c r="L650" i="19"/>
  <c r="K650" i="19"/>
  <c r="L649" i="19"/>
  <c r="K649" i="19"/>
  <c r="L648" i="19"/>
  <c r="K648" i="19"/>
  <c r="L647" i="19"/>
  <c r="K647" i="19"/>
  <c r="L646" i="19"/>
  <c r="K646" i="19"/>
  <c r="L645" i="19"/>
  <c r="K645" i="19"/>
  <c r="L644" i="19"/>
  <c r="K644" i="19"/>
  <c r="L643" i="19"/>
  <c r="K643" i="19"/>
  <c r="L642" i="19"/>
  <c r="K642" i="19"/>
  <c r="L641" i="19"/>
  <c r="K641" i="19"/>
  <c r="L640" i="19"/>
  <c r="K640" i="19"/>
  <c r="L639" i="19"/>
  <c r="K639" i="19"/>
  <c r="L638" i="19"/>
  <c r="K638" i="19"/>
  <c r="L637" i="19"/>
  <c r="K637" i="19"/>
  <c r="L636" i="19"/>
  <c r="K636" i="19"/>
  <c r="L635" i="19"/>
  <c r="K635" i="19"/>
  <c r="L634" i="19"/>
  <c r="K634" i="19"/>
  <c r="L633" i="19"/>
  <c r="K633" i="19"/>
  <c r="L632" i="19"/>
  <c r="K632" i="19"/>
  <c r="L631" i="19"/>
  <c r="K631" i="19"/>
  <c r="L630" i="19"/>
  <c r="K630" i="19"/>
  <c r="L629" i="19"/>
  <c r="K629" i="19"/>
  <c r="L628" i="19"/>
  <c r="K628" i="19"/>
  <c r="L627" i="19"/>
  <c r="K627" i="19"/>
  <c r="L626" i="19"/>
  <c r="K626" i="19"/>
  <c r="L625" i="19"/>
  <c r="K625" i="19"/>
  <c r="L624" i="19"/>
  <c r="K624" i="19"/>
  <c r="L623" i="19"/>
  <c r="K623" i="19"/>
  <c r="L622" i="19"/>
  <c r="K622" i="19"/>
  <c r="L621" i="19"/>
  <c r="K621" i="19"/>
  <c r="L620" i="19"/>
  <c r="K620" i="19"/>
  <c r="L619" i="19"/>
  <c r="K619" i="19"/>
  <c r="L618" i="19"/>
  <c r="K618" i="19"/>
  <c r="L617" i="19"/>
  <c r="K617" i="19"/>
  <c r="L616" i="19"/>
  <c r="K616" i="19"/>
  <c r="L615" i="19"/>
  <c r="K615" i="19"/>
  <c r="L614" i="19"/>
  <c r="K614" i="19"/>
  <c r="L613" i="19"/>
  <c r="K613" i="19"/>
  <c r="L612" i="19"/>
  <c r="K612" i="19"/>
  <c r="L611" i="19"/>
  <c r="K611" i="19"/>
  <c r="L610" i="19"/>
  <c r="K610" i="19"/>
  <c r="L609" i="19"/>
  <c r="K609" i="19"/>
  <c r="L608" i="19"/>
  <c r="K608" i="19"/>
  <c r="L607" i="19"/>
  <c r="K607" i="19"/>
  <c r="L606" i="19"/>
  <c r="K606" i="19"/>
  <c r="L605" i="19"/>
  <c r="K605" i="19"/>
  <c r="L604" i="19"/>
  <c r="K604" i="19"/>
  <c r="L603" i="19"/>
  <c r="K603" i="19"/>
  <c r="L602" i="19"/>
  <c r="K602" i="19"/>
  <c r="L601" i="19"/>
  <c r="K601" i="19"/>
  <c r="L600" i="19"/>
  <c r="K600" i="19"/>
  <c r="L599" i="19"/>
  <c r="K599" i="19"/>
  <c r="L598" i="19"/>
  <c r="K598" i="19"/>
  <c r="L597" i="19"/>
  <c r="K597" i="19"/>
  <c r="L596" i="19"/>
  <c r="K596" i="19"/>
  <c r="L595" i="19"/>
  <c r="K595" i="19"/>
  <c r="L594" i="19"/>
  <c r="K594" i="19"/>
  <c r="L593" i="19"/>
  <c r="K593" i="19"/>
  <c r="L592" i="19"/>
  <c r="K592" i="19"/>
  <c r="L591" i="19"/>
  <c r="K591" i="19"/>
  <c r="L590" i="19"/>
  <c r="K590" i="19"/>
  <c r="L589" i="19"/>
  <c r="K589" i="19"/>
  <c r="L588" i="19"/>
  <c r="K588" i="19"/>
  <c r="L587" i="19"/>
  <c r="K587" i="19"/>
  <c r="L586" i="19"/>
  <c r="K586" i="19"/>
  <c r="L585" i="19"/>
  <c r="K585" i="19"/>
  <c r="L584" i="19"/>
  <c r="K584" i="19"/>
  <c r="L583" i="19"/>
  <c r="K583" i="19"/>
  <c r="L582" i="19"/>
  <c r="K582" i="19"/>
  <c r="L581" i="19"/>
  <c r="K581" i="19"/>
  <c r="L580" i="19"/>
  <c r="K580" i="19"/>
  <c r="L579" i="19"/>
  <c r="K579" i="19"/>
  <c r="L578" i="19"/>
  <c r="K578" i="19"/>
  <c r="L577" i="19"/>
  <c r="K577" i="19"/>
  <c r="L576" i="19"/>
  <c r="K576" i="19"/>
  <c r="L575" i="19"/>
  <c r="K575" i="19"/>
  <c r="L574" i="19"/>
  <c r="K574" i="19"/>
  <c r="L573" i="19"/>
  <c r="K573" i="19"/>
  <c r="L572" i="19"/>
  <c r="K572" i="19"/>
  <c r="L571" i="19"/>
  <c r="K571" i="19"/>
  <c r="L570" i="19"/>
  <c r="K570" i="19"/>
  <c r="L569" i="19"/>
  <c r="K569" i="19"/>
  <c r="L568" i="19"/>
  <c r="K568" i="19"/>
  <c r="L567" i="19"/>
  <c r="K567" i="19"/>
  <c r="L566" i="19"/>
  <c r="K566" i="19"/>
  <c r="L565" i="19"/>
  <c r="K565" i="19"/>
  <c r="L564" i="19"/>
  <c r="K564" i="19"/>
  <c r="L563" i="19"/>
  <c r="K563" i="19"/>
  <c r="L562" i="19"/>
  <c r="K562" i="19"/>
  <c r="L561" i="19"/>
  <c r="K561" i="19"/>
  <c r="L560" i="19"/>
  <c r="K560" i="19"/>
  <c r="L559" i="19"/>
  <c r="K559" i="19"/>
  <c r="L558" i="19"/>
  <c r="K558" i="19"/>
  <c r="L557" i="19"/>
  <c r="K557" i="19"/>
  <c r="L556" i="19"/>
  <c r="K556" i="19"/>
  <c r="L555" i="19"/>
  <c r="K555" i="19"/>
  <c r="L554" i="19"/>
  <c r="K554" i="19"/>
  <c r="L553" i="19"/>
  <c r="K553" i="19"/>
  <c r="L552" i="19"/>
  <c r="K552" i="19"/>
  <c r="L551" i="19"/>
  <c r="K551" i="19"/>
  <c r="L550" i="19"/>
  <c r="K550" i="19"/>
  <c r="L549" i="19"/>
  <c r="K549" i="19"/>
  <c r="L548" i="19"/>
  <c r="K548" i="19"/>
  <c r="L547" i="19"/>
  <c r="K547" i="19"/>
  <c r="L546" i="19"/>
  <c r="K546" i="19"/>
  <c r="L545" i="19"/>
  <c r="K545" i="19"/>
  <c r="L544" i="19"/>
  <c r="K544" i="19"/>
  <c r="L543" i="19"/>
  <c r="K543" i="19"/>
  <c r="L542" i="19"/>
  <c r="K542" i="19"/>
  <c r="L541" i="19"/>
  <c r="K541" i="19"/>
  <c r="L540" i="19"/>
  <c r="K540" i="19"/>
  <c r="L539" i="19"/>
  <c r="K539" i="19"/>
  <c r="L538" i="19"/>
  <c r="K538" i="19"/>
  <c r="L537" i="19"/>
  <c r="K537" i="19"/>
  <c r="L536" i="19"/>
  <c r="K536" i="19"/>
  <c r="L535" i="19"/>
  <c r="K535" i="19"/>
  <c r="L534" i="19"/>
  <c r="K534" i="19"/>
  <c r="L533" i="19"/>
  <c r="K533" i="19"/>
  <c r="L532" i="19"/>
  <c r="K532" i="19"/>
  <c r="L531" i="19"/>
  <c r="K531" i="19"/>
  <c r="L530" i="19"/>
  <c r="K530" i="19"/>
  <c r="L529" i="19"/>
  <c r="K529" i="19"/>
  <c r="L528" i="19"/>
  <c r="K528" i="19"/>
  <c r="L527" i="19"/>
  <c r="K527" i="19"/>
  <c r="L526" i="19"/>
  <c r="K526" i="19"/>
  <c r="L525" i="19"/>
  <c r="K525" i="19"/>
  <c r="L524" i="19"/>
  <c r="K524" i="19"/>
  <c r="L523" i="19"/>
  <c r="K523" i="19"/>
  <c r="L522" i="19"/>
  <c r="K522" i="19"/>
  <c r="L521" i="19"/>
  <c r="K521" i="19"/>
  <c r="L520" i="19"/>
  <c r="K520" i="19"/>
  <c r="L519" i="19"/>
  <c r="K519" i="19"/>
  <c r="L518" i="19"/>
  <c r="K518" i="19"/>
  <c r="L517" i="19"/>
  <c r="K517" i="19"/>
  <c r="L516" i="19"/>
  <c r="K516" i="19"/>
  <c r="L515" i="19"/>
  <c r="K515" i="19"/>
  <c r="L514" i="19"/>
  <c r="K514" i="19"/>
  <c r="L513" i="19"/>
  <c r="K513" i="19"/>
  <c r="L512" i="19"/>
  <c r="K512" i="19"/>
  <c r="L511" i="19"/>
  <c r="K511" i="19"/>
  <c r="L510" i="19"/>
  <c r="K510" i="19"/>
  <c r="L509" i="19"/>
  <c r="K509" i="19"/>
  <c r="L508" i="19"/>
  <c r="K508" i="19"/>
  <c r="L507" i="19"/>
  <c r="K507" i="19"/>
  <c r="L506" i="19"/>
  <c r="K506" i="19"/>
  <c r="L505" i="19"/>
  <c r="K505" i="19"/>
  <c r="L504" i="19"/>
  <c r="K504" i="19"/>
  <c r="L503" i="19"/>
  <c r="K503" i="19"/>
  <c r="L502" i="19"/>
  <c r="K502" i="19"/>
  <c r="L501" i="19"/>
  <c r="K501" i="19"/>
  <c r="L500" i="19"/>
  <c r="K500" i="19"/>
  <c r="L499" i="19"/>
  <c r="K499" i="19"/>
  <c r="L498" i="19"/>
  <c r="K498" i="19"/>
  <c r="L497" i="19"/>
  <c r="K497" i="19"/>
  <c r="L496" i="19"/>
  <c r="K496" i="19"/>
  <c r="L495" i="19"/>
  <c r="K495" i="19"/>
  <c r="L494" i="19"/>
  <c r="K494" i="19"/>
  <c r="L493" i="19"/>
  <c r="K493" i="19"/>
  <c r="L492" i="19"/>
  <c r="K492" i="19"/>
  <c r="L491" i="19"/>
  <c r="K491" i="19"/>
  <c r="L490" i="19"/>
  <c r="K490" i="19"/>
  <c r="L489" i="19"/>
  <c r="K489" i="19"/>
  <c r="L488" i="19"/>
  <c r="K488" i="19"/>
  <c r="L487" i="19"/>
  <c r="K487" i="19"/>
  <c r="L486" i="19"/>
  <c r="K486" i="19"/>
  <c r="L485" i="19"/>
  <c r="K485" i="19"/>
  <c r="L484" i="19"/>
  <c r="K484" i="19"/>
  <c r="L483" i="19"/>
  <c r="K483" i="19"/>
  <c r="L482" i="19"/>
  <c r="K482" i="19"/>
  <c r="L481" i="19"/>
  <c r="K481" i="19"/>
  <c r="L480" i="19"/>
  <c r="K480" i="19"/>
  <c r="L479" i="19"/>
  <c r="K479" i="19"/>
  <c r="L478" i="19"/>
  <c r="K478" i="19"/>
  <c r="L477" i="19"/>
  <c r="K477" i="19"/>
  <c r="L476" i="19"/>
  <c r="K476" i="19"/>
  <c r="L475" i="19"/>
  <c r="K475" i="19"/>
  <c r="L474" i="19"/>
  <c r="K474" i="19"/>
  <c r="L473" i="19"/>
  <c r="K473" i="19"/>
  <c r="L472" i="19"/>
  <c r="K472" i="19"/>
  <c r="L471" i="19"/>
  <c r="K471" i="19"/>
  <c r="L470" i="19"/>
  <c r="K470" i="19"/>
  <c r="L469" i="19"/>
  <c r="K469" i="19"/>
  <c r="L468" i="19"/>
  <c r="K468" i="19"/>
  <c r="L467" i="19"/>
  <c r="K467" i="19"/>
  <c r="L466" i="19"/>
  <c r="K466" i="19"/>
  <c r="L465" i="19"/>
  <c r="K465" i="19"/>
  <c r="L464" i="19"/>
  <c r="K464" i="19"/>
  <c r="L463" i="19"/>
  <c r="K463" i="19"/>
  <c r="L462" i="19"/>
  <c r="K462" i="19"/>
  <c r="L461" i="19"/>
  <c r="K461" i="19"/>
  <c r="L460" i="19"/>
  <c r="K460" i="19"/>
  <c r="L459" i="19"/>
  <c r="K459" i="19"/>
  <c r="L458" i="19"/>
  <c r="K458" i="19"/>
  <c r="L457" i="19"/>
  <c r="K457" i="19"/>
  <c r="L456" i="19"/>
  <c r="K456" i="19"/>
  <c r="L455" i="19"/>
  <c r="K455" i="19"/>
  <c r="L454" i="19"/>
  <c r="K454" i="19"/>
  <c r="L453" i="19"/>
  <c r="K453" i="19"/>
  <c r="L452" i="19"/>
  <c r="K452" i="19"/>
  <c r="L451" i="19"/>
  <c r="K451" i="19"/>
  <c r="L450" i="19"/>
  <c r="K450" i="19"/>
  <c r="L449" i="19"/>
  <c r="K449" i="19"/>
  <c r="L448" i="19"/>
  <c r="K448" i="19"/>
  <c r="L447" i="19"/>
  <c r="K447" i="19"/>
  <c r="L446" i="19"/>
  <c r="K446" i="19"/>
  <c r="L445" i="19"/>
  <c r="K445" i="19"/>
  <c r="L444" i="19"/>
  <c r="K444" i="19"/>
  <c r="L443" i="19"/>
  <c r="K443" i="19"/>
  <c r="L442" i="19"/>
  <c r="K442" i="19"/>
  <c r="L441" i="19"/>
  <c r="K441" i="19"/>
  <c r="L440" i="19"/>
  <c r="K440" i="19"/>
  <c r="L439" i="19"/>
  <c r="K439" i="19"/>
  <c r="L438" i="19"/>
  <c r="K438" i="19"/>
  <c r="L437" i="19"/>
  <c r="K437" i="19"/>
  <c r="L436" i="19"/>
  <c r="K436" i="19"/>
  <c r="L435" i="19"/>
  <c r="K435" i="19"/>
  <c r="L434" i="19"/>
  <c r="K434" i="19"/>
  <c r="L433" i="19"/>
  <c r="K433" i="19"/>
  <c r="L432" i="19"/>
  <c r="K432" i="19"/>
  <c r="L431" i="19"/>
  <c r="K431" i="19"/>
  <c r="L430" i="19"/>
  <c r="K430" i="19"/>
  <c r="L429" i="19"/>
  <c r="K429" i="19"/>
  <c r="L428" i="19"/>
  <c r="K428" i="19"/>
  <c r="L427" i="19"/>
  <c r="K427" i="19"/>
  <c r="L426" i="19"/>
  <c r="K426" i="19"/>
  <c r="L425" i="19"/>
  <c r="K425" i="19"/>
  <c r="L424" i="19"/>
  <c r="K424" i="19"/>
  <c r="L423" i="19"/>
  <c r="K423" i="19"/>
  <c r="L422" i="19"/>
  <c r="K422" i="19"/>
  <c r="L421" i="19"/>
  <c r="K421" i="19"/>
  <c r="L420" i="19"/>
  <c r="K420" i="19"/>
  <c r="L419" i="19"/>
  <c r="K419" i="19"/>
  <c r="L418" i="19"/>
  <c r="K418" i="19"/>
  <c r="L417" i="19"/>
  <c r="K417" i="19"/>
  <c r="L416" i="19"/>
  <c r="K416" i="19"/>
  <c r="L415" i="19"/>
  <c r="K415" i="19"/>
  <c r="L414" i="19"/>
  <c r="K414" i="19"/>
  <c r="L413" i="19"/>
  <c r="K413" i="19"/>
  <c r="L412" i="19"/>
  <c r="K412" i="19"/>
  <c r="L411" i="19"/>
  <c r="K411" i="19"/>
  <c r="L410" i="19"/>
  <c r="K410" i="19"/>
  <c r="L409" i="19"/>
  <c r="K409" i="19"/>
  <c r="L408" i="19"/>
  <c r="K408" i="19"/>
  <c r="L407" i="19"/>
  <c r="K407" i="19"/>
  <c r="L406" i="19"/>
  <c r="K406" i="19"/>
  <c r="L405" i="19"/>
  <c r="K405" i="19"/>
  <c r="L404" i="19"/>
  <c r="K404" i="19"/>
  <c r="L403" i="19"/>
  <c r="K403" i="19"/>
  <c r="L402" i="19"/>
  <c r="K402" i="19"/>
  <c r="L401" i="19"/>
  <c r="K401" i="19"/>
  <c r="L400" i="19"/>
  <c r="K400" i="19"/>
  <c r="L399" i="19"/>
  <c r="K399" i="19"/>
  <c r="L398" i="19"/>
  <c r="K398" i="19"/>
  <c r="L397" i="19"/>
  <c r="K397" i="19"/>
  <c r="L396" i="19"/>
  <c r="K396" i="19"/>
  <c r="L395" i="19"/>
  <c r="K395" i="19"/>
  <c r="L394" i="19"/>
  <c r="K394" i="19"/>
  <c r="L393" i="19"/>
  <c r="K393" i="19"/>
  <c r="L392" i="19"/>
  <c r="K392" i="19"/>
  <c r="L391" i="19"/>
  <c r="K391" i="19"/>
  <c r="L390" i="19"/>
  <c r="K390" i="19"/>
  <c r="L389" i="19"/>
  <c r="K389" i="19"/>
  <c r="L388" i="19"/>
  <c r="K388" i="19"/>
  <c r="L387" i="19"/>
  <c r="K387" i="19"/>
  <c r="L386" i="19"/>
  <c r="K386" i="19"/>
  <c r="L385" i="19"/>
  <c r="K385" i="19"/>
  <c r="L384" i="19"/>
  <c r="K384" i="19"/>
  <c r="L383" i="19"/>
  <c r="K383" i="19"/>
  <c r="L382" i="19"/>
  <c r="K382" i="19"/>
  <c r="L381" i="19"/>
  <c r="K381" i="19"/>
  <c r="L380" i="19"/>
  <c r="K380" i="19"/>
  <c r="L379" i="19"/>
  <c r="K379" i="19"/>
  <c r="L378" i="19"/>
  <c r="K378" i="19"/>
  <c r="L377" i="19"/>
  <c r="K377" i="19"/>
  <c r="L376" i="19"/>
  <c r="K376" i="19"/>
  <c r="L375" i="19"/>
  <c r="K375" i="19"/>
  <c r="L374" i="19"/>
  <c r="K374" i="19"/>
  <c r="L373" i="19"/>
  <c r="K373" i="19"/>
  <c r="L372" i="19"/>
  <c r="K372" i="19"/>
  <c r="L371" i="19"/>
  <c r="K371" i="19"/>
  <c r="L370" i="19"/>
  <c r="K370" i="19"/>
  <c r="L369" i="19"/>
  <c r="K369" i="19"/>
  <c r="L368" i="19"/>
  <c r="K368" i="19"/>
  <c r="L367" i="19"/>
  <c r="K367" i="19"/>
  <c r="L366" i="19"/>
  <c r="K366" i="19"/>
  <c r="L365" i="19"/>
  <c r="K365" i="19"/>
  <c r="L364" i="19"/>
  <c r="K364" i="19"/>
  <c r="L363" i="19"/>
  <c r="K363" i="19"/>
  <c r="L362" i="19"/>
  <c r="K362" i="19"/>
  <c r="L361" i="19"/>
  <c r="K361" i="19"/>
  <c r="L360" i="19"/>
  <c r="K360" i="19"/>
  <c r="L359" i="19"/>
  <c r="K359" i="19"/>
  <c r="L358" i="19"/>
  <c r="K358" i="19"/>
  <c r="L357" i="19"/>
  <c r="K357" i="19"/>
  <c r="L356" i="19"/>
  <c r="K356" i="19"/>
  <c r="L355" i="19"/>
  <c r="K355" i="19"/>
  <c r="L354" i="19"/>
  <c r="K354" i="19"/>
  <c r="L353" i="19"/>
  <c r="K353" i="19"/>
  <c r="L352" i="19"/>
  <c r="K352" i="19"/>
  <c r="L351" i="19"/>
  <c r="K351" i="19"/>
  <c r="L350" i="19"/>
  <c r="K350" i="19"/>
  <c r="L349" i="19"/>
  <c r="K349" i="19"/>
  <c r="L348" i="19"/>
  <c r="K348" i="19"/>
  <c r="L347" i="19"/>
  <c r="K347" i="19"/>
  <c r="L346" i="19"/>
  <c r="K346" i="19"/>
  <c r="L345" i="19"/>
  <c r="K345" i="19"/>
  <c r="L344" i="19"/>
  <c r="K344" i="19"/>
  <c r="L343" i="19"/>
  <c r="K343" i="19"/>
  <c r="L342" i="19"/>
  <c r="K342" i="19"/>
  <c r="L341" i="19"/>
  <c r="K341" i="19"/>
  <c r="L340" i="19"/>
  <c r="K340" i="19"/>
  <c r="L339" i="19"/>
  <c r="K339" i="19"/>
  <c r="L338" i="19"/>
  <c r="K338" i="19"/>
  <c r="L337" i="19"/>
  <c r="K337" i="19"/>
  <c r="L336" i="19"/>
  <c r="K336" i="19"/>
  <c r="L335" i="19"/>
  <c r="K335" i="19"/>
  <c r="L334" i="19"/>
  <c r="K334" i="19"/>
  <c r="L333" i="19"/>
  <c r="K333" i="19"/>
  <c r="L332" i="19"/>
  <c r="K332" i="19"/>
  <c r="L331" i="19"/>
  <c r="K331" i="19"/>
  <c r="L330" i="19"/>
  <c r="K330" i="19"/>
  <c r="L329" i="19"/>
  <c r="K329" i="19"/>
  <c r="L328" i="19"/>
  <c r="K328" i="19"/>
  <c r="L327" i="19"/>
  <c r="K327" i="19"/>
  <c r="L326" i="19"/>
  <c r="K326" i="19"/>
  <c r="L325" i="19"/>
  <c r="K325" i="19"/>
  <c r="L324" i="19"/>
  <c r="K324" i="19"/>
  <c r="L323" i="19"/>
  <c r="K323" i="19"/>
  <c r="L322" i="19"/>
  <c r="K322" i="19"/>
  <c r="L321" i="19"/>
  <c r="K321" i="19"/>
  <c r="L320" i="19"/>
  <c r="K320" i="19"/>
  <c r="L319" i="19"/>
  <c r="K319" i="19"/>
  <c r="L318" i="19"/>
  <c r="K318" i="19"/>
  <c r="L317" i="19"/>
  <c r="K317" i="19"/>
  <c r="L316" i="19"/>
  <c r="K316" i="19"/>
  <c r="L315" i="19"/>
  <c r="K315" i="19"/>
  <c r="L314" i="19"/>
  <c r="K314" i="19"/>
  <c r="L313" i="19"/>
  <c r="K313" i="19"/>
  <c r="L312" i="19"/>
  <c r="K312" i="19"/>
  <c r="L311" i="19"/>
  <c r="K311" i="19"/>
  <c r="L310" i="19"/>
  <c r="K310" i="19"/>
  <c r="L309" i="19"/>
  <c r="K309" i="19"/>
  <c r="L308" i="19"/>
  <c r="K308" i="19"/>
  <c r="L307" i="19"/>
  <c r="K307" i="19"/>
  <c r="L306" i="19"/>
  <c r="K306" i="19"/>
  <c r="L305" i="19"/>
  <c r="K305" i="19"/>
  <c r="L304" i="19"/>
  <c r="K304" i="19"/>
  <c r="L303" i="19"/>
  <c r="K303" i="19"/>
  <c r="L302" i="19"/>
  <c r="K302" i="19"/>
  <c r="L301" i="19"/>
  <c r="K301" i="19"/>
  <c r="L300" i="19"/>
  <c r="K300" i="19"/>
  <c r="L299" i="19"/>
  <c r="K299" i="19"/>
  <c r="L298" i="19"/>
  <c r="K298" i="19"/>
  <c r="L297" i="19"/>
  <c r="K297" i="19"/>
  <c r="L296" i="19"/>
  <c r="K296" i="19"/>
  <c r="L295" i="19"/>
  <c r="K295" i="19"/>
  <c r="L294" i="19"/>
  <c r="K294" i="19"/>
  <c r="L293" i="19"/>
  <c r="K293" i="19"/>
  <c r="L292" i="19"/>
  <c r="K292" i="19"/>
  <c r="L291" i="19"/>
  <c r="K291" i="19"/>
  <c r="L290" i="19"/>
  <c r="K290" i="19"/>
  <c r="L289" i="19"/>
  <c r="K289" i="19"/>
  <c r="L288" i="19"/>
  <c r="K288" i="19"/>
  <c r="L287" i="19"/>
  <c r="K287" i="19"/>
  <c r="L286" i="19"/>
  <c r="K286" i="19"/>
  <c r="L285" i="19"/>
  <c r="K285" i="19"/>
  <c r="L284" i="19"/>
  <c r="K284" i="19"/>
  <c r="L283" i="19"/>
  <c r="K283" i="19"/>
  <c r="L282" i="19"/>
  <c r="K282" i="19"/>
  <c r="L281" i="19"/>
  <c r="K281" i="19"/>
  <c r="L280" i="19"/>
  <c r="K280" i="19"/>
  <c r="L279" i="19"/>
  <c r="K279" i="19"/>
  <c r="L278" i="19"/>
  <c r="K278" i="19"/>
  <c r="L277" i="19"/>
  <c r="K277" i="19"/>
  <c r="L276" i="19"/>
  <c r="K276" i="19"/>
  <c r="L275" i="19"/>
  <c r="K275" i="19"/>
  <c r="L274" i="19"/>
  <c r="K274" i="19"/>
  <c r="L273" i="19"/>
  <c r="K273" i="19"/>
  <c r="L272" i="19"/>
  <c r="K272" i="19"/>
  <c r="L271" i="19"/>
  <c r="K271" i="19"/>
  <c r="L270" i="19"/>
  <c r="K270" i="19"/>
  <c r="L269" i="19"/>
  <c r="K269" i="19"/>
  <c r="L268" i="19"/>
  <c r="K268" i="19"/>
  <c r="L267" i="19"/>
  <c r="K267" i="19"/>
  <c r="L266" i="19"/>
  <c r="K266" i="19"/>
  <c r="L265" i="19"/>
  <c r="K265" i="19"/>
  <c r="L264" i="19"/>
  <c r="K264" i="19"/>
  <c r="L263" i="19"/>
  <c r="K263" i="19"/>
  <c r="L262" i="19"/>
  <c r="K262" i="19"/>
  <c r="L261" i="19"/>
  <c r="K261" i="19"/>
  <c r="L260" i="19"/>
  <c r="K260" i="19"/>
  <c r="L259" i="19"/>
  <c r="K259" i="19"/>
  <c r="L258" i="19"/>
  <c r="K258" i="19"/>
  <c r="L257" i="19"/>
  <c r="K257" i="19"/>
  <c r="L256" i="19"/>
  <c r="K256" i="19"/>
  <c r="L255" i="19"/>
  <c r="K255" i="19"/>
  <c r="L254" i="19"/>
  <c r="K254" i="19"/>
  <c r="L253" i="19"/>
  <c r="K253" i="19"/>
  <c r="L252" i="19"/>
  <c r="K252" i="19"/>
  <c r="L251" i="19"/>
  <c r="K251" i="19"/>
  <c r="L250" i="19"/>
  <c r="K250" i="19"/>
  <c r="L249" i="19"/>
  <c r="K249" i="19"/>
  <c r="L248" i="19"/>
  <c r="K248" i="19"/>
  <c r="L247" i="19"/>
  <c r="K247" i="19"/>
  <c r="L246" i="19"/>
  <c r="K246" i="19"/>
  <c r="L245" i="19"/>
  <c r="K245" i="19"/>
  <c r="L244" i="19"/>
  <c r="K244" i="19"/>
  <c r="L243" i="19"/>
  <c r="K243" i="19"/>
  <c r="L242" i="19"/>
  <c r="K242" i="19"/>
  <c r="L241" i="19"/>
  <c r="K241" i="19"/>
  <c r="L240" i="19"/>
  <c r="K240" i="19"/>
  <c r="L239" i="19"/>
  <c r="K239" i="19"/>
  <c r="L238" i="19"/>
  <c r="K238" i="19"/>
  <c r="L237" i="19"/>
  <c r="K237" i="19"/>
  <c r="L236" i="19"/>
  <c r="K236" i="19"/>
  <c r="L235" i="19"/>
  <c r="K235" i="19"/>
  <c r="L234" i="19"/>
  <c r="K234" i="19"/>
  <c r="L233" i="19"/>
  <c r="K233" i="19"/>
  <c r="L232" i="19"/>
  <c r="K232" i="19"/>
  <c r="L231" i="19"/>
  <c r="K231" i="19"/>
  <c r="L230" i="19"/>
  <c r="K230" i="19"/>
  <c r="L229" i="19"/>
  <c r="K229" i="19"/>
  <c r="L228" i="19"/>
  <c r="K228" i="19"/>
  <c r="L227" i="19"/>
  <c r="K227" i="19"/>
  <c r="L226" i="19"/>
  <c r="K226" i="19"/>
  <c r="L225" i="19"/>
  <c r="K225" i="19"/>
  <c r="L224" i="19"/>
  <c r="K224" i="19"/>
  <c r="L223" i="19"/>
  <c r="K223" i="19"/>
  <c r="L222" i="19"/>
  <c r="K222" i="19"/>
  <c r="L221" i="19"/>
  <c r="K221" i="19"/>
  <c r="L220" i="19"/>
  <c r="K220" i="19"/>
  <c r="L219" i="19"/>
  <c r="K219" i="19"/>
  <c r="L218" i="19"/>
  <c r="K218" i="19"/>
  <c r="L217" i="19"/>
  <c r="K217" i="19"/>
  <c r="L216" i="19"/>
  <c r="K216" i="19"/>
  <c r="L215" i="19"/>
  <c r="K215" i="19"/>
  <c r="L214" i="19"/>
  <c r="K214" i="19"/>
  <c r="L213" i="19"/>
  <c r="K213" i="19"/>
  <c r="L212" i="19"/>
  <c r="K212" i="19"/>
  <c r="L211" i="19"/>
  <c r="K211" i="19"/>
  <c r="L210" i="19"/>
  <c r="K210" i="19"/>
  <c r="L209" i="19"/>
  <c r="K209" i="19"/>
  <c r="L208" i="19"/>
  <c r="K208" i="19"/>
  <c r="L207" i="19"/>
  <c r="K207" i="19"/>
  <c r="L206" i="19"/>
  <c r="K206" i="19"/>
  <c r="L205" i="19"/>
  <c r="K205" i="19"/>
  <c r="L204" i="19"/>
  <c r="K204" i="19"/>
  <c r="L203" i="19"/>
  <c r="K203" i="19"/>
  <c r="L202" i="19"/>
  <c r="K202" i="19"/>
  <c r="L201" i="19"/>
  <c r="K201" i="19"/>
  <c r="L200" i="19"/>
  <c r="K200" i="19"/>
  <c r="L199" i="19"/>
  <c r="K199" i="19"/>
  <c r="L198" i="19"/>
  <c r="K198" i="19"/>
  <c r="L197" i="19"/>
  <c r="K197" i="19"/>
  <c r="L196" i="19"/>
  <c r="K196" i="19"/>
  <c r="L195" i="19"/>
  <c r="K195" i="19"/>
  <c r="L194" i="19"/>
  <c r="K194" i="19"/>
  <c r="L193" i="19"/>
  <c r="K193" i="19"/>
  <c r="L192" i="19"/>
  <c r="K192" i="19"/>
  <c r="L191" i="19"/>
  <c r="K191" i="19"/>
  <c r="L190" i="19"/>
  <c r="K190" i="19"/>
  <c r="L189" i="19"/>
  <c r="K189" i="19"/>
  <c r="L188" i="19"/>
  <c r="K188" i="19"/>
  <c r="L187" i="19"/>
  <c r="K187" i="19"/>
  <c r="L186" i="19"/>
  <c r="K186" i="19"/>
  <c r="L185" i="19"/>
  <c r="K185" i="19"/>
  <c r="L184" i="19"/>
  <c r="K184" i="19"/>
  <c r="L183" i="19"/>
  <c r="K183" i="19"/>
  <c r="L182" i="19"/>
  <c r="K182" i="19"/>
  <c r="L181" i="19"/>
  <c r="K181" i="19"/>
  <c r="L180" i="19"/>
  <c r="K180" i="19"/>
  <c r="L179" i="19"/>
  <c r="K179" i="19"/>
  <c r="L178" i="19"/>
  <c r="K178" i="19"/>
  <c r="L177" i="19"/>
  <c r="K177" i="19"/>
  <c r="L176" i="19"/>
  <c r="K176" i="19"/>
  <c r="L175" i="19"/>
  <c r="K175" i="19"/>
  <c r="L174" i="19"/>
  <c r="K174" i="19"/>
  <c r="L173" i="19"/>
  <c r="K173" i="19"/>
  <c r="L172" i="19"/>
  <c r="K172" i="19"/>
  <c r="L171" i="19"/>
  <c r="K171" i="19"/>
  <c r="L170" i="19"/>
  <c r="K170" i="19"/>
  <c r="L169" i="19"/>
  <c r="K169" i="19"/>
  <c r="L168" i="19"/>
  <c r="K168" i="19"/>
  <c r="L167" i="19"/>
  <c r="K167" i="19"/>
  <c r="L166" i="19"/>
  <c r="K166" i="19"/>
  <c r="L165" i="19"/>
  <c r="K165" i="19"/>
  <c r="L164" i="19"/>
  <c r="K164" i="19"/>
  <c r="L163" i="19"/>
  <c r="K163" i="19"/>
  <c r="L162" i="19"/>
  <c r="K162" i="19"/>
  <c r="L161" i="19"/>
  <c r="K161" i="19"/>
  <c r="L160" i="19"/>
  <c r="K160" i="19"/>
  <c r="L159" i="19"/>
  <c r="K159" i="19"/>
  <c r="L158" i="19"/>
  <c r="K158" i="19"/>
  <c r="L157" i="19"/>
  <c r="K157" i="19"/>
  <c r="L156" i="19"/>
  <c r="K156" i="19"/>
  <c r="L155" i="19"/>
  <c r="K155" i="19"/>
  <c r="L154" i="19"/>
  <c r="K154" i="19"/>
  <c r="L153" i="19"/>
  <c r="K153" i="19"/>
  <c r="L152" i="19"/>
  <c r="K152" i="19"/>
  <c r="L151" i="19"/>
  <c r="K151" i="19"/>
  <c r="L150" i="19"/>
  <c r="K150" i="19"/>
  <c r="L149" i="19"/>
  <c r="K149" i="19"/>
  <c r="L148" i="19"/>
  <c r="K148" i="19"/>
  <c r="L147" i="19"/>
  <c r="K147" i="19"/>
  <c r="L146" i="19"/>
  <c r="K146" i="19"/>
  <c r="L145" i="19"/>
  <c r="K145" i="19"/>
  <c r="L144" i="19"/>
  <c r="K144" i="19"/>
  <c r="L143" i="19"/>
  <c r="K143" i="19"/>
  <c r="L142" i="19"/>
  <c r="K142" i="19"/>
  <c r="L141" i="19"/>
  <c r="K141" i="19"/>
  <c r="L140" i="19"/>
  <c r="K140" i="19"/>
  <c r="L139" i="19"/>
  <c r="K139" i="19"/>
  <c r="L138" i="19"/>
  <c r="K138" i="19"/>
  <c r="L137" i="19"/>
  <c r="K137" i="19"/>
  <c r="L136" i="19"/>
  <c r="K136" i="19"/>
  <c r="L135" i="19"/>
  <c r="K135" i="19"/>
  <c r="L134" i="19"/>
  <c r="K134" i="19"/>
  <c r="L133" i="19"/>
  <c r="K133" i="19"/>
  <c r="L132" i="19"/>
  <c r="K132" i="19"/>
  <c r="L131" i="19"/>
  <c r="K131" i="19"/>
  <c r="L130" i="19"/>
  <c r="K130" i="19"/>
  <c r="L129" i="19"/>
  <c r="K129" i="19"/>
  <c r="L128" i="19"/>
  <c r="K128" i="19"/>
  <c r="L127" i="19"/>
  <c r="K127" i="19"/>
  <c r="L126" i="19"/>
  <c r="K126" i="19"/>
  <c r="L125" i="19"/>
  <c r="K125" i="19"/>
  <c r="L124" i="19"/>
  <c r="K124" i="19"/>
  <c r="L123" i="19"/>
  <c r="K123" i="19"/>
  <c r="L122" i="19"/>
  <c r="K122" i="19"/>
  <c r="L121" i="19"/>
  <c r="K121" i="19"/>
  <c r="L120" i="19"/>
  <c r="K120" i="19"/>
  <c r="L119" i="19"/>
  <c r="K119" i="19"/>
  <c r="L118" i="19"/>
  <c r="K118" i="19"/>
  <c r="L117" i="19"/>
  <c r="K117" i="19"/>
  <c r="L116" i="19"/>
  <c r="K116" i="19"/>
  <c r="L115" i="19"/>
  <c r="K115" i="19"/>
  <c r="L114" i="19"/>
  <c r="K114" i="19"/>
  <c r="L113" i="19"/>
  <c r="K113" i="19"/>
  <c r="L112" i="19"/>
  <c r="K112" i="19"/>
  <c r="L111" i="19"/>
  <c r="K111" i="19"/>
  <c r="L110" i="19"/>
  <c r="K110" i="19"/>
  <c r="L109" i="19"/>
  <c r="K109" i="19"/>
  <c r="L108" i="19"/>
  <c r="K108" i="19"/>
  <c r="L107" i="19"/>
  <c r="K107" i="19"/>
  <c r="L106" i="19"/>
  <c r="K106" i="19"/>
  <c r="L105" i="19"/>
  <c r="K105" i="19"/>
  <c r="L104" i="19"/>
  <c r="K104" i="19"/>
  <c r="L103" i="19"/>
  <c r="K103" i="19"/>
  <c r="L102" i="19"/>
  <c r="K102" i="19"/>
  <c r="L101" i="19"/>
  <c r="K101" i="19"/>
  <c r="L100" i="19"/>
  <c r="K100" i="19"/>
  <c r="L99" i="19"/>
  <c r="K99" i="19"/>
  <c r="L98" i="19"/>
  <c r="K98" i="19"/>
  <c r="L97" i="19"/>
  <c r="K97" i="19"/>
  <c r="L96" i="19"/>
  <c r="K96" i="19"/>
  <c r="L95" i="19"/>
  <c r="K95" i="19"/>
  <c r="L94" i="19"/>
  <c r="K94" i="19"/>
  <c r="L93" i="19"/>
  <c r="K93" i="19"/>
  <c r="L92" i="19"/>
  <c r="K92" i="19"/>
  <c r="L91" i="19"/>
  <c r="K91" i="19"/>
  <c r="L90" i="19"/>
  <c r="K90" i="19"/>
  <c r="L89" i="19"/>
  <c r="K89" i="19"/>
  <c r="L88" i="19"/>
  <c r="K88" i="19"/>
  <c r="L87" i="19"/>
  <c r="K87" i="19"/>
  <c r="L86" i="19"/>
  <c r="K86" i="19"/>
  <c r="L85" i="19"/>
  <c r="K85" i="19"/>
  <c r="L84" i="19"/>
  <c r="K84" i="19"/>
  <c r="L83" i="19"/>
  <c r="K83" i="19"/>
  <c r="L82" i="19"/>
  <c r="K82" i="19"/>
  <c r="L81" i="19"/>
  <c r="K81" i="19"/>
  <c r="L80" i="19"/>
  <c r="K80" i="19"/>
  <c r="L79" i="19"/>
  <c r="K79" i="19"/>
  <c r="L78" i="19"/>
  <c r="K78" i="19"/>
  <c r="L77" i="19"/>
  <c r="K77" i="19"/>
  <c r="L76" i="19"/>
  <c r="K76" i="19"/>
  <c r="L75" i="19"/>
  <c r="K75" i="19"/>
  <c r="L74" i="19"/>
  <c r="K74" i="19"/>
  <c r="O73" i="19"/>
  <c r="L73" i="19"/>
  <c r="K73" i="19"/>
  <c r="O72" i="19"/>
  <c r="L72" i="19"/>
  <c r="K72" i="19"/>
  <c r="L71" i="19"/>
  <c r="K71" i="19"/>
  <c r="L70" i="19"/>
  <c r="K70" i="19"/>
  <c r="L69" i="19"/>
  <c r="K69" i="19"/>
  <c r="L68" i="19"/>
  <c r="K68" i="19"/>
  <c r="L67" i="19"/>
  <c r="K67" i="19"/>
  <c r="L66" i="19"/>
  <c r="K66" i="19"/>
  <c r="L65" i="19"/>
  <c r="K65" i="19"/>
  <c r="L64" i="19"/>
  <c r="K64" i="19"/>
  <c r="L63" i="19"/>
  <c r="K63" i="19"/>
  <c r="L62" i="19"/>
  <c r="K62" i="19"/>
  <c r="L61" i="19"/>
  <c r="K61" i="19"/>
  <c r="L60" i="19"/>
  <c r="K60" i="19"/>
  <c r="L59" i="19"/>
  <c r="K59" i="19"/>
  <c r="L58" i="19"/>
  <c r="K58" i="19"/>
  <c r="L57" i="19"/>
  <c r="K57" i="19"/>
  <c r="L56" i="19"/>
  <c r="K56" i="19"/>
  <c r="L55" i="19"/>
  <c r="K55" i="19"/>
  <c r="L54" i="19"/>
  <c r="K54" i="19"/>
  <c r="L53" i="19"/>
  <c r="K53" i="19"/>
  <c r="L52" i="19"/>
  <c r="K52" i="19"/>
  <c r="P50" i="19" s="1"/>
  <c r="O51" i="19"/>
  <c r="L51" i="19"/>
  <c r="K51" i="19"/>
  <c r="O50" i="19"/>
  <c r="L50" i="19"/>
  <c r="K50" i="19"/>
  <c r="L49" i="19"/>
  <c r="K49" i="19"/>
  <c r="L48" i="19"/>
  <c r="K48" i="19"/>
  <c r="L47" i="19"/>
  <c r="K47" i="19"/>
  <c r="L46" i="19"/>
  <c r="K46" i="19"/>
  <c r="L45" i="19"/>
  <c r="K45" i="19"/>
  <c r="L44" i="19"/>
  <c r="K44" i="19"/>
  <c r="L43" i="19"/>
  <c r="K43" i="19"/>
  <c r="L42" i="19"/>
  <c r="K42" i="19"/>
  <c r="L41" i="19"/>
  <c r="K41" i="19"/>
  <c r="L40" i="19"/>
  <c r="K40" i="19"/>
  <c r="L39" i="19"/>
  <c r="K39" i="19"/>
  <c r="L38" i="19"/>
  <c r="K38" i="19"/>
  <c r="L37" i="19"/>
  <c r="K37" i="19"/>
  <c r="L36" i="19"/>
  <c r="K36" i="19"/>
  <c r="L35" i="19"/>
  <c r="K35" i="19"/>
  <c r="L34" i="19"/>
  <c r="K34" i="19"/>
  <c r="L33" i="19"/>
  <c r="K33" i="19"/>
  <c r="L32" i="19"/>
  <c r="K32" i="19"/>
  <c r="L31" i="19"/>
  <c r="K31" i="19"/>
  <c r="L30" i="19"/>
  <c r="K30" i="19"/>
  <c r="O29" i="19"/>
  <c r="L29" i="19"/>
  <c r="K29" i="19"/>
  <c r="O28" i="19"/>
  <c r="L28" i="19"/>
  <c r="K28" i="19"/>
  <c r="L27" i="19"/>
  <c r="K27" i="19"/>
  <c r="L26" i="19"/>
  <c r="K26" i="19"/>
  <c r="L25" i="19"/>
  <c r="K25" i="19"/>
  <c r="L24" i="19"/>
  <c r="K24" i="19"/>
  <c r="L23" i="19"/>
  <c r="K23" i="19"/>
  <c r="L22" i="19"/>
  <c r="K22" i="19"/>
  <c r="L21" i="19"/>
  <c r="K21" i="19"/>
  <c r="L20" i="19"/>
  <c r="K20" i="19"/>
  <c r="L19" i="19"/>
  <c r="K19" i="19"/>
  <c r="L18" i="19"/>
  <c r="K18" i="19"/>
  <c r="L17" i="19"/>
  <c r="K17" i="19"/>
  <c r="L16" i="19"/>
  <c r="K16" i="19"/>
  <c r="L15" i="19"/>
  <c r="K15" i="19"/>
  <c r="L14" i="19"/>
  <c r="K14" i="19"/>
  <c r="L13" i="19"/>
  <c r="K13" i="19"/>
  <c r="L12" i="19"/>
  <c r="K12" i="19"/>
  <c r="L11" i="19"/>
  <c r="K11" i="19"/>
  <c r="L10" i="19"/>
  <c r="K10" i="19"/>
  <c r="L9" i="19"/>
  <c r="K9" i="19"/>
  <c r="L8" i="19"/>
  <c r="K8" i="19"/>
  <c r="O7" i="19"/>
  <c r="L7" i="19"/>
  <c r="K7" i="19"/>
  <c r="O6" i="19"/>
  <c r="L6" i="19"/>
  <c r="K6" i="19"/>
  <c r="O73" i="2"/>
  <c r="O72" i="2"/>
  <c r="O51" i="2"/>
  <c r="O50" i="2"/>
  <c r="O29" i="2"/>
  <c r="O28" i="2"/>
  <c r="O7" i="2"/>
  <c r="O6" i="2"/>
  <c r="I13" i="3"/>
  <c r="J13" i="3" s="1"/>
  <c r="K13" i="3" s="1"/>
  <c r="L13" i="3" s="1"/>
  <c r="M13" i="3" s="1"/>
  <c r="N13" i="3" s="1"/>
  <c r="O13" i="3" s="1"/>
  <c r="P13" i="3" s="1"/>
  <c r="Q13" i="3" s="1"/>
  <c r="R13" i="3" s="1"/>
  <c r="S13" i="3" s="1"/>
  <c r="T13" i="3" s="1"/>
  <c r="U13" i="3" s="1"/>
  <c r="V13" i="3" s="1"/>
  <c r="W13" i="3" s="1"/>
  <c r="X13" i="3" s="1"/>
  <c r="Y13" i="3" s="1"/>
  <c r="Z13" i="3" s="1"/>
  <c r="AA13" i="3" s="1"/>
  <c r="AB13" i="3" s="1"/>
  <c r="AC13" i="3" s="1"/>
  <c r="H13" i="3"/>
  <c r="G13" i="3"/>
  <c r="D54" i="13"/>
  <c r="E54" i="13"/>
  <c r="C53" i="13"/>
  <c r="B52" i="13"/>
  <c r="A52" i="13"/>
  <c r="C50" i="13"/>
  <c r="B49" i="13"/>
  <c r="A49" i="13"/>
  <c r="C47" i="13"/>
  <c r="B46" i="13"/>
  <c r="A46" i="13"/>
  <c r="C44" i="13"/>
  <c r="B43" i="13"/>
  <c r="A43" i="13"/>
  <c r="C41" i="13"/>
  <c r="B40" i="13"/>
  <c r="E39" i="13"/>
  <c r="D39" i="13"/>
  <c r="C39" i="13"/>
  <c r="B39" i="13"/>
  <c r="A40" i="13"/>
  <c r="G36" i="13"/>
  <c r="G35" i="13"/>
  <c r="G34" i="13"/>
  <c r="G33" i="13"/>
  <c r="G32" i="13"/>
  <c r="F36" i="13"/>
  <c r="D36" i="13"/>
  <c r="F35" i="13"/>
  <c r="D35" i="13"/>
  <c r="F34" i="13"/>
  <c r="D34" i="13"/>
  <c r="D48" i="13" s="1"/>
  <c r="F33" i="13"/>
  <c r="D33" i="13"/>
  <c r="D45" i="13" s="1"/>
  <c r="F32" i="13"/>
  <c r="D32" i="13"/>
  <c r="D42" i="13" s="1"/>
  <c r="K1616" i="2" l="1"/>
  <c r="K1587" i="2"/>
  <c r="K1602" i="2"/>
  <c r="K1606" i="2"/>
  <c r="M1601" i="2"/>
  <c r="AA1586" i="2"/>
  <c r="K1610" i="2"/>
  <c r="M1610" i="2" s="1"/>
  <c r="AA1589" i="2"/>
  <c r="M1604" i="2"/>
  <c r="AA1599" i="2"/>
  <c r="K1583" i="2"/>
  <c r="M1583" i="2" s="1"/>
  <c r="M1619" i="2"/>
  <c r="AA1609" i="2"/>
  <c r="M1584" i="2"/>
  <c r="K1588" i="2"/>
  <c r="M1588" i="2" s="1"/>
  <c r="AA1594" i="2"/>
  <c r="AA1541" i="2"/>
  <c r="AA1618" i="2"/>
  <c r="M1614" i="2"/>
  <c r="AA1620" i="2"/>
  <c r="M1620" i="2"/>
  <c r="K1525" i="2"/>
  <c r="AA1604" i="2"/>
  <c r="K1528" i="2"/>
  <c r="M1528" i="2" s="1"/>
  <c r="K1540" i="2"/>
  <c r="M1540" i="2" s="1"/>
  <c r="K1580" i="2"/>
  <c r="M1580" i="2" s="1"/>
  <c r="AA1613" i="2"/>
  <c r="K1595" i="2"/>
  <c r="M1595" i="2" s="1"/>
  <c r="K1605" i="2"/>
  <c r="M1605" i="2" s="1"/>
  <c r="K1554" i="2"/>
  <c r="M1554" i="2" s="1"/>
  <c r="M1616" i="2"/>
  <c r="M1600" i="2"/>
  <c r="AA1517" i="2"/>
  <c r="AA1582" i="2"/>
  <c r="M1594" i="2"/>
  <c r="K1607" i="2"/>
  <c r="M1607" i="2" s="1"/>
  <c r="M1621" i="2"/>
  <c r="AA1608" i="2"/>
  <c r="AA1596" i="2"/>
  <c r="AA1614" i="2"/>
  <c r="K1590" i="2"/>
  <c r="M1590" i="2" s="1"/>
  <c r="M1578" i="2"/>
  <c r="K1538" i="2"/>
  <c r="M1538" i="2" s="1"/>
  <c r="M1609" i="2"/>
  <c r="AA1566" i="2"/>
  <c r="K1611" i="2"/>
  <c r="M1611" i="2" s="1"/>
  <c r="K1598" i="2"/>
  <c r="M1598" i="2" s="1"/>
  <c r="K1597" i="2"/>
  <c r="M1597" i="2" s="1"/>
  <c r="K1612" i="2"/>
  <c r="M1612" i="2" s="1"/>
  <c r="AA1600" i="2"/>
  <c r="M1608" i="2"/>
  <c r="M1599" i="2"/>
  <c r="K1603" i="2"/>
  <c r="M1603" i="2" s="1"/>
  <c r="M1606" i="2"/>
  <c r="AA1601" i="2"/>
  <c r="AA1615" i="2"/>
  <c r="K1617" i="2"/>
  <c r="M1617" i="2" s="1"/>
  <c r="M1602" i="2"/>
  <c r="AA1527" i="2"/>
  <c r="M1575" i="2"/>
  <c r="K1515" i="2"/>
  <c r="AA1560" i="2"/>
  <c r="K1523" i="2"/>
  <c r="M1523" i="2" s="1"/>
  <c r="AA1578" i="2"/>
  <c r="AA1584" i="2"/>
  <c r="K1568" i="2"/>
  <c r="M1568" i="2" s="1"/>
  <c r="M1561" i="2"/>
  <c r="AA1585" i="2"/>
  <c r="K1549" i="2"/>
  <c r="M1549" i="2" s="1"/>
  <c r="K1564" i="2"/>
  <c r="M1564" i="2" s="1"/>
  <c r="K1581" i="2"/>
  <c r="M1581" i="2" s="1"/>
  <c r="M1546" i="2"/>
  <c r="AA1576" i="2"/>
  <c r="M1576" i="2"/>
  <c r="K1573" i="2"/>
  <c r="M1573" i="2" s="1"/>
  <c r="AA1552" i="2"/>
  <c r="K1592" i="2"/>
  <c r="M1592" i="2" s="1"/>
  <c r="M1582" i="2"/>
  <c r="M1577" i="2"/>
  <c r="K1508" i="2"/>
  <c r="K1513" i="2"/>
  <c r="M1513" i="2" s="1"/>
  <c r="M1536" i="2"/>
  <c r="K1550" i="2"/>
  <c r="M1550" i="2" s="1"/>
  <c r="K1567" i="2"/>
  <c r="M1567" i="2" s="1"/>
  <c r="K1574" i="2"/>
  <c r="M1574" i="2" s="1"/>
  <c r="M1586" i="2"/>
  <c r="M1585" i="2"/>
  <c r="K1563" i="2"/>
  <c r="M1563" i="2" s="1"/>
  <c r="AA1575" i="2"/>
  <c r="M1591" i="2"/>
  <c r="M1587" i="2"/>
  <c r="M1589" i="2"/>
  <c r="AA1577" i="2"/>
  <c r="AA1591" i="2"/>
  <c r="M1596" i="2"/>
  <c r="K1593" i="2"/>
  <c r="M1593" i="2" s="1"/>
  <c r="K1579" i="2"/>
  <c r="M1579" i="2" s="1"/>
  <c r="K1524" i="2"/>
  <c r="M1524" i="2" s="1"/>
  <c r="M1562" i="2"/>
  <c r="K1530" i="2"/>
  <c r="M1530" i="2" s="1"/>
  <c r="AA1534" i="2"/>
  <c r="K1532" i="2"/>
  <c r="K1505" i="2"/>
  <c r="M1505" i="2" s="1"/>
  <c r="K1571" i="2"/>
  <c r="M1571" i="2" s="1"/>
  <c r="K1509" i="2"/>
  <c r="M1509" i="2" s="1"/>
  <c r="K1539" i="2"/>
  <c r="M1539" i="2" s="1"/>
  <c r="AA1542" i="2"/>
  <c r="M1542" i="2"/>
  <c r="K1514" i="2"/>
  <c r="M1514" i="2" s="1"/>
  <c r="K1544" i="2"/>
  <c r="M1544" i="2" s="1"/>
  <c r="K1521" i="2"/>
  <c r="AA1503" i="2"/>
  <c r="K1507" i="2"/>
  <c r="M1507" i="2" s="1"/>
  <c r="AA1546" i="2"/>
  <c r="K1522" i="2"/>
  <c r="M1522" i="2" s="1"/>
  <c r="K1559" i="2"/>
  <c r="M1559" i="2" s="1"/>
  <c r="M1541" i="2"/>
  <c r="M1558" i="2"/>
  <c r="AA1511" i="2"/>
  <c r="K1510" i="2"/>
  <c r="M1510" i="2" s="1"/>
  <c r="K1548" i="2"/>
  <c r="M1548" i="2" s="1"/>
  <c r="AA1536" i="2"/>
  <c r="M1547" i="2"/>
  <c r="M1566" i="2"/>
  <c r="K1512" i="2"/>
  <c r="M1512" i="2" s="1"/>
  <c r="K1526" i="2"/>
  <c r="M1526" i="2" s="1"/>
  <c r="AA1565" i="2"/>
  <c r="AA1537" i="2"/>
  <c r="M1537" i="2"/>
  <c r="M1532" i="2"/>
  <c r="K1516" i="2"/>
  <c r="M1516" i="2" s="1"/>
  <c r="M1534" i="2"/>
  <c r="M1527" i="2"/>
  <c r="AA1561" i="2"/>
  <c r="K1535" i="2"/>
  <c r="M1535" i="2" s="1"/>
  <c r="M1533" i="2"/>
  <c r="K1504" i="2"/>
  <c r="K1518" i="2"/>
  <c r="M1518" i="2" s="1"/>
  <c r="K1553" i="2"/>
  <c r="M1553" i="2" s="1"/>
  <c r="K1520" i="2"/>
  <c r="M1520" i="2" s="1"/>
  <c r="K1557" i="2"/>
  <c r="M1557" i="2" s="1"/>
  <c r="K1555" i="2"/>
  <c r="M1555" i="2" s="1"/>
  <c r="AA1562" i="2"/>
  <c r="AA1558" i="2"/>
  <c r="AA1572" i="2"/>
  <c r="K1569" i="2"/>
  <c r="M1569" i="2" s="1"/>
  <c r="K1570" i="2"/>
  <c r="M1570" i="2" s="1"/>
  <c r="K1556" i="2"/>
  <c r="M1556" i="2" s="1"/>
  <c r="M1572" i="2"/>
  <c r="M1565" i="2"/>
  <c r="K1551" i="2"/>
  <c r="M1551" i="2" s="1"/>
  <c r="M1552" i="2"/>
  <c r="M1560" i="2"/>
  <c r="K1529" i="2"/>
  <c r="M1529" i="2" s="1"/>
  <c r="K1543" i="2"/>
  <c r="M1543" i="2" s="1"/>
  <c r="AA1533" i="2"/>
  <c r="AA1547" i="2"/>
  <c r="K1531" i="2"/>
  <c r="M1531" i="2" s="1"/>
  <c r="K1545" i="2"/>
  <c r="M1545" i="2" s="1"/>
  <c r="AA1519" i="2"/>
  <c r="AA1506" i="2"/>
  <c r="K1482" i="2"/>
  <c r="K1256" i="2"/>
  <c r="M1503" i="2"/>
  <c r="K1399" i="2"/>
  <c r="K1129" i="2"/>
  <c r="M1129" i="2" s="1"/>
  <c r="M1511" i="2"/>
  <c r="K1452" i="2"/>
  <c r="M1452" i="2" s="1"/>
  <c r="K1336" i="2"/>
  <c r="M1336" i="2" s="1"/>
  <c r="K1201" i="2"/>
  <c r="K1005" i="2"/>
  <c r="K1501" i="2"/>
  <c r="AA340" i="2"/>
  <c r="K1368" i="2"/>
  <c r="M1368" i="2" s="1"/>
  <c r="K1292" i="2"/>
  <c r="K1231" i="2"/>
  <c r="K1162" i="2"/>
  <c r="K1098" i="2"/>
  <c r="K847" i="2"/>
  <c r="K1426" i="2"/>
  <c r="K1389" i="2"/>
  <c r="M1389" i="2" s="1"/>
  <c r="K1146" i="2"/>
  <c r="M1146" i="2" s="1"/>
  <c r="K1354" i="2"/>
  <c r="M1354" i="2" s="1"/>
  <c r="K1119" i="2"/>
  <c r="K1313" i="2"/>
  <c r="K1077" i="2"/>
  <c r="K1498" i="2"/>
  <c r="M1498" i="2" s="1"/>
  <c r="K1266" i="2"/>
  <c r="K972" i="2"/>
  <c r="K1465" i="2"/>
  <c r="K1249" i="2"/>
  <c r="K777" i="2"/>
  <c r="K1438" i="2"/>
  <c r="M1438" i="2" s="1"/>
  <c r="K1216" i="2"/>
  <c r="K1405" i="2"/>
  <c r="M1405" i="2" s="1"/>
  <c r="K1187" i="2"/>
  <c r="M1187" i="2" s="1"/>
  <c r="K1457" i="2"/>
  <c r="M1457" i="2" s="1"/>
  <c r="K1345" i="2"/>
  <c r="K1208" i="2"/>
  <c r="K1082" i="2"/>
  <c r="K805" i="2"/>
  <c r="M805" i="2" s="1"/>
  <c r="K1443" i="2"/>
  <c r="K1325" i="2"/>
  <c r="K1194" i="2"/>
  <c r="K1066" i="2"/>
  <c r="K756" i="2"/>
  <c r="K1052" i="2"/>
  <c r="K730" i="2"/>
  <c r="K1432" i="2"/>
  <c r="M1432" i="2" s="1"/>
  <c r="K1302" i="2"/>
  <c r="M1302" i="2" s="1"/>
  <c r="K1174" i="2"/>
  <c r="M1174" i="2" s="1"/>
  <c r="K1038" i="2"/>
  <c r="K679" i="2"/>
  <c r="K1031" i="2"/>
  <c r="K646" i="2"/>
  <c r="K1415" i="2"/>
  <c r="M1415" i="2" s="1"/>
  <c r="K1280" i="2"/>
  <c r="K1152" i="2"/>
  <c r="K1023" i="2"/>
  <c r="K575" i="2"/>
  <c r="K1138" i="2"/>
  <c r="K985" i="2"/>
  <c r="M985" i="2" s="1"/>
  <c r="K1489" i="2"/>
  <c r="M1489" i="2" s="1"/>
  <c r="K1379" i="2"/>
  <c r="M1379" i="2" s="1"/>
  <c r="K1238" i="2"/>
  <c r="M1238" i="2" s="1"/>
  <c r="K1123" i="2"/>
  <c r="K913" i="2"/>
  <c r="K877" i="2"/>
  <c r="K1476" i="2"/>
  <c r="M1476" i="2" s="1"/>
  <c r="K1361" i="2"/>
  <c r="M1361" i="2" s="1"/>
  <c r="K1223" i="2"/>
  <c r="K1107" i="2"/>
  <c r="K865" i="2"/>
  <c r="K1455" i="2"/>
  <c r="K1401" i="2"/>
  <c r="K1338" i="2"/>
  <c r="K1262" i="2"/>
  <c r="M1262" i="2" s="1"/>
  <c r="K1206" i="2"/>
  <c r="M1206" i="2" s="1"/>
  <c r="K1142" i="2"/>
  <c r="M1142" i="2" s="1"/>
  <c r="K1079" i="2"/>
  <c r="K987" i="2"/>
  <c r="K868" i="2"/>
  <c r="K653" i="2"/>
  <c r="M653" i="2" s="1"/>
  <c r="K1499" i="2"/>
  <c r="M1499" i="2" s="1"/>
  <c r="K1449" i="2"/>
  <c r="K1394" i="2"/>
  <c r="K1331" i="2"/>
  <c r="K1253" i="2"/>
  <c r="K1198" i="2"/>
  <c r="K1134" i="2"/>
  <c r="K1068" i="2"/>
  <c r="M1068" i="2" s="1"/>
  <c r="K981" i="2"/>
  <c r="M981" i="2" s="1"/>
  <c r="K853" i="2"/>
  <c r="M853" i="2" s="1"/>
  <c r="K625" i="2"/>
  <c r="M625" i="2" s="1"/>
  <c r="K1496" i="2"/>
  <c r="K1441" i="2"/>
  <c r="K1383" i="2"/>
  <c r="M1383" i="2" s="1"/>
  <c r="K1320" i="2"/>
  <c r="M1320" i="2" s="1"/>
  <c r="K1240" i="2"/>
  <c r="M1240" i="2" s="1"/>
  <c r="K1190" i="2"/>
  <c r="K1127" i="2"/>
  <c r="K1061" i="2"/>
  <c r="K959" i="2"/>
  <c r="M959" i="2" s="1"/>
  <c r="K829" i="2"/>
  <c r="K554" i="2"/>
  <c r="M554" i="2" s="1"/>
  <c r="K951" i="2"/>
  <c r="M951" i="2" s="1"/>
  <c r="K1486" i="2"/>
  <c r="M1486" i="2" s="1"/>
  <c r="K1434" i="2"/>
  <c r="K1375" i="2"/>
  <c r="K1304" i="2"/>
  <c r="K1235" i="2"/>
  <c r="M1235" i="2" s="1"/>
  <c r="K1178" i="2"/>
  <c r="M1178" i="2" s="1"/>
  <c r="K1121" i="2"/>
  <c r="K1047" i="2"/>
  <c r="K949" i="2"/>
  <c r="K787" i="2"/>
  <c r="K440" i="2"/>
  <c r="M440" i="2" s="1"/>
  <c r="K524" i="2"/>
  <c r="K937" i="2"/>
  <c r="M937" i="2" s="1"/>
  <c r="AA7" i="2"/>
  <c r="K1478" i="2"/>
  <c r="M1478" i="2" s="1"/>
  <c r="K1429" i="2"/>
  <c r="K1364" i="2"/>
  <c r="K1298" i="2"/>
  <c r="K1228" i="2"/>
  <c r="M1228" i="2" s="1"/>
  <c r="K1165" i="2"/>
  <c r="M1165" i="2" s="1"/>
  <c r="K1116" i="2"/>
  <c r="K1033" i="2"/>
  <c r="K929" i="2"/>
  <c r="K769" i="2"/>
  <c r="K1470" i="2"/>
  <c r="K1419" i="2"/>
  <c r="M1419" i="2" s="1"/>
  <c r="K1358" i="2"/>
  <c r="M1358" i="2" s="1"/>
  <c r="K1289" i="2"/>
  <c r="M1289" i="2" s="1"/>
  <c r="K1218" i="2"/>
  <c r="K1157" i="2"/>
  <c r="M1157" i="2" s="1"/>
  <c r="K1102" i="2"/>
  <c r="K1028" i="2"/>
  <c r="M1028" i="2" s="1"/>
  <c r="K905" i="2"/>
  <c r="M905" i="2" s="1"/>
  <c r="K734" i="2"/>
  <c r="K895" i="2"/>
  <c r="K1463" i="2"/>
  <c r="K1412" i="2"/>
  <c r="K1350" i="2"/>
  <c r="K1274" i="2"/>
  <c r="K1210" i="2"/>
  <c r="M1210" i="2" s="1"/>
  <c r="K1149" i="2"/>
  <c r="M1149" i="2" s="1"/>
  <c r="K1091" i="2"/>
  <c r="M1091" i="2" s="1"/>
  <c r="K1016" i="2"/>
  <c r="K880" i="2"/>
  <c r="K702" i="2"/>
  <c r="K600" i="2"/>
  <c r="M600" i="2" s="1"/>
  <c r="K1466" i="2"/>
  <c r="M1466" i="2" s="1"/>
  <c r="K1442" i="2"/>
  <c r="K1416" i="2"/>
  <c r="K1386" i="2"/>
  <c r="K1357" i="2"/>
  <c r="M1357" i="2" s="1"/>
  <c r="K1324" i="2"/>
  <c r="M1324" i="2" s="1"/>
  <c r="K1281" i="2"/>
  <c r="M1281" i="2" s="1"/>
  <c r="K1242" i="2"/>
  <c r="M1242" i="2" s="1"/>
  <c r="K1217" i="2"/>
  <c r="M1217" i="2" s="1"/>
  <c r="K1193" i="2"/>
  <c r="M1193" i="2" s="1"/>
  <c r="K1155" i="2"/>
  <c r="K1128" i="2"/>
  <c r="K1100" i="2"/>
  <c r="K1063" i="2"/>
  <c r="M1063" i="2" s="1"/>
  <c r="K1025" i="2"/>
  <c r="M1025" i="2" s="1"/>
  <c r="K964" i="2"/>
  <c r="M964" i="2" s="1"/>
  <c r="K901" i="2"/>
  <c r="K840" i="2"/>
  <c r="K732" i="2"/>
  <c r="M732" i="2" s="1"/>
  <c r="K597" i="2"/>
  <c r="M597" i="2" s="1"/>
  <c r="K439" i="2"/>
  <c r="K593" i="2"/>
  <c r="M593" i="2" s="1"/>
  <c r="K1492" i="2"/>
  <c r="M1492" i="2" s="1"/>
  <c r="K1464" i="2"/>
  <c r="M1464" i="2" s="1"/>
  <c r="K1440" i="2"/>
  <c r="K1413" i="2"/>
  <c r="K1381" i="2"/>
  <c r="K1353" i="2"/>
  <c r="M1353" i="2" s="1"/>
  <c r="K1315" i="2"/>
  <c r="M1315" i="2" s="1"/>
  <c r="K1276" i="2"/>
  <c r="K1239" i="2"/>
  <c r="K1214" i="2"/>
  <c r="K1188" i="2"/>
  <c r="M1188" i="2" s="1"/>
  <c r="K1151" i="2"/>
  <c r="M1151" i="2" s="1"/>
  <c r="K1125" i="2"/>
  <c r="K1095" i="2"/>
  <c r="M1095" i="2" s="1"/>
  <c r="K1054" i="2"/>
  <c r="M1054" i="2" s="1"/>
  <c r="K1020" i="2"/>
  <c r="M1020" i="2" s="1"/>
  <c r="K957" i="2"/>
  <c r="K891" i="2"/>
  <c r="K814" i="2"/>
  <c r="K708" i="2"/>
  <c r="M708" i="2" s="1"/>
  <c r="K590" i="2"/>
  <c r="M590" i="2" s="1"/>
  <c r="K579" i="2"/>
  <c r="K1487" i="2"/>
  <c r="K1459" i="2"/>
  <c r="K1437" i="2"/>
  <c r="K1408" i="2"/>
  <c r="M1408" i="2" s="1"/>
  <c r="K1377" i="2"/>
  <c r="M1377" i="2" s="1"/>
  <c r="K1347" i="2"/>
  <c r="M1347" i="2" s="1"/>
  <c r="K1311" i="2"/>
  <c r="M1311" i="2" s="1"/>
  <c r="K1271" i="2"/>
  <c r="M1271" i="2" s="1"/>
  <c r="K1237" i="2"/>
  <c r="K1209" i="2"/>
  <c r="K1184" i="2"/>
  <c r="K1148" i="2"/>
  <c r="M1148" i="2" s="1"/>
  <c r="K1122" i="2"/>
  <c r="M1122" i="2" s="1"/>
  <c r="K1085" i="2"/>
  <c r="K1048" i="2"/>
  <c r="K1009" i="2"/>
  <c r="K950" i="2"/>
  <c r="M950" i="2" s="1"/>
  <c r="K879" i="2"/>
  <c r="M879" i="2" s="1"/>
  <c r="K796" i="2"/>
  <c r="K693" i="2"/>
  <c r="M693" i="2" s="1"/>
  <c r="K577" i="2"/>
  <c r="M577" i="2" s="1"/>
  <c r="K1485" i="2"/>
  <c r="M1485" i="2" s="1"/>
  <c r="K1456" i="2"/>
  <c r="K1433" i="2"/>
  <c r="K1403" i="2"/>
  <c r="M1403" i="2" s="1"/>
  <c r="K1372" i="2"/>
  <c r="M1372" i="2" s="1"/>
  <c r="K1340" i="2"/>
  <c r="K1303" i="2"/>
  <c r="K1264" i="2"/>
  <c r="K1233" i="2"/>
  <c r="K1207" i="2"/>
  <c r="M1207" i="2" s="1"/>
  <c r="K1177" i="2"/>
  <c r="M1177" i="2" s="1"/>
  <c r="K1143" i="2"/>
  <c r="M1143" i="2" s="1"/>
  <c r="K1120" i="2"/>
  <c r="M1120" i="2" s="1"/>
  <c r="K1081" i="2"/>
  <c r="M1081" i="2" s="1"/>
  <c r="K1040" i="2"/>
  <c r="M1040" i="2" s="1"/>
  <c r="K990" i="2"/>
  <c r="K946" i="2"/>
  <c r="K875" i="2"/>
  <c r="K778" i="2"/>
  <c r="M778" i="2" s="1"/>
  <c r="K665" i="2"/>
  <c r="M665" i="2" s="1"/>
  <c r="K558" i="2"/>
  <c r="M558" i="2" s="1"/>
  <c r="K1479" i="2"/>
  <c r="K1454" i="2"/>
  <c r="K1430" i="2"/>
  <c r="M1430" i="2" s="1"/>
  <c r="K1400" i="2"/>
  <c r="M1400" i="2" s="1"/>
  <c r="K1367" i="2"/>
  <c r="M1367" i="2" s="1"/>
  <c r="K1337" i="2"/>
  <c r="M1337" i="2" s="1"/>
  <c r="K1301" i="2"/>
  <c r="M1301" i="2" s="1"/>
  <c r="K1260" i="2"/>
  <c r="M1260" i="2" s="1"/>
  <c r="K1230" i="2"/>
  <c r="K1204" i="2"/>
  <c r="K1169" i="2"/>
  <c r="K1140" i="2"/>
  <c r="M1140" i="2" s="1"/>
  <c r="K1118" i="2"/>
  <c r="M1118" i="2" s="1"/>
  <c r="K1078" i="2"/>
  <c r="K1034" i="2"/>
  <c r="M1034" i="2" s="1"/>
  <c r="K986" i="2"/>
  <c r="K935" i="2"/>
  <c r="M935" i="2" s="1"/>
  <c r="K866" i="2"/>
  <c r="M866" i="2" s="1"/>
  <c r="K773" i="2"/>
  <c r="M773" i="2" s="1"/>
  <c r="K650" i="2"/>
  <c r="M650" i="2" s="1"/>
  <c r="K545" i="2"/>
  <c r="M545" i="2" s="1"/>
  <c r="K1477" i="2"/>
  <c r="M1477" i="2" s="1"/>
  <c r="K1451" i="2"/>
  <c r="K1428" i="2"/>
  <c r="K1398" i="2"/>
  <c r="K1363" i="2"/>
  <c r="M1363" i="2" s="1"/>
  <c r="K1333" i="2"/>
  <c r="M1333" i="2" s="1"/>
  <c r="K1294" i="2"/>
  <c r="K1254" i="2"/>
  <c r="M1254" i="2" s="1"/>
  <c r="K1226" i="2"/>
  <c r="K1200" i="2"/>
  <c r="M1200" i="2" s="1"/>
  <c r="K1164" i="2"/>
  <c r="M1164" i="2" s="1"/>
  <c r="K1135" i="2"/>
  <c r="M1135" i="2" s="1"/>
  <c r="K1111" i="2"/>
  <c r="M1111" i="2" s="1"/>
  <c r="K1069" i="2"/>
  <c r="M1069" i="2" s="1"/>
  <c r="K1032" i="2"/>
  <c r="M1032" i="2" s="1"/>
  <c r="K984" i="2"/>
  <c r="K916" i="2"/>
  <c r="K854" i="2"/>
  <c r="M854" i="2" s="1"/>
  <c r="K766" i="2"/>
  <c r="M766" i="2" s="1"/>
  <c r="K632" i="2"/>
  <c r="M632" i="2" s="1"/>
  <c r="K517" i="2"/>
  <c r="K495" i="2"/>
  <c r="M495" i="2" s="1"/>
  <c r="AA204" i="2"/>
  <c r="K1500" i="2"/>
  <c r="M1500" i="2" s="1"/>
  <c r="K1473" i="2"/>
  <c r="M1473" i="2" s="1"/>
  <c r="K1448" i="2"/>
  <c r="M1448" i="2" s="1"/>
  <c r="K1420" i="2"/>
  <c r="M1420" i="2" s="1"/>
  <c r="K1391" i="2"/>
  <c r="M1391" i="2" s="1"/>
  <c r="K1359" i="2"/>
  <c r="M1359" i="2" s="1"/>
  <c r="K1326" i="2"/>
  <c r="K1290" i="2"/>
  <c r="K1250" i="2"/>
  <c r="M1250" i="2" s="1"/>
  <c r="K1221" i="2"/>
  <c r="M1221" i="2" s="1"/>
  <c r="K1196" i="2"/>
  <c r="M1196" i="2" s="1"/>
  <c r="K1161" i="2"/>
  <c r="K1130" i="2"/>
  <c r="M1130" i="2" s="1"/>
  <c r="K1105" i="2"/>
  <c r="K1067" i="2"/>
  <c r="M1067" i="2" s="1"/>
  <c r="K1030" i="2"/>
  <c r="M1030" i="2" s="1"/>
  <c r="K979" i="2"/>
  <c r="K909" i="2"/>
  <c r="M909" i="2" s="1"/>
  <c r="K848" i="2"/>
  <c r="M848" i="2" s="1"/>
  <c r="K747" i="2"/>
  <c r="M747" i="2" s="1"/>
  <c r="K617" i="2"/>
  <c r="K451" i="2"/>
  <c r="AA21" i="2"/>
  <c r="K998" i="2"/>
  <c r="M998" i="2" s="1"/>
  <c r="K958" i="2"/>
  <c r="K797" i="2"/>
  <c r="K750" i="2"/>
  <c r="M750" i="2" s="1"/>
  <c r="K690" i="2"/>
  <c r="K864" i="2"/>
  <c r="K790" i="2"/>
  <c r="M790" i="2" s="1"/>
  <c r="K737" i="2"/>
  <c r="M737" i="2" s="1"/>
  <c r="K673" i="2"/>
  <c r="M673" i="2" s="1"/>
  <c r="AA850" i="2"/>
  <c r="K892" i="2"/>
  <c r="M892" i="2" s="1"/>
  <c r="K983" i="2"/>
  <c r="K940" i="2"/>
  <c r="K841" i="2"/>
  <c r="M841" i="2" s="1"/>
  <c r="K775" i="2"/>
  <c r="M775" i="2" s="1"/>
  <c r="K725" i="2"/>
  <c r="K722" i="2"/>
  <c r="M722" i="2" s="1"/>
  <c r="K1018" i="2"/>
  <c r="M1018" i="2" s="1"/>
  <c r="K936" i="2"/>
  <c r="K836" i="2"/>
  <c r="M836" i="2" s="1"/>
  <c r="K770" i="2"/>
  <c r="M770" i="2" s="1"/>
  <c r="K720" i="2"/>
  <c r="M720" i="2" s="1"/>
  <c r="AA314" i="2"/>
  <c r="K1039" i="2"/>
  <c r="M1039" i="2" s="1"/>
  <c r="K1012" i="2"/>
  <c r="M1012" i="2" s="1"/>
  <c r="K968" i="2"/>
  <c r="K932" i="2"/>
  <c r="K822" i="2"/>
  <c r="K768" i="2"/>
  <c r="M768" i="2" s="1"/>
  <c r="K707" i="2"/>
  <c r="M707" i="2" s="1"/>
  <c r="AA923" i="2"/>
  <c r="K871" i="2"/>
  <c r="M871" i="2" s="1"/>
  <c r="K1132" i="2"/>
  <c r="K1109" i="2"/>
  <c r="M1109" i="2" s="1"/>
  <c r="K1074" i="2"/>
  <c r="M1074" i="2" s="1"/>
  <c r="K1037" i="2"/>
  <c r="K1006" i="2"/>
  <c r="M1006" i="2" s="1"/>
  <c r="K963" i="2"/>
  <c r="M963" i="2" s="1"/>
  <c r="K927" i="2"/>
  <c r="M927" i="2" s="1"/>
  <c r="K808" i="2"/>
  <c r="K761" i="2"/>
  <c r="K694" i="2"/>
  <c r="M694" i="2" s="1"/>
  <c r="K1418" i="2"/>
  <c r="M1418" i="2" s="1"/>
  <c r="K1397" i="2"/>
  <c r="M1397" i="2" s="1"/>
  <c r="K1064" i="2"/>
  <c r="AA62" i="2"/>
  <c r="K1147" i="2"/>
  <c r="M1147" i="2" s="1"/>
  <c r="K1460" i="2"/>
  <c r="K1390" i="2"/>
  <c r="M1390" i="2" s="1"/>
  <c r="K1168" i="2"/>
  <c r="M1168" i="2" s="1"/>
  <c r="K1029" i="2"/>
  <c r="M1029" i="2" s="1"/>
  <c r="K634" i="2"/>
  <c r="M634" i="2" s="1"/>
  <c r="K1481" i="2"/>
  <c r="M1481" i="2" s="1"/>
  <c r="AA20" i="2"/>
  <c r="K1411" i="2"/>
  <c r="M1411" i="2" s="1"/>
  <c r="K1050" i="2"/>
  <c r="K897" i="2"/>
  <c r="M897" i="2" s="1"/>
  <c r="K755" i="2"/>
  <c r="M755" i="2" s="1"/>
  <c r="K701" i="2"/>
  <c r="K630" i="2"/>
  <c r="K544" i="2"/>
  <c r="M544" i="2" s="1"/>
  <c r="AA1327" i="2"/>
  <c r="K627" i="2"/>
  <c r="M627" i="2" s="1"/>
  <c r="K1404" i="2"/>
  <c r="M1404" i="2" s="1"/>
  <c r="K1314" i="2"/>
  <c r="M1314" i="2" s="1"/>
  <c r="K1279" i="2"/>
  <c r="M1279" i="2" s="1"/>
  <c r="K1474" i="2"/>
  <c r="K1017" i="2"/>
  <c r="M1017" i="2" s="1"/>
  <c r="K887" i="2"/>
  <c r="M887" i="2" s="1"/>
  <c r="K844" i="2"/>
  <c r="M844" i="2" s="1"/>
  <c r="K689" i="2"/>
  <c r="M689" i="2" s="1"/>
  <c r="K482" i="2"/>
  <c r="M482" i="2" s="1"/>
  <c r="K1495" i="2"/>
  <c r="K1154" i="2"/>
  <c r="M1154" i="2" s="1"/>
  <c r="K682" i="2"/>
  <c r="K1272" i="2"/>
  <c r="M1272" i="2" s="1"/>
  <c r="K1467" i="2"/>
  <c r="M1467" i="2" s="1"/>
  <c r="AA692" i="2"/>
  <c r="K1488" i="2"/>
  <c r="M1488" i="2" s="1"/>
  <c r="K835" i="2"/>
  <c r="M835" i="2" s="1"/>
  <c r="K724" i="2"/>
  <c r="M724" i="2" s="1"/>
  <c r="K372" i="2"/>
  <c r="AA741" i="2"/>
  <c r="K1421" i="2"/>
  <c r="M1421" i="2" s="1"/>
  <c r="K830" i="2"/>
  <c r="M830" i="2" s="1"/>
  <c r="K746" i="2"/>
  <c r="M746" i="2" s="1"/>
  <c r="K1346" i="2"/>
  <c r="M1346" i="2" s="1"/>
  <c r="AA285" i="2"/>
  <c r="K993" i="2"/>
  <c r="M993" i="2" s="1"/>
  <c r="K961" i="2"/>
  <c r="M961" i="2" s="1"/>
  <c r="K894" i="2"/>
  <c r="M894" i="2" s="1"/>
  <c r="K774" i="2"/>
  <c r="M774" i="2" s="1"/>
  <c r="K739" i="2"/>
  <c r="M739" i="2" s="1"/>
  <c r="K703" i="2"/>
  <c r="M703" i="2" s="1"/>
  <c r="K660" i="2"/>
  <c r="M660" i="2" s="1"/>
  <c r="K595" i="2"/>
  <c r="M595" i="2" s="1"/>
  <c r="K492" i="2"/>
  <c r="M492" i="2" s="1"/>
  <c r="AA874" i="2"/>
  <c r="AA1094" i="2"/>
  <c r="K1339" i="2"/>
  <c r="K863" i="2"/>
  <c r="M863" i="2" s="1"/>
  <c r="K924" i="2"/>
  <c r="K809" i="2"/>
  <c r="K445" i="2"/>
  <c r="M445" i="2" s="1"/>
  <c r="K954" i="2"/>
  <c r="M954" i="2" s="1"/>
  <c r="K920" i="2"/>
  <c r="M920" i="2" s="1"/>
  <c r="K885" i="2"/>
  <c r="M885" i="2" s="1"/>
  <c r="K643" i="2"/>
  <c r="M643" i="2" s="1"/>
  <c r="K442" i="2"/>
  <c r="M442" i="2" s="1"/>
  <c r="AA398" i="2"/>
  <c r="AA316" i="2"/>
  <c r="K1435" i="2"/>
  <c r="M1435" i="2" s="1"/>
  <c r="K726" i="2"/>
  <c r="M726" i="2" s="1"/>
  <c r="K1332" i="2"/>
  <c r="K906" i="2"/>
  <c r="M906" i="2" s="1"/>
  <c r="K876" i="2"/>
  <c r="M876" i="2" s="1"/>
  <c r="K680" i="2"/>
  <c r="M680" i="2" s="1"/>
  <c r="AA838" i="2"/>
  <c r="K1173" i="2"/>
  <c r="M1173" i="2" s="1"/>
  <c r="K753" i="2"/>
  <c r="M753" i="2" s="1"/>
  <c r="AA129" i="2"/>
  <c r="K1380" i="2"/>
  <c r="M1380" i="2" s="1"/>
  <c r="K1171" i="2"/>
  <c r="M1171" i="2" s="1"/>
  <c r="K1096" i="2"/>
  <c r="K1065" i="2"/>
  <c r="K1007" i="2"/>
  <c r="M1007" i="2" s="1"/>
  <c r="K971" i="2"/>
  <c r="M971" i="2" s="1"/>
  <c r="K938" i="2"/>
  <c r="M938" i="2" s="1"/>
  <c r="K902" i="2"/>
  <c r="M902" i="2" s="1"/>
  <c r="K837" i="2"/>
  <c r="M837" i="2" s="1"/>
  <c r="K786" i="2"/>
  <c r="K751" i="2"/>
  <c r="M751" i="2" s="1"/>
  <c r="K716" i="2"/>
  <c r="M716" i="2" s="1"/>
  <c r="K678" i="2"/>
  <c r="M678" i="2" s="1"/>
  <c r="K618" i="2"/>
  <c r="M618" i="2" s="1"/>
  <c r="K538" i="2"/>
  <c r="M538" i="2" s="1"/>
  <c r="AA1286" i="2"/>
  <c r="K712" i="2"/>
  <c r="K1284" i="2"/>
  <c r="K666" i="2"/>
  <c r="M666" i="2" s="1"/>
  <c r="AA996" i="2"/>
  <c r="AA1493" i="2"/>
  <c r="AA24" i="2"/>
  <c r="K1355" i="2"/>
  <c r="M1355" i="2" s="1"/>
  <c r="K1267" i="2"/>
  <c r="K704" i="2"/>
  <c r="M704" i="2" s="1"/>
  <c r="K387" i="2"/>
  <c r="AA242" i="2"/>
  <c r="K1328" i="2"/>
  <c r="M1328" i="2" s="1"/>
  <c r="K1049" i="2"/>
  <c r="M1049" i="2" s="1"/>
  <c r="K846" i="2"/>
  <c r="M846" i="2" s="1"/>
  <c r="K663" i="2"/>
  <c r="K621" i="2"/>
  <c r="M621" i="2" s="1"/>
  <c r="K567" i="2"/>
  <c r="M567" i="2" s="1"/>
  <c r="K483" i="2"/>
  <c r="M483" i="2" s="1"/>
  <c r="K377" i="2"/>
  <c r="AA802" i="2"/>
  <c r="AA992" i="2"/>
  <c r="K374" i="2"/>
  <c r="AA446" i="2"/>
  <c r="K475" i="2"/>
  <c r="M475" i="2" s="1"/>
  <c r="AA1427" i="2"/>
  <c r="K962" i="2"/>
  <c r="M962" i="2" s="1"/>
  <c r="AA218" i="2"/>
  <c r="K1042" i="2"/>
  <c r="M1042" i="2" s="1"/>
  <c r="K900" i="2"/>
  <c r="K792" i="2"/>
  <c r="M792" i="2" s="1"/>
  <c r="K614" i="2"/>
  <c r="M614" i="2" s="1"/>
  <c r="K553" i="2"/>
  <c r="M553" i="2" s="1"/>
  <c r="K469" i="2"/>
  <c r="M469" i="2" s="1"/>
  <c r="K363" i="2"/>
  <c r="K1369" i="2"/>
  <c r="M1369" i="2" s="1"/>
  <c r="K1287" i="2"/>
  <c r="K1172" i="2"/>
  <c r="M1172" i="2" s="1"/>
  <c r="K607" i="2"/>
  <c r="M607" i="2" s="1"/>
  <c r="K453" i="2"/>
  <c r="M453" i="2" s="1"/>
  <c r="AA551" i="2"/>
  <c r="AA974" i="2"/>
  <c r="AA1027" i="2"/>
  <c r="AA1374" i="2"/>
  <c r="AA99" i="2"/>
  <c r="K642" i="2"/>
  <c r="M642" i="2" s="1"/>
  <c r="AA373" i="2"/>
  <c r="AA743" i="2"/>
  <c r="AA1341" i="2"/>
  <c r="AA74" i="2"/>
  <c r="AA182" i="2"/>
  <c r="K1144" i="2"/>
  <c r="K1015" i="2"/>
  <c r="M1015" i="2" s="1"/>
  <c r="K893" i="2"/>
  <c r="M893" i="2" s="1"/>
  <c r="K532" i="2"/>
  <c r="M532" i="2" s="1"/>
  <c r="AA1008" i="2"/>
  <c r="AA1247" i="2"/>
  <c r="K914" i="2"/>
  <c r="AA19" i="2"/>
  <c r="AA117" i="2"/>
  <c r="AA292" i="2"/>
  <c r="K1056" i="2"/>
  <c r="M1056" i="2" s="1"/>
  <c r="K976" i="2"/>
  <c r="M976" i="2" s="1"/>
  <c r="K817" i="2"/>
  <c r="K744" i="2"/>
  <c r="M744" i="2" s="1"/>
  <c r="K709" i="2"/>
  <c r="M709" i="2" s="1"/>
  <c r="K629" i="2"/>
  <c r="M629" i="2" s="1"/>
  <c r="K580" i="2"/>
  <c r="M580" i="2" s="1"/>
  <c r="K511" i="2"/>
  <c r="M511" i="2" s="1"/>
  <c r="K407" i="2"/>
  <c r="M407" i="2" s="1"/>
  <c r="AA685" i="2"/>
  <c r="K628" i="2"/>
  <c r="K510" i="2"/>
  <c r="M510" i="2" s="1"/>
  <c r="K404" i="2"/>
  <c r="M404" i="2" s="1"/>
  <c r="K907" i="2"/>
  <c r="M907" i="2" s="1"/>
  <c r="K394" i="2"/>
  <c r="AA424" i="2"/>
  <c r="AA26" i="2"/>
  <c r="AA86" i="2"/>
  <c r="AA212" i="2"/>
  <c r="AA288" i="2"/>
  <c r="AA298" i="2"/>
  <c r="K1179" i="2"/>
  <c r="M1179" i="2" s="1"/>
  <c r="K1159" i="2"/>
  <c r="M1159" i="2" s="1"/>
  <c r="K748" i="2"/>
  <c r="M748" i="2" s="1"/>
  <c r="K506" i="2"/>
  <c r="K450" i="2"/>
  <c r="M450" i="2" s="1"/>
  <c r="K402" i="2"/>
  <c r="M402" i="2" s="1"/>
  <c r="AA481" i="2"/>
  <c r="AA500" i="2"/>
  <c r="AA626" i="2"/>
  <c r="AA856" i="2"/>
  <c r="K447" i="2"/>
  <c r="M447" i="2" s="1"/>
  <c r="K1086" i="2"/>
  <c r="K1382" i="2"/>
  <c r="M1382" i="2" s="1"/>
  <c r="K1310" i="2"/>
  <c r="M1310" i="2" s="1"/>
  <c r="K687" i="2"/>
  <c r="M687" i="2" s="1"/>
  <c r="K552" i="2"/>
  <c r="M552" i="2" s="1"/>
  <c r="AA77" i="2"/>
  <c r="AA88" i="2"/>
  <c r="AA139" i="2"/>
  <c r="AA151" i="2"/>
  <c r="AA214" i="2"/>
  <c r="AA252" i="2"/>
  <c r="AA290" i="2"/>
  <c r="AA300" i="2"/>
  <c r="K1278" i="2"/>
  <c r="M1278" i="2" s="1"/>
  <c r="K1252" i="2"/>
  <c r="M1252" i="2" s="1"/>
  <c r="K1133" i="2"/>
  <c r="M1133" i="2" s="1"/>
  <c r="K1113" i="2"/>
  <c r="M1113" i="2" s="1"/>
  <c r="K651" i="2"/>
  <c r="M651" i="2" s="1"/>
  <c r="K624" i="2"/>
  <c r="M624" i="2" s="1"/>
  <c r="K583" i="2"/>
  <c r="M583" i="2" s="1"/>
  <c r="K550" i="2"/>
  <c r="K487" i="2"/>
  <c r="K444" i="2"/>
  <c r="M444" i="2" s="1"/>
  <c r="K381" i="2"/>
  <c r="AA429" i="2"/>
  <c r="AA520" i="2"/>
  <c r="AA574" i="2"/>
  <c r="AA640" i="2"/>
  <c r="AA784" i="2"/>
  <c r="AA191" i="2"/>
  <c r="K1060" i="2"/>
  <c r="M1060" i="2" s="1"/>
  <c r="K684" i="2"/>
  <c r="M684" i="2" s="1"/>
  <c r="AA362" i="2"/>
  <c r="AA514" i="2"/>
  <c r="AA681" i="2"/>
  <c r="AA1378" i="2"/>
  <c r="AA1484" i="2"/>
  <c r="K1080" i="2"/>
  <c r="M1080" i="2" s="1"/>
  <c r="AA470" i="2"/>
  <c r="AA601" i="2"/>
  <c r="AA733" i="2"/>
  <c r="AA858" i="2"/>
  <c r="AA1089" i="2"/>
  <c r="AA1202" i="2"/>
  <c r="AA69" i="2"/>
  <c r="AA80" i="2"/>
  <c r="AA130" i="2"/>
  <c r="AA230" i="2"/>
  <c r="AA327" i="2"/>
  <c r="K1376" i="2"/>
  <c r="M1376" i="2" s="1"/>
  <c r="K888" i="2"/>
  <c r="M888" i="2" s="1"/>
  <c r="K789" i="2"/>
  <c r="M789" i="2" s="1"/>
  <c r="K425" i="2"/>
  <c r="M425" i="2" s="1"/>
  <c r="AA503" i="2"/>
  <c r="AA582" i="2"/>
  <c r="K1192" i="2"/>
  <c r="M1192" i="2" s="1"/>
  <c r="K942" i="2"/>
  <c r="M942" i="2" s="1"/>
  <c r="K788" i="2"/>
  <c r="M788" i="2" s="1"/>
  <c r="K641" i="2"/>
  <c r="M641" i="2" s="1"/>
  <c r="K572" i="2"/>
  <c r="M572" i="2" s="1"/>
  <c r="K419" i="2"/>
  <c r="M419" i="2" s="1"/>
  <c r="K359" i="2"/>
  <c r="AA899" i="2"/>
  <c r="AA980" i="2"/>
  <c r="AA1058" i="2"/>
  <c r="AA1295" i="2"/>
  <c r="AA17" i="2"/>
  <c r="AA34" i="2"/>
  <c r="AA59" i="2"/>
  <c r="AA294" i="2"/>
  <c r="AA305" i="2"/>
  <c r="K1462" i="2"/>
  <c r="M1462" i="2" s="1"/>
  <c r="K1349" i="2"/>
  <c r="M1349" i="2" s="1"/>
  <c r="K1212" i="2"/>
  <c r="M1212" i="2" s="1"/>
  <c r="K1166" i="2"/>
  <c r="M1166" i="2" s="1"/>
  <c r="K677" i="2"/>
  <c r="M677" i="2" s="1"/>
  <c r="K638" i="2"/>
  <c r="M638" i="2" s="1"/>
  <c r="K604" i="2"/>
  <c r="K568" i="2"/>
  <c r="M568" i="2" s="1"/>
  <c r="K521" i="2"/>
  <c r="M521" i="2" s="1"/>
  <c r="K465" i="2"/>
  <c r="M465" i="2" s="1"/>
  <c r="K418" i="2"/>
  <c r="M418" i="2" s="1"/>
  <c r="K358" i="2"/>
  <c r="AA1158" i="2"/>
  <c r="K1265" i="2"/>
  <c r="M1265" i="2" s="1"/>
  <c r="K1099" i="2"/>
  <c r="M1099" i="2" s="1"/>
  <c r="K995" i="2"/>
  <c r="M995" i="2" s="1"/>
  <c r="K881" i="2"/>
  <c r="M881" i="2" s="1"/>
  <c r="K464" i="2"/>
  <c r="M464" i="2" s="1"/>
  <c r="K417" i="2"/>
  <c r="M417" i="2" s="1"/>
  <c r="AA48" i="2"/>
  <c r="AA330" i="2"/>
  <c r="K819" i="2"/>
  <c r="K783" i="2"/>
  <c r="M783" i="2" s="1"/>
  <c r="K700" i="2"/>
  <c r="M700" i="2" s="1"/>
  <c r="K671" i="2"/>
  <c r="M671" i="2" s="1"/>
  <c r="K566" i="2"/>
  <c r="M566" i="2" s="1"/>
  <c r="K458" i="2"/>
  <c r="M458" i="2" s="1"/>
  <c r="K414" i="2"/>
  <c r="M414" i="2" s="1"/>
  <c r="AA499" i="2"/>
  <c r="AA657" i="2"/>
  <c r="AA36" i="2"/>
  <c r="AA147" i="2"/>
  <c r="AA173" i="2"/>
  <c r="AA198" i="2"/>
  <c r="AA274" i="2"/>
  <c r="AA319" i="2"/>
  <c r="K1186" i="2"/>
  <c r="M1186" i="2" s="1"/>
  <c r="K849" i="2"/>
  <c r="M849" i="2" s="1"/>
  <c r="K782" i="2"/>
  <c r="M782" i="2" s="1"/>
  <c r="K598" i="2"/>
  <c r="M598" i="2" s="1"/>
  <c r="K565" i="2"/>
  <c r="M565" i="2" s="1"/>
  <c r="AA1291" i="2"/>
  <c r="AA1388" i="2"/>
  <c r="AA6" i="2"/>
  <c r="AA41" i="2"/>
  <c r="AA63" i="2"/>
  <c r="AA103" i="2"/>
  <c r="AA124" i="2"/>
  <c r="AA166" i="2"/>
  <c r="AA176" i="2"/>
  <c r="AA195" i="2"/>
  <c r="AA205" i="2"/>
  <c r="AA237" i="2"/>
  <c r="AA267" i="2"/>
  <c r="AA311" i="2"/>
  <c r="K1306" i="2"/>
  <c r="M1306" i="2" s="1"/>
  <c r="K1232" i="2"/>
  <c r="M1232" i="2" s="1"/>
  <c r="K1083" i="2"/>
  <c r="M1083" i="2" s="1"/>
  <c r="K827" i="2"/>
  <c r="M827" i="2" s="1"/>
  <c r="K795" i="2"/>
  <c r="M795" i="2" s="1"/>
  <c r="K731" i="2"/>
  <c r="M731" i="2" s="1"/>
  <c r="K654" i="2"/>
  <c r="K488" i="2"/>
  <c r="M488" i="2" s="1"/>
  <c r="AA396" i="2"/>
  <c r="AA433" i="2"/>
  <c r="AA512" i="2"/>
  <c r="AA710" i="2"/>
  <c r="AA745" i="2"/>
  <c r="AA776" i="2"/>
  <c r="AA800" i="2"/>
  <c r="AA806" i="2"/>
  <c r="AA812" i="2"/>
  <c r="AA842" i="2"/>
  <c r="AA860" i="2"/>
  <c r="AA921" i="2"/>
  <c r="AA939" i="2"/>
  <c r="AA982" i="2"/>
  <c r="AA994" i="2"/>
  <c r="AA1317" i="2"/>
  <c r="AA1335" i="2"/>
  <c r="AA1352" i="2"/>
  <c r="K1106" i="2"/>
  <c r="M1106" i="2" s="1"/>
  <c r="AA14" i="2"/>
  <c r="AA32" i="2"/>
  <c r="AA85" i="2"/>
  <c r="AA125" i="2"/>
  <c r="AA134" i="2"/>
  <c r="AA146" i="2"/>
  <c r="AA156" i="2"/>
  <c r="AA196" i="2"/>
  <c r="AA217" i="2"/>
  <c r="AA256" i="2"/>
  <c r="AA333" i="2"/>
  <c r="AA355" i="2"/>
  <c r="K910" i="2"/>
  <c r="M910" i="2" s="1"/>
  <c r="K821" i="2"/>
  <c r="M821" i="2" s="1"/>
  <c r="K791" i="2"/>
  <c r="M791" i="2" s="1"/>
  <c r="K602" i="2"/>
  <c r="M602" i="2" s="1"/>
  <c r="K513" i="2"/>
  <c r="M513" i="2" s="1"/>
  <c r="K484" i="2"/>
  <c r="M484" i="2" s="1"/>
  <c r="K380" i="2"/>
  <c r="AA360" i="2"/>
  <c r="AA531" i="2"/>
  <c r="AA649" i="2"/>
  <c r="AA758" i="2"/>
  <c r="AA934" i="2"/>
  <c r="AA1300" i="2"/>
  <c r="AA1471" i="2"/>
  <c r="AA55" i="2"/>
  <c r="AA95" i="2"/>
  <c r="AA168" i="2"/>
  <c r="AA178" i="2"/>
  <c r="AA239" i="2"/>
  <c r="AA248" i="2"/>
  <c r="AA344" i="2"/>
  <c r="K867" i="2"/>
  <c r="M867" i="2" s="1"/>
  <c r="K416" i="2"/>
  <c r="M416" i="2" s="1"/>
  <c r="AA460" i="2"/>
  <c r="AA472" i="2"/>
  <c r="AA508" i="2"/>
  <c r="AA668" i="2"/>
  <c r="AA813" i="2"/>
  <c r="AA861" i="2"/>
  <c r="AA886" i="2"/>
  <c r="AA965" i="2"/>
  <c r="AA1176" i="2"/>
  <c r="AA1213" i="2"/>
  <c r="AA1245" i="2"/>
  <c r="AA1318" i="2"/>
  <c r="AA1330" i="2"/>
  <c r="K1183" i="2"/>
  <c r="M1183" i="2" s="1"/>
  <c r="K509" i="2"/>
  <c r="M509" i="2" s="1"/>
  <c r="AA87" i="2"/>
  <c r="AA108" i="2"/>
  <c r="AA118" i="2"/>
  <c r="AA180" i="2"/>
  <c r="AA190" i="2"/>
  <c r="AA210" i="2"/>
  <c r="AA219" i="2"/>
  <c r="AA231" i="2"/>
  <c r="AA241" i="2"/>
  <c r="AA250" i="2"/>
  <c r="AA284" i="2"/>
  <c r="AA336" i="2"/>
  <c r="K882" i="2"/>
  <c r="M882" i="2" s="1"/>
  <c r="K810" i="2"/>
  <c r="M810" i="2" s="1"/>
  <c r="K623" i="2"/>
  <c r="M623" i="2" s="1"/>
  <c r="K569" i="2"/>
  <c r="M569" i="2" s="1"/>
  <c r="K539" i="2"/>
  <c r="M539" i="2" s="1"/>
  <c r="K473" i="2"/>
  <c r="M473" i="2" s="1"/>
  <c r="K405" i="2"/>
  <c r="M405" i="2" s="1"/>
  <c r="K369" i="2"/>
  <c r="AA468" i="2"/>
  <c r="AA498" i="2"/>
  <c r="AA564" i="2"/>
  <c r="AA589" i="2"/>
  <c r="AA718" i="2"/>
  <c r="AA736" i="2"/>
  <c r="AA826" i="2"/>
  <c r="AA862" i="2"/>
  <c r="AA948" i="2"/>
  <c r="AA1014" i="2"/>
  <c r="AA1084" i="2"/>
  <c r="AA1246" i="2"/>
  <c r="AA1422" i="2"/>
  <c r="K765" i="2"/>
  <c r="M765" i="2" s="1"/>
  <c r="K717" i="2"/>
  <c r="M717" i="2" s="1"/>
  <c r="AA337" i="2"/>
  <c r="K1342" i="2"/>
  <c r="M1342" i="2" s="1"/>
  <c r="K639" i="2"/>
  <c r="M639" i="2" s="1"/>
  <c r="K594" i="2"/>
  <c r="M594" i="2" s="1"/>
  <c r="K533" i="2"/>
  <c r="M533" i="2" s="1"/>
  <c r="K501" i="2"/>
  <c r="M501" i="2" s="1"/>
  <c r="K403" i="2"/>
  <c r="M403" i="2" s="1"/>
  <c r="AA399" i="2"/>
  <c r="AA547" i="2"/>
  <c r="AA596" i="2"/>
  <c r="AA615" i="2"/>
  <c r="AA664" i="2"/>
  <c r="AA912" i="2"/>
  <c r="AA1141" i="2"/>
  <c r="AA1203" i="2"/>
  <c r="AA1308" i="2"/>
  <c r="AA1344" i="2"/>
  <c r="K1195" i="2"/>
  <c r="M1195" i="2" s="1"/>
  <c r="K760" i="2"/>
  <c r="M760" i="2" s="1"/>
  <c r="K497" i="2"/>
  <c r="M497" i="2" s="1"/>
  <c r="K467" i="2"/>
  <c r="M467" i="2" s="1"/>
  <c r="AA71" i="2"/>
  <c r="AA100" i="2"/>
  <c r="AA121" i="2"/>
  <c r="AA192" i="2"/>
  <c r="AA234" i="2"/>
  <c r="AA275" i="2"/>
  <c r="AA318" i="2"/>
  <c r="AA329" i="2"/>
  <c r="K1360" i="2"/>
  <c r="M1360" i="2" s="1"/>
  <c r="K1288" i="2"/>
  <c r="M1288" i="2" s="1"/>
  <c r="K1215" i="2"/>
  <c r="M1215" i="2" s="1"/>
  <c r="K1088" i="2"/>
  <c r="M1088" i="2" s="1"/>
  <c r="K1046" i="2"/>
  <c r="M1046" i="2" s="1"/>
  <c r="K1024" i="2"/>
  <c r="M1024" i="2" s="1"/>
  <c r="K1001" i="2"/>
  <c r="M1001" i="2" s="1"/>
  <c r="K973" i="2"/>
  <c r="M973" i="2" s="1"/>
  <c r="K898" i="2"/>
  <c r="M898" i="2" s="1"/>
  <c r="K878" i="2"/>
  <c r="M878" i="2" s="1"/>
  <c r="K832" i="2"/>
  <c r="M832" i="2" s="1"/>
  <c r="K803" i="2"/>
  <c r="M803" i="2" s="1"/>
  <c r="K781" i="2"/>
  <c r="M781" i="2" s="1"/>
  <c r="K759" i="2"/>
  <c r="M759" i="2" s="1"/>
  <c r="K711" i="2"/>
  <c r="M711" i="2" s="1"/>
  <c r="K688" i="2"/>
  <c r="M688" i="2" s="1"/>
  <c r="K637" i="2"/>
  <c r="M637" i="2" s="1"/>
  <c r="K616" i="2"/>
  <c r="M616" i="2" s="1"/>
  <c r="K527" i="2"/>
  <c r="M527" i="2" s="1"/>
  <c r="K496" i="2"/>
  <c r="M496" i="2" s="1"/>
  <c r="K466" i="2"/>
  <c r="M466" i="2" s="1"/>
  <c r="K430" i="2"/>
  <c r="M430" i="2" s="1"/>
  <c r="K401" i="2"/>
  <c r="K343" i="2"/>
  <c r="AA494" i="2"/>
  <c r="AA516" i="2"/>
  <c r="AA652" i="2"/>
  <c r="AA714" i="2"/>
  <c r="AA1010" i="2"/>
  <c r="AA1103" i="2"/>
  <c r="AA1273" i="2"/>
  <c r="K928" i="2"/>
  <c r="M928" i="2" s="1"/>
  <c r="AA28" i="2"/>
  <c r="AA50" i="2"/>
  <c r="AA81" i="2"/>
  <c r="AA90" i="2"/>
  <c r="AA112" i="2"/>
  <c r="AA131" i="2"/>
  <c r="AA152" i="2"/>
  <c r="AA164" i="2"/>
  <c r="AA174" i="2"/>
  <c r="AA183" i="2"/>
  <c r="AA244" i="2"/>
  <c r="AA253" i="2"/>
  <c r="AA351" i="2"/>
  <c r="K831" i="2"/>
  <c r="M831" i="2" s="1"/>
  <c r="K563" i="2"/>
  <c r="M563" i="2" s="1"/>
  <c r="K395" i="2"/>
  <c r="AA406" i="2"/>
  <c r="AA438" i="2"/>
  <c r="AA542" i="2"/>
  <c r="AA548" i="2"/>
  <c r="AA811" i="2"/>
  <c r="AA816" i="2"/>
  <c r="AA828" i="2"/>
  <c r="AA944" i="2"/>
  <c r="AA956" i="2"/>
  <c r="K588" i="2"/>
  <c r="M588" i="2" s="1"/>
  <c r="K1402" i="2"/>
  <c r="M1402" i="2" s="1"/>
  <c r="AA73" i="2"/>
  <c r="AA113" i="2"/>
  <c r="AA132" i="2"/>
  <c r="AA184" i="2"/>
  <c r="AA245" i="2"/>
  <c r="AA254" i="2"/>
  <c r="K1259" i="2"/>
  <c r="M1259" i="2" s="1"/>
  <c r="K1191" i="2"/>
  <c r="M1191" i="2" s="1"/>
  <c r="K1108" i="2"/>
  <c r="M1108" i="2" s="1"/>
  <c r="K1019" i="2"/>
  <c r="M1019" i="2" s="1"/>
  <c r="K941" i="2"/>
  <c r="M941" i="2" s="1"/>
  <c r="K915" i="2"/>
  <c r="M915" i="2" s="1"/>
  <c r="K754" i="2"/>
  <c r="M754" i="2" s="1"/>
  <c r="K656" i="2"/>
  <c r="M656" i="2" s="1"/>
  <c r="K631" i="2"/>
  <c r="M631" i="2" s="1"/>
  <c r="K612" i="2"/>
  <c r="M612" i="2" s="1"/>
  <c r="K587" i="2"/>
  <c r="M587" i="2" s="1"/>
  <c r="K555" i="2"/>
  <c r="M555" i="2" s="1"/>
  <c r="K518" i="2"/>
  <c r="M518" i="2" s="1"/>
  <c r="K489" i="2"/>
  <c r="M489" i="2" s="1"/>
  <c r="K462" i="2"/>
  <c r="M462" i="2" s="1"/>
  <c r="K423" i="2"/>
  <c r="M423" i="2" s="1"/>
  <c r="K391" i="2"/>
  <c r="AA371" i="2"/>
  <c r="AA376" i="2"/>
  <c r="AA382" i="2"/>
  <c r="AA523" i="2"/>
  <c r="AA648" i="2"/>
  <c r="AA763" i="2"/>
  <c r="AA926" i="2"/>
  <c r="AA988" i="2"/>
  <c r="AA1092" i="2"/>
  <c r="AA1137" i="2"/>
  <c r="AA1444" i="2"/>
  <c r="K348" i="2"/>
  <c r="K317" i="2"/>
  <c r="K302" i="2"/>
  <c r="K287" i="2"/>
  <c r="K272" i="2"/>
  <c r="K257" i="2"/>
  <c r="K227" i="2"/>
  <c r="K197" i="2"/>
  <c r="K167" i="2"/>
  <c r="K137" i="2"/>
  <c r="K106" i="2"/>
  <c r="K91" i="2"/>
  <c r="K76" i="2"/>
  <c r="K61" i="2"/>
  <c r="K46" i="2"/>
  <c r="K31" i="2"/>
  <c r="K16" i="2"/>
  <c r="M415" i="2"/>
  <c r="K696" i="2"/>
  <c r="M696" i="2" s="1"/>
  <c r="AA696" i="2"/>
  <c r="K772" i="2"/>
  <c r="M772" i="2" s="1"/>
  <c r="AA772" i="2"/>
  <c r="K1097" i="2"/>
  <c r="M1097" i="2" s="1"/>
  <c r="AA1097" i="2"/>
  <c r="K1136" i="2"/>
  <c r="M1136" i="2" s="1"/>
  <c r="AA1136" i="2"/>
  <c r="AA18" i="2"/>
  <c r="AA30" i="2"/>
  <c r="AA58" i="2"/>
  <c r="AA66" i="2"/>
  <c r="K66" i="2"/>
  <c r="AA94" i="2"/>
  <c r="AA102" i="2"/>
  <c r="AA120" i="2"/>
  <c r="AA138" i="2"/>
  <c r="AA228" i="2"/>
  <c r="AA280" i="2"/>
  <c r="AA297" i="2"/>
  <c r="AA323" i="2"/>
  <c r="AA332" i="2"/>
  <c r="AA350" i="2"/>
  <c r="K443" i="2"/>
  <c r="M443" i="2" s="1"/>
  <c r="K364" i="2"/>
  <c r="K347" i="2"/>
  <c r="K331" i="2"/>
  <c r="K301" i="2"/>
  <c r="K286" i="2"/>
  <c r="K271" i="2"/>
  <c r="K226" i="2"/>
  <c r="K211" i="2"/>
  <c r="K181" i="2"/>
  <c r="K135" i="2"/>
  <c r="K105" i="2"/>
  <c r="K75" i="2"/>
  <c r="K60" i="2"/>
  <c r="K45" i="2"/>
  <c r="K15" i="2"/>
  <c r="M609" i="2"/>
  <c r="K674" i="2"/>
  <c r="M674" i="2" s="1"/>
  <c r="AA674" i="2"/>
  <c r="K970" i="2"/>
  <c r="M970" i="2" s="1"/>
  <c r="AA970" i="2"/>
  <c r="K1180" i="2"/>
  <c r="M1180" i="2" s="1"/>
  <c r="AA1180" i="2"/>
  <c r="AA220" i="2"/>
  <c r="AA264" i="2"/>
  <c r="AA289" i="2"/>
  <c r="AA306" i="2"/>
  <c r="AA315" i="2"/>
  <c r="AA341" i="2"/>
  <c r="K541" i="2"/>
  <c r="M541" i="2" s="1"/>
  <c r="K392" i="2"/>
  <c r="K345" i="2"/>
  <c r="K270" i="2"/>
  <c r="K255" i="2"/>
  <c r="K240" i="2"/>
  <c r="K225" i="2"/>
  <c r="K165" i="2"/>
  <c r="K149" i="2"/>
  <c r="K119" i="2"/>
  <c r="K104" i="2"/>
  <c r="K89" i="2"/>
  <c r="K44" i="2"/>
  <c r="K29" i="2"/>
  <c r="AA366" i="2"/>
  <c r="AA388" i="2"/>
  <c r="AA393" i="2"/>
  <c r="AA410" i="2"/>
  <c r="AA422" i="2"/>
  <c r="AA456" i="2"/>
  <c r="K456" i="2"/>
  <c r="M456" i="2" s="1"/>
  <c r="K479" i="2"/>
  <c r="M479" i="2" s="1"/>
  <c r="AA479" i="2"/>
  <c r="AA535" i="2"/>
  <c r="AA586" i="2"/>
  <c r="AA603" i="2"/>
  <c r="K603" i="2"/>
  <c r="M603" i="2" s="1"/>
  <c r="M622" i="2"/>
  <c r="AA697" i="2"/>
  <c r="K767" i="2"/>
  <c r="M767" i="2" s="1"/>
  <c r="AA767" i="2"/>
  <c r="K839" i="2"/>
  <c r="M839" i="2" s="1"/>
  <c r="AA839" i="2"/>
  <c r="K904" i="2"/>
  <c r="M904" i="2" s="1"/>
  <c r="AA904" i="2"/>
  <c r="K1117" i="2"/>
  <c r="M1117" i="2" s="1"/>
  <c r="AA1117" i="2"/>
  <c r="K299" i="2"/>
  <c r="K269" i="2"/>
  <c r="K224" i="2"/>
  <c r="K209" i="2"/>
  <c r="K194" i="2"/>
  <c r="K179" i="2"/>
  <c r="K163" i="2"/>
  <c r="K148" i="2"/>
  <c r="K133" i="2"/>
  <c r="K43" i="2"/>
  <c r="K13" i="2"/>
  <c r="AA530" i="2"/>
  <c r="AA592" i="2"/>
  <c r="M610" i="2"/>
  <c r="AA675" i="2"/>
  <c r="K833" i="2"/>
  <c r="M833" i="2" s="1"/>
  <c r="AA833" i="2"/>
  <c r="K851" i="2"/>
  <c r="M851" i="2" s="1"/>
  <c r="AA851" i="2"/>
  <c r="K1000" i="2"/>
  <c r="M1000" i="2" s="1"/>
  <c r="AA1000" i="2"/>
  <c r="M1156" i="2"/>
  <c r="K1224" i="2"/>
  <c r="M1224" i="2" s="1"/>
  <c r="AA1224" i="2"/>
  <c r="M664" i="2"/>
  <c r="K328" i="2"/>
  <c r="K313" i="2"/>
  <c r="K283" i="2"/>
  <c r="K268" i="2"/>
  <c r="K238" i="2"/>
  <c r="K223" i="2"/>
  <c r="K208" i="2"/>
  <c r="K193" i="2"/>
  <c r="K177" i="2"/>
  <c r="K162" i="2"/>
  <c r="K72" i="2"/>
  <c r="K57" i="2"/>
  <c r="K42" i="2"/>
  <c r="K27" i="2"/>
  <c r="K12" i="2"/>
  <c r="P6" i="2" s="1"/>
  <c r="K922" i="2"/>
  <c r="M922" i="2" s="1"/>
  <c r="AA922" i="2"/>
  <c r="K1062" i="2"/>
  <c r="M1062" i="2" s="1"/>
  <c r="AA1062" i="2"/>
  <c r="K1075" i="2"/>
  <c r="M1075" i="2" s="1"/>
  <c r="AA1075" i="2"/>
  <c r="AA8" i="2"/>
  <c r="AA22" i="2"/>
  <c r="AA51" i="2"/>
  <c r="AA96" i="2"/>
  <c r="AA122" i="2"/>
  <c r="K122" i="2"/>
  <c r="AA140" i="2"/>
  <c r="AA158" i="2"/>
  <c r="AA186" i="2"/>
  <c r="AA222" i="2"/>
  <c r="AA266" i="2"/>
  <c r="AA308" i="2"/>
  <c r="AA352" i="2"/>
  <c r="M972" i="2"/>
  <c r="M946" i="2"/>
  <c r="M710" i="2"/>
  <c r="K636" i="2"/>
  <c r="M636" i="2" s="1"/>
  <c r="K536" i="2"/>
  <c r="M536" i="2" s="1"/>
  <c r="K461" i="2"/>
  <c r="M461" i="2" s="1"/>
  <c r="K436" i="2"/>
  <c r="M436" i="2" s="1"/>
  <c r="K411" i="2"/>
  <c r="M411" i="2" s="1"/>
  <c r="K357" i="2"/>
  <c r="K342" i="2"/>
  <c r="K312" i="2"/>
  <c r="K282" i="2"/>
  <c r="K207" i="2"/>
  <c r="K161" i="2"/>
  <c r="K116" i="2"/>
  <c r="K101" i="2"/>
  <c r="K56" i="2"/>
  <c r="K11" i="2"/>
  <c r="K367" i="2"/>
  <c r="AA367" i="2"/>
  <c r="AA384" i="2"/>
  <c r="AA389" i="2"/>
  <c r="AA486" i="2"/>
  <c r="AA525" i="2"/>
  <c r="AA570" i="2"/>
  <c r="AA670" i="2"/>
  <c r="M681" i="2"/>
  <c r="M692" i="2"/>
  <c r="K762" i="2"/>
  <c r="M762" i="2" s="1"/>
  <c r="AA762" i="2"/>
  <c r="K780" i="2"/>
  <c r="M780" i="2" s="1"/>
  <c r="AA780" i="2"/>
  <c r="K798" i="2"/>
  <c r="M798" i="2" s="1"/>
  <c r="AA798" i="2"/>
  <c r="AA917" i="2"/>
  <c r="K1093" i="2"/>
  <c r="M1093" i="2" s="1"/>
  <c r="AA1093" i="2"/>
  <c r="K1163" i="2"/>
  <c r="M1163" i="2" s="1"/>
  <c r="AA1163" i="2"/>
  <c r="K409" i="2"/>
  <c r="M409" i="2" s="1"/>
  <c r="K356" i="2"/>
  <c r="K326" i="2"/>
  <c r="K296" i="2"/>
  <c r="K281" i="2"/>
  <c r="K251" i="2"/>
  <c r="K236" i="2"/>
  <c r="K221" i="2"/>
  <c r="K175" i="2"/>
  <c r="K160" i="2"/>
  <c r="K145" i="2"/>
  <c r="K115" i="2"/>
  <c r="K70" i="2"/>
  <c r="K40" i="2"/>
  <c r="K25" i="2"/>
  <c r="K9" i="2"/>
  <c r="M525" i="2"/>
  <c r="K978" i="2"/>
  <c r="M978" i="2" s="1"/>
  <c r="AA978" i="2"/>
  <c r="K1044" i="2"/>
  <c r="M1044" i="2" s="1"/>
  <c r="AA1044" i="2"/>
  <c r="K1076" i="2"/>
  <c r="M1076" i="2" s="1"/>
  <c r="AA1076" i="2"/>
  <c r="M1112" i="2"/>
  <c r="AA52" i="2"/>
  <c r="K52" i="2"/>
  <c r="K480" i="2"/>
  <c r="M480" i="2" s="1"/>
  <c r="K325" i="2"/>
  <c r="K310" i="2"/>
  <c r="K295" i="2"/>
  <c r="K265" i="2"/>
  <c r="K235" i="2"/>
  <c r="K189" i="2"/>
  <c r="K159" i="2"/>
  <c r="K144" i="2"/>
  <c r="K114" i="2"/>
  <c r="K84" i="2"/>
  <c r="K54" i="2"/>
  <c r="K39" i="2"/>
  <c r="K23" i="2"/>
  <c r="K605" i="2"/>
  <c r="M605" i="2" s="1"/>
  <c r="AA605" i="2"/>
  <c r="K728" i="2"/>
  <c r="M728" i="2" s="1"/>
  <c r="AA728" i="2"/>
  <c r="K799" i="2"/>
  <c r="M799" i="2" s="1"/>
  <c r="AA799" i="2"/>
  <c r="K960" i="2"/>
  <c r="M960" i="2" s="1"/>
  <c r="AA960" i="2"/>
  <c r="K1026" i="2"/>
  <c r="M1026" i="2" s="1"/>
  <c r="AA1026" i="2"/>
  <c r="M1126" i="2"/>
  <c r="AA150" i="2"/>
  <c r="K150" i="2"/>
  <c r="AA10" i="2"/>
  <c r="AA98" i="2"/>
  <c r="AA142" i="2"/>
  <c r="AA206" i="2"/>
  <c r="AA259" i="2"/>
  <c r="AA276" i="2"/>
  <c r="AA354" i="2"/>
  <c r="M1128" i="2"/>
  <c r="K476" i="2"/>
  <c r="M476" i="2" s="1"/>
  <c r="K452" i="2"/>
  <c r="M452" i="2" s="1"/>
  <c r="K428" i="2"/>
  <c r="M428" i="2" s="1"/>
  <c r="K378" i="2"/>
  <c r="K339" i="2"/>
  <c r="K324" i="2"/>
  <c r="K309" i="2"/>
  <c r="K279" i="2"/>
  <c r="K249" i="2"/>
  <c r="K233" i="2"/>
  <c r="K203" i="2"/>
  <c r="K188" i="2"/>
  <c r="K143" i="2"/>
  <c r="K128" i="2"/>
  <c r="K83" i="2"/>
  <c r="K68" i="2"/>
  <c r="K53" i="2"/>
  <c r="K37" i="2"/>
  <c r="AA385" i="2"/>
  <c r="AA390" i="2"/>
  <c r="AA526" i="2"/>
  <c r="AA537" i="2"/>
  <c r="AA723" i="2"/>
  <c r="K740" i="2"/>
  <c r="M740" i="2" s="1"/>
  <c r="AA740" i="2"/>
  <c r="K502" i="2"/>
  <c r="M502" i="2" s="1"/>
  <c r="K426" i="2"/>
  <c r="M426" i="2" s="1"/>
  <c r="K353" i="2"/>
  <c r="K338" i="2"/>
  <c r="K293" i="2"/>
  <c r="K278" i="2"/>
  <c r="K263" i="2"/>
  <c r="K247" i="2"/>
  <c r="K232" i="2"/>
  <c r="K202" i="2"/>
  <c r="K187" i="2"/>
  <c r="K172" i="2"/>
  <c r="K157" i="2"/>
  <c r="K127" i="2"/>
  <c r="K97" i="2"/>
  <c r="K82" i="2"/>
  <c r="K67" i="2"/>
  <c r="M526" i="2"/>
  <c r="K560" i="2"/>
  <c r="M560" i="2" s="1"/>
  <c r="AA560" i="2"/>
  <c r="M723" i="2"/>
  <c r="K930" i="2"/>
  <c r="M930" i="2" s="1"/>
  <c r="AA930" i="2"/>
  <c r="AA346" i="2"/>
  <c r="K346" i="2"/>
  <c r="M987" i="2"/>
  <c r="M679" i="2"/>
  <c r="K474" i="2"/>
  <c r="M474" i="2" s="1"/>
  <c r="K322" i="2"/>
  <c r="K307" i="2"/>
  <c r="K277" i="2"/>
  <c r="K261" i="2"/>
  <c r="K246" i="2"/>
  <c r="K216" i="2"/>
  <c r="K201" i="2"/>
  <c r="K171" i="2"/>
  <c r="K141" i="2"/>
  <c r="K126" i="2"/>
  <c r="K111" i="2"/>
  <c r="K65" i="2"/>
  <c r="K35" i="2"/>
  <c r="AA413" i="2"/>
  <c r="K413" i="2"/>
  <c r="M413" i="2" s="1"/>
  <c r="K549" i="2"/>
  <c r="M549" i="2" s="1"/>
  <c r="AA549" i="2"/>
  <c r="K706" i="2"/>
  <c r="M706" i="2" s="1"/>
  <c r="AA706" i="2"/>
  <c r="K794" i="2"/>
  <c r="M794" i="2" s="1"/>
  <c r="AA794" i="2"/>
  <c r="M806" i="2"/>
  <c r="K872" i="2"/>
  <c r="M872" i="2" s="1"/>
  <c r="AA872" i="2"/>
  <c r="AA890" i="2"/>
  <c r="AA908" i="2"/>
  <c r="K943" i="2"/>
  <c r="M943" i="2" s="1"/>
  <c r="AA943" i="2"/>
  <c r="AA64" i="2"/>
  <c r="AA109" i="2"/>
  <c r="AA153" i="2"/>
  <c r="AA303" i="2"/>
  <c r="M986" i="2"/>
  <c r="K522" i="2"/>
  <c r="M522" i="2" s="1"/>
  <c r="K448" i="2"/>
  <c r="M448" i="2" s="1"/>
  <c r="K321" i="2"/>
  <c r="K291" i="2"/>
  <c r="K260" i="2"/>
  <c r="K215" i="2"/>
  <c r="K200" i="2"/>
  <c r="K185" i="2"/>
  <c r="K170" i="2"/>
  <c r="K155" i="2"/>
  <c r="K110" i="2"/>
  <c r="K79" i="2"/>
  <c r="K49" i="2"/>
  <c r="AA370" i="2"/>
  <c r="AA386" i="2"/>
  <c r="AA408" i="2"/>
  <c r="AA420" i="2"/>
  <c r="AA431" i="2"/>
  <c r="K431" i="2"/>
  <c r="M431" i="2" s="1"/>
  <c r="AA437" i="2"/>
  <c r="AA454" i="2"/>
  <c r="M460" i="2"/>
  <c r="AA477" i="2"/>
  <c r="M499" i="2"/>
  <c r="AA561" i="2"/>
  <c r="AA578" i="2"/>
  <c r="AA584" i="2"/>
  <c r="AA667" i="2"/>
  <c r="K824" i="2"/>
  <c r="M824" i="2" s="1"/>
  <c r="AA824" i="2"/>
  <c r="K855" i="2"/>
  <c r="M855" i="2" s="1"/>
  <c r="AA855" i="2"/>
  <c r="K1004" i="2"/>
  <c r="M1004" i="2" s="1"/>
  <c r="AA1004" i="2"/>
  <c r="K1296" i="2"/>
  <c r="M1296" i="2" s="1"/>
  <c r="AA1296" i="2"/>
  <c r="M1226" i="2"/>
  <c r="M1184" i="2"/>
  <c r="M470" i="2"/>
  <c r="K421" i="2"/>
  <c r="M421" i="2" s="1"/>
  <c r="K335" i="2"/>
  <c r="K320" i="2"/>
  <c r="K229" i="2"/>
  <c r="K199" i="2"/>
  <c r="K169" i="2"/>
  <c r="K154" i="2"/>
  <c r="K93" i="2"/>
  <c r="K78" i="2"/>
  <c r="K33" i="2"/>
  <c r="M667" i="2"/>
  <c r="AA695" i="2"/>
  <c r="K695" i="2"/>
  <c r="M695" i="2" s="1"/>
  <c r="AA38" i="2"/>
  <c r="AA136" i="2"/>
  <c r="K136" i="2"/>
  <c r="AA262" i="2"/>
  <c r="AA304" i="2"/>
  <c r="K304" i="2"/>
  <c r="AA349" i="2"/>
  <c r="M958" i="2"/>
  <c r="K519" i="2"/>
  <c r="M519" i="2" s="1"/>
  <c r="K334" i="2"/>
  <c r="K273" i="2"/>
  <c r="K258" i="2"/>
  <c r="K243" i="2"/>
  <c r="K213" i="2"/>
  <c r="K123" i="2"/>
  <c r="K107" i="2"/>
  <c r="K92" i="2"/>
  <c r="K47" i="2"/>
  <c r="AA432" i="2"/>
  <c r="AA528" i="2"/>
  <c r="K528" i="2"/>
  <c r="M528" i="2" s="1"/>
  <c r="AA534" i="2"/>
  <c r="AA556" i="2"/>
  <c r="M596" i="2"/>
  <c r="AA662" i="2"/>
  <c r="K719" i="2"/>
  <c r="M719" i="2" s="1"/>
  <c r="AA719" i="2"/>
  <c r="K825" i="2"/>
  <c r="M825" i="2" s="1"/>
  <c r="AA825" i="2"/>
  <c r="M628" i="2"/>
  <c r="M582" i="2"/>
  <c r="AA1220" i="2"/>
  <c r="AA1225" i="2"/>
  <c r="AA1275" i="2"/>
  <c r="M1170" i="2"/>
  <c r="M468" i="2"/>
  <c r="M652" i="2"/>
  <c r="M1014" i="2"/>
  <c r="AA1071" i="2"/>
  <c r="AA1114" i="2"/>
  <c r="AA1182" i="2"/>
  <c r="AA1199" i="2"/>
  <c r="AA1282" i="2"/>
  <c r="M1114" i="2"/>
  <c r="M1182" i="2"/>
  <c r="M1282" i="2"/>
  <c r="M944" i="2"/>
  <c r="AA1445" i="2"/>
  <c r="AA1222" i="2"/>
  <c r="AA1261" i="2"/>
  <c r="AA1322" i="2"/>
  <c r="AA1366" i="2"/>
  <c r="AA1423" i="2"/>
  <c r="AA1234" i="2"/>
  <c r="AA1251" i="2"/>
  <c r="M1506" i="2"/>
  <c r="M608" i="2"/>
  <c r="AA1185" i="2"/>
  <c r="AA1229" i="2"/>
  <c r="AA1268" i="2"/>
  <c r="AA1312" i="2"/>
  <c r="AA1334" i="2"/>
  <c r="AA1356" i="2"/>
  <c r="M1185" i="2"/>
  <c r="M1268" i="2"/>
  <c r="M1508" i="2"/>
  <c r="AA1502" i="2"/>
  <c r="M1519" i="2"/>
  <c r="AA1480" i="2"/>
  <c r="AA1494" i="2"/>
  <c r="AA1490" i="2"/>
  <c r="AA1491" i="2"/>
  <c r="K1497" i="2"/>
  <c r="M1497" i="2" s="1"/>
  <c r="K1483" i="2"/>
  <c r="M1483" i="2" s="1"/>
  <c r="AA1458" i="2"/>
  <c r="AA1472" i="2"/>
  <c r="K1475" i="2"/>
  <c r="M1475" i="2" s="1"/>
  <c r="K1461" i="2"/>
  <c r="M1461" i="2" s="1"/>
  <c r="AA1468" i="2"/>
  <c r="AA1469" i="2"/>
  <c r="K1453" i="2"/>
  <c r="M1453" i="2" s="1"/>
  <c r="K1439" i="2"/>
  <c r="M1439" i="2" s="1"/>
  <c r="AA1436" i="2"/>
  <c r="AA1450" i="2"/>
  <c r="AA1446" i="2"/>
  <c r="K1447" i="2"/>
  <c r="M1447" i="2" s="1"/>
  <c r="K1431" i="2"/>
  <c r="M1431" i="2" s="1"/>
  <c r="K1417" i="2"/>
  <c r="M1417" i="2" s="1"/>
  <c r="AA1414" i="2"/>
  <c r="AA1424" i="2"/>
  <c r="K1425" i="2"/>
  <c r="M1425" i="2" s="1"/>
  <c r="K1407" i="2"/>
  <c r="M1407" i="2" s="1"/>
  <c r="K1393" i="2"/>
  <c r="M1393" i="2" s="1"/>
  <c r="K1406" i="2"/>
  <c r="M1406" i="2" s="1"/>
  <c r="K1392" i="2"/>
  <c r="M1392" i="2" s="1"/>
  <c r="AA1396" i="2"/>
  <c r="AA1410" i="2"/>
  <c r="K1409" i="2"/>
  <c r="M1409" i="2" s="1"/>
  <c r="K1395" i="2"/>
  <c r="M1395" i="2" s="1"/>
  <c r="AA1370" i="2"/>
  <c r="AA1384" i="2"/>
  <c r="AA1371" i="2"/>
  <c r="AA1385" i="2"/>
  <c r="K1387" i="2"/>
  <c r="M1387" i="2" s="1"/>
  <c r="K1373" i="2"/>
  <c r="M1373" i="2" s="1"/>
  <c r="AA1348" i="2"/>
  <c r="AA1362" i="2"/>
  <c r="K1365" i="2"/>
  <c r="M1365" i="2" s="1"/>
  <c r="K1351" i="2"/>
  <c r="M1351" i="2" s="1"/>
  <c r="K1343" i="2"/>
  <c r="M1343" i="2" s="1"/>
  <c r="K1329" i="2"/>
  <c r="M1329" i="2" s="1"/>
  <c r="K1323" i="2"/>
  <c r="M1323" i="2" s="1"/>
  <c r="K1309" i="2"/>
  <c r="M1309" i="2" s="1"/>
  <c r="K1321" i="2"/>
  <c r="M1321" i="2" s="1"/>
  <c r="K1307" i="2"/>
  <c r="M1307" i="2" s="1"/>
  <c r="AA1305" i="2"/>
  <c r="AA1319" i="2"/>
  <c r="K1316" i="2"/>
  <c r="M1316" i="2" s="1"/>
  <c r="K1297" i="2"/>
  <c r="M1297" i="2" s="1"/>
  <c r="K1283" i="2"/>
  <c r="M1283" i="2" s="1"/>
  <c r="AA1293" i="2"/>
  <c r="K1299" i="2"/>
  <c r="M1299" i="2" s="1"/>
  <c r="K1285" i="2"/>
  <c r="M1285" i="2" s="1"/>
  <c r="AA1269" i="2"/>
  <c r="K1277" i="2"/>
  <c r="M1277" i="2" s="1"/>
  <c r="K1263" i="2"/>
  <c r="M1263" i="2" s="1"/>
  <c r="AA1270" i="2"/>
  <c r="AA1243" i="2"/>
  <c r="AA1257" i="2"/>
  <c r="AA1248" i="2"/>
  <c r="AA1244" i="2"/>
  <c r="AA1258" i="2"/>
  <c r="K1255" i="2"/>
  <c r="M1255" i="2" s="1"/>
  <c r="K1241" i="2"/>
  <c r="M1241" i="2" s="1"/>
  <c r="K1219" i="2"/>
  <c r="M1219" i="2" s="1"/>
  <c r="K1227" i="2"/>
  <c r="M1227" i="2" s="1"/>
  <c r="AA1236" i="2"/>
  <c r="K1211" i="2"/>
  <c r="M1211" i="2" s="1"/>
  <c r="K1197" i="2"/>
  <c r="M1197" i="2" s="1"/>
  <c r="K1205" i="2"/>
  <c r="M1205" i="2" s="1"/>
  <c r="AA1181" i="2"/>
  <c r="K1189" i="2"/>
  <c r="M1189" i="2" s="1"/>
  <c r="K1175" i="2"/>
  <c r="M1175" i="2" s="1"/>
  <c r="K1150" i="2"/>
  <c r="M1150" i="2" s="1"/>
  <c r="AA1160" i="2"/>
  <c r="AA1156" i="2"/>
  <c r="AA1170" i="2"/>
  <c r="K1167" i="2"/>
  <c r="M1167" i="2" s="1"/>
  <c r="K1153" i="2"/>
  <c r="M1153" i="2" s="1"/>
  <c r="K1139" i="2"/>
  <c r="M1139" i="2" s="1"/>
  <c r="K1145" i="2"/>
  <c r="M1145" i="2" s="1"/>
  <c r="K1131" i="2"/>
  <c r="M1131" i="2" s="1"/>
  <c r="AA1110" i="2"/>
  <c r="AA1124" i="2"/>
  <c r="AA1115" i="2"/>
  <c r="M1125" i="2"/>
  <c r="AA1112" i="2"/>
  <c r="AA1126" i="2"/>
  <c r="K1101" i="2"/>
  <c r="M1101" i="2" s="1"/>
  <c r="K1087" i="2"/>
  <c r="M1087" i="2" s="1"/>
  <c r="AA1090" i="2"/>
  <c r="AA1104" i="2"/>
  <c r="AA1070" i="2"/>
  <c r="AA1072" i="2"/>
  <c r="K1073" i="2"/>
  <c r="M1073" i="2" s="1"/>
  <c r="K1055" i="2"/>
  <c r="M1055" i="2" s="1"/>
  <c r="K1041" i="2"/>
  <c r="M1041" i="2" s="1"/>
  <c r="AA1053" i="2"/>
  <c r="K1051" i="2"/>
  <c r="M1051" i="2" s="1"/>
  <c r="AA1045" i="2"/>
  <c r="AA1059" i="2"/>
  <c r="K1057" i="2"/>
  <c r="M1057" i="2" s="1"/>
  <c r="K1043" i="2"/>
  <c r="M1043" i="2" s="1"/>
  <c r="AA1022" i="2"/>
  <c r="AA1036" i="2"/>
  <c r="K1035" i="2"/>
  <c r="M1035" i="2" s="1"/>
  <c r="K1021" i="2"/>
  <c r="M1021" i="2" s="1"/>
  <c r="K1003" i="2"/>
  <c r="M1003" i="2" s="1"/>
  <c r="K1002" i="2"/>
  <c r="M1002" i="2" s="1"/>
  <c r="AA997" i="2"/>
  <c r="AA1011" i="2"/>
  <c r="K1013" i="2"/>
  <c r="M1013" i="2" s="1"/>
  <c r="K999" i="2"/>
  <c r="M999" i="2" s="1"/>
  <c r="AA975" i="2"/>
  <c r="AA989" i="2"/>
  <c r="K991" i="2"/>
  <c r="M991" i="2" s="1"/>
  <c r="K977" i="2"/>
  <c r="M977" i="2" s="1"/>
  <c r="AA952" i="2"/>
  <c r="AA966" i="2"/>
  <c r="AA953" i="2"/>
  <c r="AA967" i="2"/>
  <c r="K969" i="2"/>
  <c r="M969" i="2" s="1"/>
  <c r="K955" i="2"/>
  <c r="M955" i="2" s="1"/>
  <c r="K945" i="2"/>
  <c r="M945" i="2" s="1"/>
  <c r="K931" i="2"/>
  <c r="M931" i="2" s="1"/>
  <c r="K947" i="2"/>
  <c r="M947" i="2" s="1"/>
  <c r="K933" i="2"/>
  <c r="M933" i="2" s="1"/>
  <c r="M940" i="2"/>
  <c r="AA918" i="2"/>
  <c r="AA919" i="2"/>
  <c r="K911" i="2"/>
  <c r="M911" i="2" s="1"/>
  <c r="K925" i="2"/>
  <c r="M925" i="2" s="1"/>
  <c r="K903" i="2"/>
  <c r="M903" i="2" s="1"/>
  <c r="K889" i="2"/>
  <c r="M889" i="2" s="1"/>
  <c r="AA896" i="2"/>
  <c r="K884" i="2"/>
  <c r="M884" i="2" s="1"/>
  <c r="K870" i="2"/>
  <c r="M870" i="2" s="1"/>
  <c r="K883" i="2"/>
  <c r="M883" i="2" s="1"/>
  <c r="K869" i="2"/>
  <c r="M869" i="2" s="1"/>
  <c r="AA873" i="2"/>
  <c r="K857" i="2"/>
  <c r="M857" i="2" s="1"/>
  <c r="K843" i="2"/>
  <c r="M843" i="2" s="1"/>
  <c r="K859" i="2"/>
  <c r="M859" i="2" s="1"/>
  <c r="AA852" i="2"/>
  <c r="K845" i="2"/>
  <c r="M845" i="2" s="1"/>
  <c r="K834" i="2"/>
  <c r="M834" i="2" s="1"/>
  <c r="K820" i="2"/>
  <c r="M820" i="2" s="1"/>
  <c r="K823" i="2"/>
  <c r="M823" i="2" s="1"/>
  <c r="K807" i="2"/>
  <c r="M807" i="2" s="1"/>
  <c r="K818" i="2"/>
  <c r="M818" i="2" s="1"/>
  <c r="K804" i="2"/>
  <c r="M804" i="2" s="1"/>
  <c r="K815" i="2"/>
  <c r="M815" i="2" s="1"/>
  <c r="K801" i="2"/>
  <c r="M801" i="2" s="1"/>
  <c r="AA785" i="2"/>
  <c r="M796" i="2"/>
  <c r="K793" i="2"/>
  <c r="M793" i="2" s="1"/>
  <c r="K779" i="2"/>
  <c r="M779" i="2" s="1"/>
  <c r="K764" i="2"/>
  <c r="M764" i="2" s="1"/>
  <c r="K771" i="2"/>
  <c r="M771" i="2" s="1"/>
  <c r="K757" i="2"/>
  <c r="M757" i="2" s="1"/>
  <c r="AA742" i="2"/>
  <c r="AA738" i="2"/>
  <c r="AA752" i="2"/>
  <c r="K749" i="2"/>
  <c r="M749" i="2" s="1"/>
  <c r="K735" i="2"/>
  <c r="M735" i="2" s="1"/>
  <c r="K721" i="2"/>
  <c r="M721" i="2" s="1"/>
  <c r="AA715" i="2"/>
  <c r="AA729" i="2"/>
  <c r="M712" i="2"/>
  <c r="K727" i="2"/>
  <c r="M727" i="2" s="1"/>
  <c r="K713" i="2"/>
  <c r="M713" i="2" s="1"/>
  <c r="K699" i="2"/>
  <c r="M699" i="2" s="1"/>
  <c r="K698" i="2"/>
  <c r="M698" i="2" s="1"/>
  <c r="K705" i="2"/>
  <c r="M705" i="2" s="1"/>
  <c r="K691" i="2"/>
  <c r="M691" i="2" s="1"/>
  <c r="M670" i="2"/>
  <c r="K676" i="2"/>
  <c r="M676" i="2" s="1"/>
  <c r="K686" i="2"/>
  <c r="M686" i="2" s="1"/>
  <c r="K672" i="2"/>
  <c r="M672" i="2" s="1"/>
  <c r="K683" i="2"/>
  <c r="M683" i="2" s="1"/>
  <c r="K669" i="2"/>
  <c r="M669" i="2" s="1"/>
  <c r="AA644" i="2"/>
  <c r="AA658" i="2"/>
  <c r="K661" i="2"/>
  <c r="M661" i="2" s="1"/>
  <c r="K647" i="2"/>
  <c r="M647" i="2" s="1"/>
  <c r="AA645" i="2"/>
  <c r="AA659" i="2"/>
  <c r="AA655" i="2"/>
  <c r="AA635" i="2"/>
  <c r="AA622" i="2"/>
  <c r="AA633" i="2"/>
  <c r="K619" i="2"/>
  <c r="M619" i="2" s="1"/>
  <c r="AA608" i="2"/>
  <c r="AA613" i="2"/>
  <c r="AA609" i="2"/>
  <c r="AA610" i="2"/>
  <c r="K611" i="2"/>
  <c r="M611" i="2" s="1"/>
  <c r="AA606" i="2"/>
  <c r="AA620" i="2"/>
  <c r="AA591" i="2"/>
  <c r="K581" i="2"/>
  <c r="M581" i="2" s="1"/>
  <c r="K599" i="2"/>
  <c r="M599" i="2" s="1"/>
  <c r="K585" i="2"/>
  <c r="M585" i="2" s="1"/>
  <c r="K576" i="2"/>
  <c r="M576" i="2" s="1"/>
  <c r="K562" i="2"/>
  <c r="M562" i="2" s="1"/>
  <c r="AA557" i="2"/>
  <c r="AA571" i="2"/>
  <c r="K573" i="2"/>
  <c r="M573" i="2" s="1"/>
  <c r="K559" i="2"/>
  <c r="M559" i="2" s="1"/>
  <c r="K543" i="2"/>
  <c r="M543" i="2" s="1"/>
  <c r="K546" i="2"/>
  <c r="M546" i="2" s="1"/>
  <c r="K540" i="2"/>
  <c r="M540" i="2" s="1"/>
  <c r="M530" i="2"/>
  <c r="K529" i="2"/>
  <c r="M529" i="2" s="1"/>
  <c r="K515" i="2"/>
  <c r="M515" i="2" s="1"/>
  <c r="K507" i="2"/>
  <c r="M507" i="2" s="1"/>
  <c r="K493" i="2"/>
  <c r="M493" i="2" s="1"/>
  <c r="AA490" i="2"/>
  <c r="AA504" i="2"/>
  <c r="K505" i="2"/>
  <c r="M505" i="2" s="1"/>
  <c r="K491" i="2"/>
  <c r="M491" i="2" s="1"/>
  <c r="K485" i="2"/>
  <c r="M485" i="2" s="1"/>
  <c r="K471" i="2"/>
  <c r="M471" i="2" s="1"/>
  <c r="AA478" i="2"/>
  <c r="AA459" i="2"/>
  <c r="K463" i="2"/>
  <c r="M463" i="2" s="1"/>
  <c r="K449" i="2"/>
  <c r="M449" i="2" s="1"/>
  <c r="AA455" i="2"/>
  <c r="K457" i="2"/>
  <c r="M457" i="2" s="1"/>
  <c r="M432" i="2"/>
  <c r="K441" i="2"/>
  <c r="M441" i="2" s="1"/>
  <c r="K427" i="2"/>
  <c r="M427" i="2" s="1"/>
  <c r="AA434" i="2"/>
  <c r="K435" i="2"/>
  <c r="M435" i="2" s="1"/>
  <c r="AA415" i="2"/>
  <c r="AA412" i="2"/>
  <c r="AA400" i="2"/>
  <c r="K397" i="2"/>
  <c r="K383" i="2"/>
  <c r="K368" i="2"/>
  <c r="K379" i="2"/>
  <c r="K365" i="2"/>
  <c r="K375" i="2"/>
  <c r="K361" i="2"/>
  <c r="M956" i="2"/>
  <c r="M802" i="2"/>
  <c r="M858" i="2"/>
  <c r="M816" i="2"/>
  <c r="M1352" i="2"/>
  <c r="M1364" i="2"/>
  <c r="M1280" i="2"/>
  <c r="M1266" i="2"/>
  <c r="M1300" i="2"/>
  <c r="M1286" i="2"/>
  <c r="M1244" i="2"/>
  <c r="M1230" i="2"/>
  <c r="M1216" i="2"/>
  <c r="M1202" i="2"/>
  <c r="M1160" i="2"/>
  <c r="M1132" i="2"/>
  <c r="M1495" i="2"/>
  <c r="M1339" i="2"/>
  <c r="M1325" i="2"/>
  <c r="M1269" i="2"/>
  <c r="M1213" i="2"/>
  <c r="M1199" i="2"/>
  <c r="M1273" i="2"/>
  <c r="M1231" i="2"/>
  <c r="M965" i="2"/>
  <c r="M1341" i="2"/>
  <c r="M1327" i="2"/>
  <c r="M1313" i="2"/>
  <c r="M1385" i="2"/>
  <c r="M1245" i="2"/>
  <c r="M1203" i="2"/>
  <c r="M1161" i="2"/>
  <c r="M1119" i="2"/>
  <c r="M1394" i="2"/>
  <c r="M1436" i="2"/>
  <c r="M1344" i="2"/>
  <c r="M1246" i="2"/>
  <c r="M1371" i="2"/>
  <c r="M1340" i="2"/>
  <c r="M1381" i="2"/>
  <c r="M1209" i="2"/>
  <c r="M1190" i="2"/>
  <c r="M1237" i="2"/>
  <c r="M1223" i="2"/>
  <c r="M1181" i="2"/>
  <c r="M952" i="2"/>
  <c r="M1176" i="2"/>
  <c r="M966" i="2"/>
  <c r="M1465" i="2"/>
  <c r="M1423" i="2"/>
  <c r="M1134" i="2"/>
  <c r="M994" i="2"/>
  <c r="M1253" i="2"/>
  <c r="M1169" i="2"/>
  <c r="M1155" i="2"/>
  <c r="M1348" i="2"/>
  <c r="M1334" i="2"/>
  <c r="M1292" i="2"/>
  <c r="M1236" i="2"/>
  <c r="M1222" i="2"/>
  <c r="M1208" i="2"/>
  <c r="M1194" i="2"/>
  <c r="M1152" i="2"/>
  <c r="M1124" i="2"/>
  <c r="M1110" i="2"/>
  <c r="M1141" i="2"/>
  <c r="M1444" i="2"/>
  <c r="M813" i="2"/>
  <c r="M1469" i="2"/>
  <c r="M1482" i="2"/>
  <c r="M1356" i="2"/>
  <c r="M1201" i="2"/>
  <c r="M1312" i="2"/>
  <c r="M1214" i="2"/>
  <c r="M1427" i="2"/>
  <c r="M1225" i="2"/>
  <c r="M1442" i="2"/>
  <c r="M1386" i="2"/>
  <c r="M1274" i="2"/>
  <c r="M1454" i="2"/>
  <c r="M990" i="2"/>
  <c r="M948" i="2"/>
  <c r="M682" i="2"/>
  <c r="M556" i="2"/>
  <c r="M1521" i="2"/>
  <c r="M1463" i="2"/>
  <c r="M1491" i="2"/>
  <c r="M1449" i="2"/>
  <c r="M1267" i="2"/>
  <c r="M1434" i="2"/>
  <c r="M1295" i="2"/>
  <c r="M1290" i="2"/>
  <c r="M1414" i="2"/>
  <c r="M1424" i="2"/>
  <c r="M1396" i="2"/>
  <c r="M1284" i="2"/>
  <c r="M1256" i="2"/>
  <c r="M1144" i="2"/>
  <c r="M1116" i="2"/>
  <c r="M752" i="2"/>
  <c r="M668" i="2"/>
  <c r="M570" i="2"/>
  <c r="M542" i="2"/>
  <c r="M514" i="2"/>
  <c r="M472" i="2"/>
  <c r="M1413" i="2"/>
  <c r="M1410" i="2"/>
  <c r="M1298" i="2"/>
  <c r="M1158" i="2"/>
  <c r="M738" i="2"/>
  <c r="M654" i="2"/>
  <c r="M626" i="2"/>
  <c r="M486" i="2"/>
  <c r="M1455" i="2"/>
  <c r="M1493" i="2"/>
  <c r="M1479" i="2"/>
  <c r="M1496" i="2"/>
  <c r="M1440" i="2"/>
  <c r="M1426" i="2"/>
  <c r="M1412" i="2"/>
  <c r="M1398" i="2"/>
  <c r="M1384" i="2"/>
  <c r="M1370" i="2"/>
  <c r="M1258" i="2"/>
  <c r="M949" i="2"/>
  <c r="M725" i="2"/>
  <c r="M613" i="2"/>
  <c r="M571" i="2"/>
  <c r="M557" i="2"/>
  <c r="M1450" i="2"/>
  <c r="M1338" i="2"/>
  <c r="M1127" i="2"/>
  <c r="M1378" i="2"/>
  <c r="M1350" i="2"/>
  <c r="M1322" i="2"/>
  <c r="M1294" i="2"/>
  <c r="M1458" i="2"/>
  <c r="M1332" i="2"/>
  <c r="M1304" i="2"/>
  <c r="M1276" i="2"/>
  <c r="M1248" i="2"/>
  <c r="M1234" i="2"/>
  <c r="M1220" i="2"/>
  <c r="M1229" i="2"/>
  <c r="M697" i="2"/>
  <c r="M1484" i="2"/>
  <c r="M1470" i="2"/>
  <c r="M1456" i="2"/>
  <c r="M1428" i="2"/>
  <c r="M1218" i="2"/>
  <c r="M1162" i="2"/>
  <c r="M1326" i="2"/>
  <c r="M1451" i="2"/>
  <c r="M1422" i="2"/>
  <c r="M1366" i="2"/>
  <c r="M1504" i="2"/>
  <c r="M1472" i="2"/>
  <c r="M1293" i="2"/>
  <c r="M1251" i="2"/>
  <c r="M1317" i="2"/>
  <c r="M953" i="2"/>
  <c r="M785" i="2"/>
  <c r="M1494" i="2"/>
  <c r="M1480" i="2"/>
  <c r="M1502" i="2"/>
  <c r="M1446" i="2"/>
  <c r="M1515" i="2"/>
  <c r="M1501" i="2"/>
  <c r="M1487" i="2"/>
  <c r="M1459" i="2"/>
  <c r="M1445" i="2"/>
  <c r="M1375" i="2"/>
  <c r="M1319" i="2"/>
  <c r="M1291" i="2"/>
  <c r="M1249" i="2"/>
  <c r="M1137" i="2"/>
  <c r="M1416" i="2"/>
  <c r="M1388" i="2"/>
  <c r="M1318" i="2"/>
  <c r="M1460" i="2"/>
  <c r="M1471" i="2"/>
  <c r="M1443" i="2"/>
  <c r="M1429" i="2"/>
  <c r="M1401" i="2"/>
  <c r="M1345" i="2"/>
  <c r="M1331" i="2"/>
  <c r="M1303" i="2"/>
  <c r="M1275" i="2"/>
  <c r="M1261" i="2"/>
  <c r="M1247" i="2"/>
  <c r="M1121" i="2"/>
  <c r="M1107" i="2"/>
  <c r="M1517" i="2"/>
  <c r="M1433" i="2"/>
  <c r="M1335" i="2"/>
  <c r="M1474" i="2"/>
  <c r="M1362" i="2"/>
  <c r="M1490" i="2"/>
  <c r="M1468" i="2"/>
  <c r="M1441" i="2"/>
  <c r="M1437" i="2"/>
  <c r="M1399" i="2"/>
  <c r="M1374" i="2"/>
  <c r="M1330" i="2"/>
  <c r="M1308" i="2"/>
  <c r="M1305" i="2"/>
  <c r="M1287" i="2"/>
  <c r="M1264" i="2"/>
  <c r="M1270" i="2"/>
  <c r="M1239" i="2"/>
  <c r="M1243" i="2"/>
  <c r="M1257" i="2"/>
  <c r="M984" i="2"/>
  <c r="M1005" i="2"/>
  <c r="M1047" i="2"/>
  <c r="M1061" i="2"/>
  <c r="M1082" i="2"/>
  <c r="M1089" i="2"/>
  <c r="M1096" i="2"/>
  <c r="M1103" i="2"/>
  <c r="M1090" i="2"/>
  <c r="M1008" i="2"/>
  <c r="M1022" i="2"/>
  <c r="M1036" i="2"/>
  <c r="M1064" i="2"/>
  <c r="M1071" i="2"/>
  <c r="M1078" i="2"/>
  <c r="M1085" i="2"/>
  <c r="M1092" i="2"/>
  <c r="M967" i="2"/>
  <c r="M988" i="2"/>
  <c r="M1009" i="2"/>
  <c r="M1016" i="2"/>
  <c r="M1023" i="2"/>
  <c r="M1037" i="2"/>
  <c r="M1058" i="2"/>
  <c r="M1065" i="2"/>
  <c r="M1086" i="2"/>
  <c r="M1100" i="2"/>
  <c r="M989" i="2"/>
  <c r="M996" i="2"/>
  <c r="M1031" i="2"/>
  <c r="M1038" i="2"/>
  <c r="M1045" i="2"/>
  <c r="M1052" i="2"/>
  <c r="M1059" i="2"/>
  <c r="M1066" i="2"/>
  <c r="M1094" i="2"/>
  <c r="M997" i="2"/>
  <c r="M1053" i="2"/>
  <c r="M1233" i="2"/>
  <c r="M1204" i="2"/>
  <c r="M1198" i="2"/>
  <c r="M1138" i="2"/>
  <c r="M1115" i="2"/>
  <c r="M1123" i="2"/>
  <c r="M1102" i="2"/>
  <c r="M1104" i="2"/>
  <c r="M1070" i="2"/>
  <c r="M1084" i="2"/>
  <c r="M1098" i="2"/>
  <c r="M1105" i="2"/>
  <c r="Q39" i="20"/>
  <c r="M1077" i="2"/>
  <c r="M1072" i="2"/>
  <c r="M1079" i="2"/>
  <c r="M812" i="2"/>
  <c r="M819" i="2"/>
  <c r="M826" i="2"/>
  <c r="M840" i="2"/>
  <c r="M847" i="2"/>
  <c r="M861" i="2"/>
  <c r="M786" i="2"/>
  <c r="M814" i="2"/>
  <c r="M828" i="2"/>
  <c r="M797" i="2"/>
  <c r="M811" i="2"/>
  <c r="M860" i="2"/>
  <c r="M874" i="2"/>
  <c r="M1050" i="2"/>
  <c r="M1048" i="2"/>
  <c r="M856" i="2"/>
  <c r="M1027" i="2"/>
  <c r="M1033" i="2"/>
  <c r="M1010" i="2"/>
  <c r="M1011" i="2"/>
  <c r="M924" i="2"/>
  <c r="M983" i="2"/>
  <c r="M992" i="2"/>
  <c r="M979" i="2"/>
  <c r="M980" i="2"/>
  <c r="M974" i="2"/>
  <c r="M975" i="2"/>
  <c r="M982" i="2"/>
  <c r="M852" i="2"/>
  <c r="M873" i="2"/>
  <c r="M880" i="2"/>
  <c r="M968" i="2"/>
  <c r="M957" i="2"/>
  <c r="M875" i="2"/>
  <c r="M808" i="2"/>
  <c r="M829" i="2"/>
  <c r="M850" i="2"/>
  <c r="M917" i="2"/>
  <c r="M929" i="2"/>
  <c r="M913" i="2"/>
  <c r="M919" i="2"/>
  <c r="M918" i="2"/>
  <c r="M923" i="2"/>
  <c r="M916" i="2"/>
  <c r="M908" i="2"/>
  <c r="M939" i="2"/>
  <c r="M934" i="2"/>
  <c r="M936" i="2"/>
  <c r="M932" i="2"/>
  <c r="M914" i="2"/>
  <c r="M896" i="2"/>
  <c r="M912" i="2"/>
  <c r="M862" i="2"/>
  <c r="M877" i="2"/>
  <c r="M891" i="2"/>
  <c r="M899" i="2"/>
  <c r="M886" i="2"/>
  <c r="M900" i="2"/>
  <c r="M901" i="2"/>
  <c r="M921" i="2"/>
  <c r="M926" i="2"/>
  <c r="M895" i="2"/>
  <c r="M890" i="2"/>
  <c r="M868" i="2"/>
  <c r="M864" i="2"/>
  <c r="M865" i="2"/>
  <c r="M842" i="2"/>
  <c r="M838" i="2"/>
  <c r="M822" i="2"/>
  <c r="M809" i="2"/>
  <c r="M817" i="2"/>
  <c r="M800" i="2"/>
  <c r="M777" i="2"/>
  <c r="M776" i="2"/>
  <c r="M787" i="2"/>
  <c r="M784" i="2"/>
  <c r="M763" i="2"/>
  <c r="M481" i="2"/>
  <c r="M756" i="2"/>
  <c r="M745" i="2"/>
  <c r="M591" i="2"/>
  <c r="M535" i="2"/>
  <c r="M437" i="2"/>
  <c r="M702" i="2"/>
  <c r="M506" i="2"/>
  <c r="M478" i="2"/>
  <c r="M422" i="2"/>
  <c r="M408" i="2"/>
  <c r="M733" i="2"/>
  <c r="M663" i="2"/>
  <c r="M635" i="2"/>
  <c r="M579" i="2"/>
  <c r="M523" i="2"/>
  <c r="M439" i="2"/>
  <c r="M769" i="2"/>
  <c r="M459" i="2"/>
  <c r="M648" i="2"/>
  <c r="M578" i="2"/>
  <c r="M675" i="2"/>
  <c r="M730" i="2"/>
  <c r="M604" i="2"/>
  <c r="M758" i="2"/>
  <c r="M662" i="2"/>
  <c r="M592" i="2"/>
  <c r="M424" i="2"/>
  <c r="M729" i="2"/>
  <c r="M715" i="2"/>
  <c r="M701" i="2"/>
  <c r="M659" i="2"/>
  <c r="M589" i="2"/>
  <c r="M575" i="2"/>
  <c r="M561" i="2"/>
  <c r="M547" i="2"/>
  <c r="M477" i="2"/>
  <c r="M620" i="2"/>
  <c r="M438" i="2"/>
  <c r="M451" i="2"/>
  <c r="M742" i="2"/>
  <c r="M714" i="2"/>
  <c r="M658" i="2"/>
  <c r="M574" i="2"/>
  <c r="M504" i="2"/>
  <c r="M490" i="2"/>
  <c r="M434" i="2"/>
  <c r="M420" i="2"/>
  <c r="M406" i="2"/>
  <c r="M606" i="2"/>
  <c r="M564" i="2"/>
  <c r="M410" i="2"/>
  <c r="M633" i="2"/>
  <c r="M685" i="2"/>
  <c r="M657" i="2"/>
  <c r="M601" i="2"/>
  <c r="M517" i="2"/>
  <c r="M503" i="2"/>
  <c r="M433" i="2"/>
  <c r="M761" i="2"/>
  <c r="E35" i="13"/>
  <c r="E51" i="13" s="1"/>
  <c r="E33" i="13"/>
  <c r="E45" i="13" s="1"/>
  <c r="E32" i="13"/>
  <c r="E42" i="13" s="1"/>
  <c r="E34" i="13"/>
  <c r="E48" i="13" s="1"/>
  <c r="D51" i="13"/>
  <c r="E36" i="13"/>
  <c r="M736" i="2"/>
  <c r="M743" i="2"/>
  <c r="M734" i="2"/>
  <c r="M741" i="2"/>
  <c r="M718" i="2"/>
  <c r="M690" i="2"/>
  <c r="M655" i="2"/>
  <c r="M649" i="2"/>
  <c r="M644" i="2"/>
  <c r="M645" i="2"/>
  <c r="M646" i="2"/>
  <c r="M640" i="2"/>
  <c r="M630" i="2"/>
  <c r="M617" i="2"/>
  <c r="M615" i="2"/>
  <c r="M584" i="2"/>
  <c r="M586" i="2"/>
  <c r="M520" i="2"/>
  <c r="M548" i="2"/>
  <c r="M487" i="2"/>
  <c r="M494" i="2"/>
  <c r="M508" i="2"/>
  <c r="M550" i="2"/>
  <c r="M524" i="2"/>
  <c r="M551" i="2"/>
  <c r="M537" i="2"/>
  <c r="M534" i="2"/>
  <c r="M516" i="2"/>
  <c r="M531" i="2"/>
  <c r="M512" i="2"/>
  <c r="M500" i="2"/>
  <c r="M498" i="2"/>
  <c r="M454" i="2"/>
  <c r="M455" i="2"/>
  <c r="M446" i="2"/>
  <c r="M429" i="2"/>
  <c r="M412" i="2"/>
  <c r="P7" i="2" l="1"/>
  <c r="M1525" i="2"/>
  <c r="N50" i="4"/>
  <c r="M50" i="4"/>
  <c r="N49" i="4"/>
  <c r="M49" i="4"/>
  <c r="N47" i="4"/>
  <c r="M47" i="4"/>
  <c r="N46" i="4"/>
  <c r="M46" i="4"/>
  <c r="N45" i="4"/>
  <c r="M45" i="4"/>
  <c r="N44" i="4"/>
  <c r="M44" i="4"/>
  <c r="N43" i="4"/>
  <c r="M43" i="4"/>
  <c r="N42" i="4"/>
  <c r="M42" i="4"/>
  <c r="N41" i="4"/>
  <c r="M41" i="4"/>
  <c r="N40" i="4"/>
  <c r="M40" i="4"/>
  <c r="N39" i="4"/>
  <c r="M39" i="4"/>
  <c r="N38" i="4"/>
  <c r="M38" i="4"/>
  <c r="N37" i="4"/>
  <c r="M37" i="4"/>
  <c r="N36" i="4"/>
  <c r="M36" i="4"/>
  <c r="N35" i="4"/>
  <c r="M35" i="4"/>
  <c r="N34" i="4"/>
  <c r="M34" i="4"/>
  <c r="N33" i="4"/>
  <c r="M33" i="4"/>
  <c r="N32" i="4"/>
  <c r="M32" i="4"/>
  <c r="M393" i="2"/>
  <c r="M379" i="2"/>
  <c r="M351" i="2"/>
  <c r="M327" i="2"/>
  <c r="M284" i="2"/>
  <c r="M269" i="2"/>
  <c r="M268" i="2"/>
  <c r="M267" i="2"/>
  <c r="M201" i="2"/>
  <c r="M181" i="2"/>
  <c r="M394" i="2"/>
  <c r="M328" i="2" l="1"/>
  <c r="M288" i="2"/>
  <c r="M330" i="2"/>
  <c r="M400" i="2"/>
  <c r="M398" i="2"/>
  <c r="M399" i="2"/>
  <c r="M401" i="2"/>
  <c r="M357" i="2"/>
  <c r="M244" i="2"/>
  <c r="M246" i="2"/>
  <c r="M372" i="2"/>
  <c r="M247" i="2"/>
  <c r="M107" i="2"/>
  <c r="M91" i="2"/>
  <c r="M92" i="2"/>
  <c r="M262" i="2"/>
  <c r="M67" i="2"/>
  <c r="M109" i="2"/>
  <c r="M68" i="2"/>
  <c r="M180" i="2"/>
  <c r="M264" i="2"/>
  <c r="M69" i="2"/>
  <c r="M111" i="2"/>
  <c r="M265" i="2"/>
  <c r="M335" i="2"/>
  <c r="M377" i="2"/>
  <c r="M378" i="2"/>
  <c r="M395" i="2"/>
  <c r="M158" i="2"/>
  <c r="M368" i="2"/>
  <c r="M355" i="2"/>
  <c r="M40" i="2"/>
  <c r="M38" i="2"/>
  <c r="M248" i="2"/>
  <c r="M374" i="2"/>
  <c r="M388" i="2"/>
  <c r="M375" i="2"/>
  <c r="M389" i="2"/>
  <c r="M54" i="2"/>
  <c r="M96" i="2"/>
  <c r="M110" i="2"/>
  <c r="M166" i="2"/>
  <c r="M236" i="2"/>
  <c r="M320" i="2"/>
  <c r="M362" i="2"/>
  <c r="M376" i="2"/>
  <c r="M390" i="2"/>
  <c r="M97" i="2"/>
  <c r="M167" i="2"/>
  <c r="M321" i="2"/>
  <c r="M392" i="2"/>
  <c r="M141" i="2"/>
  <c r="M366" i="2"/>
  <c r="M380" i="2"/>
  <c r="M143" i="2"/>
  <c r="M367" i="2"/>
  <c r="M381" i="2"/>
  <c r="M144" i="2"/>
  <c r="M326" i="2"/>
  <c r="M340" i="2"/>
  <c r="M396" i="2"/>
  <c r="M145" i="2"/>
  <c r="M369" i="2"/>
  <c r="M383" i="2"/>
  <c r="M397" i="2"/>
  <c r="M34" i="2"/>
  <c r="M146" i="2"/>
  <c r="M160" i="2"/>
  <c r="M230" i="2"/>
  <c r="M314" i="2"/>
  <c r="M384" i="2"/>
  <c r="M35" i="2"/>
  <c r="M77" i="2"/>
  <c r="M119" i="2"/>
  <c r="M189" i="2"/>
  <c r="M203" i="2"/>
  <c r="M273" i="2"/>
  <c r="M343" i="2"/>
  <c r="M120" i="2"/>
  <c r="M162" i="2"/>
  <c r="M176" i="2"/>
  <c r="M232" i="2"/>
  <c r="M358" i="2"/>
  <c r="M79" i="2"/>
  <c r="M121" i="2"/>
  <c r="M163" i="2"/>
  <c r="M177" i="2"/>
  <c r="M233" i="2"/>
  <c r="M373" i="2"/>
  <c r="M387" i="2"/>
  <c r="M360" i="2"/>
  <c r="M348" i="2"/>
  <c r="M336" i="2"/>
  <c r="M226" i="2"/>
  <c r="M290" i="2"/>
  <c r="M252" i="2"/>
  <c r="M276" i="2"/>
  <c r="M179" i="2"/>
  <c r="M365" i="2"/>
  <c r="M142" i="2"/>
  <c r="M266" i="2"/>
  <c r="M291" i="2"/>
  <c r="M353" i="2"/>
  <c r="M306" i="2"/>
  <c r="M254" i="2"/>
  <c r="M391" i="2"/>
  <c r="M52" i="2"/>
  <c r="M385" i="2"/>
  <c r="M94" i="2"/>
  <c r="M318" i="2"/>
  <c r="M361" i="2"/>
  <c r="M386" i="2"/>
  <c r="M66" i="2"/>
  <c r="M332" i="2"/>
  <c r="M70" i="2"/>
  <c r="M100" i="2"/>
  <c r="M114" i="2"/>
  <c r="M188" i="2"/>
  <c r="M237" i="2"/>
  <c r="M286" i="2"/>
  <c r="M298" i="2"/>
  <c r="M147" i="2"/>
  <c r="M363" i="2"/>
  <c r="M108" i="2"/>
  <c r="M28" i="2"/>
  <c r="M122" i="2"/>
  <c r="M199" i="2"/>
  <c r="M56" i="2"/>
  <c r="M123" i="2"/>
  <c r="M200" i="2"/>
  <c r="M225" i="2"/>
  <c r="M310" i="2"/>
  <c r="M71" i="2"/>
  <c r="M46" i="2"/>
  <c r="M101" i="2"/>
  <c r="M138" i="2"/>
  <c r="M202" i="2"/>
  <c r="M249" i="2"/>
  <c r="M313" i="2"/>
  <c r="M204" i="2"/>
  <c r="M364" i="2"/>
  <c r="M136" i="2"/>
  <c r="M185" i="2"/>
  <c r="M210" i="2"/>
  <c r="M235" i="2"/>
  <c r="M112" i="2"/>
  <c r="M137" i="2"/>
  <c r="M186" i="2"/>
  <c r="M211" i="2"/>
  <c r="M296" i="2"/>
  <c r="M57" i="2"/>
  <c r="M33" i="2"/>
  <c r="M47" i="2"/>
  <c r="M164" i="2"/>
  <c r="M263" i="2"/>
  <c r="M325" i="2"/>
  <c r="M350" i="2"/>
  <c r="M371" i="2"/>
  <c r="M382" i="2"/>
  <c r="M370" i="2"/>
  <c r="M359" i="2"/>
  <c r="M354" i="2"/>
  <c r="M344" i="2"/>
  <c r="M345" i="2"/>
  <c r="M347" i="2"/>
  <c r="M329" i="2"/>
  <c r="M322" i="2"/>
  <c r="M307" i="2"/>
  <c r="M293" i="2"/>
  <c r="M295" i="2"/>
  <c r="M308" i="2"/>
  <c r="M301" i="2"/>
  <c r="M304" i="2"/>
  <c r="M305" i="2"/>
  <c r="M309" i="2"/>
  <c r="M303" i="2"/>
  <c r="M292" i="2"/>
  <c r="M285" i="2"/>
  <c r="M278" i="2"/>
  <c r="M279" i="2"/>
  <c r="M283" i="2"/>
  <c r="M280" i="2"/>
  <c r="M270" i="2"/>
  <c r="M271" i="2"/>
  <c r="M257" i="2"/>
  <c r="M256" i="2"/>
  <c r="M259" i="2"/>
  <c r="M260" i="2"/>
  <c r="M238" i="2"/>
  <c r="M240" i="2"/>
  <c r="M241" i="2"/>
  <c r="M243" i="2"/>
  <c r="M234" i="2"/>
  <c r="M218" i="2"/>
  <c r="M213" i="2"/>
  <c r="M214" i="2"/>
  <c r="M215" i="2"/>
  <c r="M216" i="2"/>
  <c r="M205" i="2"/>
  <c r="M206" i="2"/>
  <c r="M207" i="2"/>
  <c r="M221" i="2"/>
  <c r="M212" i="2"/>
  <c r="M219" i="2"/>
  <c r="M208" i="2"/>
  <c r="M222" i="2"/>
  <c r="M193" i="2"/>
  <c r="M194" i="2"/>
  <c r="M190" i="2"/>
  <c r="M192" i="2"/>
  <c r="M182" i="2"/>
  <c r="M196" i="2"/>
  <c r="M195" i="2"/>
  <c r="M197" i="2"/>
  <c r="M173" i="2"/>
  <c r="M174" i="2"/>
  <c r="M168" i="2"/>
  <c r="M172" i="2"/>
  <c r="M170" i="2"/>
  <c r="M169" i="2"/>
  <c r="M171" i="2"/>
  <c r="M149" i="2"/>
  <c r="M152" i="2"/>
  <c r="M151" i="2"/>
  <c r="M155" i="2"/>
  <c r="M150" i="2"/>
  <c r="M154" i="2"/>
  <c r="M126" i="2"/>
  <c r="M116" i="2"/>
  <c r="M129" i="2"/>
  <c r="M127" i="2"/>
  <c r="M130" i="2"/>
  <c r="M118" i="2"/>
  <c r="M131" i="2"/>
  <c r="M125" i="2"/>
  <c r="M132" i="2"/>
  <c r="M103" i="2"/>
  <c r="M104" i="2"/>
  <c r="M106" i="2"/>
  <c r="M83" i="2"/>
  <c r="M84" i="2"/>
  <c r="M80" i="2"/>
  <c r="M86" i="2"/>
  <c r="M76" i="2"/>
  <c r="M90" i="2"/>
  <c r="M87" i="2"/>
  <c r="M73" i="2"/>
  <c r="M88" i="2"/>
  <c r="M60" i="2"/>
  <c r="M61" i="2"/>
  <c r="M53" i="2"/>
  <c r="M50" i="2"/>
  <c r="M64" i="2"/>
  <c r="M43" i="2"/>
  <c r="M30" i="2"/>
  <c r="M37" i="2"/>
  <c r="M319" i="2"/>
  <c r="M32" i="2"/>
  <c r="M39" i="2"/>
  <c r="M45" i="2"/>
  <c r="M58" i="2"/>
  <c r="M65" i="2"/>
  <c r="M78" i="2"/>
  <c r="M85" i="2"/>
  <c r="M98" i="2"/>
  <c r="M105" i="2"/>
  <c r="M124" i="2"/>
  <c r="M156" i="2"/>
  <c r="M175" i="2"/>
  <c r="M187" i="2"/>
  <c r="M220" i="2"/>
  <c r="M239" i="2"/>
  <c r="M245" i="2"/>
  <c r="M251" i="2"/>
  <c r="M258" i="2"/>
  <c r="M277" i="2"/>
  <c r="M302" i="2"/>
  <c r="M334" i="2"/>
  <c r="M339" i="2"/>
  <c r="M352" i="2"/>
  <c r="M63" i="2"/>
  <c r="M346" i="2"/>
  <c r="M31" i="2"/>
  <c r="M333" i="2"/>
  <c r="M231" i="2"/>
  <c r="M41" i="2"/>
  <c r="M48" i="2"/>
  <c r="M74" i="2"/>
  <c r="M133" i="2"/>
  <c r="M253" i="2"/>
  <c r="M297" i="2"/>
  <c r="M323" i="2"/>
  <c r="M341" i="2"/>
  <c r="M275" i="2"/>
  <c r="M300" i="2"/>
  <c r="M44" i="2"/>
  <c r="M289" i="2"/>
  <c r="M157" i="2"/>
  <c r="M159" i="2"/>
  <c r="M178" i="2"/>
  <c r="M209" i="2"/>
  <c r="M261" i="2"/>
  <c r="M342" i="2"/>
  <c r="M135" i="2"/>
  <c r="M282" i="2"/>
  <c r="M93" i="2"/>
  <c r="M29" i="2"/>
  <c r="M42" i="2"/>
  <c r="M49" i="2"/>
  <c r="M75" i="2"/>
  <c r="M81" i="2"/>
  <c r="M115" i="2"/>
  <c r="M134" i="2"/>
  <c r="M191" i="2"/>
  <c r="M217" i="2"/>
  <c r="M223" i="2"/>
  <c r="M229" i="2"/>
  <c r="M242" i="2"/>
  <c r="M287" i="2"/>
  <c r="M311" i="2"/>
  <c r="M317" i="2"/>
  <c r="M324" i="2"/>
  <c r="M349" i="2"/>
  <c r="M59" i="2"/>
  <c r="M99" i="2"/>
  <c r="M113" i="2"/>
  <c r="M36" i="2"/>
  <c r="M55" i="2"/>
  <c r="M62" i="2"/>
  <c r="M82" i="2"/>
  <c r="M89" i="2"/>
  <c r="M102" i="2"/>
  <c r="M128" i="2"/>
  <c r="M140" i="2"/>
  <c r="M153" i="2"/>
  <c r="M165" i="2"/>
  <c r="M198" i="2"/>
  <c r="M224" i="2"/>
  <c r="M255" i="2"/>
  <c r="M274" i="2"/>
  <c r="M281" i="2"/>
  <c r="M299" i="2"/>
  <c r="M312" i="2"/>
  <c r="M331" i="2"/>
  <c r="M356" i="2"/>
  <c r="M338" i="2"/>
  <c r="M337" i="2"/>
  <c r="M315" i="2"/>
  <c r="M316" i="2"/>
  <c r="M294" i="2"/>
  <c r="M272" i="2"/>
  <c r="M250" i="2"/>
  <c r="M227" i="2"/>
  <c r="M228" i="2"/>
  <c r="M183" i="2"/>
  <c r="M184" i="2"/>
  <c r="M161" i="2"/>
  <c r="M148" i="2"/>
  <c r="M139" i="2"/>
  <c r="M117" i="2"/>
  <c r="M95" i="2"/>
  <c r="M72" i="2"/>
  <c r="M51" i="2"/>
  <c r="M25" i="2"/>
  <c r="M24" i="2"/>
  <c r="M23" i="2"/>
  <c r="M22" i="2"/>
  <c r="M20" i="2"/>
  <c r="M19" i="2"/>
  <c r="M18" i="2"/>
  <c r="M17" i="2"/>
  <c r="M16" i="2"/>
  <c r="M15" i="2"/>
  <c r="M14" i="2"/>
  <c r="M13" i="2"/>
  <c r="M12" i="2"/>
  <c r="M11" i="2"/>
  <c r="M6" i="2"/>
  <c r="R29" i="2" l="1"/>
  <c r="R28" i="2"/>
  <c r="P50" i="2"/>
  <c r="M26" i="2"/>
  <c r="M21" i="2"/>
  <c r="M27" i="2"/>
  <c r="M7" i="2"/>
  <c r="M8" i="2"/>
  <c r="M9" i="2"/>
  <c r="M10" i="2"/>
  <c r="R6" i="2" l="1"/>
  <c r="R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<sst xmlns="http://schemas.openxmlformats.org/spreadsheetml/2006/main" count="27466" uniqueCount="687">
  <si>
    <t>S19</t>
  </si>
  <si>
    <t>M18</t>
  </si>
  <si>
    <t>Semester</t>
  </si>
  <si>
    <t>Studio_Code</t>
  </si>
  <si>
    <t>Level</t>
  </si>
  <si>
    <t>L2</t>
  </si>
  <si>
    <t>Panel_ID</t>
  </si>
  <si>
    <t>Question_No</t>
  </si>
  <si>
    <t>Raw_Rating_Text</t>
  </si>
  <si>
    <t>Confidence</t>
  </si>
  <si>
    <t>Notes</t>
  </si>
  <si>
    <t>AY</t>
  </si>
  <si>
    <t>Studio_Title</t>
  </si>
  <si>
    <t>Construct_ID</t>
  </si>
  <si>
    <t>2018-19</t>
  </si>
  <si>
    <t>AR2001</t>
  </si>
  <si>
    <t>The Purpose of Architecture: Exploring Design Interventions and Strategies</t>
  </si>
  <si>
    <t>P1</t>
  </si>
  <si>
    <t>P2</t>
  </si>
  <si>
    <t>C1</t>
  </si>
  <si>
    <t>C2</t>
  </si>
  <si>
    <t>C3</t>
  </si>
  <si>
    <t>C4</t>
  </si>
  <si>
    <t>C6</t>
  </si>
  <si>
    <t>C7</t>
  </si>
  <si>
    <t>C8</t>
  </si>
  <si>
    <t>C9</t>
  </si>
  <si>
    <t>C10</t>
  </si>
  <si>
    <t>C11</t>
  </si>
  <si>
    <t>Final_Score</t>
  </si>
  <si>
    <t>Brief/problem specification &amp; learning outcomes clarity</t>
  </si>
  <si>
    <t>Studio structure: exercises aligned to outcomes / ability focus</t>
  </si>
  <si>
    <t>Exploration latitude: not too narrow / not too broad</t>
  </si>
  <si>
    <t>Student engagement &amp; grappling intensity</t>
  </si>
  <si>
    <t>C5</t>
  </si>
  <si>
    <t>Depth of understanding &amp; conceptual clarity</t>
  </si>
  <si>
    <t>Ability achievement: outcomes attained in work</t>
  </si>
  <si>
    <t>Architectural quality / convincing proposals</t>
  </si>
  <si>
    <t>Rigor, resolution &amp; care</t>
  </si>
  <si>
    <t>Workmanship / visual representation quality</t>
  </si>
  <si>
    <t>Communication: presentation / exhibition / portfolio clarity</t>
  </si>
  <si>
    <t>International benchmarking / parity</t>
  </si>
  <si>
    <t>Weights and Cinfidence Factors</t>
  </si>
  <si>
    <t>Weight</t>
  </si>
  <si>
    <t>AR2004</t>
  </si>
  <si>
    <t>Strange Details</t>
  </si>
  <si>
    <t>Of Immediate and Afar</t>
  </si>
  <si>
    <t>AR2005</t>
  </si>
  <si>
    <t>AR2010</t>
  </si>
  <si>
    <t>D[e] ] Master [code]</t>
  </si>
  <si>
    <t>AR2011</t>
  </si>
  <si>
    <t>From Drawing Board to Construction Sites</t>
  </si>
  <si>
    <t>AR2012</t>
  </si>
  <si>
    <t>Land Building Relationships</t>
  </si>
  <si>
    <t>AR2013</t>
  </si>
  <si>
    <t>AR2014</t>
  </si>
  <si>
    <t>Master’s Stroke</t>
  </si>
  <si>
    <t>AR2015</t>
  </si>
  <si>
    <t>Exploring Building Typology</t>
  </si>
  <si>
    <t>AR2016</t>
  </si>
  <si>
    <t>Tectonic Operations</t>
  </si>
  <si>
    <t>AR2017</t>
  </si>
  <si>
    <t>Co production of Differential Spaces</t>
  </si>
  <si>
    <t>AR3001</t>
  </si>
  <si>
    <t>Maneuvering the New Landscape: Scale, Density and Sustainability</t>
  </si>
  <si>
    <t>L3</t>
  </si>
  <si>
    <t>AR3002</t>
  </si>
  <si>
    <t>Decoding to code: Emergent Design</t>
  </si>
  <si>
    <t>AR3003</t>
  </si>
  <si>
    <t>Contemporary Rootedness and Built Expression</t>
  </si>
  <si>
    <t>AR3004</t>
  </si>
  <si>
    <t>Oikopolis: at home in the city</t>
  </si>
  <si>
    <t>AR3005</t>
  </si>
  <si>
    <t>Spaces for place, people and programme</t>
  </si>
  <si>
    <t>The Purpose of Architecture : Exploring Design Interventions and Strategies</t>
  </si>
  <si>
    <t>Absolutley not</t>
  </si>
  <si>
    <t>Very narrowly conceptualised</t>
  </si>
  <si>
    <t>Students have failed to grapple with the problem</t>
  </si>
  <si>
    <t>The process appears very fragmented and lacks continuity</t>
  </si>
  <si>
    <t>Quite unispiring</t>
  </si>
  <si>
    <t>Yes, it’s full of loose ends and the medium is quite broken.</t>
  </si>
  <si>
    <t>To an extant.</t>
  </si>
  <si>
    <t>It needs to improve. Lacks clarity</t>
  </si>
  <si>
    <t>No</t>
  </si>
  <si>
    <t>Mediocre</t>
  </si>
  <si>
    <t>N0.</t>
  </si>
  <si>
    <t>M19</t>
  </si>
  <si>
    <t>M20</t>
  </si>
  <si>
    <t>M21</t>
  </si>
  <si>
    <t>M23</t>
  </si>
  <si>
    <t>AR2006</t>
  </si>
  <si>
    <t>M24</t>
  </si>
  <si>
    <t>AR2007</t>
  </si>
  <si>
    <t>Row Labels</t>
  </si>
  <si>
    <t>Grand Total</t>
  </si>
  <si>
    <t>Sum of Final_Score</t>
  </si>
  <si>
    <t>Column Labels</t>
  </si>
  <si>
    <t>AVERAGE</t>
  </si>
  <si>
    <t>SPREAD</t>
  </si>
  <si>
    <t>Average</t>
  </si>
  <si>
    <t>Spread</t>
  </si>
  <si>
    <t>Studio_Focus_Area</t>
  </si>
  <si>
    <t>Visualization and Communication</t>
  </si>
  <si>
    <t>Constructing and Specifying</t>
  </si>
  <si>
    <t>Spatial Planning and Organization</t>
  </si>
  <si>
    <t>Visualization &amp; Communication, Spatial Planning &amp; Organisation</t>
  </si>
  <si>
    <t>Spatial Planning and Organisation</t>
  </si>
  <si>
    <t>Visualization and Communication, Spatial Planning and Organisation</t>
  </si>
  <si>
    <t>Visualization and Communication, Spatial Organization and Planning</t>
  </si>
  <si>
    <t>Convincing -yes. Ingenious and sophisticated - No.</t>
  </si>
  <si>
    <t>There is scope for further improvement.</t>
  </si>
  <si>
    <t>Its decent.</t>
  </si>
  <si>
    <t>Structure - Material - Space</t>
  </si>
  <si>
    <t>It appears to be limited within a bracket.It needs to expand and explore newer mediums/methods.</t>
  </si>
  <si>
    <t>Re [De] code</t>
  </si>
  <si>
    <t>Not at all</t>
  </si>
  <si>
    <t>The problem set out is very unclear.</t>
  </si>
  <si>
    <t>It needs to expand and broaden out its scope and intent.</t>
  </si>
  <si>
    <t>To an extent.</t>
  </si>
  <si>
    <t>Partially</t>
  </si>
  <si>
    <t>meticulous yes. Ingenious and sophisticated - no.</t>
  </si>
  <si>
    <t>It's consistent</t>
  </si>
  <si>
    <t>It's meticulous</t>
  </si>
  <si>
    <t>yes, Convincing, ingenious and sophisticated.</t>
  </si>
  <si>
    <t>Very intense</t>
  </si>
  <si>
    <t>Yes.</t>
  </si>
  <si>
    <t>Its well defined but lacks inventiveness and innovation.</t>
  </si>
  <si>
    <t>Figuring Ground: Land Building Relationships</t>
  </si>
  <si>
    <t>No.</t>
  </si>
  <si>
    <t>To a great extent , yes.</t>
  </si>
  <si>
    <t>Meticulous -yes. Ingenious and sophisticated - no.</t>
  </si>
  <si>
    <t>It's reasonable</t>
  </si>
  <si>
    <t>LIVING PLACES</t>
  </si>
  <si>
    <t>Making Living Places : Craftsmanship, song and imagination</t>
  </si>
  <si>
    <t>It's well defined but architectural manifesttion is inadequate</t>
  </si>
  <si>
    <t>Master’s Stroke: Matters of Architectural Language</t>
  </si>
  <si>
    <t>There is a possibility of students getting limited in individual expression, getting caught up by the language of a given architect.</t>
  </si>
  <si>
    <t>Convincing but not ingenious and sophisticated.</t>
  </si>
  <si>
    <t>Can improve</t>
  </si>
  <si>
    <t xml:space="preserve">Not yet, but another level of refinement could lead to it being at par. </t>
  </si>
  <si>
    <t>Designing Types - Office Building</t>
  </si>
  <si>
    <t>Very disappointing</t>
  </si>
  <si>
    <t>It's very immature and fragmented</t>
  </si>
  <si>
    <t>No. Far from it.</t>
  </si>
  <si>
    <t>AR2018</t>
  </si>
  <si>
    <t>Designing with People</t>
  </si>
  <si>
    <t>It's well specified</t>
  </si>
  <si>
    <t>Convincing- yes. Ingenious and Sophisticated - no.</t>
  </si>
  <si>
    <t>Not yet but there is a potential for it to be.</t>
  </si>
  <si>
    <t>AR2019</t>
  </si>
  <si>
    <t>Where Material Meets Design</t>
  </si>
  <si>
    <t>It's rigorous and meticulous</t>
  </si>
  <si>
    <t>Well presented</t>
  </si>
  <si>
    <t>Again interesting work which could benefit greatly from looking at the eventual manifestation categories.</t>
  </si>
  <si>
    <t>AR2020</t>
  </si>
  <si>
    <t>A Place for Water</t>
  </si>
  <si>
    <t>It needs to be better focused and defined.</t>
  </si>
  <si>
    <t>There is an effort</t>
  </si>
  <si>
    <t>Not really</t>
  </si>
  <si>
    <t>There is scope for improvement</t>
  </si>
  <si>
    <t>It needs to be more intense and exploratory</t>
  </si>
  <si>
    <t>No.  The disjunct between the architectural responses to the centrality of the initial water based brief
seemed missing.</t>
  </si>
  <si>
    <t>AR3006</t>
  </si>
  <si>
    <t>Terrain-Vague Bricolage | Herbarium in an abandoned quarry at Champaner</t>
  </si>
  <si>
    <t>AR3012</t>
  </si>
  <si>
    <t>Urban Insert – Reimaging Community &amp; Awareness Center</t>
  </si>
  <si>
    <t>Needs to be improved.</t>
  </si>
  <si>
    <t>No. Uninventive projects that don't actually come together even as simple building packages. At level 3, one expects the dialogue and discussion of broader interests and issues, its disappointing to notice that even basic architectural representation lacks fundamental quality.</t>
  </si>
  <si>
    <t>AR3013</t>
  </si>
  <si>
    <t>Massing the houses for housing the masses: Sustainable, Plural and Humane Habitats</t>
  </si>
  <si>
    <t>Very immature for L3</t>
  </si>
  <si>
    <t>Disappointing</t>
  </si>
  <si>
    <t>SAD</t>
  </si>
  <si>
    <t>No. Could be better served by a process that examines the potential of new spatial/ formal typologies in relation to context around and within rather than just formal patterns.</t>
  </si>
  <si>
    <t>AR3014</t>
  </si>
  <si>
    <t>Urban Assemblies: drawing on vacant lands</t>
  </si>
  <si>
    <t>Lacks clarity</t>
  </si>
  <si>
    <t>Neither convincing, nor ingenious or spohisticated.</t>
  </si>
  <si>
    <t>No. Studio could benefit greatly as a project that searches for urban formal types to fit with the interstices of public spaces. program can be subservient to formal investigation.</t>
  </si>
  <si>
    <t>Conn_Start</t>
  </si>
  <si>
    <t>Conn_End</t>
  </si>
  <si>
    <t>Zero</t>
  </si>
  <si>
    <t>Conn_Len</t>
  </si>
  <si>
    <t>Panel 1</t>
  </si>
  <si>
    <t>Panel 2</t>
  </si>
  <si>
    <t>2019-20</t>
  </si>
  <si>
    <t>S 19</t>
  </si>
  <si>
    <t>S20</t>
  </si>
  <si>
    <t>S21</t>
  </si>
  <si>
    <t>S22</t>
  </si>
  <si>
    <t>S24</t>
  </si>
  <si>
    <t>S25</t>
  </si>
  <si>
    <t>Yes because the process of developing construction methods and details, including choice of materials, by deconstructing existing buildings by well known architects appears to be an interesting way to teach students to bridge the gap between a concept and its manifestation successfully</t>
  </si>
  <si>
    <t>It could have been taken further in terms of technical drawing even though the making of large scale</t>
  </si>
  <si>
    <t>I would say success in developing the ability it was meant to develop is more ore less 60-70%. It could improve a lot.</t>
  </si>
  <si>
    <t>Again, I felt the drawings lacked intensity and desired sophistication. </t>
  </si>
  <si>
    <t>There appears to be rigour in the beginning that seemingly gets diluted towards the second half. It does have a few loose ends.</t>
  </si>
  <si>
    <t>The workmanship is not consistent across the unit. </t>
  </si>
  <si>
    <t>Not in all cases and combined studio with 3rd &amp; 5th semester students with different levels of maturity vis-a-vis architectural design studios may have been an issue for this particular learning objective</t>
  </si>
  <si>
    <t>The studio work has certainly been showing improvement over last 4 semesters. However I feel despite the tutors</t>
  </si>
  <si>
    <t>setting up the lesson plan and methodology with great degree of clarity, somewhere the translation of the same in</t>
  </si>
  <si>
    <t>students engagement is not matching up in terms of the intensity and rigour. In absence of an insight into the internal</t>
  </si>
  <si>
    <t>process spanning 3-4 months, its difficult to put a finger on what the reasons could be. However, the studio and lesson</t>
  </si>
  <si>
    <t>plan has a great potential if issues to do with internal processes can be ironed out. Abin: I FEEL THERE HAS BEEN</t>
  </si>
  <si>
    <t>CLEAR DIRECTION FOR ACHIEVING THE STUDIO WORK .</t>
  </si>
  <si>
    <t>The fiction of landscape</t>
  </si>
  <si>
    <t>Yes, because the idea behind this Studio Problem is also clear, simple, and good.</t>
  </si>
  <si>
    <t>Hopefully, this ability, and the need to pay close attention to nature and context of site, will stay with them through their careers in architecture</t>
  </si>
  <si>
    <t>CAN BE MORE DEEPER &amp; MORE QUALITY AND PROCESS DRIVEN</t>
  </si>
  <si>
    <t>Still needs more improvement</t>
  </si>
  <si>
    <t>Inconsistent andnot in all cases</t>
  </si>
  <si>
    <t>Not in all cases but many of them were rendered beautifully, with skills developed in the Foundation Program perhaps, and very evocative of specific context</t>
  </si>
  <si>
    <t>Some of them are good</t>
  </si>
  <si>
    <t>It's 50-50</t>
  </si>
  <si>
    <t>Due to inconsistency in standard of work among students</t>
  </si>
  <si>
    <t>One doesn't know if its a drawing and painting class or a design studio that intends a serious, intense, rigourous and</t>
  </si>
  <si>
    <t>methodical engagement to achieve its stated focus. In absence of a deeper and extended engagement with the real</t>
  </si>
  <si>
    <t>sites, in absence of case studies, in absence of study of climatic data, in absence of analytical study of the topography, in</t>
  </si>
  <si>
    <t>absence of engaging with the historic and cultural references etc etc , all of which is absent with an intention as the tutor</t>
  </si>
  <si>
    <t>expressed, One would assume that the real site then reduces to ones "memory of the site" gained over specified not</t>
  </si>
  <si>
    <t>more than two hours engagement of the students, leaving a lot of time during studios with each student to engage with</t>
  </si>
  <si>
    <t>the understanding of context, narrative developed, concepts evolved, idea and design development, appropriateness of</t>
  </si>
  <si>
    <t>a contextual response etc etc ....unfortunately non of the above and many more sensitive and important aspects one</t>
  </si>
  <si>
    <t>notices otherwise in other units, is not to be seen here to even an average degree. This lack and absence of fundamental</t>
  </si>
  <si>
    <t>design concerns/faculties has been very consistent through all the previous three semesters and so have been the above</t>
  </si>
  <si>
    <t>stated remarks. Learning outcomes over each unit is a continuous process and if intense and successful, one can notice</t>
  </si>
  <si>
    <t>the students taking the same to other units and applying it. For example Juzer and Puneets students show the</t>
  </si>
  <si>
    <t>application of their learnings with subsequent units they have chosen, I was eager and curious to see if the same would</t>
  </si>
  <si>
    <t>hold good to any degree with the students taking up this particular unit. And over 4 semesters, am at loss and failure to</t>
  </si>
  <si>
    <t>notice the same.</t>
  </si>
  <si>
    <t>ABIN : IN TERMS OF UNDERSTANDING OF THE PROBLEM AND IMPLEMENTING IN DETAILS AND DRAWING</t>
  </si>
  <si>
    <t>THERE IS MUCH GAP , I FEEL HERE TUTOR CAN MAKE MORE PUSH TO STUDENTS FOR OUTCOME AND INTENT .</t>
  </si>
  <si>
    <t>Working on construction sites and learning from artisans seems to have given the students in this studio greater clarity and depth of understanding</t>
  </si>
  <si>
    <t>Additionally, the idea of having students make fairly large-scale and detailed models from drawings made by other students sets up an interesting dialogue between them with good and clarifying feedback.</t>
  </si>
  <si>
    <t>DRAWINGS MAY BE MORE SOPHISTICATED AND MODELS MAY BE MORE DEFINED . The work of this studio impressed me in a deep and holistic way. It was clean, austere, and well-executed. It had an underlying and identifiable character that was strong and unified and this come through in the work of all students.</t>
  </si>
  <si>
    <t>Though very engaging and meaningful outcomes, the unit I felt was not as successful as the previous two semesters in</t>
  </si>
  <si>
    <t>terms of the engagement of students. If other units were 90% in the outcome, I would say this one was 75%.. yet the</t>
  </si>
  <si>
    <t>value of the methodology doesn't get undermined. ABIN: PROCESS DEFINED GREAT EXTENT OF LEARNING </t>
  </si>
  <si>
    <t>CAN BE EXPLORED MORE IN OTHER PARAMETER.</t>
  </si>
  <si>
    <t>60% - 40%</t>
  </si>
  <si>
    <t>50% - 50%. To a great extent with respect to land-building relationships but not as much with respect to the design exercise of a Primary School. The studio seems to have lost focus and clarity in trying to produce something more superficially "creative or innovative" compared to what I saw at Summer Exhibition 2019.</t>
  </si>
  <si>
    <t>Same as above</t>
  </si>
  <si>
    <t>It leaves a lot of loose ends</t>
  </si>
  <si>
    <t>The workmanship needs to improve a lot. </t>
  </si>
  <si>
    <t>The unit struggles to translate its intended focus into processes and outcome.</t>
  </si>
  <si>
    <t>Objectively speaking, the problem statement in terms of deciphering and making "living spaces" lacks clarity but it may be that we all have an instinctive feel for this on attentive reflection supported by the properties described in "The Nature of Order" by Christopher Alexander</t>
  </si>
  <si>
    <t>Most likely. But I feel, as a graduate student of Christopher Alexander in the mid-80's while he was in process of writing "The Nature of Order", that their interventions should have been more challenging in terms of building program and output</t>
  </si>
  <si>
    <t>However, the models in particular, although appropriate and well-executed, tend to be relatively mystifying with respect to what actually has been done to create and transform spaces into living spaces</t>
  </si>
  <si>
    <t>As in Q 6</t>
  </si>
  <si>
    <t>Only because I have reservations in terms of content. I find the work of this studio to be underwhelming in that regard.</t>
  </si>
  <si>
    <t>Its an ideal studio that acts as a transition for students coming out of foundation course where instead of getting caught</t>
  </si>
  <si>
    <t>and trapped in resolving functions, it makes them engage with place and space making, sensitises their observations</t>
  </si>
  <si>
    <t>through the medium of representation and takes the same to an intense degree where one can in parts sense and</t>
  </si>
  <si>
    <t>almost feel the context through renderings and various mediums of engagement. Its consistently showing an upward</t>
  </si>
  <si>
    <t>graph over all. One can clearly see the efforts on the part of the tutors to improvise the lesson plan as also the degree of</t>
  </si>
  <si>
    <t>engagement with the intended focus from the students.</t>
  </si>
  <si>
    <t>Whats most important is, that one can sense that the studio is about the students and their learning and not about</t>
  </si>
  <si>
    <t>tutors.</t>
  </si>
  <si>
    <t>My only concern with this pedagogy lies in its tendency to influence and inhibit individual abilities and directions of students. Intense, and undoubtedly creative, methods of study and analysis of works of well-known architects may be more appropriate in supporting Theory &amp; Criticism courses.</t>
  </si>
  <si>
    <t>I think it tends towards narrowing global exploration by limiting it towards a student's understanding of the language and style of a specified and well-known architect.</t>
  </si>
  <si>
    <t>Excellent presentation by all students</t>
  </si>
  <si>
    <t>Same as Q6</t>
  </si>
  <si>
    <t>Outstanding</t>
  </si>
  <si>
    <t>OUTSTANDING.</t>
  </si>
  <si>
    <t>Another unit where one can clearly notice the upward learning curve and the growth. Also the improvisations are subtle</t>
  </si>
  <si>
    <t>but obvious.</t>
  </si>
  <si>
    <t>I thought it was very clever to engage with adaptive re-use of existing buildings to convey the idea that the process of design continues through design development into constructing and specifying as well</t>
  </si>
  <si>
    <t>However, at the same time, it seems to have paid less attention to the issues of adjacency and contiguity in one entity</t>
  </si>
  <si>
    <t>Certainly, in terms of constructing and specifying as a process of design but it seems to have overlooked the ability to be in harmony with immediate context</t>
  </si>
  <si>
    <t>I cannot be completely sure but it's close.</t>
  </si>
  <si>
    <t>EXTRAORDINARY MERIT OF DRAWING PRESENTATION &amp; MODEL. VERY WELL ARTICULATED PRESENTATION.</t>
  </si>
  <si>
    <t>This particular unit has show a great deal of consistency, intense engagement and fairly wide degree of exploration.</t>
  </si>
  <si>
    <t>I thought the inversion of design methodology form material to space/ form to function was very interesting and unusual also given that this was done in conjunction with highly grounded and tangible studio exercises</t>
  </si>
  <si>
    <t>I would say its been 70% successful here.</t>
  </si>
  <si>
    <t>The studio should take it a little further into the realm of potential purpose by visualizing and representing this at a schematic level at the least, so that material meets space meets architecture!</t>
  </si>
  <si>
    <t>To the extent of 65-70% It can be said so.</t>
  </si>
  <si>
    <t>I would rate it as 70%.</t>
  </si>
  <si>
    <t>Same as in Question 4 remarks</t>
  </si>
  <si>
    <t>Architecture in all its aspects, be it in part or whole, is deeply rooted to its context. The studio in absence of a context</t>
  </si>
  <si>
    <t>lacks scale, and in absence of a scale to comprehend or to develop a detail becomes an exercise that is abstract and with</t>
  </si>
  <si>
    <t>loose ends.</t>
  </si>
  <si>
    <t>AR2021</t>
  </si>
  <si>
    <t>Space Kinematics</t>
  </si>
  <si>
    <t>The learning objectives of this studio, grounded as they are in transformation, movement and innovation in architecture are interesting and challenging with endless applications and possibilities over the years of this studio.</t>
  </si>
  <si>
    <t>I would say about 60% - 70%</t>
  </si>
  <si>
    <t>Yes, from point of view of ideas that students wanted to explore, but not fully with respect to execution of these ideas.</t>
  </si>
  <si>
    <t>Same as Q5</t>
  </si>
  <si>
    <t>Rigorous and meticulous but with understandable errors and loose ends. </t>
  </si>
  <si>
    <t>About 60% - 70%</t>
  </si>
  <si>
    <t>Needs a little more refinement and there appears to be some difficulty in execution to scale</t>
  </si>
  <si>
    <t>AR2022</t>
  </si>
  <si>
    <t>Spatial Narratives: Timeless and Experientially Engaging Architecture</t>
  </si>
  <si>
    <t>Once again, I'm not sure why this studio comes under "Planning and Organizing" and not "Visualizing and communicating".</t>
  </si>
  <si>
    <t>I would say about 65% - 70%</t>
  </si>
  <si>
    <t>Interesting in terms of processes but the architectural representation was perhaps 50-50%.</t>
  </si>
  <si>
    <t>It was in case of say 60%.</t>
  </si>
  <si>
    <t>65% - 70% yes</t>
  </si>
  <si>
    <t>Almost 80% - 85% yes</t>
  </si>
  <si>
    <t>Possibly in planning or visualising but not so much in organizing the result of these processes and communicating the same.</t>
  </si>
  <si>
    <t>AR2023</t>
  </si>
  <si>
    <t>The Joy of Architecture</t>
  </si>
  <si>
    <t>Good idea and well stated</t>
  </si>
  <si>
    <t>I am not sure why it is under Planning and Organizing and not under Visualizing and Communicating.</t>
  </si>
  <si>
    <t>Planning and Orgnizing</t>
  </si>
  <si>
    <t>Very much so. However, it may have been too broad in that students may not have had enough time to study and understand the architecture of Mandu and apply this to their specific studio problem.</t>
  </si>
  <si>
    <t>Students' work did not show an understanding of the importance of the historic, architectural context in which the project site was located</t>
  </si>
  <si>
    <t>t was difficult to see or feel the "Experience of Mandu" in the work of the students. The learning objectives may have been too ambitious at this level or the students did not work hard enough to understand this.</t>
  </si>
  <si>
    <t>NOT GREAT.</t>
  </si>
  <si>
    <t>It was difficult to understand the process by which the students arrived at their final solutions. </t>
  </si>
  <si>
    <t>NEEDS IMPROVEMENT,</t>
  </si>
  <si>
    <t>Learning outcomes did not match learning objectives.</t>
  </si>
  <si>
    <t>AR2024</t>
  </si>
  <si>
    <t>Climate Responsive Architecture</t>
  </si>
  <si>
    <t>Perhaps this studio problem helps to clarify distinction between planning &amp; organizing and visualizing and communicating.</t>
  </si>
  <si>
    <t>Students' work in this studio exhibits quite a bit of enthusiasm for what they were working on and they seem to have enjoyed what they were doing.</t>
  </si>
  <si>
    <t>70% yes.</t>
  </si>
  <si>
    <t>It needs to improve a lot.</t>
  </si>
  <si>
    <t>I would say about 65% - 75%  yes</t>
  </si>
  <si>
    <t>To an extent of 60% yes</t>
  </si>
  <si>
    <t>almost 80% yes</t>
  </si>
  <si>
    <t>Apart from the interesting studio problem itself, this studio also fits in very well with the heartfelt and serious climate</t>
  </si>
  <si>
    <t>Apart from the interesting studio problem itself, this studio also fits in very well with the heartfelt and serious climate change concerns of younger generations.</t>
  </si>
  <si>
    <t>change concerns of younger generations.</t>
  </si>
  <si>
    <t>Oikopolis: Attack of the Clones</t>
  </si>
  <si>
    <t>Course introduction is interestingly described in narrative form</t>
  </si>
  <si>
    <t>The studio appears to have lost its way, and lost its battle, by spending a disproportionate amount of time going "deep into enemy territory" and less on "proposing housing design alternatives"</t>
  </si>
  <si>
    <t>I think they tried to do this.</t>
  </si>
  <si>
    <t>I would say about 50% yes</t>
  </si>
  <si>
    <t>I was surprised that some of the floor plans and unit plans, at 7th, 8th &amp; 9th semester levels, did not indicate a thorough knowledge of anthropometric dimensions and requirements.</t>
  </si>
  <si>
    <r>
      <t> </t>
    </r>
    <r>
      <rPr>
        <sz val="10"/>
        <color rgb="FF000000"/>
        <rFont val="Helvetica"/>
        <family val="2"/>
      </rPr>
      <t>The studio is very restrictive and narrow in terms of its expectations, engagement and hence also the outcome. The</t>
    </r>
  </si>
  <si>
    <t>freedom that an academic world offers one to allow exploration even with certain pre conditions and limitations defined,</t>
  </si>
  <si>
    <t>is missing completely. Almost appears as an exercise in numbers and statistics. Even if pragmatics and reality as</t>
  </si>
  <si>
    <t>perceived is a criterion, an effort should have been made in the direction of redefining the same.</t>
  </si>
  <si>
    <t>bout 60% yes</t>
  </si>
  <si>
    <t>Presentation lacks in terms of clarity, without verbal explanation; difficult to understand the intent and outcome of the project. Student work does not show that they have been able to wrap their heads around concepts in this studio. only about 40%.</t>
  </si>
  <si>
    <t>There appears to have been a fair amount of learning and exploration in this studio but not enough work to show for</t>
  </si>
  <si>
    <t>There appears to have been a fair amount of learning and exploration in this studio but not enough work to show for this. Translation into an architectural process and out come is lost.</t>
  </si>
  <si>
    <t>this..</t>
  </si>
  <si>
    <t>Translation into an architectural process and out come is lost.</t>
  </si>
  <si>
    <t>AR3011</t>
  </si>
  <si>
    <t>Narratives in Architecture</t>
  </si>
  <si>
    <t>Some of the work appeared to indicate some confusion and a lack of clarity. There appeared to be an overall lack of enthusiasm and vitality as well. However, we did not have enough time to go through their presentations and portfolios diligently and to give the benefit of doubt, I may have misjudged some of these factors.</t>
  </si>
  <si>
    <t>Yes, but it needed more time for review. This was clearly a different kind of studio with content that was not easily accessible.</t>
  </si>
  <si>
    <t>The depth and intensity in terms of engagement from students end is nowhere closer to what perhaps is appropriate</t>
  </si>
  <si>
    <t>The depth and intensity in terms of engagement from students end is nowhere closer to what perhaps is appropriate and expected at L3.</t>
  </si>
  <si>
    <t>and expected at L3.</t>
  </si>
  <si>
    <t>AR3015</t>
  </si>
  <si>
    <t>At the cusp of land and water</t>
  </si>
  <si>
    <t>at level of L4 WE NEED MORE DEEPER EXPLORATION IN TERMS OF PROBLEM</t>
  </si>
  <si>
    <t>The relevant research and data collection is satisfactory, but the ultimate intent of the project seemed lost in some cases.</t>
  </si>
  <si>
    <t>No, because most of the work of this studio indicates that very few students have engaged with any of the issues such as importance of context, or programmatic linkage between what is existing and proposed intervention towards renewal, or response to the river, and so on as described in Learning Outcomes.</t>
  </si>
  <si>
    <t>The quality of drawings has scope of improvement, in depth knowledge of the same is not expressed as expected. Some of the drawings and models were reasonably good</t>
  </si>
  <si>
    <t>Neither the process nor the resolution could be seen. The final outcome of architectural expression was way below</t>
  </si>
  <si>
    <t>Neither the process nor the resolution could be seen. The final outcome of architectural expression was way below average, both in terms of design and presentation or rather lack of it. ABIN: I COMPLETELY AGREE .</t>
  </si>
  <si>
    <t>average, both in terms of design and presentation or rather lack of it. ABIN: I COMPLETELY AGREE .</t>
  </si>
  <si>
    <t>AR3016</t>
  </si>
  <si>
    <t>Urban Commons: A Place of Wellness in the city</t>
  </si>
  <si>
    <t>Upyo 50%</t>
  </si>
  <si>
    <t>This is probably the core strength of this studio</t>
  </si>
  <si>
    <t>Probably 40-50%. ABIN: EXPLORATION OF SPACE NEEDS TO BE MORE PROFOUND. ALSO IN TERMS OF WELLNESS, EXHIBITION AND PROGRAMME.</t>
  </si>
  <si>
    <t>Some of the work indicates a struggle with lack of clarity and/ or direction.</t>
  </si>
  <si>
    <t>Some of the drawings and sketches were good and communicated well. Models were not made that well..</t>
  </si>
  <si>
    <t>It does have loose ends</t>
  </si>
  <si>
    <t>Upto 70% yes</t>
  </si>
  <si>
    <t>Exhibited work of this studio leaves one with a lingering impression that a majoritty of students in this studio were</t>
  </si>
  <si>
    <t>befuddled, or groping in the dark, with intangible learning objectives, and needed more support and clarification from</t>
  </si>
  <si>
    <t>their tutors..</t>
  </si>
  <si>
    <t>There is a disconnect between the intent and the outcome.....there is a lot of clarity and focus with the tutors intent, but</t>
  </si>
  <si>
    <t>somewhere and somehow the students have not engaged with intensity and rigour that could lead to a desirable</t>
  </si>
  <si>
    <t>process and eventually perhaps even the results..</t>
  </si>
  <si>
    <t>Missed the over all atmosphere of the studio and the processes as also the design development models..</t>
  </si>
  <si>
    <t>Well structured studio with a strong emphasis on both response to context and response to a clearly defined program,</t>
  </si>
  <si>
    <t>and supported by enough room to explore ideas. A good combination of abstraction and pragmatism at L2 level.</t>
  </si>
  <si>
    <t>Of Immediate &amp; Afar X</t>
  </si>
  <si>
    <t>Meticulous yes, rigorous it could become more.</t>
  </si>
  <si>
    <t>Missed the physical models. Its been an inherent part of the process. Also now that physical models were absent, I wish</t>
  </si>
  <si>
    <t>there were more drawings at enlarged scales of the details and wall sections, since the students had time.May be 3D</t>
  </si>
  <si>
    <t>printer is the call of the day, 3 D printers are not so expensive and affordable..</t>
  </si>
  <si>
    <t>Good, interesting, and high volume of work overall. This studio is an improvement over similar studio offered in Nov</t>
  </si>
  <si>
    <t>2019 since working drawings &amp; detailing were preceded by a complete and very involved process of design. Only</t>
  </si>
  <si>
    <t>drawback, if at all, was that all Art Museum floor plans seemed to be quite similar..</t>
  </si>
  <si>
    <t>Much better than earlier</t>
  </si>
  <si>
    <t>Making Living Places: Craftsmanship, song and imagination</t>
  </si>
  <si>
    <t>The nature of the site has to change, with explorations continued...</t>
  </si>
  <si>
    <t>This studio continues to explore and understand its setting in an unhurried and meticulous way and produces some</t>
  </si>
  <si>
    <t>beautiful drawings and sketches to communicate this. And the introduction of an expanded building program this time</t>
  </si>
  <si>
    <t>appears to have added another layer of exploration and intensity for the students</t>
  </si>
  <si>
    <t>A lot of time got wasted in designing a new building as compared to taking an existing one as the unit had done in the</t>
  </si>
  <si>
    <t>previous semesters, thus leading to a situation where students had very less time to grapple with the actual aspects and</t>
  </si>
  <si>
    <t>learning of a construction studio.Secondly, details have to be specific and contextual to the project and as such One</t>
  </si>
  <si>
    <t>failed to see any innovation. It seemed as if a standard set of details was provided to the students.</t>
  </si>
  <si>
    <t>Students have spent a disproportionate amount of time on larger scale design interventions compared to same studio</t>
  </si>
  <si>
    <t>offered in Nov 2019, because of which the main focus of the studio, construction and specifying is not as fully resolved</t>
  </si>
  <si>
    <t>as it was previously.</t>
  </si>
  <si>
    <t>Very well structured and commendable exercise to lead students at this level towards, and through, participatory design.</t>
  </si>
  <si>
    <t>The opportunity to engage with people and issues outside of their normal experience, the development of new methods</t>
  </si>
  <si>
    <t>of communication between them and an unfamiliar community, learning the “skill” of collaboration etc. must have</t>
  </si>
  <si>
    <t>broadened minds and abilities of students significantly..</t>
  </si>
  <si>
    <t>THIS STUDIO ABLE TO ENGAGE STUDENT EMOTIONALLY AND DEEPLY FOR THE PEOPLE , WHOM THEY</t>
  </si>
  <si>
    <t>WORKED FOR .</t>
  </si>
  <si>
    <t>Some of the work is not so complete</t>
  </si>
  <si>
    <t>Some projects are not as good as some of the others. Perhaps this studio, with its dependence on model-making, was more affected by the Covid-19 lockdown.</t>
  </si>
  <si>
    <t>This studio has followed the same process of inversion of the design process as in the studio offered in Nov 2019.</t>
  </si>
  <si>
    <t>Starting with choice of material and its joinery, leading to form generated by joinery, and then to appropriate function to</t>
  </si>
  <si>
    <t>be housed within this form. It was made more credible this time by the adaptation of generated form to specific building</t>
  </si>
  <si>
    <t>types. However, since this process is making-centric, it may have been impacted more by the lockdown..</t>
  </si>
  <si>
    <t>This essence of this entire unit is working with hands and using models at various scales to develop details. This is not a</t>
  </si>
  <si>
    <t>unit that can be experienced online. In absence of that, to me the unit fell back by almost 45-50%. The idea of</t>
  </si>
  <si>
    <t>materiality, the weight and texture and workability and limitations, the scales etc is so pertinent and inevitable while</t>
  </si>
  <si>
    <t>grappling with the intention of this studio. There must be a way out of the limitation the present situation has created.</t>
  </si>
  <si>
    <t>There is nothing lacking in terms of efforts from the tutors and the students though.</t>
  </si>
  <si>
    <t>This did not feel like an architectural studio and architectural solutions at the end were rudimentary. The sequence of</t>
  </si>
  <si>
    <t>activities in the studio could have been reversed. For example, students could have been asked to imagine a pavilion in a</t>
  </si>
  <si>
    <t>particular context with a kinetic element, and then set about exploring and developing mechanical solutions for this.</t>
  </si>
  <si>
    <t>Exploration would have been more purposeful, and both architectural and mechanical solutions may have been better</t>
  </si>
  <si>
    <t>resolved in this case..</t>
  </si>
  <si>
    <t>The scope defined of the studio a little narrow. Space kinematics should be expanded in its essence.</t>
  </si>
  <si>
    <t>AR2009</t>
  </si>
  <si>
    <t>Humane Habitat: The alchemy of place, people and palimpsest</t>
  </si>
  <si>
    <t>Course Introduction is clear and well-defined, and the studio is organized to lead students to those objectives. However,</t>
  </si>
  <si>
    <t>students at this level do not seem mature enough to handle mass housing at this scale. Many portfolios were well</t>
  </si>
  <si>
    <t>presented but, on closer examination, had not addressed basic housing related issues such as circulation, balance of</t>
  </si>
  <si>
    <t>community and privacy etc.. Also, basic assumptions by individual students about nature of residents have not been</t>
  </si>
  <si>
    <t>questioned and appear to be inappropriate. Difficult to visualize Kerala fishermen or Santal farmers residing in these</t>
  </si>
  <si>
    <t>mid-rise, high density habitats. Finally, reference and response to location and climate were not obvious..</t>
  </si>
  <si>
    <t>Extremely disappointing. They may have learned a lot in terms of grappling with issues under the mentorship of such a</t>
  </si>
  <si>
    <t>senior faculty with decades of experience behind, but unfortunately one could neither see the processing nor design and</t>
  </si>
  <si>
    <t>eosin development or understanding of contextually etc. The representation was also quite a let down. And this is</t>
  </si>
  <si>
    <t>consistently seen in all the previous housing studios that are conducted by the esteemed tutor.</t>
  </si>
  <si>
    <t>This is a great leap forward from the studio in Mandu in Nov 2015! The whole design exercise starting with its title,</t>
  </si>
  <si>
    <t>location next to an extant pavilion in Babur’s garden with Fatehpur Sikri as a backdrop, program for a musician’s house</t>
  </si>
  <si>
    <t>referencing Tansen perhaps, and a storyline over 40 years of growth, is quite lyrical and inspiring. And the students</t>
  </si>
  <si>
    <t>seem to have responded to this well and elevated themselves and their work as can be seen in their portfolios. .</t>
  </si>
  <si>
    <t>The context chosen is brilliant. However,I felt myself at loss to see the cohesive relationship with the programme which</t>
  </si>
  <si>
    <t>was also quite interesting, in other words had it not been Fatehpur Sikri, the programme would still hold its ground.</t>
  </si>
  <si>
    <t>developing of the project in three different time zones was a very fresh deviation.</t>
  </si>
  <si>
    <t>This studio seems to have taken one small step backwards from what we saw in Nov 2015.</t>
  </si>
  <si>
    <t>- program may have been unmanageably large for students to pay detailed attention to both climatic and architectural</t>
  </si>
  <si>
    <t>requirements. However, scale of this exercise probably helped them understand the role of outdoor and transitional</t>
  </si>
  <si>
    <t>spaces in response to climate.</t>
  </si>
  <si>
    <t>- could be due to lack of physical models due to lockdown.</t>
  </si>
  <si>
    <t>The intention to sensitize students to the role of climate in architecture continues to come through loud and clear. Design</t>
  </si>
  <si>
    <t>exercise with the Container, and figuring out ways in which to make it physically comfortable with respect to climate,</t>
  </si>
  <si>
    <t>appears to have been valuable..</t>
  </si>
  <si>
    <t>1.There has been a lot of informative learning one can see the students have gone through. However, translating the</t>
  </si>
  <si>
    <t>same into architectural expression is missing. I feel that the programme should be that of a medium sized institution or</t>
  </si>
  <si>
    <t>housing, where students can spend more time in developing the design based on their initial earnings rather than ending</t>
  </si>
  <si>
    <t>up spending a lot of time to address the size of the program itself. Four months is too short to focus on both and do</t>
  </si>
  <si>
    <t>justice.</t>
  </si>
  <si>
    <t>2.I also feel that that a studio of this nature requires a reviewer who is an expert in this field and who can provide</t>
  </si>
  <si>
    <t>qualitative feedback. Mere commonsensical knowledge of climate and some basics from Koenisberger s climatology is</t>
  </si>
  <si>
    <t>not enough I feel. I don't think I could do justice to this unit.</t>
  </si>
  <si>
    <t>3. We should have more of these units.There is a huge potential and the possibilities of bridging across kinetic as also</t>
  </si>
  <si>
    <t>parametric architecture.</t>
  </si>
  <si>
    <t>4. Both the tutors are an asset.</t>
  </si>
  <si>
    <t>AR2025</t>
  </si>
  <si>
    <t>Building Anti-building</t>
  </si>
  <si>
    <t>From what I have understood, since I am unfamiliar with Cedric Price and the idea of anti-building, this studio</t>
  </si>
  <si>
    <t>combines concepts of multipurpose space with that of kinetic elements to change and control extent and quality of</t>
  </si>
  <si>
    <t>space, and natural elements such as light and air, in order to accommodate all possible present and future requirements.</t>
  </si>
  <si>
    <t>I question the basic hypothesis, and the need for so much change, movement, and flexibility. However, students have</t>
  </si>
  <si>
    <t>grappled with this idea and communicated it quite successfully through their projects. The initial Mobile Library design</t>
  </si>
  <si>
    <t>exercise with the container appears to have been instructive..</t>
  </si>
  <si>
    <t>Interesting programme, but lacks exploration and translation into a well resolved architectural outcome.</t>
  </si>
  <si>
    <t>AR2026</t>
  </si>
  <si>
    <t>Visualization &amp; Communication</t>
  </si>
  <si>
    <t>Dissolving Boundaries: Children Library at Loving Community</t>
  </si>
  <si>
    <t>The studio is well-intentioned and students seem to have put in a lot of hard work in mapping and understanding the</t>
  </si>
  <si>
    <t>community. The proposal for the Children’s Library came from the community. However, I had a strong feeling that the</t>
  </si>
  <si>
    <t>architecture proposed by the students did not relate or respond to the physical context of the community at many levels.</t>
  </si>
  <si>
    <t>They tried too hard to make it “ interesting”, perhaps playful, but it just felt out of sync in the end. The studio did not</t>
  </si>
  <si>
    <t>appear to have sensitized students to the role of empathy in architecture..</t>
  </si>
  <si>
    <t>After two years and over four semesters of review where I kept feeling that the units are all falling into a band of</t>
  </si>
  <si>
    <t>spectrum and one cannot see any spark from any Individual or a unit or, finally this studio transcends the bandwidth of</t>
  </si>
  <si>
    <t>spectrum. It has been such a joy, to go through each and every portfolio as also the processes, programme, drawings,</t>
  </si>
  <si>
    <t>architectural intervention and the final outcome. This is the first time have I come across the manner of drawings where</t>
  </si>
  <si>
    <t>it has been a means to expressing a design and not an end in itself. There is a lot of simplicity and austerity in</t>
  </si>
  <si>
    <t>representation. There is a lot of maturity, consistency in terms of qualitative engagement with issues that can be clearly</t>
  </si>
  <si>
    <t>seen. Its also quite amazing that the tutor has managed to pull the entire studio exceptionally well with his obvious</t>
  </si>
  <si>
    <t>involvement and yet has allowed the space for each individual to express her/himself in a unique manner and push</t>
  </si>
  <si>
    <t>themselves in their own directions. The focus has clearly been the performance of the students and not his own</t>
  </si>
  <si>
    <t>performance that was at the front always.The sensitivity with which the tutor and the students have dealt with the</t>
  </si>
  <si>
    <t>program and design solution is commendable and rare. I am sure there may be a few aspects that could be debated and</t>
  </si>
  <si>
    <t>improvised and needs two be looked into, however the shear over all brilliance of the studio is such that the few aspects</t>
  </si>
  <si>
    <t>are not even worth my time as of now. Am sure it can brought to the tutors notice and it already has been by one of the</t>
  </si>
  <si>
    <t>reviewers and I am sure the tutor has already displayed his skills as a teacher and he knows what he is doing and he</t>
  </si>
  <si>
    <t>should be left free to do that.</t>
  </si>
  <si>
    <t>In my entire 25 years of engagement with academics as a visiting faculty and an academic advisor to few institutions,</t>
  </si>
  <si>
    <t>with my modest exposure, limited experience and I haven't come across a single studio till date that is par excellence</t>
  </si>
  <si>
    <t>across such a broad section of issues one handles in a studio teaching and learning.</t>
  </si>
  <si>
    <t>It was a pure joy, a fulfilling experience and a pleasure to have reviewed this unit..</t>
  </si>
  <si>
    <t>this Studio has done wonderful job . quality of each student work is amazing .</t>
  </si>
  <si>
    <t>Studio has done wonderful job . quality of each student work is amazing .</t>
  </si>
  <si>
    <t>Case studies and Project 1 were not completely relevant.</t>
  </si>
  <si>
    <t>Not all.</t>
  </si>
  <si>
    <t>This studio is an improvement on the same studio offered in Nov 2019. Much better structured and exploratory.</t>
  </si>
  <si>
    <t>However, both Case Studies and Project 1 (Interpretation Centers on Five Sites) are not clearly linked with the vision</t>
  </si>
  <si>
    <t>statement or objective of this studio. Given that all studios have little time to present an architectural solution to the</t>
  </si>
  <si>
    <t>studio problem statement, it might be better to resolve this through relevant exercises. The presence of the river is not</t>
  </si>
  <si>
    <t>strong in the final presentations despite the clear and poetic vision of the studio problem statement..</t>
  </si>
  <si>
    <t>It's much better than the last semester but its a long way to go still. Again there seems to be a lot of work at the initial</t>
  </si>
  <si>
    <t>stages and during the processes, but the translation of these ideas is where the studio seems to be struggling.</t>
  </si>
  <si>
    <t>AR3017</t>
  </si>
  <si>
    <t>Realizing Nollis Dream: Embedding Architecture in the City</t>
  </si>
  <si>
    <t>this vey fantastic studio , much deeper understanding , Interesting part of that choice of site .</t>
  </si>
  <si>
    <t>This studio is thoughtful and systematic. It is at another level from the other L3 studios and borders on urban design</t>
  </si>
  <si>
    <t>with a strong architectural foundation. The notion of urban transport hubs as opportunities for appropriate</t>
  </si>
  <si>
    <t>programmatic and architectural expression is clever.</t>
  </si>
  <si>
    <t>The students appear to have been inspired by the studio problem title and statement, and their work, as indicated in</t>
  </si>
  <si>
    <t>their portfolios, is sophisticated and in sync with the nature of a modern transport hub.</t>
  </si>
  <si>
    <t>.</t>
  </si>
  <si>
    <t>This is the only studio that stands out in terms of the criteria stated above at level 3. But here I would give the credit to</t>
  </si>
  <si>
    <t>the tutor than the students. I found the over all rigour that is desirable at level 3 slightly lacking. I know Sachin and what</t>
  </si>
  <si>
    <t>he is capable of, he has shown his abilities as a tutor at level 2. The outcome and engagement that I could see in his</t>
  </si>
  <si>
    <t>units at level 2 are far better than level 3 and this where I feel that there is something that is lacking at level 3 as ana</t>
  </si>
  <si>
    <t>academic structure that allows students to get away without committing to a degree that they do at level 2. This is of a</t>
  </si>
  <si>
    <t>concern.</t>
  </si>
  <si>
    <t>AR3018</t>
  </si>
  <si>
    <t>The City and Performance spaces – Performance spaces as Urban catalysts</t>
  </si>
  <si>
    <t>This studio has a highly structured and rational process, including historical references and comparative analyses, of</t>
  </si>
  <si>
    <t>understanding, designing and detailing a large and complex building type. Exposure to the scale and complexities of</t>
  </si>
  <si>
    <t>formal performance spaces in a systematic fashion must have given students a high level of confidence in their ability to</t>
  </si>
  <si>
    <t>design and develop complex architectural projects in future..</t>
  </si>
  <si>
    <t>It lacks maturity of a level three studio. Non of the architectural outcomes showed any reference or relationship or</t>
  </si>
  <si>
    <t>engagement or reinterpretation or understanding of the essence of context or contextually. Just because one chooses a</t>
  </si>
  <si>
    <t>dense urban fabric which by default has contextual forces doesn't make the building contextual by such a default.Its</t>
  </si>
  <si>
    <t>important to acknowledge tases forces and understand its source and origin, make ones own interpretation that leads to</t>
  </si>
  <si>
    <t>formulation of the physical manifestation. Its cant be done in isolation and mere technical resolution based on</t>
  </si>
  <si>
    <t>anthropometrics of spaces and functions is inadequate.</t>
  </si>
  <si>
    <t>AR3019</t>
  </si>
  <si>
    <t>Algorithmic Thinking – A Parametric Approach to Problem Solving</t>
  </si>
  <si>
    <t>his is an interesting studio which explores a relatively new design tool based on a system of finite constraints and</t>
  </si>
  <si>
    <t>parameters to achieve an architectural solution to a complex design problem. It is important to expose students to such</t>
  </si>
  <si>
    <t>methods in the current, digital world.</t>
  </si>
  <si>
    <t>However, there seems to be a loss of holistic and intuitive intervention, and more importantly, a loss of the possibility of</t>
  </si>
  <si>
    <t>serendipity, or “the happy accident,” in the design process. The whole process feels overly deterministic.</t>
  </si>
  <si>
    <t>Also, the choice of exercises with light and apertures for parametric design needs to be revisited since the architectural</t>
  </si>
  <si>
    <t>response to these elements is governed by a multitude of factors such as location, climate, season, time of day, views,</t>
  </si>
  <si>
    <t>building elevations, availability of shading devices etc.. Parametric design of organizational principles such as circulation</t>
  </si>
  <si>
    <t>may be more appropriate.</t>
  </si>
  <si>
    <t>Numbers, statistics, systems, equations, formulas, algorithms are few of the many means to and end and not an end in</t>
  </si>
  <si>
    <t>itself. Even though the students seemed to have engaged with the initial studies and processes, even though they seem</t>
  </si>
  <si>
    <t>to have gained a lot at the preliminary stages as also along the semester on the drawings board, the outcome is far</t>
  </si>
  <si>
    <t>disconnected with what should have been a stimulating architectural resolution of a building. Unfortunately it ends with</t>
  </si>
  <si>
    <t>banality of the criterias of parametric architecture. There is no architecture, there were only buildings, and to take these</t>
  </si>
  <si>
    <t>banality away, the criteria have to get transformed into spatial ideas and concepts.</t>
  </si>
  <si>
    <t>Intuition, instinct and its inherent important place in conceptualising should also be a foremost parameter.</t>
  </si>
  <si>
    <t>I am at a loss to understand the value of parametric architecture as defined by the tutors, does it become meaningful</t>
  </si>
  <si>
    <t>only when there is repetitiveness, mass production, scales are massive?? or does parametric architecture can also impart</t>
  </si>
  <si>
    <t>value to project that are smaller in scale like a hospital, community wellness centre or a house or school or a gymnasium etc.</t>
  </si>
  <si>
    <t>AR3021</t>
  </si>
  <si>
    <t>Vertical Living</t>
  </si>
  <si>
    <t>Too large</t>
  </si>
  <si>
    <t>Too broad</t>
  </si>
  <si>
    <t>Very few</t>
  </si>
  <si>
    <t>Same as !4</t>
  </si>
  <si>
    <t>Some</t>
  </si>
  <si>
    <t>This studio exposes students to high-rise/ high-density, and unapologetically mainstream, urban housing, as also to</t>
  </si>
  <si>
    <t>processes encountered by practitioners in the field. However, from a review of their portfolios, the scale of intervention</t>
  </si>
  <si>
    <t>seems to have been unmanageable for most of the students. Comparative studies with other urban housing types, such</t>
  </si>
  <si>
    <t>as low-rise/ high density housing, may have broadened their understanding of the positive aspects of high-rise</t>
  </si>
  <si>
    <t>solutions, and inspired them to put in more effort..</t>
  </si>
  <si>
    <t>Lot of work at the level of initial studies, but a complete failure in translating ideas architecturally into a qualitative</t>
  </si>
  <si>
    <t>academic project..</t>
  </si>
  <si>
    <t>This studio struggled due to large project , the solution and implementation of learning through process was diluted</t>
  </si>
  <si>
    <t>somehow drastically .</t>
  </si>
  <si>
    <t>2020-21</t>
  </si>
  <si>
    <t>While the problem statement included the aspect of the future of school design, how this translated into the designs was not clear.</t>
  </si>
  <si>
    <t>The studio was a missed opportunity to really explore new morphologies in architecture of learning, especially in/after the post covid era - as the problem statement stated</t>
  </si>
  <si>
    <t>Studio explanations (by the faculty) need to be time bound and to the point. The student work needed some more explanations OR perhaps a short explanation video on their thinking</t>
  </si>
  <si>
    <t>0</t>
  </si>
  <si>
    <t>If seen in isolation, yes. If compared to previous semesters, then its not at par.</t>
  </si>
  <si>
    <t>There are errors but its mostly owing to the absence of one on one interaction.</t>
  </si>
  <si>
    <t>Again its good, but not at par with previous semesters.</t>
  </si>
  <si>
    <t>Limitation of screen size, made it a bit difficult to read the drawings. The drawings need to be  projected, which is not always possible.</t>
  </si>
  <si>
    <t>No. Online can never do justice to such a studio. One on one interaction is most crucial, the co working of all</t>
  </si>
  <si>
    <t>the students under one roof plays a huge role is passing on and exchanging ones own exposures and</t>
  </si>
  <si>
    <t>limitations, the spontaneous exchanges that can be so meaningful and fulfilling are completely missing, and it</t>
  </si>
  <si>
    <t>shows..</t>
  </si>
  <si>
    <t>With exception of may be one or two students, rest have lost an opportunity by not engaging.</t>
  </si>
  <si>
    <t>With exception of may be one or two students, over all the depth of understanding seems to be missing this time.</t>
  </si>
  <si>
    <t>This time no.</t>
  </si>
  <si>
    <t>Been observing the processes and the outcomes over previous three semesters of the same unit, the expectations were high. The quality of students work, both in terms of drawings, sketches and the engagement with design development and the outcome eventually has been a disappointment.</t>
  </si>
  <si>
    <t>Not as good as the previous semesters.</t>
  </si>
  <si>
    <t>Not as rigorous as the previous semesters.</t>
  </si>
  <si>
    <t>This studio has been very consistent and has been able to raise the bar of all the students and extract a desirable quality befitting the status of FA, CEPT over last 4-5 semester of work that I have been able to see.The studio combined the complexity of understanding an existing structure and explored the addition of a new one well. As usual fantastic work.</t>
  </si>
  <si>
    <t>Designing with people: Exploring collaborative design at neighbourhood level</t>
  </si>
  <si>
    <t>between 1 and 2.</t>
  </si>
  <si>
    <t>Well, there are lot of loose ends. The very basic intent of this studio and program is collaborative in nature, only line platform allows a very limited nature of collaboration, without the involvement and interaction of various stake holders and local people, its appears to have remained as a mere academic exercise.</t>
  </si>
  <si>
    <t>Between 2 nd 3.</t>
  </si>
  <si>
    <t>some of the portfolio is good .</t>
  </si>
  <si>
    <t>The focus of the studio was on materials alone, it would have been interesting to connect the explorative studies back to architectural design. It was difficult to grasp the scales and comprehend the proportions through the images of drawings and models presented.</t>
  </si>
  <si>
    <t>The students work has been quite disappointing, from the level of drawings,  representation to design, design development and the final outcome. The same unit has produced quite exciting works in previous semesters.</t>
  </si>
  <si>
    <t>Between 2 and 3</t>
  </si>
  <si>
    <t>This is perhaps one of few studios where the tutor hasn't imposed a fixed method or medium or path of exploration.He has not imposed a structure so to say, and that is required particularly while exploring and developing individual design sensibilities. There doesn't seem to be a fear of judgement. The outcome is quite individualistic and has allowed the possibility of each student to evolve what suited or interested him or her. Clearly the students had lot of fun. Added layers of movement and activities would have made for a holistic understanding and approach to the urban context explored</t>
  </si>
  <si>
    <t>Just like most of the other studios, the over all quality of results has slid down and its most obviously due to online medium. Under the same tutor, the processes and the outcomes were much more exciting and satisfying. Tutor has not changed but the medium of teaching has. Online is certainly not translating the intent across in a desirable manner.</t>
  </si>
  <si>
    <t>AR2027</t>
  </si>
  <si>
    <t>Social Learning</t>
  </si>
  <si>
    <t>I wish it was a little more focused and specific.</t>
  </si>
  <si>
    <t>Yes it does.</t>
  </si>
  <si>
    <t>How I wish they had.</t>
  </si>
  <si>
    <t>It lacks depth.</t>
  </si>
  <si>
    <t>Lot of effort into presenting it well. I wish the students would spend time in resolution of the design.</t>
  </si>
  <si>
    <t>Its between 1 and 2.</t>
  </si>
  <si>
    <t>Efforts yes, but in wrong direction.</t>
  </si>
  <si>
    <t>The architectural drawings are sub standard. Too many analytical diagrams and initial studies, causing a distraction. It should have led to an understanding that would enable the student s to engage with the context, conceptualise and design development. Instead they seem to be trying to hide design behind the initial analytical " bulk" presented. I wish there were well resolved architectural drawings.</t>
  </si>
  <si>
    <t>AR2028</t>
  </si>
  <si>
    <t>Learning Spaces: beyond schooling</t>
  </si>
  <si>
    <t>AR2029</t>
  </si>
  <si>
    <t>Design Fundamentals of Space Making</t>
  </si>
  <si>
    <t>50% have , rest have not.</t>
  </si>
  <si>
    <t>About 30%</t>
  </si>
  <si>
    <t>It's little difficult to answer the previous question as we are supposed to express our observations based on the presentation that doesn't convey in totality the process that transpired over the semester,.How would any one know its been online and not a regular studio?</t>
  </si>
  <si>
    <t>AR2030</t>
  </si>
  <si>
    <t>Design and Detailing_ Resilient Architectural Assemblies</t>
  </si>
  <si>
    <t>Few have, about 30%.</t>
  </si>
  <si>
    <t>Some have achieved the understanding.</t>
  </si>
  <si>
    <t>Again, it's been successful with the students who engaged with the process.</t>
  </si>
  <si>
    <t>In parts.</t>
  </si>
  <si>
    <t>This is something difficult to comment on as I haven't had opportunity to interact with the tutor or the students.</t>
  </si>
  <si>
    <t>A3004</t>
  </si>
  <si>
    <t>Oikopolis: The Rise of the Cooperative</t>
  </si>
  <si>
    <t>Although studio provides great insights, too much stress towards solution might have impacted the design process.</t>
  </si>
  <si>
    <t>The depth and width of the studio doesn't befit expectations from a L3 studio. This has been an ongoing debate. This is despite the presence of an experienced teacher/tutor/mentor. All the realties, pragmatics and practicalities etc aside which is well intended and appreciated, but cannot do away with broader, more pertinent issues.I found that missing. The students work didn't evoke any creative interest to feel the need to engage with the projects.</t>
  </si>
  <si>
    <t>Once again, L3 continues to disappoint. The narratives are interesting, the initial work also creates hope, but the processes seem to have stopped almost abruptly and the architectural representation of the final out come is extremely inadequate.</t>
  </si>
  <si>
    <t>The program and intent is, but the students work is not.</t>
  </si>
  <si>
    <t>The studio sets clear goals followed by an ambitious approach.</t>
  </si>
  <si>
    <t>Fantastic work. "On one hand the units at L3 continues to disappoint in terms of the engagement from students and the quality of out come despite having very experienced faculty/mentor, Sachin s studios continues to maintain a desirable standards. The credit for success of the unit goes as always to him. 
However, I do continue to feel that students have missed out on engaging with the processes in an intense manner, which also has an obvious influence on the outcome.Its a lost opportunity for them. This studio amongst L3 is like a one eyed king amongst blinds.</t>
  </si>
  <si>
    <t>There could have been more emphasis in the studio structure to focus on the connection to the city and the surrounding as it was a clear part of the course objective.</t>
  </si>
  <si>
    <t>The Unit's work is commendable in design detailing but lacks in the connection to urban realm.</t>
  </si>
  <si>
    <t>M22</t>
  </si>
  <si>
    <t>S23</t>
  </si>
  <si>
    <t>M25</t>
  </si>
  <si>
    <t>AY 2018-19</t>
  </si>
  <si>
    <t>AY 2019-20</t>
  </si>
  <si>
    <t>AY 2020-21</t>
  </si>
  <si>
    <t>AY 2021-22</t>
  </si>
  <si>
    <t>AY 2022-23</t>
  </si>
  <si>
    <t>AY 2023-24</t>
  </si>
  <si>
    <t>AY 2024-25</t>
  </si>
  <si>
    <t>Good quality, commendable work from students that depict clarity in concept and depth of understanding of the problem statement posed to them.</t>
  </si>
  <si>
    <t>For a L3 studio, the bandwidth of the issues touched upon and engaged with are too narrow and limited.</t>
  </si>
  <si>
    <t>AR3022</t>
  </si>
  <si>
    <t>The level of detail and understanding of energy calculations and passive energy systems presented by students is commendable</t>
  </si>
  <si>
    <t>Compared to other studios, the process of the student through the studio work was not very clearly visible in the way the work has been showcased.</t>
  </si>
  <si>
    <t>AR3023</t>
  </si>
  <si>
    <t>Leisure City</t>
  </si>
  <si>
    <t>The studio has a strong argument to start with addressing the issue of identity and place-making in suburbia, but at the same time narrows down on a singular artefact.</t>
  </si>
  <si>
    <t>Some students have shown a good analytical approach</t>
  </si>
  <si>
    <t>AR3024</t>
  </si>
  <si>
    <t>Time, Public, and Architecture</t>
  </si>
  <si>
    <t>No. What is the problem?</t>
  </si>
  <si>
    <t>Without the clarity of the intent and the outcome??. Hierarchy in the course framework is clearly reflected in the student work that shows a clear development in thought from the first to the final exercise.</t>
  </si>
  <si>
    <t>Lot of data, diagrams, analysis, graphics..running over several sheets and leading to almost no architectural</t>
  </si>
  <si>
    <t>Sadly No. Very disappointing again to see such outcomes at L3.</t>
  </si>
  <si>
    <t>AR3025</t>
  </si>
  <si>
    <t>Through Words</t>
  </si>
  <si>
    <t>Too broad a spectrum programmatically.</t>
  </si>
  <si>
    <t>The student work shows that have struggled to express the conceptual realm.</t>
  </si>
  <si>
    <t>Some students have shown a good analysing and critical thinking ability. There are few loose ends in terms of translation of the program to the processes that followed, but since this nature of studio is being offered for the first time and I believe that the same intent taken forward over few studios will refine the processes and the outcome further.</t>
  </si>
  <si>
    <t>Here is yet another example of a great opportunity lost. lucky are the students to get tutors like this, a program that has a huge potential and yet the students non engagement and absence of rigour at this stage ie L3 continues to be of a concern.</t>
  </si>
  <si>
    <t>AR3026</t>
  </si>
  <si>
    <t>Retrofit an ecosystem</t>
  </si>
  <si>
    <t>Interesting, holistic course objective with vague learning outcomes that could be better articulated by delving into the meaning behind the notions of empathy, environment, collective, etc.</t>
  </si>
  <si>
    <t>Good student output. Could have been interesting if the multidisciplinary approach to thinking in the course structure was visible in the student outcome as well.</t>
  </si>
  <si>
    <t>The unit in a small part seems to have done well.Some interesting representations in the form of collages etc. Somehow the initial intent set out by the tutor that has a lot of potential doesn't match up with the over all  architectural outcome.</t>
  </si>
  <si>
    <t>AR3027</t>
  </si>
  <si>
    <t>The Urban Plot-Play of XL Architecture</t>
  </si>
  <si>
    <t>Well structured studio in terms of incorporating different scales and modes of thinking.</t>
  </si>
  <si>
    <t>The studio considers both a personal and spatial exploration, which is not always translated in the student output. Maybe simplifying the design deliverable and focusing on one medium (either film, graphic or spatial product) could have helped.</t>
  </si>
  <si>
    <t>I feel, not just with this studio but across many, the representation of so called "data" collected should be minimised to may be just one or two sheets and rest should be purely to do with architectural representation of the project which is an outcome of the various studies and data, which itself would convey the the extensive engagement one has been through in the studio to arrive at the outcome. At the moment the the quantum of data takes over the actual representation of the project.</t>
  </si>
  <si>
    <t>AR2037</t>
  </si>
  <si>
    <t>Design development and construction estimation</t>
  </si>
  <si>
    <t>this very critical part of our profession , visually not encouraging but very important as well</t>
  </si>
  <si>
    <t>It would have been nice if the students focused more on the construction details and the material specifications rather than using generic details and specs.</t>
  </si>
  <si>
    <t>The work could have focused more on design detailing and how that impacts the estimation and costing. The design details were often not thought out and could have been the focus of the architecture studio.</t>
  </si>
  <si>
    <t>The hybrid mode of teaching may have impacted the hands on approach some students could have taken for the design detailing.</t>
  </si>
  <si>
    <t>The studio process is well thought out to enable the best output as the students learn by creating replicas of well known designs and kinetic toys.</t>
  </si>
  <si>
    <t>worked well with models being made - not clear how much professional help is taken in teh making of models. This studio really need to work on physical space with models. The students have grappled with the design problem in a very hands on manner, with clearly developing ideas through the course of the semester. The hybrid method of teaching does not seem to have affected the studio much.</t>
  </si>
  <si>
    <t>Planning and Organizing</t>
  </si>
  <si>
    <t>Some works are very good. Overall the studio work quality could be improved.</t>
  </si>
  <si>
    <t>The hybrid method of teaching seems to not affect the studio outcome much. There is a clear development of thought and a good quantity and quality of work put into the projects.</t>
  </si>
  <si>
    <t>raw</t>
  </si>
  <si>
    <t>Learning Spaces: Beyond Schooling</t>
  </si>
  <si>
    <t>Ideas are communicated and articulated well</t>
  </si>
  <si>
    <t xml:space="preserve">study was very good , but not outcome always .some os them are very good. Some works have good drawings, some others can improve their mode of representation to represent their   projects better. </t>
  </si>
  <si>
    <t>The studio seems to not be very affected by the hybrid model. The fact that they have sites from all over the world made good use of this model of teaching.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</si>
</sst>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0_);_(* \(#,##0.000\);_(* &quot;-&quot;??_);_(@_)"/>
  </numFmts>
  <fonts count="15" x14ac:knownFonts="1">
    <font>
      <sz val="12"/>
      <color theme="1"/>
      <name val="Aptos Narrow"/>
      <family val="2"/>
      <scheme val="minor"/>
    </font>
    <font>
      <sz val="12"/>
      <color theme="1"/>
      <name val="Aptos Narrow"/>
      <family val="2"/>
      <scheme val="minor"/>
    </font>
    <font>
      <sz val="12"/>
      <color rgb="FF000000"/>
      <name val="Helvetica"/>
      <family val="2"/>
    </font>
    <font>
      <sz val="12"/>
      <color rgb="FF000000"/>
      <name val="Aptos Narrow"/>
      <family val="2"/>
      <scheme val="minor"/>
    </font>
    <font>
      <sz val="10"/>
      <color rgb="FF692282"/>
      <name val="Helvetica"/>
      <family val="2"/>
    </font>
    <font>
      <b/>
      <sz val="12"/>
      <color theme="0"/>
      <name val="Aptos Narrow"/>
      <family val="2"/>
      <scheme val="minor"/>
    </font>
    <font>
      <sz val="8"/>
      <name val="Aptos Narrow"/>
      <family val="2"/>
      <scheme val="minor"/>
    </font>
    <font>
      <b/>
      <sz val="12"/>
      <color rgb="FF000000"/>
      <name val="Aptos Narrow"/>
      <family val="2"/>
      <scheme val="minor"/>
    </font>
    <font>
      <sz val="10"/>
      <color rgb="FF000000"/>
      <name val="Helvetica"/>
      <family val="2"/>
    </font>
    <font>
      <b/>
      <sz val="15"/>
      <color rgb="FF858383"/>
      <name val="Arial"/>
      <family val="2"/>
    </font>
    <font>
      <sz val="9"/>
      <color rgb="FF000000"/>
      <name val="Helvetica"/>
      <family val="2"/>
    </font>
    <font>
      <sz val="12"/>
      <color rgb="FFFF0000"/>
      <name val="Aptos Narrow"/>
      <family val="2"/>
      <scheme val="minor"/>
    </font>
    <font>
      <sz val="10"/>
      <color rgb="FF692281"/>
      <name val="Helvetica"/>
      <family val="2"/>
    </font>
    <font>
      <u/>
      <sz val="12"/>
      <color theme="10"/>
      <name val="Aptos Narrow"/>
      <family val="2"/>
      <scheme val="minor"/>
    </font>
    <font>
      <sz val="10"/>
      <color theme="1"/>
      <name val="Arial"/>
      <family val="2"/>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
      <left style="medium">
        <color indexed="64"/>
      </left>
      <right/>
      <top style="medium">
        <color indexed="64"/>
      </top>
      <bottom/>
      <diagonal/>
    </border>
    <border>
      <left/>
      <right/>
      <top style="thin">
        <color theme="4" tint="0.39997558519241921"/>
      </top>
      <bottom style="medium">
        <color indexed="64"/>
      </bottom>
      <diagonal/>
    </border>
    <border>
      <left/>
      <right/>
      <top style="medium">
        <color indexed="64"/>
      </top>
      <bottom/>
      <diagonal/>
    </border>
    <border>
      <left/>
      <right/>
      <top style="thin">
        <color theme="4" tint="0.39997558519241921"/>
      </top>
      <bottom style="double">
        <color indexed="64"/>
      </bottom>
      <diagonal/>
    </border>
    <border>
      <left/>
      <right style="medium">
        <color indexed="64"/>
      </right>
      <top style="medium">
        <color indexed="64"/>
      </top>
      <bottom/>
      <diagonal/>
    </border>
    <border>
      <left/>
      <right style="medium">
        <color indexed="64"/>
      </right>
      <top style="thin">
        <color theme="4" tint="0.39997558519241921"/>
      </top>
      <bottom style="thin">
        <color theme="4" tint="0.39997558519241921"/>
      </bottom>
      <diagonal/>
    </border>
    <border>
      <left/>
      <right/>
      <top style="thin">
        <color theme="4" tint="0.39997558519241921"/>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double">
        <color indexed="64"/>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cellStyleXfs>
  <cellXfs count="175">
    <xf numFmtId="0" fontId="0" fillId="0" borderId="0" xfId="0"/>
    <xf numFmtId="0" fontId="0" fillId="0" borderId="2" xfId="0" applyBorder="1"/>
    <xf numFmtId="0" fontId="0" fillId="0" borderId="4" xfId="0" applyBorder="1"/>
    <xf numFmtId="0" fontId="0" fillId="0" borderId="7" xfId="0" applyBorder="1"/>
    <xf numFmtId="0" fontId="0" fillId="0" borderId="8" xfId="0" applyBorder="1"/>
    <xf numFmtId="0" fontId="0" fillId="0" borderId="5" xfId="0" applyBorder="1"/>
    <xf numFmtId="0" fontId="3" fillId="0" borderId="0" xfId="0" applyFont="1"/>
    <xf numFmtId="9" fontId="0" fillId="0" borderId="0" xfId="2" applyFont="1"/>
    <xf numFmtId="43" fontId="0" fillId="0" borderId="0" xfId="0" applyNumberFormat="1"/>
    <xf numFmtId="0" fontId="0" fillId="0" borderId="0" xfId="0" applyAlignment="1">
      <alignment horizontal="center"/>
    </xf>
    <xf numFmtId="0" fontId="0" fillId="0" borderId="12" xfId="0" applyBorder="1"/>
    <xf numFmtId="0" fontId="0" fillId="0" borderId="14"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1" applyNumberFormat="1" applyFont="1"/>
    <xf numFmtId="0" fontId="8" fillId="0" borderId="0" xfId="0" applyFont="1"/>
    <xf numFmtId="0" fontId="4" fillId="0" borderId="0" xfId="0" applyFont="1"/>
    <xf numFmtId="0" fontId="9" fillId="0" borderId="0" xfId="0" applyFont="1"/>
    <xf numFmtId="0" fontId="8" fillId="0" borderId="15" xfId="0" applyFont="1" applyBorder="1"/>
    <xf numFmtId="0" fontId="8" fillId="0" borderId="4" xfId="0" applyFont="1" applyBorder="1"/>
    <xf numFmtId="0" fontId="8" fillId="0" borderId="9" xfId="0" applyFont="1" applyBorder="1"/>
    <xf numFmtId="164" fontId="0" fillId="0" borderId="0" xfId="0" applyNumberFormat="1"/>
    <xf numFmtId="0" fontId="8" fillId="0" borderId="10" xfId="0" applyFont="1" applyBorder="1"/>
    <xf numFmtId="0" fontId="8" fillId="0" borderId="1" xfId="0" applyFont="1" applyBorder="1"/>
    <xf numFmtId="0" fontId="8" fillId="0" borderId="3" xfId="0" applyFont="1" applyBorder="1"/>
    <xf numFmtId="0" fontId="8" fillId="0" borderId="6" xfId="0" applyFont="1" applyBorder="1"/>
    <xf numFmtId="0" fontId="10" fillId="0" borderId="10" xfId="0" applyFont="1" applyBorder="1"/>
    <xf numFmtId="0" fontId="0" fillId="3" borderId="12" xfId="0" applyFill="1" applyBorder="1"/>
    <xf numFmtId="0" fontId="2" fillId="3" borderId="12" xfId="0" applyFont="1" applyFill="1" applyBorder="1"/>
    <xf numFmtId="9" fontId="0" fillId="3" borderId="12" xfId="2" applyFont="1" applyFill="1" applyBorder="1"/>
    <xf numFmtId="43" fontId="0" fillId="3" borderId="12" xfId="1" applyFont="1" applyFill="1" applyBorder="1"/>
    <xf numFmtId="43" fontId="0" fillId="3" borderId="12" xfId="0" applyNumberFormat="1" applyFill="1" applyBorder="1"/>
    <xf numFmtId="0" fontId="0" fillId="0" borderId="16" xfId="0" applyBorder="1"/>
    <xf numFmtId="9" fontId="0" fillId="0" borderId="16" xfId="2" applyFont="1" applyBorder="1"/>
    <xf numFmtId="43" fontId="0" fillId="0" borderId="16" xfId="1" applyFont="1" applyBorder="1"/>
    <xf numFmtId="43" fontId="0" fillId="0" borderId="16" xfId="0" applyNumberFormat="1" applyBorder="1"/>
    <xf numFmtId="0" fontId="0" fillId="3" borderId="16" xfId="0" applyFill="1" applyBorder="1"/>
    <xf numFmtId="9" fontId="0" fillId="3" borderId="16" xfId="2" applyFont="1" applyFill="1" applyBorder="1"/>
    <xf numFmtId="43" fontId="0" fillId="3" borderId="16" xfId="1" applyFont="1" applyFill="1" applyBorder="1"/>
    <xf numFmtId="43" fontId="0" fillId="3" borderId="16" xfId="0" applyNumberFormat="1" applyFill="1" applyBorder="1"/>
    <xf numFmtId="0" fontId="0" fillId="3" borderId="20" xfId="0" applyFill="1" applyBorder="1"/>
    <xf numFmtId="0" fontId="2" fillId="3" borderId="20" xfId="0" applyFont="1" applyFill="1" applyBorder="1"/>
    <xf numFmtId="9" fontId="0" fillId="3" borderId="20" xfId="2" applyFont="1" applyFill="1" applyBorder="1"/>
    <xf numFmtId="43" fontId="0" fillId="3" borderId="20" xfId="1" applyFont="1" applyFill="1" applyBorder="1"/>
    <xf numFmtId="43" fontId="0" fillId="3" borderId="20" xfId="0" applyNumberFormat="1" applyFill="1" applyBorder="1"/>
    <xf numFmtId="0" fontId="2" fillId="0" borderId="16" xfId="0" applyFont="1" applyBorder="1"/>
    <xf numFmtId="0" fontId="2" fillId="3" borderId="16" xfId="0" applyFont="1" applyFill="1" applyBorder="1"/>
    <xf numFmtId="0" fontId="4" fillId="3" borderId="20" xfId="0" applyFont="1" applyFill="1" applyBorder="1"/>
    <xf numFmtId="0" fontId="4" fillId="0" borderId="16" xfId="0" applyFont="1" applyBorder="1"/>
    <xf numFmtId="0" fontId="4" fillId="3" borderId="16" xfId="0" applyFont="1" applyFill="1" applyBorder="1"/>
    <xf numFmtId="0" fontId="4" fillId="3" borderId="12" xfId="0" applyFont="1" applyFill="1" applyBorder="1"/>
    <xf numFmtId="0" fontId="0" fillId="0" borderId="13" xfId="0" applyBorder="1"/>
    <xf numFmtId="0" fontId="4" fillId="0" borderId="13" xfId="0" applyFont="1" applyBorder="1"/>
    <xf numFmtId="9" fontId="0" fillId="0" borderId="13" xfId="2" applyFont="1" applyBorder="1"/>
    <xf numFmtId="43" fontId="0" fillId="0" borderId="13" xfId="1" applyFont="1" applyBorder="1"/>
    <xf numFmtId="43" fontId="0" fillId="0" borderId="13" xfId="0" applyNumberFormat="1" applyBorder="1"/>
    <xf numFmtId="0" fontId="8" fillId="0" borderId="16" xfId="0" applyFont="1" applyBorder="1"/>
    <xf numFmtId="0" fontId="8" fillId="3" borderId="16" xfId="0" applyFont="1" applyFill="1" applyBorder="1"/>
    <xf numFmtId="9" fontId="0" fillId="0" borderId="16" xfId="0" applyNumberFormat="1" applyBorder="1"/>
    <xf numFmtId="0" fontId="8" fillId="0" borderId="13" xfId="0" applyFont="1" applyBorder="1"/>
    <xf numFmtId="0" fontId="7" fillId="2" borderId="0" xfId="0" applyFont="1" applyFill="1"/>
    <xf numFmtId="0" fontId="5" fillId="2" borderId="0" xfId="0" applyFont="1" applyFill="1"/>
    <xf numFmtId="0" fontId="0" fillId="3" borderId="0" xfId="0" applyFill="1"/>
    <xf numFmtId="9" fontId="0" fillId="3" borderId="0" xfId="2" applyFont="1" applyFill="1" applyBorder="1"/>
    <xf numFmtId="43" fontId="0" fillId="3" borderId="0" xfId="1" applyFont="1" applyFill="1" applyBorder="1"/>
    <xf numFmtId="43" fontId="0" fillId="3" borderId="0" xfId="0" applyNumberFormat="1" applyFill="1"/>
    <xf numFmtId="0" fontId="4" fillId="0" borderId="20" xfId="0" applyFont="1" applyBorder="1"/>
    <xf numFmtId="0" fontId="0" fillId="0" borderId="11" xfId="0" applyBorder="1"/>
    <xf numFmtId="0" fontId="4" fillId="0" borderId="11" xfId="0" applyFont="1" applyBorder="1"/>
    <xf numFmtId="9" fontId="0" fillId="0" borderId="11" xfId="2" applyFont="1" applyBorder="1"/>
    <xf numFmtId="43" fontId="0" fillId="0" borderId="11" xfId="1" applyFont="1" applyBorder="1"/>
    <xf numFmtId="43" fontId="0" fillId="0" borderId="11" xfId="0" applyNumberFormat="1" applyBorder="1"/>
    <xf numFmtId="0" fontId="0" fillId="0" borderId="0" xfId="0" applyAlignment="1">
      <alignment horizontal="center" vertical="center"/>
    </xf>
    <xf numFmtId="0" fontId="0" fillId="0" borderId="0" xfId="0" applyBorder="1"/>
    <xf numFmtId="0" fontId="0" fillId="3" borderId="16" xfId="0" applyFont="1" applyFill="1" applyBorder="1"/>
    <xf numFmtId="0" fontId="0" fillId="0" borderId="16" xfId="0" applyFont="1" applyBorder="1"/>
    <xf numFmtId="9" fontId="0" fillId="3" borderId="16" xfId="2" applyNumberFormat="1" applyFont="1" applyFill="1" applyBorder="1"/>
    <xf numFmtId="9" fontId="0" fillId="0" borderId="16" xfId="2" applyNumberFormat="1" applyFont="1" applyBorder="1"/>
    <xf numFmtId="43" fontId="0" fillId="3" borderId="16" xfId="1" applyNumberFormat="1" applyFont="1" applyFill="1" applyBorder="1"/>
    <xf numFmtId="43" fontId="0" fillId="0" borderId="16" xfId="1" applyNumberFormat="1" applyFont="1" applyBorder="1"/>
    <xf numFmtId="43" fontId="0" fillId="3" borderId="16" xfId="0" applyNumberFormat="1" applyFont="1" applyFill="1" applyBorder="1"/>
    <xf numFmtId="43" fontId="0" fillId="0" borderId="16" xfId="0" applyNumberFormat="1" applyFont="1" applyBorder="1"/>
    <xf numFmtId="0" fontId="8" fillId="0" borderId="0" xfId="0" applyFont="1" applyBorder="1"/>
    <xf numFmtId="0" fontId="12" fillId="0" borderId="0" xfId="0" applyFont="1"/>
    <xf numFmtId="0" fontId="0" fillId="3" borderId="0" xfId="0" applyFont="1" applyFill="1" applyBorder="1"/>
    <xf numFmtId="9" fontId="0" fillId="3" borderId="0" xfId="2" applyNumberFormat="1" applyFont="1" applyFill="1" applyBorder="1"/>
    <xf numFmtId="43" fontId="0" fillId="3" borderId="0" xfId="1" applyNumberFormat="1" applyFont="1" applyFill="1" applyBorder="1"/>
    <xf numFmtId="43" fontId="0" fillId="3" borderId="0" xfId="0" applyNumberFormat="1" applyFont="1" applyFill="1" applyBorder="1"/>
    <xf numFmtId="0" fontId="8" fillId="3" borderId="0" xfId="0" applyFont="1" applyFill="1" applyBorder="1"/>
    <xf numFmtId="0" fontId="4" fillId="0" borderId="0" xfId="0" applyFont="1" applyBorder="1"/>
    <xf numFmtId="0" fontId="0" fillId="0" borderId="9" xfId="0" applyFont="1" applyBorder="1"/>
    <xf numFmtId="0" fontId="4" fillId="0" borderId="9" xfId="0" applyFont="1" applyBorder="1"/>
    <xf numFmtId="9" fontId="0" fillId="0" borderId="9" xfId="2" applyNumberFormat="1" applyFont="1" applyBorder="1"/>
    <xf numFmtId="43" fontId="0" fillId="0" borderId="9" xfId="1" applyNumberFormat="1" applyFont="1" applyBorder="1"/>
    <xf numFmtId="43" fontId="0" fillId="0" borderId="9" xfId="0" applyNumberFormat="1" applyFont="1" applyBorder="1"/>
    <xf numFmtId="0" fontId="0" fillId="0" borderId="0" xfId="0" applyFont="1" applyBorder="1"/>
    <xf numFmtId="0" fontId="0" fillId="0" borderId="13" xfId="0" applyFont="1" applyBorder="1"/>
    <xf numFmtId="9" fontId="0" fillId="0" borderId="13" xfId="2" applyNumberFormat="1" applyFont="1" applyBorder="1"/>
    <xf numFmtId="43" fontId="0" fillId="0" borderId="13" xfId="1" applyNumberFormat="1" applyFont="1" applyBorder="1"/>
    <xf numFmtId="43" fontId="0" fillId="0" borderId="13" xfId="0" applyNumberFormat="1" applyFont="1" applyBorder="1"/>
    <xf numFmtId="0" fontId="13" fillId="3" borderId="0" xfId="3" applyFill="1" applyBorder="1"/>
    <xf numFmtId="0" fontId="0" fillId="4" borderId="17" xfId="0" applyFill="1" applyBorder="1" applyAlignment="1">
      <alignment horizontal="center"/>
    </xf>
    <xf numFmtId="0" fontId="0" fillId="4" borderId="18" xfId="0" applyFill="1" applyBorder="1" applyAlignment="1">
      <alignment horizontal="center"/>
    </xf>
    <xf numFmtId="0" fontId="0" fillId="4" borderId="19" xfId="0" applyFill="1" applyBorder="1" applyAlignment="1">
      <alignment horizontal="center"/>
    </xf>
    <xf numFmtId="9" fontId="0" fillId="4" borderId="1" xfId="2" applyFont="1" applyFill="1" applyBorder="1"/>
    <xf numFmtId="0" fontId="0" fillId="4" borderId="0" xfId="0" applyFill="1"/>
    <xf numFmtId="9" fontId="0" fillId="4" borderId="0" xfId="2" applyFont="1" applyFill="1" applyBorder="1"/>
    <xf numFmtId="0" fontId="0" fillId="4" borderId="2" xfId="0" applyFill="1" applyBorder="1"/>
    <xf numFmtId="9" fontId="0" fillId="4" borderId="3" xfId="2" applyFont="1" applyFill="1" applyBorder="1"/>
    <xf numFmtId="0" fontId="0" fillId="4" borderId="4" xfId="0" applyFill="1" applyBorder="1"/>
    <xf numFmtId="9" fontId="0" fillId="4" borderId="4" xfId="2" applyFont="1" applyFill="1" applyBorder="1"/>
    <xf numFmtId="0" fontId="0" fillId="4" borderId="5" xfId="0" applyFill="1" applyBorder="1"/>
    <xf numFmtId="0" fontId="0" fillId="5" borderId="17" xfId="0" applyFill="1" applyBorder="1" applyAlignment="1">
      <alignment horizontal="center"/>
    </xf>
    <xf numFmtId="0" fontId="0" fillId="5" borderId="18" xfId="0" applyFill="1" applyBorder="1" applyAlignment="1">
      <alignment horizontal="center"/>
    </xf>
    <xf numFmtId="9" fontId="0" fillId="5" borderId="1" xfId="2" applyFont="1" applyFill="1" applyBorder="1"/>
    <xf numFmtId="0" fontId="0" fillId="5" borderId="0" xfId="0" applyFill="1"/>
    <xf numFmtId="0" fontId="0" fillId="5" borderId="2" xfId="0" applyFill="1" applyBorder="1"/>
    <xf numFmtId="9" fontId="0" fillId="5" borderId="3" xfId="2" applyFont="1" applyFill="1" applyBorder="1"/>
    <xf numFmtId="0" fontId="0" fillId="5" borderId="4" xfId="0" applyFill="1" applyBorder="1"/>
    <xf numFmtId="0" fontId="0" fillId="5" borderId="5" xfId="0" applyFill="1" applyBorder="1"/>
    <xf numFmtId="0" fontId="0" fillId="6" borderId="18" xfId="0" applyFill="1" applyBorder="1" applyAlignment="1">
      <alignment horizontal="center"/>
    </xf>
    <xf numFmtId="0" fontId="0" fillId="6" borderId="19" xfId="0" applyFill="1" applyBorder="1" applyAlignment="1">
      <alignment horizontal="center"/>
    </xf>
    <xf numFmtId="0" fontId="0" fillId="6" borderId="17" xfId="0" applyFill="1" applyBorder="1" applyAlignment="1">
      <alignment horizontal="center"/>
    </xf>
    <xf numFmtId="9" fontId="0" fillId="6" borderId="1" xfId="2" applyFont="1" applyFill="1" applyBorder="1"/>
    <xf numFmtId="0" fontId="0" fillId="6" borderId="2" xfId="0" applyFill="1" applyBorder="1"/>
    <xf numFmtId="9" fontId="0" fillId="6" borderId="3" xfId="2" applyFont="1" applyFill="1" applyBorder="1"/>
    <xf numFmtId="0" fontId="0" fillId="6" borderId="5" xfId="0" applyFill="1" applyBorder="1"/>
    <xf numFmtId="0" fontId="0" fillId="3" borderId="0" xfId="3" applyFont="1" applyFill="1" applyBorder="1"/>
    <xf numFmtId="0" fontId="0" fillId="3" borderId="20" xfId="0" applyFont="1" applyFill="1" applyBorder="1"/>
    <xf numFmtId="0" fontId="0" fillId="3" borderId="20" xfId="3" applyFont="1" applyFill="1" applyBorder="1"/>
    <xf numFmtId="0" fontId="0" fillId="0" borderId="20" xfId="0" applyFont="1" applyBorder="1"/>
    <xf numFmtId="9" fontId="0" fillId="3" borderId="20" xfId="2" applyNumberFormat="1" applyFont="1" applyFill="1" applyBorder="1"/>
    <xf numFmtId="43" fontId="0" fillId="3" borderId="20" xfId="1" applyNumberFormat="1" applyFont="1" applyFill="1" applyBorder="1"/>
    <xf numFmtId="43" fontId="0" fillId="3" borderId="20" xfId="0" applyNumberFormat="1" applyFont="1" applyFill="1" applyBorder="1"/>
    <xf numFmtId="0" fontId="8" fillId="3" borderId="20" xfId="0" applyFont="1" applyFill="1" applyBorder="1"/>
    <xf numFmtId="9" fontId="0" fillId="4" borderId="0" xfId="0" applyNumberFormat="1" applyFill="1"/>
    <xf numFmtId="9" fontId="0" fillId="4" borderId="0" xfId="2" applyFont="1" applyFill="1"/>
    <xf numFmtId="43" fontId="0" fillId="4" borderId="0" xfId="1" applyFont="1" applyFill="1"/>
    <xf numFmtId="9" fontId="0" fillId="4" borderId="9" xfId="0" applyNumberFormat="1" applyFill="1" applyBorder="1"/>
    <xf numFmtId="9" fontId="0" fillId="4" borderId="9" xfId="2" applyFont="1" applyFill="1" applyBorder="1"/>
    <xf numFmtId="43" fontId="0" fillId="4" borderId="9" xfId="1" applyFont="1" applyFill="1" applyBorder="1"/>
    <xf numFmtId="9" fontId="0" fillId="4" borderId="20" xfId="0" applyNumberFormat="1" applyFill="1" applyBorder="1"/>
    <xf numFmtId="9" fontId="0" fillId="4" borderId="20" xfId="2" applyFont="1" applyFill="1" applyBorder="1"/>
    <xf numFmtId="43" fontId="0" fillId="4" borderId="20" xfId="1" applyFont="1" applyFill="1" applyBorder="1"/>
    <xf numFmtId="9" fontId="0" fillId="4" borderId="0" xfId="0" applyNumberFormat="1" applyFill="1" applyBorder="1"/>
    <xf numFmtId="43" fontId="0" fillId="4" borderId="0" xfId="1" applyFont="1" applyFill="1" applyBorder="1"/>
    <xf numFmtId="9" fontId="0" fillId="4" borderId="4" xfId="0" applyNumberFormat="1" applyFill="1" applyBorder="1"/>
    <xf numFmtId="43" fontId="0" fillId="4" borderId="4" xfId="1" applyFont="1" applyFill="1" applyBorder="1"/>
    <xf numFmtId="0" fontId="0" fillId="0" borderId="11" xfId="0" applyFont="1" applyBorder="1"/>
    <xf numFmtId="9" fontId="0" fillId="0" borderId="11" xfId="2" applyNumberFormat="1" applyFont="1" applyBorder="1"/>
    <xf numFmtId="43" fontId="0" fillId="0" borderId="11" xfId="1" applyNumberFormat="1" applyFont="1" applyBorder="1"/>
    <xf numFmtId="43" fontId="0" fillId="0" borderId="11" xfId="0" applyNumberFormat="1" applyFont="1" applyBorder="1"/>
    <xf numFmtId="9" fontId="0" fillId="5" borderId="0" xfId="0" applyNumberFormat="1" applyFill="1" applyBorder="1"/>
    <xf numFmtId="9" fontId="0" fillId="5" borderId="0" xfId="2" applyFont="1" applyFill="1" applyBorder="1"/>
    <xf numFmtId="43" fontId="0" fillId="5" borderId="0" xfId="1" applyFont="1" applyFill="1" applyBorder="1"/>
    <xf numFmtId="9" fontId="0" fillId="5" borderId="9" xfId="0" applyNumberFormat="1" applyFill="1" applyBorder="1"/>
    <xf numFmtId="9" fontId="0" fillId="5" borderId="9" xfId="2" applyFont="1" applyFill="1" applyBorder="1"/>
    <xf numFmtId="43" fontId="0" fillId="5" borderId="9" xfId="1" applyFont="1" applyFill="1" applyBorder="1"/>
    <xf numFmtId="0" fontId="0" fillId="0" borderId="0" xfId="0" applyAlignment="1">
      <alignment wrapText="1"/>
    </xf>
    <xf numFmtId="0" fontId="14" fillId="0" borderId="21" xfId="0" applyFont="1" applyBorder="1" applyAlignment="1">
      <alignment vertical="center"/>
    </xf>
    <xf numFmtId="0" fontId="14" fillId="0" borderId="22" xfId="0" applyFont="1" applyBorder="1" applyAlignment="1">
      <alignment vertical="center"/>
    </xf>
    <xf numFmtId="0" fontId="8" fillId="0" borderId="9" xfId="0" applyFont="1" applyBorder="1" applyAlignment="1"/>
    <xf numFmtId="0" fontId="0" fillId="0" borderId="0" xfId="0" applyAlignment="1">
      <alignment horizontal="center"/>
    </xf>
    <xf numFmtId="0" fontId="0" fillId="7" borderId="0" xfId="0" applyFill="1" applyAlignment="1">
      <alignment horizontal="center"/>
    </xf>
    <xf numFmtId="0" fontId="0" fillId="8" borderId="0" xfId="0" applyFill="1"/>
    <xf numFmtId="0" fontId="14" fillId="0" borderId="21" xfId="0" applyFont="1" applyBorder="1"/>
    <xf numFmtId="0" fontId="4" fillId="0" borderId="4" xfId="0" applyFont="1" applyBorder="1"/>
    <xf numFmtId="0" fontId="8" fillId="0" borderId="4" xfId="0" applyFont="1" applyBorder="1" applyAlignment="1"/>
    <xf numFmtId="9" fontId="0" fillId="5" borderId="20" xfId="0" applyNumberFormat="1" applyFill="1" applyBorder="1"/>
    <xf numFmtId="9" fontId="0" fillId="5" borderId="20" xfId="2" applyFont="1" applyFill="1" applyBorder="1"/>
    <xf numFmtId="43" fontId="0" fillId="5" borderId="20" xfId="1" applyFont="1" applyFill="1" applyBorder="1"/>
    <xf numFmtId="0" fontId="11" fillId="5" borderId="18" xfId="0" applyFont="1" applyFill="1" applyBorder="1" applyAlignment="1">
      <alignment horizontal="center"/>
    </xf>
    <xf numFmtId="0" fontId="11" fillId="5" borderId="19"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61">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numFmt numFmtId="164" formatCode="_(* #,##0.000_);_(* \(#,##0.000\);_(* &quot;-&quot;??_);_(@_)"/>
    </dxf>
    <dxf>
      <font>
        <b val="0"/>
        <i val="0"/>
        <strike val="0"/>
        <condense val="0"/>
        <extend val="0"/>
        <outline val="0"/>
        <shadow val="0"/>
        <u val="none"/>
        <vertAlign val="baseline"/>
        <sz val="10"/>
        <color rgb="FF000000"/>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rgb="FF692282"/>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border outline="0">
        <left style="medium">
          <color indexed="64"/>
        </left>
        <right style="medium">
          <color indexed="64"/>
        </right>
        <top style="medium">
          <color indexed="64"/>
        </top>
        <bottom style="double">
          <color indexed="64"/>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
      <numFmt numFmtId="164" formatCode="_(* #,##0.000_);_(* \(#,##0.000\);_(* &quot;-&quot;??_);_(@_)"/>
    </dxf>
    <dxf>
      <numFmt numFmtId="164" formatCode="_(* #,##0.000_);_(* \(#,##0.000\);_(* &quot;-&quot;??_);_(@_)"/>
    </dxf>
    <dxf>
      <numFmt numFmtId="164" formatCode="_(* #,##0.000_);_(* \(#,##0.000\);_(* &quot;-&quot;??_);_(@_)"/>
    </dxf>
    <dxf>
      <numFmt numFmtId="164" formatCode="_(* #,##0.000_);_(* \(#,##0.000\);_(* &quot;-&quot;??_);_(@_)"/>
    </dxf>
    <dxf>
      <alignment horizontal="center"/>
    </dxf>
    <dxf>
      <font>
        <b val="0"/>
        <i val="0"/>
        <strike val="0"/>
        <condense val="0"/>
        <extend val="0"/>
        <outline val="0"/>
        <shadow val="0"/>
        <u val="none"/>
        <vertAlign val="baseline"/>
        <sz val="10"/>
        <color rgb="FF000000"/>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rgb="FF692282"/>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border outline="0">
        <left style="medium">
          <color rgb="FF000000"/>
        </left>
        <right style="medium">
          <color rgb="FF000000"/>
        </right>
        <top style="medium">
          <color rgb="FF000000"/>
        </top>
        <bottom style="double">
          <color rgb="FF000000"/>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colors>
    <mruColors>
      <color rgb="FF4D4D4D"/>
      <color rgb="FF7A8A99"/>
      <color rgb="FF2F5D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chartsheet" Target="chartsheets/sheet1.xml"/><Relationship Id="rId15" Type="http://schemas.openxmlformats.org/officeDocument/2006/relationships/worksheet" Target="worksheets/sheet14.xml"/><Relationship Id="rId23" Type="http://schemas.openxmlformats.org/officeDocument/2006/relationships/calcChain" Target="calcChain.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'Panel Scores'!$M$30:$M$31</c:f>
              <c:strCache>
                <c:ptCount val="2"/>
                <c:pt idx="0">
                  <c:v>Average</c:v>
                </c:pt>
              </c:strCache>
            </c:strRef>
          </c:tx>
          <c:spPr>
            <a:solidFill>
              <a:schemeClr val="accent1"/>
            </a:solidFill>
            <a:ln>
              <a:noFill/>
            </a:ln>
            <a:effectLst/>
          </c:spPr>
          <c:invertIfNegative val="0"/>
          <c:cat>
            <c:strRef>
              <c:f>'Panel Scores'!$I$32:$I$47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'Panel Scores'!$M$32:$M$47</c:f>
              <c:numCache>
                <c:formatCode>_(* #,##0.00_);_(* \(#,##0.00\);_(* "-"??_);_(@_)</c:formatCode>
                <c:ptCount val="16"/>
                <c:pt idx="0">
                  <c:v>0.8527499999999999</c:v>
                </c:pt>
                <c:pt idx="1">
                  <c:v>0.57650000000000001</c:v>
                </c:pt>
                <c:pt idx="2">
                  <c:v>0.74899999999999989</c:v>
                </c:pt>
                <c:pt idx="3">
                  <c:v>0.12199999999999998</c:v>
                </c:pt>
                <c:pt idx="4">
                  <c:v>0.84899999999999998</c:v>
                </c:pt>
                <c:pt idx="5">
                  <c:v>0.83899999999999997</c:v>
                </c:pt>
                <c:pt idx="6">
                  <c:v>-4.5000000000000012E-2</c:v>
                </c:pt>
                <c:pt idx="7">
                  <c:v>0.96899999999999997</c:v>
                </c:pt>
                <c:pt idx="8">
                  <c:v>-0.51</c:v>
                </c:pt>
                <c:pt idx="9">
                  <c:v>0.96899999999999997</c:v>
                </c:pt>
                <c:pt idx="10">
                  <c:v>-8.7499999999999994E-2</c:v>
                </c:pt>
                <c:pt idx="11">
                  <c:v>-0.49250000000000005</c:v>
                </c:pt>
                <c:pt idx="12">
                  <c:v>0.25750000000000001</c:v>
                </c:pt>
                <c:pt idx="13">
                  <c:v>-0.62749999999999995</c:v>
                </c:pt>
                <c:pt idx="14">
                  <c:v>0.502</c:v>
                </c:pt>
                <c:pt idx="15">
                  <c:v>-0.24049999999999999</c:v>
                </c:pt>
              </c:numCache>
            </c:numRef>
          </c:val>
          <c:extLst>
            <c:ext xmlns:c16="http://schemas.microsoft.com/office/drawing/2014/chart" uri="{C3380CC4-5D6E-409C-BE32-E72D297353CC}">
              <c16:uniqueId val="{00000000-96D0-B049-B040-619ED257B8C9}"/>
            </c:ext>
          </c:extLst>
        </c:ser>
        <c:dLbls>
          <c:showLegendKey val="0"/>
          <c:showVal val="0"/>
          <c:showCatName val="0"/>
          <c:showSerName val="0"/>
          <c:showPercent val="0"/>
          <c:showBubbleSize val="0"/>
        </c:dLbls>
        <c:gapWidth val="219"/>
        <c:axId val="1860717631"/>
        <c:axId val="1860715839"/>
      </c:barChart>
      <c:catAx>
        <c:axId val="186071763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15839"/>
        <c:crosses val="autoZero"/>
        <c:auto val="1"/>
        <c:lblAlgn val="ctr"/>
        <c:lblOffset val="100"/>
        <c:noMultiLvlLbl val="0"/>
      </c:catAx>
      <c:valAx>
        <c:axId val="1860715839"/>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1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'Panel Scores'!$I$32</c:f>
              <c:strCache>
                <c:ptCount val="1"/>
                <c:pt idx="0">
                  <c:v>AR2001</c:v>
                </c:pt>
              </c:strCache>
            </c:strRef>
          </c:tx>
          <c:spPr>
            <a:solidFill>
              <a:schemeClr val="accent1"/>
            </a:solidFill>
            <a:ln>
              <a:noFill/>
            </a:ln>
            <a:effectLst/>
          </c:spPr>
          <c:invertIfNegative val="0"/>
          <c:val>
            <c:numRef>
              <c:f>'Panel Scores'!$J$32:$K$32</c:f>
              <c:numCache>
                <c:formatCode>_(* #,##0.000_);_(* \(#,##0.000\);_(* "-"??_);_(@_)</c:formatCode>
                <c:ptCount val="2"/>
                <c:pt idx="0">
                  <c:v>0.78649999999999998</c:v>
                </c:pt>
                <c:pt idx="1">
                  <c:v>0.91899999999999993</c:v>
                </c:pt>
              </c:numCache>
            </c:numRef>
          </c:val>
          <c:extLst>
            <c:ext xmlns:c16="http://schemas.microsoft.com/office/drawing/2014/chart" uri="{C3380CC4-5D6E-409C-BE32-E72D297353CC}">
              <c16:uniqueId val="{00000000-02AF-BA45-A0AB-19957855AAD9}"/>
            </c:ext>
          </c:extLst>
        </c:ser>
        <c:dLbls>
          <c:showLegendKey val="0"/>
          <c:showVal val="0"/>
          <c:showCatName val="0"/>
          <c:showSerName val="0"/>
          <c:showPercent val="0"/>
          <c:showBubbleSize val="0"/>
        </c:dLbls>
        <c:gapWidth val="182"/>
        <c:axId val="1860813247"/>
        <c:axId val="1860815039"/>
      </c:barChart>
      <c:catAx>
        <c:axId val="186081324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815039"/>
        <c:crosses val="autoZero"/>
        <c:auto val="1"/>
        <c:lblAlgn val="ctr"/>
        <c:lblOffset val="100"/>
        <c:noMultiLvlLbl val="0"/>
      </c:catAx>
      <c:valAx>
        <c:axId val="1860815039"/>
        <c:scaling>
          <c:orientation val="minMax"/>
        </c:scaling>
        <c:delete val="0"/>
        <c:axPos val="b"/>
        <c:majorGridlines>
          <c:spPr>
            <a:ln w="9525" cap="flat" cmpd="sng" algn="ctr">
              <a:solidFill>
                <a:schemeClr val="tx1">
                  <a:lumMod val="15000"/>
                  <a:lumOff val="85000"/>
                </a:schemeClr>
              </a:solidFill>
              <a:round/>
            </a:ln>
            <a:effectLst/>
          </c:spPr>
        </c:majorGridlines>
        <c:numFmt formatCode="_(* #,##0.000_);_(* \(#,##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8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 M18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'Panel Scores'!$I$32:$I$47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'Panel Scores'!$J$32:$J$47</c:f>
              <c:numCache>
                <c:formatCode>_(* #,##0.000_);_(* \(#,##0.000\);_(* "-"??_);_(@_)</c:formatCode>
                <c:ptCount val="16"/>
                <c:pt idx="0">
                  <c:v>0.78649999999999998</c:v>
                </c:pt>
                <c:pt idx="1">
                  <c:v>0.23399999999999999</c:v>
                </c:pt>
                <c:pt idx="2">
                  <c:v>0.67899999999999994</c:v>
                </c:pt>
                <c:pt idx="3">
                  <c:v>-0.12499999999999997</c:v>
                </c:pt>
                <c:pt idx="4">
                  <c:v>0.77899999999999991</c:v>
                </c:pt>
                <c:pt idx="5">
                  <c:v>0.96899999999999997</c:v>
                </c:pt>
                <c:pt idx="6">
                  <c:v>-0.55649999999999999</c:v>
                </c:pt>
                <c:pt idx="7">
                  <c:v>0.96899999999999997</c:v>
                </c:pt>
                <c:pt idx="8">
                  <c:v>-0.54</c:v>
                </c:pt>
                <c:pt idx="9">
                  <c:v>0.96899999999999997</c:v>
                </c:pt>
                <c:pt idx="10">
                  <c:v>0.15750000000000003</c:v>
                </c:pt>
                <c:pt idx="11">
                  <c:v>-0.29250000000000004</c:v>
                </c:pt>
                <c:pt idx="12">
                  <c:v>0.57000000000000006</c:v>
                </c:pt>
                <c:pt idx="13">
                  <c:v>-0.52</c:v>
                </c:pt>
                <c:pt idx="14">
                  <c:v>0.33499999999999996</c:v>
                </c:pt>
                <c:pt idx="15">
                  <c:v>-0.41499999999999998</c:v>
                </c:pt>
              </c:numCache>
            </c:numRef>
          </c:val>
          <c:extLst>
            <c:ext xmlns:c16="http://schemas.microsoft.com/office/drawing/2014/chart" uri="{C3380CC4-5D6E-409C-BE32-E72D297353CC}">
              <c16:uniqueId val="{00000000-1EA9-D248-A34F-629C87B64F35}"/>
            </c:ext>
          </c:extLst>
        </c:ser>
        <c:ser>
          <c:idx val="1"/>
          <c:order val="1"/>
          <c:spPr>
            <a:solidFill>
              <a:schemeClr val="accent2"/>
            </a:solidFill>
            <a:ln>
              <a:noFill/>
            </a:ln>
            <a:effectLst/>
          </c:spPr>
          <c:invertIfNegative val="0"/>
          <c:cat>
            <c:strRef>
              <c:f>'Panel Scores'!$I$32:$I$47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'Panel Scores'!$K$32:$K$47</c:f>
              <c:numCache>
                <c:formatCode>_(* #,##0.000_);_(* \(#,##0.000\);_(* "-"??_);_(@_)</c:formatCode>
                <c:ptCount val="16"/>
                <c:pt idx="0">
                  <c:v>0.91899999999999993</c:v>
                </c:pt>
                <c:pt idx="1">
                  <c:v>0.91899999999999993</c:v>
                </c:pt>
                <c:pt idx="2">
                  <c:v>0.81899999999999995</c:v>
                </c:pt>
                <c:pt idx="3">
                  <c:v>0.36899999999999994</c:v>
                </c:pt>
                <c:pt idx="4">
                  <c:v>0.91899999999999993</c:v>
                </c:pt>
                <c:pt idx="5">
                  <c:v>0.70899999999999996</c:v>
                </c:pt>
                <c:pt idx="6">
                  <c:v>0.46649999999999997</c:v>
                </c:pt>
                <c:pt idx="7">
                  <c:v>0.96899999999999997</c:v>
                </c:pt>
                <c:pt idx="8">
                  <c:v>-0.48000000000000004</c:v>
                </c:pt>
                <c:pt idx="9">
                  <c:v>0.96899999999999997</c:v>
                </c:pt>
                <c:pt idx="10">
                  <c:v>-0.33250000000000002</c:v>
                </c:pt>
                <c:pt idx="11">
                  <c:v>-0.6925</c:v>
                </c:pt>
                <c:pt idx="12">
                  <c:v>-5.5000000000000007E-2</c:v>
                </c:pt>
                <c:pt idx="13">
                  <c:v>-0.73499999999999999</c:v>
                </c:pt>
                <c:pt idx="14">
                  <c:v>0.66899999999999993</c:v>
                </c:pt>
                <c:pt idx="15">
                  <c:v>-6.6000000000000017E-2</c:v>
                </c:pt>
              </c:numCache>
            </c:numRef>
          </c:val>
          <c:extLst>
            <c:ext xmlns:c16="http://schemas.microsoft.com/office/drawing/2014/chart" uri="{C3380CC4-5D6E-409C-BE32-E72D297353CC}">
              <c16:uniqueId val="{00000001-1EA9-D248-A34F-629C87B64F35}"/>
            </c:ext>
          </c:extLst>
        </c:ser>
        <c:ser>
          <c:idx val="3"/>
          <c:order val="2"/>
          <c:spPr>
            <a:solidFill>
              <a:schemeClr val="accent4"/>
            </a:solidFill>
            <a:ln>
              <a:noFill/>
            </a:ln>
            <a:effectLst/>
          </c:spPr>
          <c:invertIfNegative val="0"/>
          <c:cat>
            <c:strRef>
              <c:f>'Panel Scores'!$I$32:$I$47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'Panel Scores'!$M$32:$M$47</c:f>
              <c:numCache>
                <c:formatCode>_(* #,##0.00_);_(* \(#,##0.00\);_(* "-"??_);_(@_)</c:formatCode>
                <c:ptCount val="16"/>
                <c:pt idx="0">
                  <c:v>0.8527499999999999</c:v>
                </c:pt>
                <c:pt idx="1">
                  <c:v>0.57650000000000001</c:v>
                </c:pt>
                <c:pt idx="2">
                  <c:v>0.74899999999999989</c:v>
                </c:pt>
                <c:pt idx="3">
                  <c:v>0.12199999999999998</c:v>
                </c:pt>
                <c:pt idx="4">
                  <c:v>0.84899999999999998</c:v>
                </c:pt>
                <c:pt idx="5">
                  <c:v>0.83899999999999997</c:v>
                </c:pt>
                <c:pt idx="6">
                  <c:v>-4.5000000000000012E-2</c:v>
                </c:pt>
                <c:pt idx="7">
                  <c:v>0.96899999999999997</c:v>
                </c:pt>
                <c:pt idx="8">
                  <c:v>-0.51</c:v>
                </c:pt>
                <c:pt idx="9">
                  <c:v>0.96899999999999997</c:v>
                </c:pt>
                <c:pt idx="10">
                  <c:v>-8.7499999999999994E-2</c:v>
                </c:pt>
                <c:pt idx="11">
                  <c:v>-0.49250000000000005</c:v>
                </c:pt>
                <c:pt idx="12">
                  <c:v>0.25750000000000001</c:v>
                </c:pt>
                <c:pt idx="13">
                  <c:v>-0.62749999999999995</c:v>
                </c:pt>
                <c:pt idx="14">
                  <c:v>0.502</c:v>
                </c:pt>
                <c:pt idx="15">
                  <c:v>-0.24049999999999999</c:v>
                </c:pt>
              </c:numCache>
            </c:numRef>
          </c:val>
          <c:extLst>
            <c:ext xmlns:c16="http://schemas.microsoft.com/office/drawing/2014/chart" uri="{C3380CC4-5D6E-409C-BE32-E72D297353CC}">
              <c16:uniqueId val="{00000003-1EA9-D248-A34F-629C87B64F35}"/>
            </c:ext>
          </c:extLst>
        </c:ser>
        <c:dLbls>
          <c:showLegendKey val="0"/>
          <c:showVal val="0"/>
          <c:showCatName val="0"/>
          <c:showSerName val="0"/>
          <c:showPercent val="0"/>
          <c:showBubbleSize val="0"/>
        </c:dLbls>
        <c:gapWidth val="182"/>
        <c:axId val="1860711551"/>
        <c:axId val="1860709759"/>
      </c:barChart>
      <c:catAx>
        <c:axId val="186071155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09759"/>
        <c:crosses val="autoZero"/>
        <c:auto val="1"/>
        <c:lblAlgn val="ctr"/>
        <c:lblOffset val="100"/>
        <c:noMultiLvlLbl val="0"/>
      </c:catAx>
      <c:valAx>
        <c:axId val="18607097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_(* #,##0.000_);_(* \(#,##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1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Sheet8!$M$24</c:f>
              <c:strCache>
                <c:ptCount val="1"/>
                <c:pt idx="0">
                  <c:v>P1</c:v>
                </c:pt>
              </c:strCache>
            </c:strRef>
          </c:tx>
          <c:spPr>
            <a:solidFill>
              <a:schemeClr val="accent1"/>
            </a:solidFill>
            <a:ln>
              <a:noFill/>
            </a:ln>
            <a:effectLst/>
          </c:spPr>
          <c:invertIfNegative val="0"/>
          <c:cat>
            <c:strRef>
              <c:f>Sheet8!$L$25:$L$30</c:f>
              <c:strCache>
                <c:ptCount val="6"/>
                <c:pt idx="0">
                  <c:v>M18</c:v>
                </c:pt>
                <c:pt idx="1">
                  <c:v>S19</c:v>
                </c:pt>
                <c:pt idx="2">
                  <c:v>M19</c:v>
                </c:pt>
                <c:pt idx="3">
                  <c:v>S20</c:v>
                </c:pt>
                <c:pt idx="4">
                  <c:v>M20</c:v>
                </c:pt>
                <c:pt idx="5">
                  <c:v>S21</c:v>
                </c:pt>
              </c:strCache>
            </c:strRef>
          </c:cat>
          <c:val>
            <c:numRef>
              <c:f>Sheet8!$M$25:$M$30</c:f>
              <c:numCache>
                <c:formatCode>General</c:formatCode>
                <c:ptCount val="6"/>
                <c:pt idx="0">
                  <c:v>-0.5</c:v>
                </c:pt>
                <c:pt idx="1">
                  <c:v>-1</c:v>
                </c:pt>
                <c:pt idx="2">
                  <c:v>1</c:v>
                </c:pt>
                <c:pt idx="3">
                  <c:v>0</c:v>
                </c:pt>
                <c:pt idx="4">
                  <c:v>0</c:v>
                </c:pt>
                <c:pt idx="5">
                  <c:v>0.25</c:v>
                </c:pt>
              </c:numCache>
            </c:numRef>
          </c:val>
          <c:extLst>
            <c:ext xmlns:c16="http://schemas.microsoft.com/office/drawing/2014/chart" uri="{C3380CC4-5D6E-409C-BE32-E72D297353CC}">
              <c16:uniqueId val="{00000000-AFF8-D346-B76E-5D77876FFF46}"/>
            </c:ext>
          </c:extLst>
        </c:ser>
        <c:ser>
          <c:idx val="1"/>
          <c:order val="1"/>
          <c:tx>
            <c:strRef>
              <c:f>Sheet8!$N$24</c:f>
              <c:strCache>
                <c:ptCount val="1"/>
                <c:pt idx="0">
                  <c:v>P2</c:v>
                </c:pt>
              </c:strCache>
            </c:strRef>
          </c:tx>
          <c:spPr>
            <a:solidFill>
              <a:schemeClr val="accent2"/>
            </a:solidFill>
            <a:ln>
              <a:noFill/>
            </a:ln>
            <a:effectLst/>
          </c:spPr>
          <c:invertIfNegative val="0"/>
          <c:cat>
            <c:strRef>
              <c:f>Sheet8!$L$25:$L$30</c:f>
              <c:strCache>
                <c:ptCount val="6"/>
                <c:pt idx="0">
                  <c:v>M18</c:v>
                </c:pt>
                <c:pt idx="1">
                  <c:v>S19</c:v>
                </c:pt>
                <c:pt idx="2">
                  <c:v>M19</c:v>
                </c:pt>
                <c:pt idx="3">
                  <c:v>S20</c:v>
                </c:pt>
                <c:pt idx="4">
                  <c:v>M20</c:v>
                </c:pt>
                <c:pt idx="5">
                  <c:v>S21</c:v>
                </c:pt>
              </c:strCache>
            </c:strRef>
          </c:cat>
          <c:val>
            <c:numRef>
              <c:f>Sheet8!$N$25:$N$30</c:f>
              <c:numCache>
                <c:formatCode>General</c:formatCode>
                <c:ptCount val="6"/>
                <c:pt idx="0">
                  <c:v>0.2</c:v>
                </c:pt>
                <c:pt idx="1">
                  <c:v>0.5</c:v>
                </c:pt>
                <c:pt idx="2">
                  <c:v>1</c:v>
                </c:pt>
                <c:pt idx="3">
                  <c:v>1</c:v>
                </c:pt>
                <c:pt idx="4">
                  <c:v>0</c:v>
                </c:pt>
                <c:pt idx="5">
                  <c:v>-0.25</c:v>
                </c:pt>
              </c:numCache>
            </c:numRef>
          </c:val>
          <c:extLst>
            <c:ext xmlns:c16="http://schemas.microsoft.com/office/drawing/2014/chart" uri="{C3380CC4-5D6E-409C-BE32-E72D297353CC}">
              <c16:uniqueId val="{00000001-AFF8-D346-B76E-5D77876FFF46}"/>
            </c:ext>
          </c:extLst>
        </c:ser>
        <c:dLbls>
          <c:showLegendKey val="0"/>
          <c:showVal val="0"/>
          <c:showCatName val="0"/>
          <c:showSerName val="0"/>
          <c:showPercent val="0"/>
          <c:showBubbleSize val="0"/>
        </c:dLbls>
        <c:gapWidth val="182"/>
        <c:axId val="1860986047"/>
        <c:axId val="1900049087"/>
      </c:barChart>
      <c:catAx>
        <c:axId val="1860986047"/>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49087"/>
        <c:crosses val="autoZero"/>
        <c:auto val="1"/>
        <c:lblAlgn val="ctr"/>
        <c:lblOffset val="100"/>
        <c:noMultiLvlLbl val="0"/>
      </c:catAx>
      <c:valAx>
        <c:axId val="1900049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86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Sheet7!$B$1</c:f>
              <c:strCache>
                <c:ptCount val="1"/>
                <c:pt idx="0">
                  <c:v>P1</c:v>
                </c:pt>
              </c:strCache>
            </c:strRef>
          </c:tx>
          <c:spPr>
            <a:solidFill>
              <a:srgbClr val="7A8A99"/>
            </a:solidFill>
            <a:ln>
              <a:noFill/>
            </a:ln>
            <a:effectLst/>
          </c:spPr>
          <c:invertIfNegative val="0"/>
          <c:cat>
            <c:strRef>
              <c:f>Sheet7!$A$2:$A$17</c:f>
              <c:strCache>
                <c:ptCount val="16"/>
                <c:pt idx="0">
                  <c:v>AR2014</c:v>
                </c:pt>
                <c:pt idx="1">
                  <c:v>AR2016</c:v>
                </c:pt>
                <c:pt idx="2">
                  <c:v>AR2001</c:v>
                </c:pt>
                <c:pt idx="3">
                  <c:v>AR2011</c:v>
                </c:pt>
                <c:pt idx="4">
                  <c:v>AR2012</c:v>
                </c:pt>
                <c:pt idx="5">
                  <c:v>AR2005</c:v>
                </c:pt>
                <c:pt idx="6">
                  <c:v>AR2004</c:v>
                </c:pt>
                <c:pt idx="7">
                  <c:v>AR3004</c:v>
                </c:pt>
                <c:pt idx="8">
                  <c:v>AR3002</c:v>
                </c:pt>
                <c:pt idx="9">
                  <c:v>AR2010</c:v>
                </c:pt>
                <c:pt idx="10">
                  <c:v>AR2013</c:v>
                </c:pt>
                <c:pt idx="11">
                  <c:v>AR2017</c:v>
                </c:pt>
                <c:pt idx="12">
                  <c:v>AR3005</c:v>
                </c:pt>
                <c:pt idx="13">
                  <c:v>AR3001</c:v>
                </c:pt>
                <c:pt idx="14">
                  <c:v>AR2015</c:v>
                </c:pt>
                <c:pt idx="15">
                  <c:v>AR3003</c:v>
                </c:pt>
              </c:strCache>
            </c:strRef>
          </c:cat>
          <c:val>
            <c:numRef>
              <c:f>Sheet7!$B$2:$B$17</c:f>
              <c:numCache>
                <c:formatCode>General</c:formatCode>
                <c:ptCount val="16"/>
                <c:pt idx="0">
                  <c:v>0.96899999999999997</c:v>
                </c:pt>
                <c:pt idx="1">
                  <c:v>0.96899999999999997</c:v>
                </c:pt>
                <c:pt idx="2">
                  <c:v>0.78649999999999998</c:v>
                </c:pt>
                <c:pt idx="3">
                  <c:v>0.77899999999999991</c:v>
                </c:pt>
                <c:pt idx="4">
                  <c:v>0.96899999999999997</c:v>
                </c:pt>
                <c:pt idx="5">
                  <c:v>0.67899999999999994</c:v>
                </c:pt>
                <c:pt idx="6">
                  <c:v>0.23399999999999999</c:v>
                </c:pt>
                <c:pt idx="7">
                  <c:v>0.33499999999999996</c:v>
                </c:pt>
                <c:pt idx="8">
                  <c:v>0.57000000000000006</c:v>
                </c:pt>
                <c:pt idx="9">
                  <c:v>-0.12499999999999997</c:v>
                </c:pt>
                <c:pt idx="10">
                  <c:v>-0.55649999999999999</c:v>
                </c:pt>
                <c:pt idx="11">
                  <c:v>0.15750000000000003</c:v>
                </c:pt>
                <c:pt idx="12">
                  <c:v>-0.41499999999999998</c:v>
                </c:pt>
                <c:pt idx="13">
                  <c:v>-0.29250000000000004</c:v>
                </c:pt>
                <c:pt idx="14">
                  <c:v>-0.54</c:v>
                </c:pt>
                <c:pt idx="15">
                  <c:v>-0.52</c:v>
                </c:pt>
              </c:numCache>
            </c:numRef>
          </c:val>
          <c:extLst>
            <c:ext xmlns:c16="http://schemas.microsoft.com/office/drawing/2014/chart" uri="{C3380CC4-5D6E-409C-BE32-E72D297353CC}">
              <c16:uniqueId val="{00000000-B78F-414D-BF72-6081C5686218}"/>
            </c:ext>
          </c:extLst>
        </c:ser>
        <c:ser>
          <c:idx val="1"/>
          <c:order val="1"/>
          <c:tx>
            <c:strRef>
              <c:f>Sheet7!$C$1</c:f>
              <c:strCache>
                <c:ptCount val="1"/>
                <c:pt idx="0">
                  <c:v>P2</c:v>
                </c:pt>
              </c:strCache>
            </c:strRef>
          </c:tx>
          <c:spPr>
            <a:solidFill>
              <a:srgbClr val="2F5D8C"/>
            </a:solidFill>
            <a:ln>
              <a:noFill/>
            </a:ln>
            <a:effectLst/>
          </c:spPr>
          <c:invertIfNegative val="0"/>
          <c:cat>
            <c:strRef>
              <c:f>Sheet7!$A$2:$A$17</c:f>
              <c:strCache>
                <c:ptCount val="16"/>
                <c:pt idx="0">
                  <c:v>AR2014</c:v>
                </c:pt>
                <c:pt idx="1">
                  <c:v>AR2016</c:v>
                </c:pt>
                <c:pt idx="2">
                  <c:v>AR2001</c:v>
                </c:pt>
                <c:pt idx="3">
                  <c:v>AR2011</c:v>
                </c:pt>
                <c:pt idx="4">
                  <c:v>AR2012</c:v>
                </c:pt>
                <c:pt idx="5">
                  <c:v>AR2005</c:v>
                </c:pt>
                <c:pt idx="6">
                  <c:v>AR2004</c:v>
                </c:pt>
                <c:pt idx="7">
                  <c:v>AR3004</c:v>
                </c:pt>
                <c:pt idx="8">
                  <c:v>AR3002</c:v>
                </c:pt>
                <c:pt idx="9">
                  <c:v>AR2010</c:v>
                </c:pt>
                <c:pt idx="10">
                  <c:v>AR2013</c:v>
                </c:pt>
                <c:pt idx="11">
                  <c:v>AR2017</c:v>
                </c:pt>
                <c:pt idx="12">
                  <c:v>AR3005</c:v>
                </c:pt>
                <c:pt idx="13">
                  <c:v>AR3001</c:v>
                </c:pt>
                <c:pt idx="14">
                  <c:v>AR2015</c:v>
                </c:pt>
                <c:pt idx="15">
                  <c:v>AR3003</c:v>
                </c:pt>
              </c:strCache>
            </c:strRef>
          </c:cat>
          <c:val>
            <c:numRef>
              <c:f>Sheet7!$C$2:$C$17</c:f>
              <c:numCache>
                <c:formatCode>General</c:formatCode>
                <c:ptCount val="16"/>
                <c:pt idx="0">
                  <c:v>0.96899999999999997</c:v>
                </c:pt>
                <c:pt idx="1">
                  <c:v>0.96899999999999997</c:v>
                </c:pt>
                <c:pt idx="2">
                  <c:v>0.91899999999999993</c:v>
                </c:pt>
                <c:pt idx="3">
                  <c:v>0.91899999999999993</c:v>
                </c:pt>
                <c:pt idx="4">
                  <c:v>0.70899999999999996</c:v>
                </c:pt>
                <c:pt idx="5">
                  <c:v>0.81899999999999995</c:v>
                </c:pt>
                <c:pt idx="6">
                  <c:v>0.91899999999999993</c:v>
                </c:pt>
                <c:pt idx="7">
                  <c:v>0.66899999999999993</c:v>
                </c:pt>
                <c:pt idx="8">
                  <c:v>-5.5000000000000007E-2</c:v>
                </c:pt>
                <c:pt idx="9">
                  <c:v>0.36899999999999994</c:v>
                </c:pt>
                <c:pt idx="10">
                  <c:v>0.46649999999999997</c:v>
                </c:pt>
                <c:pt idx="11">
                  <c:v>-0.33250000000000002</c:v>
                </c:pt>
                <c:pt idx="12">
                  <c:v>-6.6000000000000017E-2</c:v>
                </c:pt>
                <c:pt idx="13">
                  <c:v>-0.6925</c:v>
                </c:pt>
                <c:pt idx="14">
                  <c:v>-0.48000000000000004</c:v>
                </c:pt>
                <c:pt idx="15">
                  <c:v>-0.73499999999999999</c:v>
                </c:pt>
              </c:numCache>
            </c:numRef>
          </c:val>
          <c:extLst>
            <c:ext xmlns:c16="http://schemas.microsoft.com/office/drawing/2014/chart" uri="{C3380CC4-5D6E-409C-BE32-E72D297353CC}">
              <c16:uniqueId val="{00000001-B78F-414D-BF72-6081C5686218}"/>
            </c:ext>
          </c:extLst>
        </c:ser>
        <c:dLbls>
          <c:showLegendKey val="0"/>
          <c:showVal val="0"/>
          <c:showCatName val="0"/>
          <c:showSerName val="0"/>
          <c:showPercent val="0"/>
          <c:showBubbleSize val="0"/>
        </c:dLbls>
        <c:gapWidth val="50"/>
        <c:axId val="1899920255"/>
        <c:axId val="1899905471"/>
      </c:barChart>
      <c:catAx>
        <c:axId val="1899920255"/>
        <c:scaling>
          <c:orientation val="minMax"/>
        </c:scaling>
        <c:delete val="0"/>
        <c:axPos val="l"/>
        <c:numFmt formatCode="General" sourceLinked="1"/>
        <c:majorTickMark val="none"/>
        <c:minorTickMark val="none"/>
        <c:tickLblPos val="high"/>
        <c:spPr>
          <a:noFill/>
          <a:ln w="25400" cap="flat" cmpd="sng" algn="ctr">
            <a:solidFill>
              <a:srgbClr val="4D4D4D"/>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05471"/>
        <c:crosses val="autoZero"/>
        <c:auto val="1"/>
        <c:lblAlgn val="ctr"/>
        <c:lblOffset val="100"/>
        <c:noMultiLvlLbl val="0"/>
      </c:catAx>
      <c:valAx>
        <c:axId val="1899905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2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Sheet7!$B$31</c:f>
              <c:strCache>
                <c:ptCount val="1"/>
                <c:pt idx="0">
                  <c:v>Panel 1</c:v>
                </c:pt>
              </c:strCache>
            </c:strRef>
          </c:tx>
          <c:spPr>
            <a:solidFill>
              <a:schemeClr val="accent1"/>
            </a:solidFill>
            <a:ln>
              <a:noFill/>
            </a:ln>
            <a:effectLst/>
          </c:spPr>
          <c:invertIfNegative val="0"/>
          <c:cat>
            <c:strRef>
              <c:f>Sheet7!$A$32:$A$36</c:f>
              <c:strCache>
                <c:ptCount val="5"/>
                <c:pt idx="0">
                  <c:v>AR3004</c:v>
                </c:pt>
                <c:pt idx="1">
                  <c:v>AR3002</c:v>
                </c:pt>
                <c:pt idx="2">
                  <c:v>AR3005</c:v>
                </c:pt>
                <c:pt idx="3">
                  <c:v>AR3001</c:v>
                </c:pt>
                <c:pt idx="4">
                  <c:v>AR3003</c:v>
                </c:pt>
              </c:strCache>
            </c:strRef>
          </c:cat>
          <c:val>
            <c:numRef>
              <c:f>Sheet7!$B$32:$B$36</c:f>
              <c:numCache>
                <c:formatCode>General</c:formatCode>
                <c:ptCount val="5"/>
                <c:pt idx="0">
                  <c:v>0.33499999999999996</c:v>
                </c:pt>
                <c:pt idx="1">
                  <c:v>0.57000000000000006</c:v>
                </c:pt>
                <c:pt idx="2">
                  <c:v>-0.41499999999999998</c:v>
                </c:pt>
                <c:pt idx="3">
                  <c:v>-0.29250000000000004</c:v>
                </c:pt>
                <c:pt idx="4">
                  <c:v>-0.52</c:v>
                </c:pt>
              </c:numCache>
            </c:numRef>
          </c:val>
          <c:extLst>
            <c:ext xmlns:c16="http://schemas.microsoft.com/office/drawing/2014/chart" uri="{C3380CC4-5D6E-409C-BE32-E72D297353CC}">
              <c16:uniqueId val="{00000000-96BE-6749-A55A-568ED9873455}"/>
            </c:ext>
          </c:extLst>
        </c:ser>
        <c:ser>
          <c:idx val="1"/>
          <c:order val="1"/>
          <c:tx>
            <c:strRef>
              <c:f>Sheet7!$C$31</c:f>
              <c:strCache>
                <c:ptCount val="1"/>
                <c:pt idx="0">
                  <c:v>Panel 2</c:v>
                </c:pt>
              </c:strCache>
            </c:strRef>
          </c:tx>
          <c:spPr>
            <a:solidFill>
              <a:schemeClr val="accent2"/>
            </a:solidFill>
            <a:ln>
              <a:noFill/>
            </a:ln>
            <a:effectLst/>
          </c:spPr>
          <c:invertIfNegative val="0"/>
          <c:cat>
            <c:strRef>
              <c:f>Sheet7!$A$32:$A$36</c:f>
              <c:strCache>
                <c:ptCount val="5"/>
                <c:pt idx="0">
                  <c:v>AR3004</c:v>
                </c:pt>
                <c:pt idx="1">
                  <c:v>AR3002</c:v>
                </c:pt>
                <c:pt idx="2">
                  <c:v>AR3005</c:v>
                </c:pt>
                <c:pt idx="3">
                  <c:v>AR3001</c:v>
                </c:pt>
                <c:pt idx="4">
                  <c:v>AR3003</c:v>
                </c:pt>
              </c:strCache>
            </c:strRef>
          </c:cat>
          <c:val>
            <c:numRef>
              <c:f>Sheet7!$C$32:$C$36</c:f>
              <c:numCache>
                <c:formatCode>General</c:formatCode>
                <c:ptCount val="5"/>
                <c:pt idx="0">
                  <c:v>0.66899999999999993</c:v>
                </c:pt>
                <c:pt idx="1">
                  <c:v>-5.5000000000000007E-2</c:v>
                </c:pt>
                <c:pt idx="2">
                  <c:v>-6.6000000000000017E-2</c:v>
                </c:pt>
                <c:pt idx="3">
                  <c:v>-0.6925</c:v>
                </c:pt>
                <c:pt idx="4">
                  <c:v>-0.73499999999999999</c:v>
                </c:pt>
              </c:numCache>
            </c:numRef>
          </c:val>
          <c:extLst>
            <c:ext xmlns:c16="http://schemas.microsoft.com/office/drawing/2014/chart" uri="{C3380CC4-5D6E-409C-BE32-E72D297353CC}">
              <c16:uniqueId val="{00000001-96BE-6749-A55A-568ED9873455}"/>
            </c:ext>
          </c:extLst>
        </c:ser>
        <c:dLbls>
          <c:showLegendKey val="0"/>
          <c:showVal val="0"/>
          <c:showCatName val="0"/>
          <c:showSerName val="0"/>
          <c:showPercent val="0"/>
          <c:showBubbleSize val="0"/>
        </c:dLbls>
        <c:gapWidth val="182"/>
        <c:axId val="1954103295"/>
        <c:axId val="1954103743"/>
      </c:barChart>
      <c:catAx>
        <c:axId val="1954103295"/>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03743"/>
        <c:crosses val="autoZero"/>
        <c:auto val="1"/>
        <c:lblAlgn val="ctr"/>
        <c:lblOffset val="100"/>
        <c:noMultiLvlLbl val="0"/>
      </c:catAx>
      <c:valAx>
        <c:axId val="195410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03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Sheet10!$N$236:$O$236</c:f>
              <c:strCache>
                <c:ptCount val="2"/>
                <c:pt idx="0">
                  <c:v>M18</c:v>
                </c:pt>
                <c:pt idx="1">
                  <c:v>P1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Sheet10!$P$235:$Y$235</c:f>
              <c:strCache>
                <c:ptCount val="10"/>
                <c:pt idx="0">
                  <c:v>C1</c:v>
                </c:pt>
                <c:pt idx="1">
                  <c:v>C10</c:v>
                </c:pt>
                <c:pt idx="2">
                  <c:v>C11</c:v>
                </c:pt>
                <c:pt idx="3">
                  <c:v>C2</c:v>
                </c:pt>
                <c:pt idx="4">
                  <c:v>C3</c:v>
                </c:pt>
                <c:pt idx="5">
                  <c:v>C4</c:v>
                </c:pt>
                <c:pt idx="6">
                  <c:v>C6</c:v>
                </c:pt>
                <c:pt idx="7">
                  <c:v>C7</c:v>
                </c:pt>
                <c:pt idx="8">
                  <c:v>C8</c:v>
                </c:pt>
                <c:pt idx="9">
                  <c:v>C9</c:v>
                </c:pt>
              </c:strCache>
            </c:strRef>
          </c:cat>
          <c:val>
            <c:numRef>
              <c:f>Sheet10!$P$236:$Y$236</c:f>
              <c:numCache>
                <c:formatCode>General</c:formatCode>
                <c:ptCount val="10"/>
                <c:pt idx="0">
                  <c:v>0.12</c:v>
                </c:pt>
                <c:pt idx="1">
                  <c:v>4.2500000000000003E-2</c:v>
                </c:pt>
                <c:pt idx="2">
                  <c:v>0.05</c:v>
                </c:pt>
                <c:pt idx="3">
                  <c:v>6.4000000000000001E-2</c:v>
                </c:pt>
                <c:pt idx="4">
                  <c:v>0.05</c:v>
                </c:pt>
                <c:pt idx="5">
                  <c:v>0</c:v>
                </c:pt>
                <c:pt idx="6">
                  <c:v>0.11</c:v>
                </c:pt>
                <c:pt idx="7">
                  <c:v>0.15</c:v>
                </c:pt>
                <c:pt idx="8">
                  <c:v>0.1</c:v>
                </c:pt>
                <c:pt idx="9">
                  <c:v>0.1</c:v>
                </c:pt>
              </c:numCache>
            </c:numRef>
          </c:val>
          <c:extLst>
            <c:ext xmlns:c16="http://schemas.microsoft.com/office/drawing/2014/chart" uri="{C3380CC4-5D6E-409C-BE32-E72D297353CC}">
              <c16:uniqueId val="{00000000-1255-894B-9113-28F8989D9F19}"/>
            </c:ext>
          </c:extLst>
        </c:ser>
        <c:ser>
          <c:idx val="1"/>
          <c:order val="1"/>
          <c:tx>
            <c:strRef>
              <c:f>Sheet10!$N$237:$O$237</c:f>
              <c:strCache>
                <c:ptCount val="2"/>
                <c:pt idx="0">
                  <c:v>M18</c:v>
                </c:pt>
                <c:pt idx="1">
                  <c:v>P2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Sheet10!$P$235:$Y$235</c:f>
              <c:strCache>
                <c:ptCount val="10"/>
                <c:pt idx="0">
                  <c:v>C1</c:v>
                </c:pt>
                <c:pt idx="1">
                  <c:v>C10</c:v>
                </c:pt>
                <c:pt idx="2">
                  <c:v>C11</c:v>
                </c:pt>
                <c:pt idx="3">
                  <c:v>C2</c:v>
                </c:pt>
                <c:pt idx="4">
                  <c:v>C3</c:v>
                </c:pt>
                <c:pt idx="5">
                  <c:v>C4</c:v>
                </c:pt>
                <c:pt idx="6">
                  <c:v>C6</c:v>
                </c:pt>
                <c:pt idx="7">
                  <c:v>C7</c:v>
                </c:pt>
                <c:pt idx="8">
                  <c:v>C8</c:v>
                </c:pt>
                <c:pt idx="9">
                  <c:v>C9</c:v>
                </c:pt>
              </c:strCache>
            </c:strRef>
          </c:cat>
          <c:val>
            <c:numRef>
              <c:f>Sheet10!$P$237:$Y$237</c:f>
              <c:numCache>
                <c:formatCode>General</c:formatCode>
                <c:ptCount val="10"/>
                <c:pt idx="0">
                  <c:v>0.12</c:v>
                </c:pt>
                <c:pt idx="1">
                  <c:v>8.5000000000000006E-2</c:v>
                </c:pt>
                <c:pt idx="2">
                  <c:v>0</c:v>
                </c:pt>
                <c:pt idx="3">
                  <c:v>6.4000000000000001E-2</c:v>
                </c:pt>
                <c:pt idx="4">
                  <c:v>0.05</c:v>
                </c:pt>
                <c:pt idx="5">
                  <c:v>0.14000000000000001</c:v>
                </c:pt>
                <c:pt idx="6">
                  <c:v>0.11</c:v>
                </c:pt>
                <c:pt idx="7">
                  <c:v>0.15</c:v>
                </c:pt>
                <c:pt idx="8">
                  <c:v>0.1</c:v>
                </c:pt>
                <c:pt idx="9">
                  <c:v>0.1</c:v>
                </c:pt>
              </c:numCache>
            </c:numRef>
          </c:val>
          <c:extLst>
            <c:ext xmlns:c16="http://schemas.microsoft.com/office/drawing/2014/chart" uri="{C3380CC4-5D6E-409C-BE32-E72D297353CC}">
              <c16:uniqueId val="{00000001-1255-894B-9113-28F8989D9F19}"/>
            </c:ext>
          </c:extLst>
        </c:ser>
        <c:ser>
          <c:idx val="2"/>
          <c:order val="2"/>
          <c:tx>
            <c:strRef>
              <c:f>Sheet10!$N$238:$O$238</c:f>
              <c:strCache>
                <c:ptCount val="2"/>
                <c:pt idx="0">
                  <c:v>M18</c:v>
                </c:pt>
                <c:pt idx="1">
                  <c:v>P2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Sheet10!$P$235:$Y$235</c:f>
              <c:strCache>
                <c:ptCount val="10"/>
                <c:pt idx="0">
                  <c:v>C1</c:v>
                </c:pt>
                <c:pt idx="1">
                  <c:v>C10</c:v>
                </c:pt>
                <c:pt idx="2">
                  <c:v>C11</c:v>
                </c:pt>
                <c:pt idx="3">
                  <c:v>C2</c:v>
                </c:pt>
                <c:pt idx="4">
                  <c:v>C3</c:v>
                </c:pt>
                <c:pt idx="5">
                  <c:v>C4</c:v>
                </c:pt>
                <c:pt idx="6">
                  <c:v>C6</c:v>
                </c:pt>
                <c:pt idx="7">
                  <c:v>C7</c:v>
                </c:pt>
                <c:pt idx="8">
                  <c:v>C8</c:v>
                </c:pt>
                <c:pt idx="9">
                  <c:v>C9</c:v>
                </c:pt>
              </c:strCache>
            </c:strRef>
          </c:cat>
          <c:val>
            <c:numRef>
              <c:f>Sheet10!$P$238:$Y$238</c:f>
              <c:numCache>
                <c:formatCode>General</c:formatCode>
                <c:ptCount val="10"/>
              </c:numCache>
            </c:numRef>
          </c:val>
          <c:extLst>
            <c:ext xmlns:c16="http://schemas.microsoft.com/office/drawing/2014/chart" uri="{C3380CC4-5D6E-409C-BE32-E72D297353CC}">
              <c16:uniqueId val="{00000002-1255-894B-9113-28F8989D9F19}"/>
            </c:ext>
          </c:extLst>
        </c:ser>
        <c:ser>
          <c:idx val="3"/>
          <c:order val="3"/>
          <c:tx>
            <c:strRef>
              <c:f>Sheet10!$N$239:$O$239</c:f>
              <c:strCache>
                <c:ptCount val="2"/>
                <c:pt idx="0">
                  <c:v>S19</c:v>
                </c:pt>
                <c:pt idx="1">
                  <c:v>P1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Sheet10!$P$235:$Y$235</c:f>
              <c:strCache>
                <c:ptCount val="10"/>
                <c:pt idx="0">
                  <c:v>C1</c:v>
                </c:pt>
                <c:pt idx="1">
                  <c:v>C10</c:v>
                </c:pt>
                <c:pt idx="2">
                  <c:v>C11</c:v>
                </c:pt>
                <c:pt idx="3">
                  <c:v>C2</c:v>
                </c:pt>
                <c:pt idx="4">
                  <c:v>C3</c:v>
                </c:pt>
                <c:pt idx="5">
                  <c:v>C4</c:v>
                </c:pt>
                <c:pt idx="6">
                  <c:v>C6</c:v>
                </c:pt>
                <c:pt idx="7">
                  <c:v>C7</c:v>
                </c:pt>
                <c:pt idx="8">
                  <c:v>C8</c:v>
                </c:pt>
                <c:pt idx="9">
                  <c:v>C9</c:v>
                </c:pt>
              </c:strCache>
            </c:strRef>
          </c:cat>
          <c:val>
            <c:numRef>
              <c:f>Sheet10!$P$239:$Y$239</c:f>
              <c:numCache>
                <c:formatCode>General</c:formatCode>
                <c:ptCount val="10"/>
                <c:pt idx="0">
                  <c:v>0.12</c:v>
                </c:pt>
                <c:pt idx="1">
                  <c:v>0</c:v>
                </c:pt>
                <c:pt idx="2">
                  <c:v>0</c:v>
                </c:pt>
                <c:pt idx="3">
                  <c:v>6.4000000000000001E-2</c:v>
                </c:pt>
                <c:pt idx="4">
                  <c:v>0.05</c:v>
                </c:pt>
                <c:pt idx="5">
                  <c:v>0.14000000000000001</c:v>
                </c:pt>
                <c:pt idx="6">
                  <c:v>0.11</c:v>
                </c:pt>
                <c:pt idx="7">
                  <c:v>0.15</c:v>
                </c:pt>
                <c:pt idx="8">
                  <c:v>0</c:v>
                </c:pt>
                <c:pt idx="9">
                  <c:v>0</c:v>
                </c:pt>
              </c:numCache>
            </c:numRef>
          </c:val>
          <c:extLst>
            <c:ext xmlns:c16="http://schemas.microsoft.com/office/drawing/2014/chart" uri="{C3380CC4-5D6E-409C-BE32-E72D297353CC}">
              <c16:uniqueId val="{00000003-1255-894B-9113-28F8989D9F19}"/>
            </c:ext>
          </c:extLst>
        </c:ser>
        <c:ser>
          <c:idx val="4"/>
          <c:order val="4"/>
          <c:tx>
            <c:strRef>
              <c:f>Sheet10!$N$240:$O$240</c:f>
              <c:strCache>
                <c:ptCount val="2"/>
                <c:pt idx="0">
                  <c:v>S19</c:v>
                </c:pt>
                <c:pt idx="1">
                  <c:v>P2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Sheet10!$P$235:$Y$235</c:f>
              <c:strCache>
                <c:ptCount val="10"/>
                <c:pt idx="0">
                  <c:v>C1</c:v>
                </c:pt>
                <c:pt idx="1">
                  <c:v>C10</c:v>
                </c:pt>
                <c:pt idx="2">
                  <c:v>C11</c:v>
                </c:pt>
                <c:pt idx="3">
                  <c:v>C2</c:v>
                </c:pt>
                <c:pt idx="4">
                  <c:v>C3</c:v>
                </c:pt>
                <c:pt idx="5">
                  <c:v>C4</c:v>
                </c:pt>
                <c:pt idx="6">
                  <c:v>C6</c:v>
                </c:pt>
                <c:pt idx="7">
                  <c:v>C7</c:v>
                </c:pt>
                <c:pt idx="8">
                  <c:v>C8</c:v>
                </c:pt>
                <c:pt idx="9">
                  <c:v>C9</c:v>
                </c:pt>
              </c:strCache>
            </c:strRef>
          </c:cat>
          <c:val>
            <c:numRef>
              <c:f>Sheet10!$P$240:$Y$240</c:f>
              <c:numCache>
                <c:formatCode>General</c:formatCode>
                <c:ptCount val="10"/>
                <c:pt idx="0">
                  <c:v>0.12</c:v>
                </c:pt>
                <c:pt idx="1">
                  <c:v>0</c:v>
                </c:pt>
                <c:pt idx="2">
                  <c:v>-0.05</c:v>
                </c:pt>
                <c:pt idx="3">
                  <c:v>6.4000000000000001E-2</c:v>
                </c:pt>
                <c:pt idx="4">
                  <c:v>-0.05</c:v>
                </c:pt>
                <c:pt idx="5">
                  <c:v>-0.14000000000000001</c:v>
                </c:pt>
                <c:pt idx="6">
                  <c:v>-0.11</c:v>
                </c:pt>
                <c:pt idx="7">
                  <c:v>-0.15</c:v>
                </c:pt>
                <c:pt idx="8">
                  <c:v>-0.1</c:v>
                </c:pt>
                <c:pt idx="9">
                  <c:v>0</c:v>
                </c:pt>
              </c:numCache>
            </c:numRef>
          </c:val>
          <c:extLst>
            <c:ext xmlns:c16="http://schemas.microsoft.com/office/drawing/2014/chart" uri="{C3380CC4-5D6E-409C-BE32-E72D297353CC}">
              <c16:uniqueId val="{00000004-1255-894B-9113-28F8989D9F19}"/>
            </c:ext>
          </c:extLst>
        </c:ser>
        <c:dLbls>
          <c:dLblPos val="outEnd"/>
          <c:showLegendKey val="0"/>
          <c:showVal val="1"/>
          <c:showCatName val="0"/>
          <c:showSerName val="0"/>
          <c:showPercent val="0"/>
          <c:showBubbleSize val="0"/>
        </c:dLbls>
        <c:gapWidth val="182"/>
        <c:axId val="1969658879"/>
        <c:axId val="1969666943"/>
      </c:barChart>
      <c:catAx>
        <c:axId val="196965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66943"/>
        <c:crosses val="autoZero"/>
        <c:auto val="1"/>
        <c:lblAlgn val="ctr"/>
        <c:lblOffset val="100"/>
        <c:noMultiLvlLbl val="0"/>
      </c:catAx>
      <c:valAx>
        <c:axId val="196966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58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Sheet12!$H$21</c:f>
              <c:strCache>
                <c:ptCount val="1"/>
                <c:pt idx="0">
                  <c:v>P1</c:v>
                </c:pt>
              </c:strCache>
            </c:strRef>
          </c:tx>
          <c:spPr>
            <a:solidFill>
              <a:schemeClr val="accent1"/>
            </a:solidFill>
            <a:ln>
              <a:noFill/>
            </a:ln>
            <a:effectLst/>
          </c:spPr>
          <c:invertIfNegative val="0"/>
          <c:cat>
            <c:strRef>
              <c:f>Sheet12!$G$22:$G$37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Sheet12!$H$22:$H$37</c:f>
              <c:numCache>
                <c:formatCode>General</c:formatCode>
                <c:ptCount val="16"/>
                <c:pt idx="0">
                  <c:v>9</c:v>
                </c:pt>
                <c:pt idx="1">
                  <c:v>3</c:v>
                </c:pt>
                <c:pt idx="2">
                  <c:v>8</c:v>
                </c:pt>
                <c:pt idx="3">
                  <c:v>1</c:v>
                </c:pt>
                <c:pt idx="4">
                  <c:v>9</c:v>
                </c:pt>
                <c:pt idx="5">
                  <c:v>11</c:v>
                </c:pt>
                <c:pt idx="6">
                  <c:v>-6</c:v>
                </c:pt>
                <c:pt idx="7">
                  <c:v>11</c:v>
                </c:pt>
                <c:pt idx="8">
                  <c:v>-5</c:v>
                </c:pt>
                <c:pt idx="9">
                  <c:v>11</c:v>
                </c:pt>
                <c:pt idx="10">
                  <c:v>0</c:v>
                </c:pt>
                <c:pt idx="11">
                  <c:v>-3</c:v>
                </c:pt>
                <c:pt idx="12">
                  <c:v>6</c:v>
                </c:pt>
                <c:pt idx="13">
                  <c:v>-4</c:v>
                </c:pt>
                <c:pt idx="14">
                  <c:v>5</c:v>
                </c:pt>
                <c:pt idx="15">
                  <c:v>-5</c:v>
                </c:pt>
              </c:numCache>
            </c:numRef>
          </c:val>
          <c:extLst>
            <c:ext xmlns:c16="http://schemas.microsoft.com/office/drawing/2014/chart" uri="{C3380CC4-5D6E-409C-BE32-E72D297353CC}">
              <c16:uniqueId val="{00000000-EAAF-3D4C-A19F-D5D33CBC03E8}"/>
            </c:ext>
          </c:extLst>
        </c:ser>
        <c:ser>
          <c:idx val="1"/>
          <c:order val="1"/>
          <c:tx>
            <c:strRef>
              <c:f>Sheet12!$I$21</c:f>
              <c:strCache>
                <c:ptCount val="1"/>
                <c:pt idx="0">
                  <c:v>P2</c:v>
                </c:pt>
              </c:strCache>
            </c:strRef>
          </c:tx>
          <c:spPr>
            <a:solidFill>
              <a:schemeClr val="accent2"/>
            </a:solidFill>
            <a:ln>
              <a:noFill/>
            </a:ln>
            <a:effectLst/>
          </c:spPr>
          <c:invertIfNegative val="0"/>
          <c:cat>
            <c:strRef>
              <c:f>Sheet12!$G$22:$G$37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Sheet12!$I$22:$I$37</c:f>
              <c:numCache>
                <c:formatCode>General</c:formatCode>
                <c:ptCount val="16"/>
                <c:pt idx="0">
                  <c:v>10</c:v>
                </c:pt>
                <c:pt idx="1">
                  <c:v>10</c:v>
                </c:pt>
                <c:pt idx="2">
                  <c:v>9</c:v>
                </c:pt>
                <c:pt idx="3">
                  <c:v>4</c:v>
                </c:pt>
                <c:pt idx="4">
                  <c:v>10</c:v>
                </c:pt>
                <c:pt idx="5">
                  <c:v>8</c:v>
                </c:pt>
                <c:pt idx="6">
                  <c:v>5</c:v>
                </c:pt>
                <c:pt idx="7">
                  <c:v>11</c:v>
                </c:pt>
                <c:pt idx="8">
                  <c:v>-5</c:v>
                </c:pt>
                <c:pt idx="9">
                  <c:v>11</c:v>
                </c:pt>
                <c:pt idx="10">
                  <c:v>-4</c:v>
                </c:pt>
                <c:pt idx="11">
                  <c:v>-7</c:v>
                </c:pt>
                <c:pt idx="12">
                  <c:v>1</c:v>
                </c:pt>
                <c:pt idx="13">
                  <c:v>-8</c:v>
                </c:pt>
                <c:pt idx="14">
                  <c:v>7</c:v>
                </c:pt>
                <c:pt idx="15">
                  <c:v>-1</c:v>
                </c:pt>
              </c:numCache>
            </c:numRef>
          </c:val>
          <c:extLst>
            <c:ext xmlns:c16="http://schemas.microsoft.com/office/drawing/2014/chart" uri="{C3380CC4-5D6E-409C-BE32-E72D297353CC}">
              <c16:uniqueId val="{00000001-EAAF-3D4C-A19F-D5D33CBC03E8}"/>
            </c:ext>
          </c:extLst>
        </c:ser>
        <c:dLbls>
          <c:showLegendKey val="0"/>
          <c:showVal val="0"/>
          <c:showCatName val="0"/>
          <c:showSerName val="0"/>
          <c:showPercent val="0"/>
          <c:showBubbleSize val="0"/>
        </c:dLbls>
        <c:gapWidth val="182"/>
        <c:axId val="1968771903"/>
        <c:axId val="1968771007"/>
      </c:barChart>
      <c:catAx>
        <c:axId val="19687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71007"/>
        <c:crosses val="autoZero"/>
        <c:auto val="1"/>
        <c:lblAlgn val="ctr"/>
        <c:lblOffset val="100"/>
        <c:noMultiLvlLbl val="0"/>
      </c:catAx>
      <c:valAx>
        <c:axId val="1968771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71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Sheet12!$M$21</c:f>
              <c:strCache>
                <c:ptCount val="1"/>
                <c:pt idx="0">
                  <c:v>P1</c:v>
                </c:pt>
              </c:strCache>
            </c:strRef>
          </c:tx>
          <c:spPr>
            <a:solidFill>
              <a:schemeClr val="accent1"/>
            </a:solidFill>
            <a:ln>
              <a:noFill/>
            </a:ln>
            <a:effectLst/>
          </c:spPr>
          <c:invertIfNegative val="0"/>
          <c:cat>
            <c:strRef>
              <c:f>Sheet12!$L$22:$L$37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Sheet12!$M$22:$M$37</c:f>
              <c:numCache>
                <c:formatCode>General</c:formatCode>
                <c:ptCount val="16"/>
                <c:pt idx="0">
                  <c:v>0.78649999999999998</c:v>
                </c:pt>
                <c:pt idx="1">
                  <c:v>0.23399999999999999</c:v>
                </c:pt>
                <c:pt idx="2">
                  <c:v>0.67899999999999994</c:v>
                </c:pt>
                <c:pt idx="3">
                  <c:v>-0.12499999999999997</c:v>
                </c:pt>
                <c:pt idx="4">
                  <c:v>0.77899999999999991</c:v>
                </c:pt>
                <c:pt idx="5">
                  <c:v>0.96899999999999997</c:v>
                </c:pt>
                <c:pt idx="6">
                  <c:v>-0.55649999999999999</c:v>
                </c:pt>
                <c:pt idx="7">
                  <c:v>0.96899999999999997</c:v>
                </c:pt>
                <c:pt idx="8">
                  <c:v>-0.54</c:v>
                </c:pt>
                <c:pt idx="9">
                  <c:v>0.96899999999999997</c:v>
                </c:pt>
                <c:pt idx="10">
                  <c:v>0.15750000000000003</c:v>
                </c:pt>
                <c:pt idx="11">
                  <c:v>-0.29250000000000004</c:v>
                </c:pt>
                <c:pt idx="12">
                  <c:v>0.57000000000000006</c:v>
                </c:pt>
                <c:pt idx="13">
                  <c:v>-0.52</c:v>
                </c:pt>
                <c:pt idx="14">
                  <c:v>0.33499999999999996</c:v>
                </c:pt>
                <c:pt idx="15">
                  <c:v>-0.41499999999999998</c:v>
                </c:pt>
              </c:numCache>
            </c:numRef>
          </c:val>
          <c:extLst>
            <c:ext xmlns:c16="http://schemas.microsoft.com/office/drawing/2014/chart" uri="{C3380CC4-5D6E-409C-BE32-E72D297353CC}">
              <c16:uniqueId val="{00000000-16B5-6F41-B67D-B8D1A04B622B}"/>
            </c:ext>
          </c:extLst>
        </c:ser>
        <c:ser>
          <c:idx val="1"/>
          <c:order val="1"/>
          <c:tx>
            <c:strRef>
              <c:f>Sheet12!$N$21</c:f>
              <c:strCache>
                <c:ptCount val="1"/>
                <c:pt idx="0">
                  <c:v>P2</c:v>
                </c:pt>
              </c:strCache>
            </c:strRef>
          </c:tx>
          <c:spPr>
            <a:solidFill>
              <a:schemeClr val="accent2"/>
            </a:solidFill>
            <a:ln>
              <a:noFill/>
            </a:ln>
            <a:effectLst/>
          </c:spPr>
          <c:invertIfNegative val="0"/>
          <c:cat>
            <c:strRef>
              <c:f>Sheet12!$L$22:$L$37</c:f>
              <c:strCache>
                <c:ptCount val="16"/>
                <c:pt idx="0">
                  <c:v>AR2001</c:v>
                </c:pt>
                <c:pt idx="1">
                  <c:v>AR2004</c:v>
                </c:pt>
                <c:pt idx="2">
                  <c:v>AR2005</c:v>
                </c:pt>
                <c:pt idx="3">
                  <c:v>AR2010</c:v>
                </c:pt>
                <c:pt idx="4">
                  <c:v>AR2011</c:v>
                </c:pt>
                <c:pt idx="5">
                  <c:v>AR2012</c:v>
                </c:pt>
                <c:pt idx="6">
                  <c:v>AR2013</c:v>
                </c:pt>
                <c:pt idx="7">
                  <c:v>AR2014</c:v>
                </c:pt>
                <c:pt idx="8">
                  <c:v>AR2015</c:v>
                </c:pt>
                <c:pt idx="9">
                  <c:v>AR2016</c:v>
                </c:pt>
                <c:pt idx="10">
                  <c:v>AR2017</c:v>
                </c:pt>
                <c:pt idx="11">
                  <c:v>AR3001</c:v>
                </c:pt>
                <c:pt idx="12">
                  <c:v>AR3002</c:v>
                </c:pt>
                <c:pt idx="13">
                  <c:v>AR3003</c:v>
                </c:pt>
                <c:pt idx="14">
                  <c:v>AR3004</c:v>
                </c:pt>
                <c:pt idx="15">
                  <c:v>AR3005</c:v>
                </c:pt>
              </c:strCache>
            </c:strRef>
          </c:cat>
          <c:val>
            <c:numRef>
              <c:f>Sheet12!$N$22:$N$37</c:f>
              <c:numCache>
                <c:formatCode>General</c:formatCode>
                <c:ptCount val="16"/>
                <c:pt idx="0">
                  <c:v>0.91899999999999993</c:v>
                </c:pt>
                <c:pt idx="1">
                  <c:v>0.91899999999999993</c:v>
                </c:pt>
                <c:pt idx="2">
                  <c:v>0.81899999999999995</c:v>
                </c:pt>
                <c:pt idx="3">
                  <c:v>0.36899999999999994</c:v>
                </c:pt>
                <c:pt idx="4">
                  <c:v>0.91899999999999993</c:v>
                </c:pt>
                <c:pt idx="5">
                  <c:v>0.70899999999999996</c:v>
                </c:pt>
                <c:pt idx="6">
                  <c:v>0.46649999999999997</c:v>
                </c:pt>
                <c:pt idx="7">
                  <c:v>0.96899999999999997</c:v>
                </c:pt>
                <c:pt idx="8">
                  <c:v>-0.48000000000000004</c:v>
                </c:pt>
                <c:pt idx="9">
                  <c:v>0.96899999999999997</c:v>
                </c:pt>
                <c:pt idx="10">
                  <c:v>-0.33250000000000002</c:v>
                </c:pt>
                <c:pt idx="11">
                  <c:v>-0.6925</c:v>
                </c:pt>
                <c:pt idx="12">
                  <c:v>-5.5000000000000007E-2</c:v>
                </c:pt>
                <c:pt idx="13">
                  <c:v>-0.73499999999999999</c:v>
                </c:pt>
                <c:pt idx="14">
                  <c:v>0.66899999999999993</c:v>
                </c:pt>
                <c:pt idx="15">
                  <c:v>-6.6000000000000017E-2</c:v>
                </c:pt>
              </c:numCache>
            </c:numRef>
          </c:val>
          <c:extLst>
            <c:ext xmlns:c16="http://schemas.microsoft.com/office/drawing/2014/chart" uri="{C3380CC4-5D6E-409C-BE32-E72D297353CC}">
              <c16:uniqueId val="{00000001-16B5-6F41-B67D-B8D1A04B622B}"/>
            </c:ext>
          </c:extLst>
        </c:ser>
        <c:dLbls>
          <c:showLegendKey val="0"/>
          <c:showVal val="0"/>
          <c:showCatName val="0"/>
          <c:showSerName val="0"/>
          <c:showPercent val="0"/>
          <c:showBubbleSize val="0"/>
        </c:dLbls>
        <c:gapWidth val="182"/>
        <c:axId val="1954205631"/>
        <c:axId val="1954209215"/>
      </c:barChart>
      <c:catAx>
        <c:axId val="195420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209215"/>
        <c:crosses val="autoZero"/>
        <c:auto val="1"/>
        <c:lblAlgn val="ctr"/>
        <c:lblOffset val="100"/>
        <c:noMultiLvlLbl val="0"/>
      </c:catAx>
      <c:valAx>
        <c:axId val="195420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20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70ABE-F8F5-4E4F-BC5E-2E7206DF5C46}">
  <sheetPr/>
  <sheetViews>
    <sheetView zoomScale="10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812800</xdr:colOff>
      <xdr:row>62</xdr:row>
      <xdr:rowOff>143933</xdr:rowOff>
    </xdr:from>
    <xdr:to>
      <xdr:col>14</xdr:col>
      <xdr:colOff>601133</xdr:colOff>
      <xdr:row>86</xdr:row>
      <xdr:rowOff>143933</xdr:rowOff>
    </xdr:to>
    <xdr:graphicFrame macro="">
      <xdr:nvGraphicFramePr>
        <xdr:cNvPr id="2" name="Chart 1">
          <a:extLst>
            <a:ext uri="{FF2B5EF4-FFF2-40B4-BE49-F238E27FC236}">
              <a16:creationId xmlns:a16="http://schemas.microsoft.com/office/drawing/2014/main" id="{74E3D600-624B-94D9-D625-40346D7D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103717</xdr:colOff>
      <xdr:row>22</xdr:row>
      <xdr:rowOff>4233</xdr:rowOff>
    </xdr:from>
    <xdr:to>
      <xdr:col>19</xdr:col>
      <xdr:colOff>734484</xdr:colOff>
      <xdr:row>35</xdr:row>
      <xdr:rowOff>105833</xdr:rowOff>
    </xdr:to>
    <xdr:graphicFrame macro="">
      <xdr:nvGraphicFramePr>
        <xdr:cNvPr id="3" name="Chart 2">
          <a:extLst>
            <a:ext uri="{FF2B5EF4-FFF2-40B4-BE49-F238E27FC236}">
              <a16:creationId xmlns:a16="http://schemas.microsoft.com/office/drawing/2014/main" id="{2EF43065-784F-315E-BB59-00B6CD611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541867</xdr:colOff>
      <xdr:row>19</xdr:row>
      <xdr:rowOff>101600</xdr:rowOff>
    </xdr:from>
    <xdr:to>
      <xdr:col>37</xdr:col>
      <xdr:colOff>16933</xdr:colOff>
      <xdr:row>49</xdr:row>
      <xdr:rowOff>127000</xdr:rowOff>
    </xdr:to>
    <xdr:graphicFrame macro="">
      <xdr:nvGraphicFramePr>
        <xdr:cNvPr id="4" name="Chart 3">
          <a:extLst>
            <a:ext uri="{FF2B5EF4-FFF2-40B4-BE49-F238E27FC236}">
              <a16:creationId xmlns:a16="http://schemas.microsoft.com/office/drawing/2014/main" id="{8EA329F9-00F9-0928-479D-6A8926026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7</xdr:row>
      <xdr:rowOff>190500</xdr:rowOff>
    </xdr:from>
    <xdr:to>
      <xdr:col>9</xdr:col>
      <xdr:colOff>787400</xdr:colOff>
      <xdr:row>21</xdr:row>
      <xdr:rowOff>88900</xdr:rowOff>
    </xdr:to>
    <xdr:graphicFrame macro="">
      <xdr:nvGraphicFramePr>
        <xdr:cNvPr id="2" name="Chart 1">
          <a:extLst>
            <a:ext uri="{FF2B5EF4-FFF2-40B4-BE49-F238E27FC236}">
              <a16:creationId xmlns:a16="http://schemas.microsoft.com/office/drawing/2014/main" id="{B049BE18-E4C5-1E16-B5B6-3106EAD08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82404" cy="6288942"/>
    <xdr:graphicFrame macro="">
      <xdr:nvGraphicFramePr>
        <xdr:cNvPr id="2" name="Chart 1">
          <a:extLst>
            <a:ext uri="{FF2B5EF4-FFF2-40B4-BE49-F238E27FC236}">
              <a16:creationId xmlns:a16="http://schemas.microsoft.com/office/drawing/2014/main" id="{CCC89564-E8AE-4441-661B-E9ACF821468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3</xdr:col>
      <xdr:colOff>510920</xdr:colOff>
      <xdr:row>36</xdr:row>
      <xdr:rowOff>110066</xdr:rowOff>
    </xdr:from>
    <xdr:to>
      <xdr:col>9</xdr:col>
      <xdr:colOff>134299</xdr:colOff>
      <xdr:row>49</xdr:row>
      <xdr:rowOff>196484</xdr:rowOff>
    </xdr:to>
    <xdr:graphicFrame macro="">
      <xdr:nvGraphicFramePr>
        <xdr:cNvPr id="10" name="Chart 9">
          <a:extLst>
            <a:ext uri="{FF2B5EF4-FFF2-40B4-BE49-F238E27FC236}">
              <a16:creationId xmlns:a16="http://schemas.microsoft.com/office/drawing/2014/main" id="{018E9324-1DFD-1DEE-90EF-AF86305B4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350345</xdr:colOff>
      <xdr:row>37</xdr:row>
      <xdr:rowOff>65690</xdr:rowOff>
    </xdr:from>
    <xdr:to>
      <xdr:col>2</xdr:col>
      <xdr:colOff>437931</xdr:colOff>
      <xdr:row>37</xdr:row>
      <xdr:rowOff>160575</xdr:rowOff>
    </xdr:to>
    <xdr:sp macro="" textlink="">
      <xdr:nvSpPr>
        <xdr:cNvPr id="13" name="5-Point Star 12">
          <a:extLst>
            <a:ext uri="{FF2B5EF4-FFF2-40B4-BE49-F238E27FC236}">
              <a16:creationId xmlns:a16="http://schemas.microsoft.com/office/drawing/2014/main" id="{5C58DAC5-EEF9-CCB2-69CD-0EDEC3BD229D}"/>
            </a:ext>
          </a:extLst>
        </xdr:cNvPr>
        <xdr:cNvSpPr/>
      </xdr:nvSpPr>
      <xdr:spPr>
        <a:xfrm>
          <a:off x="1999885" y="7627299"/>
          <a:ext cx="87586" cy="9488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145977</xdr:colOff>
      <xdr:row>35</xdr:row>
      <xdr:rowOff>189770</xdr:rowOff>
    </xdr:from>
    <xdr:to>
      <xdr:col>2</xdr:col>
      <xdr:colOff>211667</xdr:colOff>
      <xdr:row>36</xdr:row>
      <xdr:rowOff>51092</xdr:rowOff>
    </xdr:to>
    <xdr:sp macro="" textlink="">
      <xdr:nvSpPr>
        <xdr:cNvPr id="14" name="Oval 13">
          <a:extLst>
            <a:ext uri="{FF2B5EF4-FFF2-40B4-BE49-F238E27FC236}">
              <a16:creationId xmlns:a16="http://schemas.microsoft.com/office/drawing/2014/main" id="{B9155135-23C1-69B2-FE94-6B86F2518D73}"/>
            </a:ext>
          </a:extLst>
        </xdr:cNvPr>
        <xdr:cNvSpPr/>
      </xdr:nvSpPr>
      <xdr:spPr>
        <a:xfrm>
          <a:off x="1795517" y="7342644"/>
          <a:ext cx="65690" cy="6568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457200</xdr:colOff>
      <xdr:row>204</xdr:row>
      <xdr:rowOff>165100</xdr:rowOff>
    </xdr:from>
    <xdr:to>
      <xdr:col>24</xdr:col>
      <xdr:colOff>749300</xdr:colOff>
      <xdr:row>232</xdr:row>
      <xdr:rowOff>152400</xdr:rowOff>
    </xdr:to>
    <xdr:graphicFrame macro="">
      <xdr:nvGraphicFramePr>
        <xdr:cNvPr id="4" name="Chart 3">
          <a:extLst>
            <a:ext uri="{FF2B5EF4-FFF2-40B4-BE49-F238E27FC236}">
              <a16:creationId xmlns:a16="http://schemas.microsoft.com/office/drawing/2014/main" id="{58D8C773-23E3-7F7E-4B8F-400BCD31E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533400</xdr:colOff>
      <xdr:row>1</xdr:row>
      <xdr:rowOff>190500</xdr:rowOff>
    </xdr:from>
    <xdr:to>
      <xdr:col>11</xdr:col>
      <xdr:colOff>152400</xdr:colOff>
      <xdr:row>15</xdr:row>
      <xdr:rowOff>88900</xdr:rowOff>
    </xdr:to>
    <xdr:graphicFrame macro="">
      <xdr:nvGraphicFramePr>
        <xdr:cNvPr id="2" name="Chart 1">
          <a:extLst>
            <a:ext uri="{FF2B5EF4-FFF2-40B4-BE49-F238E27FC236}">
              <a16:creationId xmlns:a16="http://schemas.microsoft.com/office/drawing/2014/main" id="{B06A6F23-09F2-5CD2-044F-D13AC5DD0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444500</xdr:colOff>
      <xdr:row>1</xdr:row>
      <xdr:rowOff>139700</xdr:rowOff>
    </xdr:from>
    <xdr:to>
      <xdr:col>16</xdr:col>
      <xdr:colOff>63500</xdr:colOff>
      <xdr:row>15</xdr:row>
      <xdr:rowOff>38100</xdr:rowOff>
    </xdr:to>
    <xdr:graphicFrame macro="">
      <xdr:nvGraphicFramePr>
        <xdr:cNvPr id="3" name="Chart 2">
          <a:extLst>
            <a:ext uri="{FF2B5EF4-FFF2-40B4-BE49-F238E27FC236}">
              <a16:creationId xmlns:a16="http://schemas.microsoft.com/office/drawing/2014/main" id="{790FAF7A-76FA-2AD0-B327-F82051238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Trivedi" refreshedDate="46079.464856481478" createdVersion="8" refreshedVersion="8" minRefreshableVersion="3" recordCount="1122" xr:uid="{E1CEA4B7-4A68-C64B-825A-9219EB4952A9}">
  <cacheSource type="worksheet">
    <worksheetSource name="tScores4"/>
  </cacheSource>
  <cacheFields count="14">
    <cacheField name="AY" numFmtId="0">
      <sharedItems/>
    </cacheField>
    <cacheField name="Semester" numFmtId="0">
      <sharedItems count="3">
        <s v="M18"/>
        <s v="S19"/>
        <s v="M19"/>
      </sharedItems>
    </cacheField>
    <cacheField name="Studio_Code" numFmtId="0">
      <sharedItems count="32">
        <s v="AR2001"/>
        <s v="AR2004"/>
        <s v="AR2005"/>
        <s v="AR2010"/>
        <s v="AR2011"/>
        <s v="AR2012"/>
        <s v="AR2013"/>
        <s v="AR2014"/>
        <s v="AR2015"/>
        <s v="AR2016"/>
        <s v="AR2017"/>
        <s v="AR3001"/>
        <s v="AR3002"/>
        <s v="AR3003"/>
        <s v="AR3004"/>
        <s v="AR3005"/>
        <s v="AR2007"/>
        <s v="AR2018"/>
        <s v="AR2019"/>
        <s v="AR2020"/>
        <s v="AR3006"/>
        <s v="AR3012"/>
        <s v="AR3013"/>
        <s v="AR3014"/>
        <s v="AR2006"/>
        <s v="AR2021"/>
        <s v="AR2022"/>
        <s v="AR2023"/>
        <s v="AR2024"/>
        <s v="AR3011"/>
        <s v="AR3015"/>
        <s v="AR3016"/>
      </sharedItems>
    </cacheField>
    <cacheField name="Level" numFmtId="0">
      <sharedItems/>
    </cacheField>
    <cacheField name="Studio_Focus_Area" numFmtId="0">
      <sharedItems containsBlank="1"/>
    </cacheField>
    <cacheField name="Studio_Title" numFmtId="0">
      <sharedItems/>
    </cacheField>
    <cacheField name="Question_No" numFmtId="0">
      <sharedItems containsSemiMixedTypes="0" containsString="0" containsNumber="1" containsInteger="1" minValue="1" maxValue="11"/>
    </cacheField>
    <cacheField name="Panel_ID" numFmtId="0">
      <sharedItems count="2">
        <s v="P1"/>
        <s v="P2"/>
      </sharedItems>
    </cacheField>
    <cacheField name="Construct_ID" numFmtId="0">
      <sharedItems count="10">
        <s v="C1"/>
        <s v="C2"/>
        <s v="C3"/>
        <s v="C4"/>
        <s v="C6"/>
        <s v="C7"/>
        <s v="C8"/>
        <s v="C9"/>
        <s v="C10"/>
        <s v="C11"/>
      </sharedItems>
    </cacheField>
    <cacheField name="Raw_Rating_Text" numFmtId="0">
      <sharedItems containsString="0" containsBlank="1" containsNumber="1" containsInteger="1" minValue="-1" maxValue="1"/>
    </cacheField>
    <cacheField name="Weight" numFmtId="9">
      <sharedItems containsSemiMixedTypes="0" containsString="0" containsNumber="1" minValue="0.05" maxValue="0.15"/>
    </cacheField>
    <cacheField name="Confidence" numFmtId="43">
      <sharedItems containsSemiMixedTypes="0" containsString="0" containsNumber="1" minValue="0.8" maxValue="1"/>
    </cacheField>
    <cacheField name="Final_Score" numFmtId="43">
      <sharedItems containsSemiMixedTypes="0" containsString="0" containsNumber="1" containsInteger="1" minValue="-1" maxValue="1"/>
    </cacheField>
    <cacheField name="Notes" numFmtId="0">
      <sharedItems containsBlank="1" containsMixedTypes="1" containsNumber="1" minValue="0.7" maxValue="0.7"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Trivedi" refreshedDate="46080.515225462965" createdVersion="8" refreshedVersion="8" minRefreshableVersion="3" recordCount="1520" xr:uid="{CB16F32B-F364-9B4B-91CB-DD2EB15BE09C}">
  <cacheSource type="worksheet">
    <worksheetSource name="tScores"/>
  </cacheSource>
  <cacheFields count="14">
    <cacheField name="AY" numFmtId="0">
      <sharedItems/>
    </cacheField>
    <cacheField name="Semester" numFmtId="0">
      <sharedItems count="5">
        <s v="M18"/>
        <s v="S19"/>
        <s v="M19"/>
        <s v="S20"/>
        <s v="M20"/>
      </sharedItems>
    </cacheField>
    <cacheField name="Studio_Code" numFmtId="0">
      <sharedItems count="39">
        <s v="AR2001"/>
        <s v="AR2004"/>
        <s v="AR2005"/>
        <s v="AR2010"/>
        <s v="AR2011"/>
        <s v="AR2012"/>
        <s v="AR2013"/>
        <s v="AR2014"/>
        <s v="AR2015"/>
        <s v="AR2016"/>
        <s v="AR2017"/>
        <s v="AR3001"/>
        <s v="AR3002"/>
        <s v="AR3003"/>
        <s v="AR3004"/>
        <s v="AR3005"/>
        <s v="AR2007"/>
        <s v="AR2018"/>
        <s v="AR2019"/>
        <s v="AR2020"/>
        <s v="AR3006"/>
        <s v="AR3012"/>
        <s v="AR3013"/>
        <s v="AR3014"/>
        <s v="AR2006"/>
        <s v="AR2021"/>
        <s v="AR2022"/>
        <s v="AR2023"/>
        <s v="AR2024"/>
        <s v="AR3011"/>
        <s v="AR3015"/>
        <s v="AR3016"/>
        <s v="AR2009"/>
        <s v="AR2025"/>
        <s v="AR2026"/>
        <s v="AR3017"/>
        <s v="AR3018"/>
        <s v="AR3019"/>
        <s v="AR3021"/>
      </sharedItems>
    </cacheField>
    <cacheField name="Level" numFmtId="0">
      <sharedItems/>
    </cacheField>
    <cacheField name="Studio_Focus_Area" numFmtId="0">
      <sharedItems containsBlank="1"/>
    </cacheField>
    <cacheField name="Studio_Title" numFmtId="0">
      <sharedItems/>
    </cacheField>
    <cacheField name="Question_No" numFmtId="0">
      <sharedItems containsSemiMixedTypes="0" containsString="0" containsNumber="1" containsInteger="1" minValue="1" maxValue="12"/>
    </cacheField>
    <cacheField name="Panel_ID" numFmtId="0">
      <sharedItems count="2">
        <s v="P1"/>
        <s v="P2"/>
      </sharedItems>
    </cacheField>
    <cacheField name="Construct_ID" numFmtId="0">
      <sharedItems count="11">
        <s v="C1"/>
        <s v="C2"/>
        <s v="C3"/>
        <s v="C4"/>
        <s v="C6"/>
        <s v="C7"/>
        <s v="C8"/>
        <s v="C9"/>
        <s v="C10"/>
        <s v="C11"/>
        <s v="C5"/>
      </sharedItems>
    </cacheField>
    <cacheField name="Raw_Rating_Text" numFmtId="0">
      <sharedItems containsString="0" containsBlank="1" containsNumber="1" containsInteger="1" minValue="-1" maxValue="1"/>
    </cacheField>
    <cacheField name="Weight" numFmtId="9">
      <sharedItems containsSemiMixedTypes="0" containsString="0" containsNumber="1" minValue="0.05" maxValue="0.15"/>
    </cacheField>
    <cacheField name="Confidence" numFmtId="43">
      <sharedItems containsSemiMixedTypes="0" containsString="0" containsNumber="1" minValue="0.8" maxValue="1"/>
    </cacheField>
    <cacheField name="Final_Score" numFmtId="43">
      <sharedItems containsSemiMixedTypes="0" containsString="0" containsNumber="1" minValue="-0.15" maxValue="0.15"/>
    </cacheField>
    <cacheField name="Notes" numFmtId="0">
      <sharedItems containsBlank="1" containsMixedTypes="1" containsNumber="1" minValue="0.7" maxValue="0.7" count="175" longText="1">
        <m/>
        <s v="Very narrowly conceptualised"/>
        <s v="Students have failed to grapple with the problem"/>
        <s v="The process appears very fragmented and lacks continuity"/>
        <s v="Quite unispiring"/>
        <s v="Yes, it’s full of loose ends and the medium is quite broken."/>
        <s v="Absolutley not"/>
        <s v="It needs to improve. Lacks clarity"/>
        <s v="To an extant."/>
        <s v="No"/>
        <s v="Mediocre"/>
        <s v="N0."/>
        <s v="Convincing -yes. Ingenious and sophisticated - No."/>
        <s v="There is scope for further improvement."/>
        <s v="Its decent."/>
        <s v="It appears to be limited within a bracket.It needs to expand and explore newer mediums/methods."/>
        <s v="yes, Convincing, ingenious and sophisticated."/>
        <s v="Very intense"/>
        <s v="Yes."/>
        <s v="The problem set out is very unclear."/>
        <s v="It needs to expand and broaden out its scope and intent."/>
        <s v="To an extent."/>
        <s v="Partially"/>
        <s v="meticulous yes. Ingenious and sophisticated - no."/>
        <s v="It's consistent"/>
        <s v="It's meticulous"/>
        <s v="Not at all"/>
        <s v="Its well defined but lacks inventiveness and innovation."/>
        <s v="To a great extent , yes."/>
        <s v="Meticulous -yes. Ingenious and sophisticated - no."/>
        <s v="It's reasonable"/>
        <s v="No."/>
        <s v="It's well defined but architectural manifesttion is inadequate"/>
        <s v="There is a possibility of students getting limited in individual expression, getting caught up by the language of a given architect."/>
        <s v="Convincing but not ingenious and sophisticated."/>
        <s v="Can improve"/>
        <s v="Not yet, but another level of refinement could lead to it being at par. "/>
        <s v="Very disappointing"/>
        <s v="It's very immature and fragmented"/>
        <s v="No. Far from it."/>
        <s v="It's well specified"/>
        <s v="Convincing- yes. Ingenious and Sophisticated - no."/>
        <s v="Not yet but there is a potential for it to be."/>
        <s v="It's rigorous and meticulous"/>
        <s v="Well presented"/>
        <s v="Again interesting work which could benefit greatly from looking at the eventual manifestation categories."/>
        <s v="It needs to be better focused and defined."/>
        <s v="There is an effort"/>
        <s v="Not really"/>
        <s v="There is scope for improvement"/>
        <s v="It needs to be more intense and exploratory"/>
        <s v="Average"/>
        <s v="No.  The disjunct between the architectural responses to the centrality of the initial water based brief_x000a_seemed missing."/>
        <s v="Needs to be improved."/>
        <s v="No. Uninventive projects that don't actually come together even as simple building packages. At level 3, one expects the dialogue and discussion of broader interests and issues, its disappointing to notice that even basic architectural representation lacks fundamental quality."/>
        <s v="Very immature for L3"/>
        <s v="Disappointing"/>
        <s v="SAD"/>
        <s v="No. Could be better served by a process that examines the potential of new spatial/ formal typologies in relation to context around and within rather than just formal patterns."/>
        <s v="Lacks clarity"/>
        <s v="Neither convincing, nor ingenious or spohisticated."/>
        <s v="No. Studio could benefit greatly as a project that searches for urban formal types to fit with the interstices of public spaces. program can be subservient to formal investigation."/>
        <s v="Yes because the process of developing construction methods and details, including choice of materials, by deconstructing existing buildings by well known architects appears to be an interesting way to teach students to bridge the gap between a concept and its manifestation successfully"/>
        <s v="It could have been taken further in terms of technical drawing even though the making of large scale"/>
        <s v="I would say success in developing the ability it was meant to develop is more ore less 60-70%. It could improve a lot."/>
        <s v="Again, I felt the drawings lacked intensity and desired sophistication. "/>
        <s v="There appears to be rigour in the beginning that seemingly gets diluted towards the second half. It does have a few loose ends."/>
        <s v="The workmanship is not consistent across the unit. "/>
        <s v="Not in all cases and combined studio with 3rd &amp; 5th semester students with different levels of maturity vis-a-vis architectural design studios may have been an issue for this particular learning objective"/>
        <s v="Yes, because the idea behind this Studio Problem is also clear, simple, and good."/>
        <s v="Hopefully, this ability, and the need to pay close attention to nature and context of site, will stay with them through their careers in architecture"/>
        <s v="CAN BE MORE DEEPER &amp; MORE QUALITY AND PROCESS DRIVEN"/>
        <s v="Still needs more improvement"/>
        <s v="Inconsistent andnot in all cases"/>
        <s v="Not in all cases but many of them were rendered beautifully, with skills developed in the Foundation Program perhaps, and very evocative of specific context"/>
        <s v="Some of them are good"/>
        <s v="It's 50-50"/>
        <s v="Due to inconsistency in standard of work among students"/>
        <s v="Working on construction sites and learning from artisans seems to have given the students in this studio greater clarity and depth of understanding"/>
        <s v="Additionally, the idea of having students make fairly large-scale and detailed models from drawings made by other students sets up an interesting dialogue between them with good and clarifying feedback."/>
        <s v="DRAWINGS MAY BE MORE SOPHISTICATED AND MODELS MAY BE MORE DEFINED . The work of this studio impressed me in a deep and holistic way. It was clean, austere, and well-executed. It had an underlying and identifiable character that was strong and unified and this come through in the work of all students."/>
        <s v="CAN BE EXPLORED MORE IN OTHER PARAMETER."/>
        <s v="60% - 40%"/>
        <s v="50% - 50%. To a great extent with respect to land-building relationships but not as much with respect to the design exercise of a Primary School. The studio seems to have lost focus and clarity in trying to produce something more superficially &quot;creative or innovative&quot; compared to what I saw at Summer Exhibition 2019."/>
        <s v="Same as above"/>
        <s v="It leaves a lot of loose ends"/>
        <s v="The workmanship needs to improve a lot. "/>
        <s v="Objectively speaking, the problem statement in terms of deciphering and making &quot;living spaces&quot; lacks clarity but it may be that we all have an instinctive feel for this on attentive reflection supported by the properties described in &quot;The Nature of Order&quot; by Christopher Alexander"/>
        <s v="Most likely. But I feel, as a graduate student of Christopher Alexander in the mid-80's while he was in process of writing &quot;The Nature of Order&quot;, that their interventions should have been more challenging in terms of building program and output"/>
        <s v="However, the models in particular, although appropriate and well-executed, tend to be relatively mystifying with respect to what actually has been done to create and transform spaces into living spaces"/>
        <s v="As in Q 6"/>
        <s v="Only because I have reservations in terms of content. I find the work of this studio to be underwhelming in that regard."/>
        <s v="My only concern with this pedagogy lies in its tendency to influence and inhibit individual abilities and directions of students. Intense, and undoubtedly creative, methods of study and analysis of works of well-known architects may be more appropriate in supporting Theory &amp; Criticism courses."/>
        <s v="I think it tends towards narrowing global exploration by limiting it towards a student's understanding of the language and style of a specified and well-known architect."/>
        <s v="Excellent presentation by all students"/>
        <s v="Same as Q6"/>
        <s v="Outstanding"/>
        <s v="I thought it was very clever to engage with adaptive re-use of existing buildings to convey the idea that the process of design continues through design development into constructing and specifying as well"/>
        <s v="However, at the same time, it seems to have paid less attention to the issues of adjacency and contiguity in one entity"/>
        <s v="Certainly, in terms of constructing and specifying as a process of design but it seems to have overlooked the ability to be in harmony with immediate context"/>
        <s v="I cannot be completely sure but it's close."/>
        <s v="I thought the inversion of design methodology form material to space/ form to function was very interesting and unusual also given that this was done in conjunction with highly grounded and tangible studio exercises"/>
        <s v="I would say its been 70% successful here."/>
        <s v="The studio should take it a little further into the realm of potential purpose by visualizing and representing this at a schematic level at the least, so that material meets space meets architecture!"/>
        <s v="To the extent of 65-70% It can be said so."/>
        <s v="I would rate it as 70%."/>
        <s v="Same as in Question 4 remarks"/>
        <s v="The learning objectives of this studio, grounded as they are in transformation, movement and innovation in architecture are interesting and challenging with endless applications and possibilities over the years of this studio."/>
        <s v="I would say about 60% - 70%"/>
        <s v="Yes, from point of view of ideas that students wanted to explore, but not fully with respect to execution of these ideas."/>
        <s v="Same as Q5"/>
        <s v="Rigorous and meticulous but with understandable errors and loose ends. "/>
        <s v="About 60% - 70%"/>
        <s v="Needs a little more refinement and there appears to be some difficulty in execution to scale"/>
        <s v="Once again, I'm not sure why this studio comes under &quot;Planning and Organizing&quot; and not &quot;Visualizing and communicating&quot;."/>
        <s v="I would say about 65% - 70%"/>
        <s v="Interesting in terms of processes but the architectural representation was perhaps 50-50%."/>
        <s v="It was in case of say 60%."/>
        <s v="65% - 70% yes"/>
        <s v="Almost 80% - 85% yes"/>
        <s v="Possibly in planning or visualising but not so much in organizing the result of these processes and communicating the same."/>
        <s v="Good idea and well stated"/>
        <s v="I am not sure why it is under Planning and Organizing and not under Visualizing and Communicating."/>
        <s v="Very much so. However, it may have been too broad in that students may not have had enough time to study and understand the architecture of Mandu and apply this to their specific studio problem."/>
        <s v="Students' work did not show an understanding of the importance of the historic, architectural context in which the project site was located"/>
        <s v="t was difficult to see or feel the &quot;Experience of Mandu&quot; in the work of the students. The learning objectives may have been too ambitious at this level or the students did not work hard enough to understand this."/>
        <s v="NOT GREAT."/>
        <s v="It was difficult to understand the process by which the students arrived at their final solutions. "/>
        <s v="NEEDS IMPROVEMENT,"/>
        <n v="0.7"/>
        <s v="Learning outcomes did not match learning objectives."/>
        <s v="Perhaps this studio problem helps to clarify distinction between planning &amp; organizing and visualizing and communicating."/>
        <s v="Students' work in this studio exhibits quite a bit of enthusiasm for what they were working on and they seem to have enjoyed what they were doing."/>
        <s v="70% yes."/>
        <s v="It needs to improve a lot."/>
        <s v="I would say about 65% - 75%  yes"/>
        <s v="To an extent of 60% yes"/>
        <s v="almost 80% yes"/>
        <s v="Apart from the interesting studio problem itself, this studio also fits in very well with the heartfelt and serious climate change concerns of younger generations."/>
        <s v="Course introduction is interestingly described in narrative form"/>
        <s v="The studio appears to have lost its way, and lost its battle, by spending a disproportionate amount of time going &quot;deep into enemy territory&quot; and less on &quot;proposing housing design alternatives&quot;"/>
        <s v="I think they tried to do this."/>
        <s v="I would say about 50% yes"/>
        <s v="I was surprised that some of the floor plans and unit plans, at 7th, 8th &amp; 9th semester levels, did not indicate a thorough knowledge of anthropometric dimensions and requirements."/>
        <s v="bout 60% yes"/>
        <s v="Presentation lacks in terms of clarity, without verbal explanation; difficult to understand the intent and outcome of the project. Student work does not show that they have been able to wrap their heads around concepts in this studio. only about 40%."/>
        <s v="There appears to have been a fair amount of learning and exploration in this studio but not enough work to show for this. Translation into an architectural process and out come is lost."/>
        <s v="Some of the work appeared to indicate some confusion and a lack of clarity. There appeared to be an overall lack of enthusiasm and vitality as well. However, we did not have enough time to go through their presentations and portfolios diligently and to give the benefit of doubt, I may have misjudged some of these factors."/>
        <s v="Yes, but it needed more time for review. This was clearly a different kind of studio with content that was not easily accessible."/>
        <s v="The depth and intensity in terms of engagement from students end is nowhere closer to what perhaps is appropriate and expected at L3."/>
        <s v="at level of L4 WE NEED MORE DEEPER EXPLORATION IN TERMS OF PROBLEM"/>
        <s v="The relevant research and data collection is satisfactory, but the ultimate intent of the project seemed lost in some cases."/>
        <s v="No, because most of the work of this studio indicates that very few students have engaged with any of the issues such as importance of context, or programmatic linkage between what is existing and proposed intervention towards renewal, or response to the river, and so on as described in Learning Outcomes."/>
        <s v="The quality of drawings has scope of improvement, in depth knowledge of the same is not expressed as expected. Some of the drawings and models were reasonably good"/>
        <s v="Neither the process nor the resolution could be seen. The final outcome of architectural expression was way below average, both in terms of design and presentation or rather lack of it. ABIN: I COMPLETELY AGREE ."/>
        <s v="Upyo 50%"/>
        <s v="This is probably the core strength of this studio"/>
        <s v="Probably 40-50%. ABIN: EXPLORATION OF SPACE NEEDS TO BE MORE PROFOUND. ALSO IN TERMS OF WELLNESS, EXHIBITION AND PROGRAMME."/>
        <s v="Some of the work indicates a struggle with lack of clarity and/ or direction."/>
        <s v="Some of the drawings and sketches were good and communicated well. Models were not made that well.."/>
        <s v="It does have loose ends"/>
        <s v="Upto 70% yes"/>
        <s v="Meticulous yes, rigorous it could become more."/>
        <s v="some them are quite good"/>
        <s v="Some of the work is not so complete"/>
        <s v="Some projects are not as good as some of the others. Perhaps this studio, with its dependence on model-making, was more affected by the Covid-19 lockdown."/>
        <s v="Studio has done wonderful job . quality of each student work is amazing ."/>
        <s v="Case studies and Project 1 were not completely relevant."/>
        <s v="Not all."/>
        <s v="this vey fantastic studio , much deeper understanding , Interesting part of that choice of site ."/>
        <s v="Too large"/>
        <s v="Too broad"/>
        <s v="Very few"/>
        <s v="Same as !4"/>
        <s v="Som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Trivedi" refreshedDate="46081.713988773146" createdVersion="8" refreshedVersion="8" minRefreshableVersion="3" recordCount="2072" xr:uid="{93AC7F4F-9A78-CC44-BAF8-8B4024725B02}">
  <cacheSource type="worksheet">
    <worksheetSource ref="A5:N2165" sheet="Normalized Score"/>
  </cacheSource>
  <cacheFields count="14">
    <cacheField name="0" numFmtId="0">
      <sharedItems/>
    </cacheField>
    <cacheField name="Semester" numFmtId="0">
      <sharedItems count="5">
        <s v="M18"/>
        <s v="S19"/>
        <s v="M19"/>
        <s v="S20"/>
        <s v="M20"/>
      </sharedItems>
    </cacheField>
    <cacheField name="Studio_Code" numFmtId="0">
      <sharedItems containsBlank="1" count="51">
        <s v="AR2001"/>
        <s v="AR2004"/>
        <s v="AR2005"/>
        <s v="AR2010"/>
        <s v="AR2011"/>
        <s v="AR2012"/>
        <s v="AR2013"/>
        <s v="AR2014"/>
        <s v="AR2015"/>
        <s v="AR2016"/>
        <s v="AR2017"/>
        <s v="AR3001"/>
        <s v="AR3002"/>
        <s v="AR3003"/>
        <s v="AR3004"/>
        <s v="AR3005"/>
        <s v="AR2007"/>
        <s v="AR2018"/>
        <s v="AR2019"/>
        <s v="AR2020"/>
        <s v="AR3006"/>
        <s v="AR3012"/>
        <s v="AR3013"/>
        <s v="AR3014"/>
        <s v="AR2006"/>
        <s v="AR2021"/>
        <s v="AR2022"/>
        <s v="AR2023"/>
        <s v="AR2024"/>
        <s v="AR3011"/>
        <s v="AR3015"/>
        <s v="AR3016"/>
        <s v="AR2009"/>
        <s v="AR2025"/>
        <s v="AR2026"/>
        <s v="AR3017"/>
        <s v="AR3018"/>
        <s v="AR3019"/>
        <s v="AR3021"/>
        <s v="AR2027"/>
        <s v="AR2028"/>
        <s v="AR2029"/>
        <s v="AR2030"/>
        <s v="A3004"/>
        <s v="AR3022"/>
        <s v="AR3023"/>
        <s v="AR3024"/>
        <s v="AR3025"/>
        <s v="AR3026"/>
        <s v="AR3027"/>
        <m u="1"/>
      </sharedItems>
    </cacheField>
    <cacheField name="Level" numFmtId="0">
      <sharedItems/>
    </cacheField>
    <cacheField name="Studio_Focus_Area" numFmtId="0">
      <sharedItems containsBlank="1"/>
    </cacheField>
    <cacheField name="Studio_Title" numFmtId="0">
      <sharedItems/>
    </cacheField>
    <cacheField name="Question_No" numFmtId="0">
      <sharedItems containsSemiMixedTypes="0" containsString="0" containsNumber="1" containsInteger="1" minValue="1" maxValue="12"/>
    </cacheField>
    <cacheField name="Panel_ID" numFmtId="0">
      <sharedItems count="2">
        <s v="P1"/>
        <s v="P2"/>
      </sharedItems>
    </cacheField>
    <cacheField name="Construct_ID" numFmtId="0">
      <sharedItems count="11">
        <s v="C1"/>
        <s v="C2"/>
        <s v="C3"/>
        <s v="C4"/>
        <s v="C6"/>
        <s v="C7"/>
        <s v="C8"/>
        <s v="C9"/>
        <s v="C10"/>
        <s v="C11"/>
        <s v="C5"/>
      </sharedItems>
    </cacheField>
    <cacheField name="Raw_Rating_Text" numFmtId="0">
      <sharedItems containsString="0" containsBlank="1" containsNumber="1" containsInteger="1" minValue="-1" maxValue="1"/>
    </cacheField>
    <cacheField name="Weight" numFmtId="9">
      <sharedItems containsSemiMixedTypes="0" containsString="0" containsNumber="1" minValue="0.05" maxValue="0.15"/>
    </cacheField>
    <cacheField name="Confidence" numFmtId="43">
      <sharedItems containsSemiMixedTypes="0" containsString="0" containsNumber="1" minValue="0.8" maxValue="1"/>
    </cacheField>
    <cacheField name="Final_Score" numFmtId="43">
      <sharedItems containsSemiMixedTypes="0" containsString="0" containsNumber="1" minValue="-0.15" maxValue="0.15"/>
    </cacheField>
    <cacheField name="Notes" numFmtId="0">
      <sharedItems containsBlank="1" containsMixedTypes="1" containsNumber="1" minValue="0.7" maxValue="0.7"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2">
  <r>
    <s v="2018-19"/>
    <x v="0"/>
    <x v="0"/>
    <s v="L2"/>
    <s v="Visualization and Communication"/>
    <s v="The Purpose of Architecture: Exploring Design Interventions and Strategies"/>
    <n v="1"/>
    <x v="0"/>
    <x v="0"/>
    <n v="1"/>
    <n v="0.12"/>
    <n v="1"/>
    <n v="1"/>
    <m/>
  </r>
  <r>
    <s v="2018-19"/>
    <x v="0"/>
    <x v="0"/>
    <s v="L2"/>
    <s v="Visualization and Communication"/>
    <s v="The Purpose of Architecture: Exploring Design Interventions and Strategies"/>
    <n v="1"/>
    <x v="1"/>
    <x v="0"/>
    <n v="1"/>
    <n v="0.12"/>
    <n v="1"/>
    <n v="1"/>
    <m/>
  </r>
  <r>
    <s v="2018-19"/>
    <x v="0"/>
    <x v="0"/>
    <s v="L2"/>
    <s v="Visualization and Communication"/>
    <s v="The Purpose of Architecture: Exploring Design Interventions and Strategies"/>
    <n v="2"/>
    <x v="0"/>
    <x v="1"/>
    <n v="1"/>
    <n v="0.08"/>
    <n v="0.8"/>
    <n v="1"/>
    <m/>
  </r>
  <r>
    <s v="2018-19"/>
    <x v="0"/>
    <x v="0"/>
    <s v="L2"/>
    <s v="Visualization and Communication"/>
    <s v="The Purpose of Architecture: Exploring Design Interventions and Strategies"/>
    <n v="2"/>
    <x v="1"/>
    <x v="1"/>
    <n v="1"/>
    <n v="0.08"/>
    <n v="0.8"/>
    <n v="1"/>
    <m/>
  </r>
  <r>
    <s v="2018-19"/>
    <x v="0"/>
    <x v="0"/>
    <s v="L2"/>
    <s v="Visualization and Communication"/>
    <s v="The Purpose of Architecture: Exploring Design Interventions and Strategies"/>
    <n v="3"/>
    <x v="0"/>
    <x v="2"/>
    <n v="1"/>
    <n v="0.05"/>
    <n v="1"/>
    <n v="1"/>
    <m/>
  </r>
  <r>
    <s v="2018-19"/>
    <x v="0"/>
    <x v="0"/>
    <s v="L2"/>
    <s v="Visualization and Communication"/>
    <s v="The Purpose of Architecture: Exploring Design Interventions and Strategies"/>
    <n v="3"/>
    <x v="1"/>
    <x v="2"/>
    <n v="1"/>
    <n v="0.05"/>
    <n v="1"/>
    <n v="1"/>
    <m/>
  </r>
  <r>
    <s v="2018-19"/>
    <x v="0"/>
    <x v="0"/>
    <s v="L2"/>
    <s v="Visualization and Communication"/>
    <s v="The Purpose of Architecture: Exploring Design Interventions and Strategies"/>
    <n v="4"/>
    <x v="0"/>
    <x v="3"/>
    <n v="0"/>
    <n v="0.14000000000000001"/>
    <n v="1"/>
    <n v="0"/>
    <m/>
  </r>
  <r>
    <s v="2018-19"/>
    <x v="0"/>
    <x v="0"/>
    <s v="L2"/>
    <s v="Visualization and Communication"/>
    <s v="The Purpose of Architecture: Exploring Design Interventions and Strategies"/>
    <n v="4"/>
    <x v="1"/>
    <x v="3"/>
    <n v="1"/>
    <n v="0.14000000000000001"/>
    <n v="1"/>
    <n v="1"/>
    <m/>
  </r>
  <r>
    <s v="2018-19"/>
    <x v="0"/>
    <x v="0"/>
    <s v="L2"/>
    <s v="Visualization and Communication"/>
    <s v="The Purpose of Architecture: Exploring Design Interventions and Strategies"/>
    <n v="5"/>
    <x v="0"/>
    <x v="4"/>
    <n v="1"/>
    <n v="0.11"/>
    <n v="1"/>
    <n v="1"/>
    <m/>
  </r>
  <r>
    <s v="2018-19"/>
    <x v="0"/>
    <x v="0"/>
    <s v="L2"/>
    <s v="Visualization and Communication"/>
    <s v="The Purpose of Architecture: Exploring Design Interventions and Strategies"/>
    <n v="5"/>
    <x v="1"/>
    <x v="4"/>
    <n v="1"/>
    <n v="0.11"/>
    <n v="1"/>
    <n v="1"/>
    <m/>
  </r>
  <r>
    <s v="2018-19"/>
    <x v="0"/>
    <x v="0"/>
    <s v="L2"/>
    <s v="Visualization and Communication"/>
    <s v="The Purpose of Architecture: Exploring Design Interventions and Strategies"/>
    <n v="6"/>
    <x v="0"/>
    <x v="5"/>
    <n v="1"/>
    <n v="0.15"/>
    <n v="1"/>
    <n v="1"/>
    <m/>
  </r>
  <r>
    <s v="2018-19"/>
    <x v="0"/>
    <x v="0"/>
    <s v="L2"/>
    <s v="Visualization and Communication"/>
    <s v="The Purpose of Architecture: Exploring Design Interventions and Strategies"/>
    <n v="6"/>
    <x v="1"/>
    <x v="5"/>
    <n v="1"/>
    <n v="0.15"/>
    <n v="1"/>
    <n v="1"/>
    <m/>
  </r>
  <r>
    <s v="2018-19"/>
    <x v="0"/>
    <x v="0"/>
    <s v="L2"/>
    <s v="Visualization and Communication"/>
    <s v="The Purpose of Architecture: Exploring Design Interventions and Strategies"/>
    <n v="7"/>
    <x v="0"/>
    <x v="6"/>
    <n v="1"/>
    <n v="0.1"/>
    <n v="1"/>
    <n v="1"/>
    <m/>
  </r>
  <r>
    <s v="2018-19"/>
    <x v="0"/>
    <x v="0"/>
    <s v="L2"/>
    <s v="Visualization and Communication"/>
    <s v="The Purpose of Architecture: Exploring Design Interventions and Strategies"/>
    <n v="7"/>
    <x v="1"/>
    <x v="6"/>
    <n v="1"/>
    <n v="0.1"/>
    <n v="1"/>
    <n v="1"/>
    <m/>
  </r>
  <r>
    <s v="2018-19"/>
    <x v="0"/>
    <x v="0"/>
    <s v="L2"/>
    <s v="Visualization and Communication"/>
    <s v="The Purpose of Architecture: Exploring Design Interventions and Strategies"/>
    <n v="8"/>
    <x v="0"/>
    <x v="7"/>
    <n v="1"/>
    <n v="0.1"/>
    <n v="1"/>
    <n v="1"/>
    <m/>
  </r>
  <r>
    <s v="2018-19"/>
    <x v="0"/>
    <x v="0"/>
    <s v="L2"/>
    <s v="Visualization and Communication"/>
    <s v="The Purpose of Architecture: Exploring Design Interventions and Strategies"/>
    <n v="8"/>
    <x v="1"/>
    <x v="7"/>
    <n v="1"/>
    <n v="0.1"/>
    <n v="1"/>
    <n v="1"/>
    <m/>
  </r>
  <r>
    <s v="2018-19"/>
    <x v="0"/>
    <x v="0"/>
    <s v="L2"/>
    <s v="Visualization and Communication"/>
    <s v="The Purpose of Architecture: Exploring Design Interventions and Strategies"/>
    <n v="9"/>
    <x v="0"/>
    <x v="8"/>
    <n v="1"/>
    <n v="0.05"/>
    <n v="0.85"/>
    <n v="1"/>
    <m/>
  </r>
  <r>
    <s v="2018-19"/>
    <x v="0"/>
    <x v="0"/>
    <s v="L2"/>
    <s v="Visualization and Communication"/>
    <s v="The Purpose of Architecture: Exploring Design Interventions and Strategies"/>
    <n v="9"/>
    <x v="1"/>
    <x v="8"/>
    <n v="1"/>
    <n v="0.05"/>
    <n v="0.85"/>
    <n v="1"/>
    <m/>
  </r>
  <r>
    <s v="2018-19"/>
    <x v="0"/>
    <x v="0"/>
    <s v="L2"/>
    <s v="Visualization and Communication"/>
    <s v="The Purpose of Architecture: Exploring Design Interventions and Strategies"/>
    <n v="10"/>
    <x v="0"/>
    <x v="8"/>
    <n v="0"/>
    <n v="0.05"/>
    <n v="0.85"/>
    <n v="0"/>
    <m/>
  </r>
  <r>
    <s v="2018-19"/>
    <x v="0"/>
    <x v="0"/>
    <s v="L2"/>
    <s v="Visualization and Communication"/>
    <s v="The Purpose of Architecture: Exploring Design Interventions and Strategies"/>
    <n v="10"/>
    <x v="1"/>
    <x v="8"/>
    <n v="1"/>
    <n v="0.05"/>
    <n v="0.85"/>
    <n v="1"/>
    <m/>
  </r>
  <r>
    <s v="2018-19"/>
    <x v="0"/>
    <x v="0"/>
    <s v="L2"/>
    <s v="Visualization and Communication"/>
    <s v="The Purpose of Architecture: Exploring Design Interventions and Strategies"/>
    <n v="11"/>
    <x v="0"/>
    <x v="9"/>
    <n v="1"/>
    <n v="0.05"/>
    <n v="1"/>
    <n v="1"/>
    <m/>
  </r>
  <r>
    <s v="2018-19"/>
    <x v="0"/>
    <x v="0"/>
    <s v="L2"/>
    <s v="Visualization and Communication"/>
    <s v="The Purpose of Architecture: Exploring Design Interventions and Strategies"/>
    <n v="11"/>
    <x v="1"/>
    <x v="9"/>
    <n v="0"/>
    <n v="0.05"/>
    <n v="1"/>
    <n v="0"/>
    <m/>
  </r>
  <r>
    <s v="2018-19"/>
    <x v="0"/>
    <x v="1"/>
    <s v="L2"/>
    <s v="Constructing and Specifying"/>
    <s v="Strange Details"/>
    <n v="1"/>
    <x v="0"/>
    <x v="0"/>
    <n v="1"/>
    <n v="0.12"/>
    <n v="1"/>
    <n v="1"/>
    <m/>
  </r>
  <r>
    <s v="2018-19"/>
    <x v="0"/>
    <x v="1"/>
    <s v="L2"/>
    <s v="Constructing and Specifying"/>
    <s v="Strange Details"/>
    <n v="1"/>
    <x v="1"/>
    <x v="0"/>
    <n v="1"/>
    <n v="0.12"/>
    <n v="1"/>
    <n v="1"/>
    <m/>
  </r>
  <r>
    <s v="2018-19"/>
    <x v="0"/>
    <x v="1"/>
    <s v="L2"/>
    <s v="Constructing and Specifying"/>
    <s v="Strange Details"/>
    <n v="2"/>
    <x v="0"/>
    <x v="1"/>
    <n v="1"/>
    <n v="0.08"/>
    <n v="0.8"/>
    <n v="1"/>
    <m/>
  </r>
  <r>
    <s v="2018-19"/>
    <x v="0"/>
    <x v="1"/>
    <s v="L2"/>
    <s v="Constructing and Specifying"/>
    <s v="Strange Details"/>
    <n v="2"/>
    <x v="1"/>
    <x v="1"/>
    <n v="1"/>
    <n v="0.08"/>
    <n v="0.8"/>
    <n v="1"/>
    <m/>
  </r>
  <r>
    <s v="2018-19"/>
    <x v="0"/>
    <x v="1"/>
    <s v="L2"/>
    <s v="Constructing and Specifying"/>
    <s v="Strange Details"/>
    <n v="3"/>
    <x v="0"/>
    <x v="2"/>
    <n v="1"/>
    <n v="0.05"/>
    <n v="1"/>
    <n v="1"/>
    <m/>
  </r>
  <r>
    <s v="2018-19"/>
    <x v="0"/>
    <x v="1"/>
    <s v="L2"/>
    <s v="Constructing and Specifying"/>
    <s v="Strange Details"/>
    <n v="3"/>
    <x v="1"/>
    <x v="2"/>
    <n v="1"/>
    <n v="0.05"/>
    <n v="1"/>
    <n v="1"/>
    <m/>
  </r>
  <r>
    <s v="2018-19"/>
    <x v="0"/>
    <x v="1"/>
    <s v="L2"/>
    <s v="Constructing and Specifying"/>
    <s v="Strange Details"/>
    <n v="4"/>
    <x v="0"/>
    <x v="3"/>
    <n v="0"/>
    <n v="0.14000000000000001"/>
    <n v="1"/>
    <n v="0"/>
    <m/>
  </r>
  <r>
    <s v="2018-19"/>
    <x v="0"/>
    <x v="1"/>
    <s v="L2"/>
    <s v="Constructing and Specifying"/>
    <s v="Strange Details"/>
    <n v="4"/>
    <x v="1"/>
    <x v="3"/>
    <n v="1"/>
    <n v="0.14000000000000001"/>
    <n v="1"/>
    <n v="1"/>
    <m/>
  </r>
  <r>
    <s v="2018-19"/>
    <x v="0"/>
    <x v="1"/>
    <s v="L2"/>
    <s v="Constructing and Specifying"/>
    <s v="Strange Details"/>
    <n v="5"/>
    <x v="0"/>
    <x v="4"/>
    <n v="0"/>
    <n v="0.11"/>
    <n v="1"/>
    <n v="0"/>
    <m/>
  </r>
  <r>
    <s v="2018-19"/>
    <x v="0"/>
    <x v="1"/>
    <s v="L2"/>
    <s v="Constructing and Specifying"/>
    <s v="Strange Details"/>
    <n v="5"/>
    <x v="1"/>
    <x v="4"/>
    <n v="1"/>
    <n v="0.11"/>
    <n v="1"/>
    <n v="1"/>
    <m/>
  </r>
  <r>
    <s v="2018-19"/>
    <x v="0"/>
    <x v="1"/>
    <s v="L2"/>
    <s v="Constructing and Specifying"/>
    <s v="Strange Details"/>
    <n v="6"/>
    <x v="0"/>
    <x v="5"/>
    <n v="0"/>
    <n v="0.15"/>
    <n v="1"/>
    <n v="0"/>
    <m/>
  </r>
  <r>
    <s v="2018-19"/>
    <x v="0"/>
    <x v="1"/>
    <s v="L2"/>
    <s v="Constructing and Specifying"/>
    <s v="Strange Details"/>
    <n v="6"/>
    <x v="1"/>
    <x v="5"/>
    <n v="1"/>
    <n v="0.15"/>
    <n v="1"/>
    <n v="1"/>
    <m/>
  </r>
  <r>
    <s v="2018-19"/>
    <x v="0"/>
    <x v="1"/>
    <s v="L2"/>
    <s v="Constructing and Specifying"/>
    <s v="Strange Details"/>
    <n v="7"/>
    <x v="0"/>
    <x v="6"/>
    <n v="0"/>
    <n v="0.1"/>
    <n v="1"/>
    <n v="0"/>
    <m/>
  </r>
  <r>
    <s v="2018-19"/>
    <x v="0"/>
    <x v="1"/>
    <s v="L2"/>
    <s v="Constructing and Specifying"/>
    <s v="Strange Details"/>
    <n v="7"/>
    <x v="1"/>
    <x v="6"/>
    <n v="1"/>
    <n v="0.1"/>
    <n v="1"/>
    <n v="1"/>
    <m/>
  </r>
  <r>
    <s v="2018-19"/>
    <x v="0"/>
    <x v="1"/>
    <s v="L2"/>
    <s v="Constructing and Specifying"/>
    <s v="Strange Details"/>
    <n v="8"/>
    <x v="0"/>
    <x v="7"/>
    <n v="0"/>
    <n v="0.1"/>
    <n v="1"/>
    <n v="0"/>
    <m/>
  </r>
  <r>
    <s v="2018-19"/>
    <x v="0"/>
    <x v="1"/>
    <s v="L2"/>
    <s v="Constructing and Specifying"/>
    <s v="Strange Details"/>
    <n v="8"/>
    <x v="1"/>
    <x v="7"/>
    <n v="1"/>
    <n v="0.1"/>
    <n v="1"/>
    <n v="1"/>
    <m/>
  </r>
  <r>
    <s v="2018-19"/>
    <x v="0"/>
    <x v="1"/>
    <s v="L2"/>
    <s v="Constructing and Specifying"/>
    <s v="Strange Details"/>
    <n v="9"/>
    <x v="0"/>
    <x v="8"/>
    <n v="0"/>
    <n v="0.05"/>
    <n v="0.85"/>
    <n v="0"/>
    <m/>
  </r>
  <r>
    <s v="2018-19"/>
    <x v="0"/>
    <x v="1"/>
    <s v="L2"/>
    <s v="Constructing and Specifying"/>
    <s v="Strange Details"/>
    <n v="9"/>
    <x v="1"/>
    <x v="8"/>
    <n v="1"/>
    <n v="0.05"/>
    <n v="0.85"/>
    <n v="1"/>
    <m/>
  </r>
  <r>
    <s v="2018-19"/>
    <x v="0"/>
    <x v="1"/>
    <s v="L2"/>
    <s v="Constructing and Specifying"/>
    <s v="Strange Details"/>
    <n v="10"/>
    <x v="0"/>
    <x v="8"/>
    <n v="0"/>
    <n v="0.05"/>
    <n v="0.85"/>
    <n v="0"/>
    <m/>
  </r>
  <r>
    <s v="2018-19"/>
    <x v="0"/>
    <x v="1"/>
    <s v="L2"/>
    <s v="Constructing and Specifying"/>
    <s v="Strange Details"/>
    <n v="10"/>
    <x v="1"/>
    <x v="8"/>
    <n v="1"/>
    <n v="0.05"/>
    <n v="0.85"/>
    <n v="1"/>
    <m/>
  </r>
  <r>
    <s v="2018-19"/>
    <x v="0"/>
    <x v="1"/>
    <s v="L2"/>
    <s v="Constructing and Specifying"/>
    <s v="Strange Details"/>
    <n v="11"/>
    <x v="0"/>
    <x v="9"/>
    <n v="0"/>
    <n v="0.05"/>
    <n v="1"/>
    <n v="0"/>
    <m/>
  </r>
  <r>
    <s v="2018-19"/>
    <x v="0"/>
    <x v="1"/>
    <s v="L2"/>
    <s v="Constructing and Specifying"/>
    <s v="Strange Details"/>
    <n v="11"/>
    <x v="1"/>
    <x v="9"/>
    <n v="0"/>
    <n v="0.05"/>
    <n v="1"/>
    <n v="0"/>
    <m/>
  </r>
  <r>
    <s v="2018-19"/>
    <x v="0"/>
    <x v="2"/>
    <s v="L2"/>
    <s v="Spatial Planning and Organization"/>
    <s v="Of Immediate and Afar"/>
    <n v="1"/>
    <x v="0"/>
    <x v="0"/>
    <n v="1"/>
    <n v="0.12"/>
    <n v="1"/>
    <n v="1"/>
    <m/>
  </r>
  <r>
    <s v="2018-19"/>
    <x v="0"/>
    <x v="2"/>
    <s v="L2"/>
    <s v="Spatial Planning and Organization"/>
    <s v="Of Immediate and Afar"/>
    <n v="1"/>
    <x v="1"/>
    <x v="0"/>
    <n v="1"/>
    <n v="0.12"/>
    <n v="1"/>
    <n v="1"/>
    <m/>
  </r>
  <r>
    <s v="2018-19"/>
    <x v="0"/>
    <x v="2"/>
    <s v="L2"/>
    <s v="Spatial Planning and Organization"/>
    <s v="Of Immediate and Afar"/>
    <n v="2"/>
    <x v="0"/>
    <x v="1"/>
    <n v="1"/>
    <n v="0.08"/>
    <n v="0.8"/>
    <n v="1"/>
    <m/>
  </r>
  <r>
    <s v="2018-19"/>
    <x v="0"/>
    <x v="2"/>
    <s v="L2"/>
    <s v="Spatial Planning and Organization"/>
    <s v="Of Immediate and Afar"/>
    <n v="2"/>
    <x v="1"/>
    <x v="1"/>
    <n v="1"/>
    <n v="0.08"/>
    <n v="0.8"/>
    <n v="1"/>
    <m/>
  </r>
  <r>
    <s v="2018-19"/>
    <x v="0"/>
    <x v="2"/>
    <s v="L2"/>
    <s v="Spatial Planning and Organization"/>
    <s v="Of Immediate and Afar"/>
    <n v="3"/>
    <x v="0"/>
    <x v="2"/>
    <n v="0"/>
    <n v="0.05"/>
    <n v="1"/>
    <n v="0"/>
    <m/>
  </r>
  <r>
    <s v="2018-19"/>
    <x v="0"/>
    <x v="2"/>
    <s v="L2"/>
    <s v="Spatial Planning and Organization"/>
    <s v="Of Immediate and Afar"/>
    <n v="3"/>
    <x v="1"/>
    <x v="2"/>
    <n v="1"/>
    <n v="0.05"/>
    <n v="1"/>
    <n v="1"/>
    <m/>
  </r>
  <r>
    <s v="2018-19"/>
    <x v="0"/>
    <x v="2"/>
    <s v="L2"/>
    <s v="Spatial Planning and Organization"/>
    <s v="Of Immediate and Afar"/>
    <n v="4"/>
    <x v="0"/>
    <x v="3"/>
    <n v="0"/>
    <n v="0.14000000000000001"/>
    <n v="1"/>
    <n v="0"/>
    <m/>
  </r>
  <r>
    <s v="2018-19"/>
    <x v="0"/>
    <x v="2"/>
    <s v="L2"/>
    <s v="Spatial Planning and Organization"/>
    <s v="Of Immediate and Afar"/>
    <n v="4"/>
    <x v="1"/>
    <x v="3"/>
    <n v="1"/>
    <n v="0.14000000000000001"/>
    <n v="1"/>
    <n v="1"/>
    <m/>
  </r>
  <r>
    <s v="2018-19"/>
    <x v="0"/>
    <x v="2"/>
    <s v="L2"/>
    <s v="Spatial Planning and Organization"/>
    <s v="Of Immediate and Afar"/>
    <n v="5"/>
    <x v="0"/>
    <x v="4"/>
    <n v="1"/>
    <n v="0.11"/>
    <n v="1"/>
    <n v="1"/>
    <m/>
  </r>
  <r>
    <s v="2018-19"/>
    <x v="0"/>
    <x v="2"/>
    <s v="L2"/>
    <s v="Spatial Planning and Organization"/>
    <s v="Of Immediate and Afar"/>
    <n v="5"/>
    <x v="1"/>
    <x v="4"/>
    <n v="1"/>
    <n v="0.11"/>
    <n v="1"/>
    <n v="1"/>
    <m/>
  </r>
  <r>
    <s v="2018-19"/>
    <x v="0"/>
    <x v="2"/>
    <s v="L2"/>
    <s v="Spatial Planning and Organization"/>
    <s v="Of Immediate and Afar"/>
    <n v="6"/>
    <x v="0"/>
    <x v="5"/>
    <n v="1"/>
    <n v="0.15"/>
    <n v="1"/>
    <n v="1"/>
    <m/>
  </r>
  <r>
    <s v="2018-19"/>
    <x v="0"/>
    <x v="2"/>
    <s v="L2"/>
    <s v="Spatial Planning and Organization"/>
    <s v="Of Immediate and Afar"/>
    <n v="6"/>
    <x v="1"/>
    <x v="5"/>
    <n v="1"/>
    <n v="0.15"/>
    <n v="1"/>
    <n v="1"/>
    <m/>
  </r>
  <r>
    <s v="2018-19"/>
    <x v="0"/>
    <x v="2"/>
    <s v="L2"/>
    <s v="Spatial Planning and Organization"/>
    <s v="Of Immediate and Afar"/>
    <n v="7"/>
    <x v="0"/>
    <x v="6"/>
    <n v="0"/>
    <n v="0.1"/>
    <n v="1"/>
    <n v="0"/>
    <m/>
  </r>
  <r>
    <s v="2018-19"/>
    <x v="0"/>
    <x v="2"/>
    <s v="L2"/>
    <s v="Spatial Planning and Organization"/>
    <s v="Of Immediate and Afar"/>
    <n v="7"/>
    <x v="1"/>
    <x v="6"/>
    <n v="0"/>
    <n v="0.1"/>
    <n v="1"/>
    <n v="0"/>
    <m/>
  </r>
  <r>
    <s v="2018-19"/>
    <x v="0"/>
    <x v="2"/>
    <s v="L2"/>
    <s v="Spatial Planning and Organization"/>
    <s v="Of Immediate and Afar"/>
    <n v="8"/>
    <x v="0"/>
    <x v="7"/>
    <n v="1"/>
    <n v="0.1"/>
    <n v="1"/>
    <n v="1"/>
    <m/>
  </r>
  <r>
    <s v="2018-19"/>
    <x v="0"/>
    <x v="2"/>
    <s v="L2"/>
    <s v="Spatial Planning and Organization"/>
    <s v="Of Immediate and Afar"/>
    <n v="8"/>
    <x v="1"/>
    <x v="7"/>
    <n v="1"/>
    <n v="0.1"/>
    <n v="1"/>
    <n v="1"/>
    <m/>
  </r>
  <r>
    <s v="2018-19"/>
    <x v="0"/>
    <x v="2"/>
    <s v="L2"/>
    <s v="Spatial Planning and Organization"/>
    <s v="Of Immediate and Afar"/>
    <n v="9"/>
    <x v="0"/>
    <x v="8"/>
    <n v="1"/>
    <n v="0.05"/>
    <n v="0.85"/>
    <n v="1"/>
    <m/>
  </r>
  <r>
    <s v="2018-19"/>
    <x v="0"/>
    <x v="2"/>
    <s v="L2"/>
    <s v="Spatial Planning and Organization"/>
    <s v="Of Immediate and Afar"/>
    <n v="9"/>
    <x v="1"/>
    <x v="8"/>
    <n v="1"/>
    <n v="0.05"/>
    <n v="0.85"/>
    <n v="1"/>
    <m/>
  </r>
  <r>
    <s v="2018-19"/>
    <x v="0"/>
    <x v="2"/>
    <s v="L2"/>
    <s v="Spatial Planning and Organization"/>
    <s v="Of Immediate and Afar"/>
    <n v="10"/>
    <x v="0"/>
    <x v="8"/>
    <n v="1"/>
    <n v="0.05"/>
    <n v="0.85"/>
    <n v="1"/>
    <m/>
  </r>
  <r>
    <s v="2018-19"/>
    <x v="0"/>
    <x v="2"/>
    <s v="L2"/>
    <s v="Spatial Planning and Organization"/>
    <s v="Of Immediate and Afar"/>
    <n v="10"/>
    <x v="1"/>
    <x v="8"/>
    <n v="1"/>
    <n v="0.05"/>
    <n v="0.85"/>
    <n v="1"/>
    <m/>
  </r>
  <r>
    <s v="2018-19"/>
    <x v="0"/>
    <x v="2"/>
    <s v="L2"/>
    <s v="Spatial Planning and Organization"/>
    <s v="Of Immediate and Afar"/>
    <n v="11"/>
    <x v="0"/>
    <x v="9"/>
    <n v="1"/>
    <n v="0.05"/>
    <n v="1"/>
    <n v="1"/>
    <m/>
  </r>
  <r>
    <s v="2018-19"/>
    <x v="0"/>
    <x v="2"/>
    <s v="L2"/>
    <s v="Spatial Planning and Organization"/>
    <s v="Of Immediate and Afar"/>
    <n v="11"/>
    <x v="1"/>
    <x v="9"/>
    <n v="0"/>
    <n v="0.05"/>
    <n v="1"/>
    <n v="0"/>
    <m/>
  </r>
  <r>
    <s v="2018-19"/>
    <x v="0"/>
    <x v="3"/>
    <s v="L2"/>
    <s v="Spatial Planning and Organization"/>
    <s v="D[e] ] Master [code]"/>
    <n v="1"/>
    <x v="0"/>
    <x v="0"/>
    <n v="0"/>
    <n v="0.12"/>
    <n v="1"/>
    <n v="0"/>
    <m/>
  </r>
  <r>
    <s v="2018-19"/>
    <x v="0"/>
    <x v="3"/>
    <s v="L2"/>
    <s v="Spatial Planning and Organization"/>
    <s v="D[e] ] Master [code]"/>
    <n v="1"/>
    <x v="1"/>
    <x v="0"/>
    <n v="1"/>
    <n v="0.12"/>
    <n v="1"/>
    <n v="1"/>
    <m/>
  </r>
  <r>
    <s v="2018-19"/>
    <x v="0"/>
    <x v="3"/>
    <s v="L2"/>
    <s v="Spatial Planning and Organization"/>
    <s v="D[e] ] Master [code]"/>
    <n v="2"/>
    <x v="0"/>
    <x v="1"/>
    <n v="0"/>
    <n v="0.08"/>
    <n v="0.8"/>
    <n v="0"/>
    <m/>
  </r>
  <r>
    <s v="2018-19"/>
    <x v="0"/>
    <x v="3"/>
    <s v="L2"/>
    <s v="Spatial Planning and Organization"/>
    <s v="D[e] ] Master [code]"/>
    <n v="2"/>
    <x v="1"/>
    <x v="1"/>
    <n v="1"/>
    <n v="0.08"/>
    <n v="0.8"/>
    <n v="1"/>
    <m/>
  </r>
  <r>
    <s v="2018-19"/>
    <x v="0"/>
    <x v="3"/>
    <s v="L2"/>
    <s v="Spatial Planning and Organization"/>
    <s v="D[e] ] Master [code]"/>
    <n v="3"/>
    <x v="0"/>
    <x v="2"/>
    <n v="1"/>
    <n v="0.05"/>
    <n v="1"/>
    <n v="1"/>
    <m/>
  </r>
  <r>
    <s v="2018-19"/>
    <x v="0"/>
    <x v="3"/>
    <s v="L2"/>
    <s v="Spatial Planning and Organization"/>
    <s v="D[e] ] Master [code]"/>
    <n v="3"/>
    <x v="1"/>
    <x v="2"/>
    <n v="0"/>
    <n v="0.05"/>
    <n v="1"/>
    <n v="0"/>
    <m/>
  </r>
  <r>
    <s v="2018-19"/>
    <x v="0"/>
    <x v="3"/>
    <s v="L2"/>
    <s v="Spatial Planning and Organization"/>
    <s v="D[e] ] Master [code]"/>
    <n v="4"/>
    <x v="0"/>
    <x v="3"/>
    <n v="0"/>
    <n v="0.14000000000000001"/>
    <n v="1"/>
    <n v="0"/>
    <m/>
  </r>
  <r>
    <s v="2018-19"/>
    <x v="0"/>
    <x v="3"/>
    <s v="L2"/>
    <s v="Spatial Planning and Organization"/>
    <s v="D[e] ] Master [code]"/>
    <n v="4"/>
    <x v="1"/>
    <x v="3"/>
    <n v="0"/>
    <n v="0.14000000000000001"/>
    <n v="1"/>
    <n v="0"/>
    <m/>
  </r>
  <r>
    <s v="2018-19"/>
    <x v="0"/>
    <x v="3"/>
    <s v="L2"/>
    <s v="Spatial Planning and Organization"/>
    <s v="D[e] ] Master [code]"/>
    <n v="5"/>
    <x v="0"/>
    <x v="4"/>
    <n v="-1"/>
    <n v="0.11"/>
    <n v="1"/>
    <n v="-1"/>
    <m/>
  </r>
  <r>
    <s v="2018-19"/>
    <x v="0"/>
    <x v="3"/>
    <s v="L2"/>
    <s v="Spatial Planning and Organization"/>
    <s v="D[e] ] Master [code]"/>
    <n v="5"/>
    <x v="1"/>
    <x v="4"/>
    <n v="0"/>
    <n v="0.11"/>
    <n v="1"/>
    <n v="0"/>
    <m/>
  </r>
  <r>
    <s v="2018-19"/>
    <x v="0"/>
    <x v="3"/>
    <s v="L2"/>
    <s v="Spatial Planning and Organization"/>
    <s v="D[e] ] Master [code]"/>
    <n v="6"/>
    <x v="0"/>
    <x v="5"/>
    <n v="-1"/>
    <n v="0.15"/>
    <n v="1"/>
    <n v="-1"/>
    <m/>
  </r>
  <r>
    <s v="2018-19"/>
    <x v="0"/>
    <x v="3"/>
    <s v="L2"/>
    <s v="Spatial Planning and Organization"/>
    <s v="D[e] ] Master [code]"/>
    <n v="6"/>
    <x v="1"/>
    <x v="5"/>
    <n v="1"/>
    <n v="0.15"/>
    <n v="1"/>
    <n v="1"/>
    <m/>
  </r>
  <r>
    <s v="2018-19"/>
    <x v="0"/>
    <x v="3"/>
    <s v="L2"/>
    <s v="Spatial Planning and Organization"/>
    <s v="D[e] ] Master [code]"/>
    <n v="7"/>
    <x v="0"/>
    <x v="6"/>
    <n v="0"/>
    <n v="0.1"/>
    <n v="1"/>
    <n v="0"/>
    <m/>
  </r>
  <r>
    <s v="2018-19"/>
    <x v="0"/>
    <x v="3"/>
    <s v="L2"/>
    <s v="Spatial Planning and Organization"/>
    <s v="D[e] ] Master [code]"/>
    <n v="7"/>
    <x v="1"/>
    <x v="6"/>
    <n v="0"/>
    <n v="0.1"/>
    <n v="1"/>
    <n v="0"/>
    <m/>
  </r>
  <r>
    <s v="2018-19"/>
    <x v="0"/>
    <x v="3"/>
    <s v="L2"/>
    <s v="Spatial Planning and Organization"/>
    <s v="D[e] ] Master [code]"/>
    <n v="8"/>
    <x v="0"/>
    <x v="7"/>
    <n v="0"/>
    <n v="0.1"/>
    <n v="1"/>
    <n v="0"/>
    <m/>
  </r>
  <r>
    <s v="2018-19"/>
    <x v="0"/>
    <x v="3"/>
    <s v="L2"/>
    <s v="Spatial Planning and Organization"/>
    <s v="D[e] ] Master [code]"/>
    <n v="8"/>
    <x v="1"/>
    <x v="7"/>
    <n v="0"/>
    <n v="0.1"/>
    <n v="1"/>
    <n v="0"/>
    <m/>
  </r>
  <r>
    <s v="2018-19"/>
    <x v="0"/>
    <x v="3"/>
    <s v="L2"/>
    <s v="Spatial Planning and Organization"/>
    <s v="D[e] ] Master [code]"/>
    <n v="9"/>
    <x v="0"/>
    <x v="8"/>
    <n v="1"/>
    <n v="0.05"/>
    <n v="0.85"/>
    <n v="1"/>
    <m/>
  </r>
  <r>
    <s v="2018-19"/>
    <x v="0"/>
    <x v="3"/>
    <s v="L2"/>
    <s v="Spatial Planning and Organization"/>
    <s v="D[e] ] Master [code]"/>
    <n v="9"/>
    <x v="1"/>
    <x v="8"/>
    <n v="1"/>
    <n v="0.05"/>
    <n v="0.85"/>
    <n v="1"/>
    <m/>
  </r>
  <r>
    <s v="2018-19"/>
    <x v="0"/>
    <x v="3"/>
    <s v="L2"/>
    <s v="Spatial Planning and Organization"/>
    <s v="D[e] ] Master [code]"/>
    <n v="10"/>
    <x v="0"/>
    <x v="8"/>
    <n v="1"/>
    <n v="0.05"/>
    <n v="0.85"/>
    <n v="1"/>
    <m/>
  </r>
  <r>
    <s v="2018-19"/>
    <x v="0"/>
    <x v="3"/>
    <s v="L2"/>
    <s v="Spatial Planning and Organization"/>
    <s v="D[e] ] Master [code]"/>
    <n v="10"/>
    <x v="1"/>
    <x v="8"/>
    <n v="1"/>
    <n v="0.05"/>
    <n v="0.85"/>
    <n v="1"/>
    <m/>
  </r>
  <r>
    <s v="2018-19"/>
    <x v="0"/>
    <x v="3"/>
    <s v="L2"/>
    <s v="Spatial Planning and Organization"/>
    <s v="D[e] ] Master [code]"/>
    <n v="11"/>
    <x v="0"/>
    <x v="9"/>
    <n v="0"/>
    <n v="0.05"/>
    <n v="1"/>
    <n v="0"/>
    <m/>
  </r>
  <r>
    <s v="2018-19"/>
    <x v="0"/>
    <x v="3"/>
    <s v="L2"/>
    <s v="Spatial Planning and Organization"/>
    <s v="D[e] ] Master [code]"/>
    <n v="11"/>
    <x v="1"/>
    <x v="9"/>
    <n v="-1"/>
    <n v="0.05"/>
    <n v="1"/>
    <n v="-1"/>
    <m/>
  </r>
  <r>
    <s v="2018-19"/>
    <x v="0"/>
    <x v="4"/>
    <s v="L2"/>
    <s v="Constructing and Specifying"/>
    <s v="From Drawing Board to Construction Sites"/>
    <n v="1"/>
    <x v="0"/>
    <x v="0"/>
    <n v="1"/>
    <n v="0.12"/>
    <n v="1"/>
    <n v="1"/>
    <m/>
  </r>
  <r>
    <s v="2018-19"/>
    <x v="0"/>
    <x v="4"/>
    <s v="L2"/>
    <s v="Constructing and Specifying"/>
    <s v="From Drawing Board to Construction Sites"/>
    <n v="1"/>
    <x v="1"/>
    <x v="0"/>
    <n v="1"/>
    <n v="0.12"/>
    <n v="1"/>
    <n v="1"/>
    <m/>
  </r>
  <r>
    <s v="2018-19"/>
    <x v="0"/>
    <x v="4"/>
    <s v="L2"/>
    <s v="Constructing and Specifying"/>
    <s v="From Drawing Board to Construction Sites"/>
    <n v="2"/>
    <x v="0"/>
    <x v="1"/>
    <n v="1"/>
    <n v="0.08"/>
    <n v="0.8"/>
    <n v="1"/>
    <m/>
  </r>
  <r>
    <s v="2018-19"/>
    <x v="0"/>
    <x v="4"/>
    <s v="L2"/>
    <s v="Constructing and Specifying"/>
    <s v="From Drawing Board to Construction Sites"/>
    <n v="2"/>
    <x v="1"/>
    <x v="1"/>
    <n v="1"/>
    <n v="0.08"/>
    <n v="0.8"/>
    <n v="1"/>
    <m/>
  </r>
  <r>
    <s v="2018-19"/>
    <x v="0"/>
    <x v="4"/>
    <s v="L2"/>
    <s v="Constructing and Specifying"/>
    <s v="From Drawing Board to Construction Sites"/>
    <n v="3"/>
    <x v="0"/>
    <x v="2"/>
    <n v="0"/>
    <n v="0.05"/>
    <n v="1"/>
    <n v="0"/>
    <m/>
  </r>
  <r>
    <s v="2018-19"/>
    <x v="0"/>
    <x v="4"/>
    <s v="L2"/>
    <s v="Constructing and Specifying"/>
    <s v="From Drawing Board to Construction Sites"/>
    <n v="3"/>
    <x v="1"/>
    <x v="2"/>
    <n v="1"/>
    <n v="0.05"/>
    <n v="1"/>
    <n v="1"/>
    <m/>
  </r>
  <r>
    <s v="2018-19"/>
    <x v="0"/>
    <x v="4"/>
    <s v="L2"/>
    <s v="Constructing and Specifying"/>
    <s v="From Drawing Board to Construction Sites"/>
    <n v="4"/>
    <x v="0"/>
    <x v="3"/>
    <n v="0"/>
    <n v="0.14000000000000001"/>
    <n v="1"/>
    <n v="0"/>
    <m/>
  </r>
  <r>
    <s v="2018-19"/>
    <x v="0"/>
    <x v="4"/>
    <s v="L2"/>
    <s v="Constructing and Specifying"/>
    <s v="From Drawing Board to Construction Sites"/>
    <n v="4"/>
    <x v="1"/>
    <x v="3"/>
    <n v="1"/>
    <n v="0.14000000000000001"/>
    <n v="1"/>
    <n v="1"/>
    <m/>
  </r>
  <r>
    <s v="2018-19"/>
    <x v="0"/>
    <x v="4"/>
    <s v="L2"/>
    <s v="Constructing and Specifying"/>
    <s v="From Drawing Board to Construction Sites"/>
    <n v="5"/>
    <x v="0"/>
    <x v="4"/>
    <n v="1"/>
    <n v="0.11"/>
    <n v="1"/>
    <n v="1"/>
    <m/>
  </r>
  <r>
    <s v="2018-19"/>
    <x v="0"/>
    <x v="4"/>
    <s v="L2"/>
    <s v="Constructing and Specifying"/>
    <s v="From Drawing Board to Construction Sites"/>
    <n v="5"/>
    <x v="1"/>
    <x v="4"/>
    <n v="1"/>
    <n v="0.11"/>
    <n v="1"/>
    <n v="1"/>
    <m/>
  </r>
  <r>
    <s v="2018-19"/>
    <x v="0"/>
    <x v="4"/>
    <s v="L2"/>
    <s v="Constructing and Specifying"/>
    <s v="From Drawing Board to Construction Sites"/>
    <n v="6"/>
    <x v="0"/>
    <x v="5"/>
    <n v="1"/>
    <n v="0.15"/>
    <n v="1"/>
    <n v="1"/>
    <m/>
  </r>
  <r>
    <s v="2018-19"/>
    <x v="0"/>
    <x v="4"/>
    <s v="L2"/>
    <s v="Constructing and Specifying"/>
    <s v="From Drawing Board to Construction Sites"/>
    <n v="6"/>
    <x v="1"/>
    <x v="5"/>
    <n v="1"/>
    <n v="0.15"/>
    <n v="1"/>
    <n v="1"/>
    <m/>
  </r>
  <r>
    <s v="2018-19"/>
    <x v="0"/>
    <x v="4"/>
    <s v="L2"/>
    <s v="Constructing and Specifying"/>
    <s v="From Drawing Board to Construction Sites"/>
    <n v="7"/>
    <x v="0"/>
    <x v="6"/>
    <n v="1"/>
    <n v="0.1"/>
    <n v="1"/>
    <n v="1"/>
    <m/>
  </r>
  <r>
    <s v="2018-19"/>
    <x v="0"/>
    <x v="4"/>
    <s v="L2"/>
    <s v="Constructing and Specifying"/>
    <s v="From Drawing Board to Construction Sites"/>
    <n v="7"/>
    <x v="1"/>
    <x v="6"/>
    <n v="1"/>
    <n v="0.1"/>
    <n v="1"/>
    <n v="1"/>
    <m/>
  </r>
  <r>
    <s v="2018-19"/>
    <x v="0"/>
    <x v="4"/>
    <s v="L2"/>
    <s v="Constructing and Specifying"/>
    <s v="From Drawing Board to Construction Sites"/>
    <n v="8"/>
    <x v="0"/>
    <x v="7"/>
    <n v="1"/>
    <n v="0.1"/>
    <n v="1"/>
    <n v="1"/>
    <m/>
  </r>
  <r>
    <s v="2018-19"/>
    <x v="0"/>
    <x v="4"/>
    <s v="L2"/>
    <s v="Constructing and Specifying"/>
    <s v="From Drawing Board to Construction Sites"/>
    <n v="8"/>
    <x v="1"/>
    <x v="7"/>
    <n v="1"/>
    <n v="0.1"/>
    <n v="1"/>
    <n v="1"/>
    <m/>
  </r>
  <r>
    <s v="2018-19"/>
    <x v="0"/>
    <x v="4"/>
    <s v="L2"/>
    <s v="Constructing and Specifying"/>
    <s v="From Drawing Board to Construction Sites"/>
    <n v="9"/>
    <x v="0"/>
    <x v="8"/>
    <n v="1"/>
    <n v="0.05"/>
    <n v="0.85"/>
    <n v="1"/>
    <m/>
  </r>
  <r>
    <s v="2018-19"/>
    <x v="0"/>
    <x v="4"/>
    <s v="L2"/>
    <s v="Constructing and Specifying"/>
    <s v="From Drawing Board to Construction Sites"/>
    <n v="9"/>
    <x v="1"/>
    <x v="8"/>
    <n v="1"/>
    <n v="0.05"/>
    <n v="0.85"/>
    <n v="1"/>
    <m/>
  </r>
  <r>
    <s v="2018-19"/>
    <x v="0"/>
    <x v="4"/>
    <s v="L2"/>
    <s v="Constructing and Specifying"/>
    <s v="From Drawing Board to Construction Sites"/>
    <n v="10"/>
    <x v="0"/>
    <x v="8"/>
    <n v="1"/>
    <n v="0.05"/>
    <n v="0.85"/>
    <n v="1"/>
    <m/>
  </r>
  <r>
    <s v="2018-19"/>
    <x v="0"/>
    <x v="4"/>
    <s v="L2"/>
    <s v="Constructing and Specifying"/>
    <s v="From Drawing Board to Construction Sites"/>
    <n v="10"/>
    <x v="1"/>
    <x v="8"/>
    <n v="1"/>
    <n v="0.05"/>
    <n v="0.85"/>
    <n v="1"/>
    <m/>
  </r>
  <r>
    <s v="2018-19"/>
    <x v="0"/>
    <x v="4"/>
    <s v="L2"/>
    <s v="Constructing and Specifying"/>
    <s v="From Drawing Board to Construction Sites"/>
    <n v="11"/>
    <x v="0"/>
    <x v="9"/>
    <n v="1"/>
    <n v="0.05"/>
    <n v="1"/>
    <n v="1"/>
    <m/>
  </r>
  <r>
    <s v="2018-19"/>
    <x v="0"/>
    <x v="4"/>
    <s v="L2"/>
    <s v="Constructing and Specifying"/>
    <s v="From Drawing Board to Construction Sites"/>
    <n v="11"/>
    <x v="1"/>
    <x v="9"/>
    <n v="0"/>
    <n v="0.05"/>
    <n v="1"/>
    <n v="0"/>
    <m/>
  </r>
  <r>
    <s v="2018-19"/>
    <x v="0"/>
    <x v="5"/>
    <s v="L2"/>
    <s v="Visualization &amp; Communication, Spatial Planning &amp; Organisation"/>
    <s v="Land Building Relationships"/>
    <n v="1"/>
    <x v="0"/>
    <x v="0"/>
    <n v="1"/>
    <n v="0.12"/>
    <n v="1"/>
    <n v="1"/>
    <m/>
  </r>
  <r>
    <s v="2018-19"/>
    <x v="0"/>
    <x v="5"/>
    <s v="L2"/>
    <s v="Visualization &amp; Communication, Spatial Planning &amp; Organisation"/>
    <s v="Land Building Relationships"/>
    <n v="1"/>
    <x v="1"/>
    <x v="0"/>
    <n v="1"/>
    <n v="0.12"/>
    <n v="1"/>
    <n v="1"/>
    <m/>
  </r>
  <r>
    <s v="2018-19"/>
    <x v="0"/>
    <x v="5"/>
    <s v="L2"/>
    <s v="Visualization &amp; Communication, Spatial Planning &amp; Organisation"/>
    <s v="Land Building Relationships"/>
    <n v="2"/>
    <x v="0"/>
    <x v="1"/>
    <n v="1"/>
    <n v="0.08"/>
    <n v="0.8"/>
    <n v="1"/>
    <m/>
  </r>
  <r>
    <s v="2018-19"/>
    <x v="0"/>
    <x v="5"/>
    <s v="L2"/>
    <s v="Visualization &amp; Communication, Spatial Planning &amp; Organisation"/>
    <s v="Land Building Relationships"/>
    <n v="2"/>
    <x v="1"/>
    <x v="1"/>
    <n v="1"/>
    <n v="0.08"/>
    <n v="0.8"/>
    <n v="1"/>
    <m/>
  </r>
  <r>
    <s v="2018-19"/>
    <x v="0"/>
    <x v="5"/>
    <s v="L2"/>
    <s v="Visualization &amp; Communication, Spatial Planning &amp; Organisation"/>
    <s v="Land Building Relationships"/>
    <n v="3"/>
    <x v="0"/>
    <x v="2"/>
    <n v="1"/>
    <n v="0.05"/>
    <n v="1"/>
    <n v="1"/>
    <m/>
  </r>
  <r>
    <s v="2018-19"/>
    <x v="0"/>
    <x v="5"/>
    <s v="L2"/>
    <s v="Visualization &amp; Communication, Spatial Planning &amp; Organisation"/>
    <s v="Land Building Relationships"/>
    <n v="3"/>
    <x v="1"/>
    <x v="2"/>
    <n v="1"/>
    <n v="0.05"/>
    <n v="1"/>
    <n v="1"/>
    <m/>
  </r>
  <r>
    <s v="2018-19"/>
    <x v="0"/>
    <x v="5"/>
    <s v="L2"/>
    <s v="Visualization &amp; Communication, Spatial Planning &amp; Organisation"/>
    <s v="Land Building Relationships"/>
    <n v="4"/>
    <x v="0"/>
    <x v="3"/>
    <n v="1"/>
    <n v="0.14000000000000001"/>
    <n v="1"/>
    <n v="1"/>
    <m/>
  </r>
  <r>
    <s v="2018-19"/>
    <x v="0"/>
    <x v="5"/>
    <s v="L2"/>
    <s v="Visualization &amp; Communication, Spatial Planning &amp; Organisation"/>
    <s v="Land Building Relationships"/>
    <n v="4"/>
    <x v="1"/>
    <x v="3"/>
    <n v="1"/>
    <n v="0.14000000000000001"/>
    <n v="1"/>
    <n v="1"/>
    <m/>
  </r>
  <r>
    <s v="2018-19"/>
    <x v="0"/>
    <x v="5"/>
    <s v="L2"/>
    <s v="Visualization &amp; Communication, Spatial Planning &amp; Organisation"/>
    <s v="Land Building Relationships"/>
    <n v="5"/>
    <x v="0"/>
    <x v="4"/>
    <n v="1"/>
    <n v="0.11"/>
    <n v="1"/>
    <n v="1"/>
    <m/>
  </r>
  <r>
    <s v="2018-19"/>
    <x v="0"/>
    <x v="5"/>
    <s v="L2"/>
    <s v="Visualization &amp; Communication, Spatial Planning &amp; Organisation"/>
    <s v="Land Building Relationships"/>
    <n v="5"/>
    <x v="1"/>
    <x v="4"/>
    <n v="0"/>
    <n v="0.11"/>
    <n v="1"/>
    <n v="0"/>
    <m/>
  </r>
  <r>
    <s v="2018-19"/>
    <x v="0"/>
    <x v="5"/>
    <s v="L2"/>
    <s v="Visualization &amp; Communication, Spatial Planning &amp; Organisation"/>
    <s v="Land Building Relationships"/>
    <n v="6"/>
    <x v="0"/>
    <x v="5"/>
    <n v="1"/>
    <n v="0.15"/>
    <n v="1"/>
    <n v="1"/>
    <m/>
  </r>
  <r>
    <s v="2018-19"/>
    <x v="0"/>
    <x v="5"/>
    <s v="L2"/>
    <s v="Visualization &amp; Communication, Spatial Planning &amp; Organisation"/>
    <s v="Land Building Relationships"/>
    <n v="6"/>
    <x v="1"/>
    <x v="5"/>
    <n v="1"/>
    <n v="0.15"/>
    <n v="1"/>
    <n v="1"/>
    <m/>
  </r>
  <r>
    <s v="2018-19"/>
    <x v="0"/>
    <x v="5"/>
    <s v="L2"/>
    <s v="Visualization &amp; Communication, Spatial Planning &amp; Organisation"/>
    <s v="Land Building Relationships"/>
    <n v="7"/>
    <x v="0"/>
    <x v="6"/>
    <n v="1"/>
    <n v="0.1"/>
    <n v="1"/>
    <n v="1"/>
    <m/>
  </r>
  <r>
    <s v="2018-19"/>
    <x v="0"/>
    <x v="5"/>
    <s v="L2"/>
    <s v="Visualization &amp; Communication, Spatial Planning &amp; Organisation"/>
    <s v="Land Building Relationships"/>
    <n v="7"/>
    <x v="1"/>
    <x v="6"/>
    <n v="1"/>
    <n v="0.1"/>
    <n v="1"/>
    <n v="1"/>
    <m/>
  </r>
  <r>
    <s v="2018-19"/>
    <x v="0"/>
    <x v="5"/>
    <s v="L2"/>
    <s v="Visualization &amp; Communication, Spatial Planning &amp; Organisation"/>
    <s v="Land Building Relationships"/>
    <n v="8"/>
    <x v="0"/>
    <x v="7"/>
    <n v="1"/>
    <n v="0.1"/>
    <n v="1"/>
    <n v="1"/>
    <m/>
  </r>
  <r>
    <s v="2018-19"/>
    <x v="0"/>
    <x v="5"/>
    <s v="L2"/>
    <s v="Visualization &amp; Communication, Spatial Planning &amp; Organisation"/>
    <s v="Land Building Relationships"/>
    <n v="8"/>
    <x v="1"/>
    <x v="7"/>
    <n v="0"/>
    <n v="0.1"/>
    <n v="1"/>
    <n v="0"/>
    <m/>
  </r>
  <r>
    <s v="2018-19"/>
    <x v="0"/>
    <x v="5"/>
    <s v="L2"/>
    <s v="Visualization &amp; Communication, Spatial Planning &amp; Organisation"/>
    <s v="Land Building Relationships"/>
    <n v="9"/>
    <x v="0"/>
    <x v="8"/>
    <n v="1"/>
    <n v="0.05"/>
    <n v="0.85"/>
    <n v="1"/>
    <m/>
  </r>
  <r>
    <s v="2018-19"/>
    <x v="0"/>
    <x v="5"/>
    <s v="L2"/>
    <s v="Visualization &amp; Communication, Spatial Planning &amp; Organisation"/>
    <s v="Land Building Relationships"/>
    <n v="9"/>
    <x v="1"/>
    <x v="8"/>
    <n v="1"/>
    <n v="0.05"/>
    <n v="0.85"/>
    <n v="1"/>
    <m/>
  </r>
  <r>
    <s v="2018-19"/>
    <x v="0"/>
    <x v="5"/>
    <s v="L2"/>
    <s v="Visualization &amp; Communication, Spatial Planning &amp; Organisation"/>
    <s v="Land Building Relationships"/>
    <n v="10"/>
    <x v="0"/>
    <x v="8"/>
    <n v="1"/>
    <n v="0.05"/>
    <n v="0.85"/>
    <n v="1"/>
    <m/>
  </r>
  <r>
    <s v="2018-19"/>
    <x v="0"/>
    <x v="5"/>
    <s v="L2"/>
    <s v="Visualization &amp; Communication, Spatial Planning &amp; Organisation"/>
    <s v="Land Building Relationships"/>
    <n v="10"/>
    <x v="1"/>
    <x v="8"/>
    <n v="1"/>
    <n v="0.05"/>
    <n v="0.85"/>
    <n v="1"/>
    <m/>
  </r>
  <r>
    <s v="2018-19"/>
    <x v="0"/>
    <x v="5"/>
    <s v="L2"/>
    <s v="Visualization &amp; Communication, Spatial Planning &amp; Organisation"/>
    <s v="Land Building Relationships"/>
    <n v="11"/>
    <x v="0"/>
    <x v="9"/>
    <n v="1"/>
    <n v="0.05"/>
    <n v="1"/>
    <n v="1"/>
    <m/>
  </r>
  <r>
    <s v="2018-19"/>
    <x v="0"/>
    <x v="5"/>
    <s v="L2"/>
    <s v="Visualization &amp; Communication, Spatial Planning &amp; Organisation"/>
    <s v="Land Building Relationships"/>
    <n v="11"/>
    <x v="1"/>
    <x v="9"/>
    <n v="0"/>
    <n v="0.05"/>
    <n v="1"/>
    <n v="0"/>
    <m/>
  </r>
  <r>
    <s v="2018-19"/>
    <x v="0"/>
    <x v="6"/>
    <s v="L2"/>
    <s v="Spatial Planning and Organisation"/>
    <s v="From Drawing Board to Construction Sites"/>
    <n v="1"/>
    <x v="0"/>
    <x v="0"/>
    <n v="0"/>
    <n v="0.12"/>
    <n v="1"/>
    <n v="0"/>
    <m/>
  </r>
  <r>
    <s v="2018-19"/>
    <x v="0"/>
    <x v="6"/>
    <s v="L2"/>
    <s v="Spatial Planning and Organisation"/>
    <s v="From Drawing Board to Construction Sites"/>
    <n v="1"/>
    <x v="1"/>
    <x v="0"/>
    <n v="1"/>
    <n v="0.12"/>
    <n v="1"/>
    <n v="1"/>
    <m/>
  </r>
  <r>
    <s v="2018-19"/>
    <x v="0"/>
    <x v="6"/>
    <s v="L2"/>
    <s v="Spatial Planning and Organisation"/>
    <s v="From Drawing Board to Construction Sites"/>
    <n v="2"/>
    <x v="0"/>
    <x v="1"/>
    <n v="-1"/>
    <n v="0.08"/>
    <n v="0.8"/>
    <n v="-1"/>
    <m/>
  </r>
  <r>
    <s v="2018-19"/>
    <x v="0"/>
    <x v="6"/>
    <s v="L2"/>
    <s v="Spatial Planning and Organisation"/>
    <s v="From Drawing Board to Construction Sites"/>
    <n v="2"/>
    <x v="1"/>
    <x v="1"/>
    <n v="1"/>
    <n v="0.08"/>
    <n v="0.8"/>
    <n v="1"/>
    <m/>
  </r>
  <r>
    <s v="2018-19"/>
    <x v="0"/>
    <x v="6"/>
    <s v="L2"/>
    <s v="Spatial Planning and Organisation"/>
    <s v="From Drawing Board to Construction Sites"/>
    <n v="3"/>
    <x v="0"/>
    <x v="2"/>
    <n v="1"/>
    <n v="0.05"/>
    <n v="1"/>
    <n v="1"/>
    <m/>
  </r>
  <r>
    <s v="2018-19"/>
    <x v="0"/>
    <x v="6"/>
    <s v="L2"/>
    <s v="Spatial Planning and Organisation"/>
    <s v="From Drawing Board to Construction Sites"/>
    <n v="3"/>
    <x v="1"/>
    <x v="2"/>
    <n v="1"/>
    <n v="0.05"/>
    <n v="1"/>
    <n v="1"/>
    <m/>
  </r>
  <r>
    <s v="2018-19"/>
    <x v="0"/>
    <x v="6"/>
    <s v="L2"/>
    <s v="Spatial Planning and Organisation"/>
    <s v="From Drawing Board to Construction Sites"/>
    <n v="4"/>
    <x v="0"/>
    <x v="3"/>
    <n v="-1"/>
    <n v="0.14000000000000001"/>
    <n v="1"/>
    <n v="-1"/>
    <m/>
  </r>
  <r>
    <s v="2018-19"/>
    <x v="0"/>
    <x v="6"/>
    <s v="L2"/>
    <s v="Spatial Planning and Organisation"/>
    <s v="From Drawing Board to Construction Sites"/>
    <n v="4"/>
    <x v="1"/>
    <x v="3"/>
    <n v="1"/>
    <n v="0.14000000000000001"/>
    <n v="1"/>
    <n v="1"/>
    <m/>
  </r>
  <r>
    <s v="2018-19"/>
    <x v="0"/>
    <x v="6"/>
    <s v="L2"/>
    <s v="Spatial Planning and Organisation"/>
    <s v="From Drawing Board to Construction Sites"/>
    <n v="5"/>
    <x v="0"/>
    <x v="4"/>
    <n v="-1"/>
    <n v="0.11"/>
    <n v="1"/>
    <n v="-1"/>
    <m/>
  </r>
  <r>
    <s v="2018-19"/>
    <x v="0"/>
    <x v="6"/>
    <s v="L2"/>
    <s v="Spatial Planning and Organisation"/>
    <s v="From Drawing Board to Construction Sites"/>
    <n v="5"/>
    <x v="1"/>
    <x v="4"/>
    <n v="0"/>
    <n v="0.11"/>
    <n v="1"/>
    <n v="0"/>
    <m/>
  </r>
  <r>
    <s v="2018-19"/>
    <x v="0"/>
    <x v="6"/>
    <s v="L2"/>
    <s v="Spatial Planning and Organisation"/>
    <s v="From Drawing Board to Construction Sites"/>
    <n v="6"/>
    <x v="0"/>
    <x v="5"/>
    <n v="0"/>
    <n v="0.15"/>
    <n v="1"/>
    <n v="0"/>
    <m/>
  </r>
  <r>
    <s v="2018-19"/>
    <x v="0"/>
    <x v="6"/>
    <s v="L2"/>
    <s v="Spatial Planning and Organisation"/>
    <s v="From Drawing Board to Construction Sites"/>
    <n v="6"/>
    <x v="1"/>
    <x v="5"/>
    <n v="0"/>
    <n v="0.15"/>
    <n v="1"/>
    <n v="0"/>
    <m/>
  </r>
  <r>
    <s v="2018-19"/>
    <x v="0"/>
    <x v="6"/>
    <s v="L2"/>
    <s v="Spatial Planning and Organisation"/>
    <s v="From Drawing Board to Construction Sites"/>
    <n v="7"/>
    <x v="0"/>
    <x v="6"/>
    <n v="-1"/>
    <n v="0.1"/>
    <n v="1"/>
    <n v="-1"/>
    <m/>
  </r>
  <r>
    <s v="2018-19"/>
    <x v="0"/>
    <x v="6"/>
    <s v="L2"/>
    <s v="Spatial Planning and Organisation"/>
    <s v="From Drawing Board to Construction Sites"/>
    <n v="7"/>
    <x v="1"/>
    <x v="6"/>
    <n v="1"/>
    <n v="0.1"/>
    <n v="1"/>
    <n v="1"/>
    <m/>
  </r>
  <r>
    <s v="2018-19"/>
    <x v="0"/>
    <x v="6"/>
    <s v="L2"/>
    <s v="Spatial Planning and Organisation"/>
    <s v="From Drawing Board to Construction Sites"/>
    <n v="8"/>
    <x v="0"/>
    <x v="7"/>
    <n v="-1"/>
    <n v="0.1"/>
    <n v="1"/>
    <n v="-1"/>
    <m/>
  </r>
  <r>
    <s v="2018-19"/>
    <x v="0"/>
    <x v="6"/>
    <s v="L2"/>
    <s v="Spatial Planning and Organisation"/>
    <s v="From Drawing Board to Construction Sites"/>
    <n v="8"/>
    <x v="1"/>
    <x v="7"/>
    <n v="0"/>
    <n v="0.1"/>
    <n v="1"/>
    <n v="0"/>
    <m/>
  </r>
  <r>
    <s v="2018-19"/>
    <x v="0"/>
    <x v="6"/>
    <s v="L2"/>
    <s v="Spatial Planning and Organisation"/>
    <s v="From Drawing Board to Construction Sites"/>
    <n v="9"/>
    <x v="0"/>
    <x v="8"/>
    <n v="-1"/>
    <n v="0.05"/>
    <n v="0.85"/>
    <n v="-1"/>
    <m/>
  </r>
  <r>
    <s v="2018-19"/>
    <x v="0"/>
    <x v="6"/>
    <s v="L2"/>
    <s v="Spatial Planning and Organisation"/>
    <s v="From Drawing Board to Construction Sites"/>
    <n v="9"/>
    <x v="1"/>
    <x v="8"/>
    <n v="1"/>
    <n v="0.05"/>
    <n v="0.85"/>
    <n v="1"/>
    <m/>
  </r>
  <r>
    <s v="2018-19"/>
    <x v="0"/>
    <x v="6"/>
    <s v="L2"/>
    <s v="Spatial Planning and Organisation"/>
    <s v="From Drawing Board to Construction Sites"/>
    <n v="10"/>
    <x v="0"/>
    <x v="8"/>
    <n v="0"/>
    <n v="0.05"/>
    <n v="0.85"/>
    <n v="0"/>
    <m/>
  </r>
  <r>
    <s v="2018-19"/>
    <x v="0"/>
    <x v="6"/>
    <s v="L2"/>
    <s v="Spatial Planning and Organisation"/>
    <s v="From Drawing Board to Construction Sites"/>
    <n v="10"/>
    <x v="1"/>
    <x v="8"/>
    <n v="0"/>
    <n v="0.05"/>
    <n v="0.85"/>
    <n v="0"/>
    <m/>
  </r>
  <r>
    <s v="2018-19"/>
    <x v="0"/>
    <x v="6"/>
    <s v="L2"/>
    <s v="Spatial Planning and Organisation"/>
    <s v="From Drawing Board to Construction Sites"/>
    <n v="11"/>
    <x v="0"/>
    <x v="9"/>
    <n v="-1"/>
    <n v="0.05"/>
    <n v="1"/>
    <n v="-1"/>
    <m/>
  </r>
  <r>
    <s v="2018-19"/>
    <x v="0"/>
    <x v="6"/>
    <s v="L2"/>
    <s v="Spatial Planning and Organisation"/>
    <s v="From Drawing Board to Construction Sites"/>
    <n v="11"/>
    <x v="1"/>
    <x v="9"/>
    <n v="-1"/>
    <n v="0.05"/>
    <n v="1"/>
    <n v="-1"/>
    <m/>
  </r>
  <r>
    <s v="2018-19"/>
    <x v="0"/>
    <x v="7"/>
    <s v="L2"/>
    <s v="Visualization and Communication, Spatial Planning and Organisation"/>
    <s v="Master’s Stroke"/>
    <n v="1"/>
    <x v="0"/>
    <x v="0"/>
    <n v="1"/>
    <n v="0.12"/>
    <n v="1"/>
    <n v="1"/>
    <m/>
  </r>
  <r>
    <s v="2018-19"/>
    <x v="0"/>
    <x v="7"/>
    <s v="L2"/>
    <s v="Visualization and Communication, Spatial Planning and Organisation"/>
    <s v="Master’s Stroke"/>
    <n v="1"/>
    <x v="1"/>
    <x v="0"/>
    <n v="1"/>
    <n v="0.12"/>
    <n v="1"/>
    <n v="1"/>
    <m/>
  </r>
  <r>
    <s v="2018-19"/>
    <x v="0"/>
    <x v="7"/>
    <s v="L2"/>
    <s v="Visualization and Communication, Spatial Planning and Organisation"/>
    <s v="Master’s Stroke"/>
    <n v="2"/>
    <x v="0"/>
    <x v="1"/>
    <n v="1"/>
    <n v="0.08"/>
    <n v="0.8"/>
    <n v="1"/>
    <m/>
  </r>
  <r>
    <s v="2018-19"/>
    <x v="0"/>
    <x v="7"/>
    <s v="L2"/>
    <s v="Visualization and Communication, Spatial Planning and Organisation"/>
    <s v="Master’s Stroke"/>
    <n v="2"/>
    <x v="1"/>
    <x v="1"/>
    <n v="1"/>
    <n v="0.08"/>
    <n v="0.8"/>
    <n v="1"/>
    <m/>
  </r>
  <r>
    <s v="2018-19"/>
    <x v="0"/>
    <x v="7"/>
    <s v="L2"/>
    <s v="Visualization and Communication, Spatial Planning and Organisation"/>
    <s v="Master’s Stroke"/>
    <n v="3"/>
    <x v="0"/>
    <x v="2"/>
    <n v="1"/>
    <n v="0.05"/>
    <n v="1"/>
    <n v="1"/>
    <m/>
  </r>
  <r>
    <s v="2018-19"/>
    <x v="0"/>
    <x v="7"/>
    <s v="L2"/>
    <s v="Visualization and Communication, Spatial Planning and Organisation"/>
    <s v="Master’s Stroke"/>
    <n v="3"/>
    <x v="1"/>
    <x v="2"/>
    <n v="1"/>
    <n v="0.05"/>
    <n v="1"/>
    <n v="1"/>
    <m/>
  </r>
  <r>
    <s v="2018-19"/>
    <x v="0"/>
    <x v="7"/>
    <s v="L2"/>
    <s v="Visualization and Communication, Spatial Planning and Organisation"/>
    <s v="Master’s Stroke"/>
    <n v="4"/>
    <x v="0"/>
    <x v="3"/>
    <n v="1"/>
    <n v="0.14000000000000001"/>
    <n v="1"/>
    <n v="1"/>
    <m/>
  </r>
  <r>
    <s v="2018-19"/>
    <x v="0"/>
    <x v="7"/>
    <s v="L2"/>
    <s v="Visualization and Communication, Spatial Planning and Organisation"/>
    <s v="Master’s Stroke"/>
    <n v="4"/>
    <x v="1"/>
    <x v="3"/>
    <n v="1"/>
    <n v="0.14000000000000001"/>
    <n v="1"/>
    <n v="1"/>
    <m/>
  </r>
  <r>
    <s v="2018-19"/>
    <x v="0"/>
    <x v="7"/>
    <s v="L2"/>
    <s v="Visualization and Communication, Spatial Planning and Organisation"/>
    <s v="Master’s Stroke"/>
    <n v="5"/>
    <x v="0"/>
    <x v="4"/>
    <n v="1"/>
    <n v="0.11"/>
    <n v="1"/>
    <n v="1"/>
    <m/>
  </r>
  <r>
    <s v="2018-19"/>
    <x v="0"/>
    <x v="7"/>
    <s v="L2"/>
    <s v="Visualization and Communication, Spatial Planning and Organisation"/>
    <s v="Master’s Stroke"/>
    <n v="5"/>
    <x v="1"/>
    <x v="4"/>
    <n v="1"/>
    <n v="0.11"/>
    <n v="1"/>
    <n v="1"/>
    <m/>
  </r>
  <r>
    <s v="2018-19"/>
    <x v="0"/>
    <x v="7"/>
    <s v="L2"/>
    <s v="Visualization and Communication, Spatial Planning and Organisation"/>
    <s v="Master’s Stroke"/>
    <n v="6"/>
    <x v="0"/>
    <x v="5"/>
    <n v="1"/>
    <n v="0.15"/>
    <n v="1"/>
    <n v="1"/>
    <m/>
  </r>
  <r>
    <s v="2018-19"/>
    <x v="0"/>
    <x v="7"/>
    <s v="L2"/>
    <s v="Visualization and Communication, Spatial Planning and Organisation"/>
    <s v="Master’s Stroke"/>
    <n v="6"/>
    <x v="1"/>
    <x v="5"/>
    <n v="1"/>
    <n v="0.15"/>
    <n v="1"/>
    <n v="1"/>
    <m/>
  </r>
  <r>
    <s v="2018-19"/>
    <x v="0"/>
    <x v="7"/>
    <s v="L2"/>
    <s v="Visualization and Communication, Spatial Planning and Organisation"/>
    <s v="Master’s Stroke"/>
    <n v="7"/>
    <x v="0"/>
    <x v="6"/>
    <n v="1"/>
    <n v="0.1"/>
    <n v="1"/>
    <n v="1"/>
    <m/>
  </r>
  <r>
    <s v="2018-19"/>
    <x v="0"/>
    <x v="7"/>
    <s v="L2"/>
    <s v="Visualization and Communication, Spatial Planning and Organisation"/>
    <s v="Master’s Stroke"/>
    <n v="7"/>
    <x v="1"/>
    <x v="6"/>
    <n v="1"/>
    <n v="0.1"/>
    <n v="1"/>
    <n v="1"/>
    <m/>
  </r>
  <r>
    <s v="2018-19"/>
    <x v="0"/>
    <x v="7"/>
    <s v="L2"/>
    <s v="Visualization and Communication, Spatial Planning and Organisation"/>
    <s v="Master’s Stroke"/>
    <n v="8"/>
    <x v="0"/>
    <x v="7"/>
    <n v="1"/>
    <n v="0.1"/>
    <n v="1"/>
    <n v="1"/>
    <m/>
  </r>
  <r>
    <s v="2018-19"/>
    <x v="0"/>
    <x v="7"/>
    <s v="L2"/>
    <s v="Visualization and Communication, Spatial Planning and Organisation"/>
    <s v="Master’s Stroke"/>
    <n v="8"/>
    <x v="1"/>
    <x v="7"/>
    <n v="1"/>
    <n v="0.1"/>
    <n v="1"/>
    <n v="1"/>
    <m/>
  </r>
  <r>
    <s v="2018-19"/>
    <x v="0"/>
    <x v="7"/>
    <s v="L2"/>
    <s v="Visualization and Communication, Spatial Planning and Organisation"/>
    <s v="Master’s Stroke"/>
    <n v="9"/>
    <x v="0"/>
    <x v="8"/>
    <n v="1"/>
    <n v="0.05"/>
    <n v="0.85"/>
    <n v="1"/>
    <m/>
  </r>
  <r>
    <s v="2018-19"/>
    <x v="0"/>
    <x v="7"/>
    <s v="L2"/>
    <s v="Visualization and Communication, Spatial Planning and Organisation"/>
    <s v="Master’s Stroke"/>
    <n v="9"/>
    <x v="1"/>
    <x v="8"/>
    <n v="1"/>
    <n v="0.05"/>
    <n v="0.85"/>
    <n v="1"/>
    <m/>
  </r>
  <r>
    <s v="2018-19"/>
    <x v="0"/>
    <x v="7"/>
    <s v="L2"/>
    <s v="Visualization and Communication, Spatial Planning and Organisation"/>
    <s v="Master’s Stroke"/>
    <n v="10"/>
    <x v="0"/>
    <x v="8"/>
    <n v="1"/>
    <n v="0.05"/>
    <n v="0.85"/>
    <n v="1"/>
    <m/>
  </r>
  <r>
    <s v="2018-19"/>
    <x v="0"/>
    <x v="7"/>
    <s v="L2"/>
    <s v="Visualization and Communication, Spatial Planning and Organisation"/>
    <s v="Master’s Stroke"/>
    <n v="10"/>
    <x v="1"/>
    <x v="8"/>
    <n v="1"/>
    <n v="0.05"/>
    <n v="0.85"/>
    <n v="1"/>
    <m/>
  </r>
  <r>
    <s v="2018-19"/>
    <x v="0"/>
    <x v="7"/>
    <s v="L2"/>
    <s v="Visualization and Communication, Spatial Planning and Organisation"/>
    <s v="Master’s Stroke"/>
    <n v="11"/>
    <x v="0"/>
    <x v="9"/>
    <n v="1"/>
    <n v="0.05"/>
    <n v="1"/>
    <n v="1"/>
    <m/>
  </r>
  <r>
    <s v="2018-19"/>
    <x v="0"/>
    <x v="7"/>
    <s v="L2"/>
    <s v="Visualization and Communication, Spatial Planning and Organisation"/>
    <s v="Master’s Stroke"/>
    <n v="11"/>
    <x v="1"/>
    <x v="9"/>
    <n v="1"/>
    <n v="0.05"/>
    <n v="1"/>
    <n v="1"/>
    <m/>
  </r>
  <r>
    <s v="2018-19"/>
    <x v="0"/>
    <x v="8"/>
    <s v="L2"/>
    <s v="Visualization and Communication, Spatial Planning and Organisation"/>
    <s v="Exploring Building Typology"/>
    <n v="1"/>
    <x v="0"/>
    <x v="0"/>
    <n v="0"/>
    <n v="0.12"/>
    <n v="1"/>
    <n v="0"/>
    <m/>
  </r>
  <r>
    <s v="2018-19"/>
    <x v="0"/>
    <x v="8"/>
    <s v="L2"/>
    <s v="Visualization and Communication, Spatial Planning and Organisation"/>
    <s v="Exploring Building Typology"/>
    <n v="1"/>
    <x v="1"/>
    <x v="0"/>
    <n v="1"/>
    <n v="0.12"/>
    <n v="1"/>
    <n v="1"/>
    <m/>
  </r>
  <r>
    <s v="2018-19"/>
    <x v="0"/>
    <x v="8"/>
    <s v="L2"/>
    <s v="Visualization and Communication, Spatial Planning and Organisation"/>
    <s v="Exploring Building Typology"/>
    <n v="2"/>
    <x v="0"/>
    <x v="1"/>
    <n v="0"/>
    <n v="0.08"/>
    <n v="0.8"/>
    <n v="0"/>
    <m/>
  </r>
  <r>
    <s v="2018-19"/>
    <x v="0"/>
    <x v="8"/>
    <s v="L2"/>
    <s v="Visualization and Communication, Spatial Planning and Organisation"/>
    <s v="Exploring Building Typology"/>
    <n v="2"/>
    <x v="1"/>
    <x v="1"/>
    <n v="0"/>
    <n v="0.08"/>
    <n v="0.8"/>
    <n v="0"/>
    <m/>
  </r>
  <r>
    <s v="2018-19"/>
    <x v="0"/>
    <x v="8"/>
    <s v="L2"/>
    <s v="Visualization and Communication, Spatial Planning and Organisation"/>
    <s v="Exploring Building Typology"/>
    <n v="3"/>
    <x v="0"/>
    <x v="2"/>
    <n v="0"/>
    <n v="0.05"/>
    <n v="1"/>
    <n v="0"/>
    <m/>
  </r>
  <r>
    <s v="2018-19"/>
    <x v="0"/>
    <x v="8"/>
    <s v="L2"/>
    <s v="Visualization and Communication, Spatial Planning and Organisation"/>
    <s v="Exploring Building Typology"/>
    <n v="3"/>
    <x v="1"/>
    <x v="2"/>
    <n v="-1"/>
    <n v="0.05"/>
    <n v="1"/>
    <n v="-1"/>
    <m/>
  </r>
  <r>
    <s v="2018-19"/>
    <x v="0"/>
    <x v="8"/>
    <s v="L2"/>
    <s v="Visualization and Communication, Spatial Planning and Organisation"/>
    <s v="Exploring Building Typology"/>
    <n v="4"/>
    <x v="0"/>
    <x v="3"/>
    <n v="-1"/>
    <n v="0.14000000000000001"/>
    <n v="1"/>
    <n v="-1"/>
    <m/>
  </r>
  <r>
    <s v="2018-19"/>
    <x v="0"/>
    <x v="8"/>
    <s v="L2"/>
    <s v="Visualization and Communication, Spatial Planning and Organisation"/>
    <s v="Exploring Building Typology"/>
    <n v="4"/>
    <x v="1"/>
    <x v="3"/>
    <n v="-1"/>
    <n v="0.14000000000000001"/>
    <n v="1"/>
    <n v="-1"/>
    <m/>
  </r>
  <r>
    <s v="2018-19"/>
    <x v="0"/>
    <x v="8"/>
    <s v="L2"/>
    <s v="Visualization and Communication, Spatial Planning and Organisation"/>
    <s v="Exploring Building Typology"/>
    <n v="5"/>
    <x v="0"/>
    <x v="4"/>
    <n v="0"/>
    <n v="0.11"/>
    <n v="1"/>
    <n v="0"/>
    <m/>
  </r>
  <r>
    <s v="2018-19"/>
    <x v="0"/>
    <x v="8"/>
    <s v="L2"/>
    <s v="Visualization and Communication, Spatial Planning and Organisation"/>
    <s v="Exploring Building Typology"/>
    <n v="5"/>
    <x v="1"/>
    <x v="4"/>
    <n v="-1"/>
    <n v="0.11"/>
    <n v="1"/>
    <n v="-1"/>
    <m/>
  </r>
  <r>
    <s v="2018-19"/>
    <x v="0"/>
    <x v="8"/>
    <s v="L2"/>
    <s v="Visualization and Communication, Spatial Planning and Organisation"/>
    <s v="Exploring Building Typology"/>
    <n v="6"/>
    <x v="0"/>
    <x v="5"/>
    <n v="-1"/>
    <n v="0.15"/>
    <n v="1"/>
    <n v="-1"/>
    <m/>
  </r>
  <r>
    <s v="2018-19"/>
    <x v="0"/>
    <x v="8"/>
    <s v="L2"/>
    <s v="Visualization and Communication, Spatial Planning and Organisation"/>
    <s v="Exploring Building Typology"/>
    <n v="6"/>
    <x v="1"/>
    <x v="5"/>
    <n v="-1"/>
    <n v="0.15"/>
    <n v="1"/>
    <n v="-1"/>
    <m/>
  </r>
  <r>
    <s v="2018-19"/>
    <x v="0"/>
    <x v="8"/>
    <s v="L2"/>
    <s v="Visualization and Communication, Spatial Planning and Organisation"/>
    <s v="Exploring Building Typology"/>
    <n v="7"/>
    <x v="0"/>
    <x v="6"/>
    <n v="-1"/>
    <n v="0.1"/>
    <n v="1"/>
    <n v="-1"/>
    <m/>
  </r>
  <r>
    <s v="2018-19"/>
    <x v="0"/>
    <x v="8"/>
    <s v="L2"/>
    <s v="Visualization and Communication, Spatial Planning and Organisation"/>
    <s v="Exploring Building Typology"/>
    <n v="7"/>
    <x v="1"/>
    <x v="6"/>
    <n v="-1"/>
    <n v="0.1"/>
    <n v="1"/>
    <n v="-1"/>
    <m/>
  </r>
  <r>
    <s v="2018-19"/>
    <x v="0"/>
    <x v="8"/>
    <s v="L2"/>
    <s v="Visualization and Communication, Spatial Planning and Organisation"/>
    <s v="Exploring Building Typology"/>
    <n v="8"/>
    <x v="0"/>
    <x v="7"/>
    <n v="-1"/>
    <n v="0.1"/>
    <n v="1"/>
    <n v="-1"/>
    <m/>
  </r>
  <r>
    <s v="2018-19"/>
    <x v="0"/>
    <x v="8"/>
    <s v="L2"/>
    <s v="Visualization and Communication, Spatial Planning and Organisation"/>
    <s v="Exploring Building Typology"/>
    <n v="8"/>
    <x v="1"/>
    <x v="7"/>
    <n v="0"/>
    <n v="0.1"/>
    <n v="1"/>
    <n v="0"/>
    <m/>
  </r>
  <r>
    <s v="2018-19"/>
    <x v="0"/>
    <x v="8"/>
    <s v="L2"/>
    <s v="Visualization and Communication, Spatial Planning and Organisation"/>
    <s v="Exploring Building Typology"/>
    <n v="9"/>
    <x v="0"/>
    <x v="8"/>
    <n v="0"/>
    <n v="0.05"/>
    <n v="0.85"/>
    <n v="0"/>
    <m/>
  </r>
  <r>
    <s v="2018-19"/>
    <x v="0"/>
    <x v="8"/>
    <s v="L2"/>
    <s v="Visualization and Communication, Spatial Planning and Organisation"/>
    <s v="Exploring Building Typology"/>
    <n v="9"/>
    <x v="1"/>
    <x v="8"/>
    <n v="0"/>
    <n v="0.05"/>
    <n v="0.85"/>
    <n v="0"/>
    <m/>
  </r>
  <r>
    <s v="2018-19"/>
    <x v="0"/>
    <x v="8"/>
    <s v="L2"/>
    <s v="Visualization and Communication, Spatial Planning and Organisation"/>
    <s v="Exploring Building Typology"/>
    <n v="10"/>
    <x v="0"/>
    <x v="8"/>
    <n v="0"/>
    <n v="0.05"/>
    <n v="0.85"/>
    <n v="0"/>
    <m/>
  </r>
  <r>
    <s v="2018-19"/>
    <x v="0"/>
    <x v="8"/>
    <s v="L2"/>
    <s v="Visualization and Communication, Spatial Planning and Organisation"/>
    <s v="Exploring Building Typology"/>
    <n v="10"/>
    <x v="1"/>
    <x v="8"/>
    <n v="0"/>
    <n v="0.05"/>
    <n v="0.85"/>
    <n v="0"/>
    <m/>
  </r>
  <r>
    <s v="2018-19"/>
    <x v="0"/>
    <x v="8"/>
    <s v="L2"/>
    <s v="Visualization and Communication, Spatial Planning and Organisation"/>
    <s v="Exploring Building Typology"/>
    <n v="11"/>
    <x v="0"/>
    <x v="9"/>
    <n v="-1"/>
    <n v="0.05"/>
    <n v="1"/>
    <n v="-1"/>
    <m/>
  </r>
  <r>
    <s v="2018-19"/>
    <x v="0"/>
    <x v="8"/>
    <s v="L2"/>
    <s v="Visualization and Communication, Spatial Planning and Organisation"/>
    <s v="Exploring Building Typology"/>
    <n v="11"/>
    <x v="1"/>
    <x v="9"/>
    <n v="-1"/>
    <n v="0.05"/>
    <n v="1"/>
    <n v="-1"/>
    <m/>
  </r>
  <r>
    <s v="2018-19"/>
    <x v="0"/>
    <x v="9"/>
    <s v="L2"/>
    <s v="Constructing and Specifying"/>
    <s v="Tectonic Operations"/>
    <n v="1"/>
    <x v="0"/>
    <x v="0"/>
    <n v="1"/>
    <n v="0.12"/>
    <n v="1"/>
    <n v="1"/>
    <m/>
  </r>
  <r>
    <s v="2018-19"/>
    <x v="0"/>
    <x v="9"/>
    <s v="L2"/>
    <s v="Constructing and Specifying"/>
    <s v="Tectonic Operations"/>
    <n v="1"/>
    <x v="1"/>
    <x v="0"/>
    <n v="1"/>
    <n v="0.12"/>
    <n v="1"/>
    <n v="1"/>
    <m/>
  </r>
  <r>
    <s v="2018-19"/>
    <x v="0"/>
    <x v="9"/>
    <s v="L2"/>
    <s v="Constructing and Specifying"/>
    <s v="Tectonic Operations"/>
    <n v="2"/>
    <x v="0"/>
    <x v="1"/>
    <n v="1"/>
    <n v="0.08"/>
    <n v="0.8"/>
    <n v="1"/>
    <m/>
  </r>
  <r>
    <s v="2018-19"/>
    <x v="0"/>
    <x v="9"/>
    <s v="L2"/>
    <s v="Constructing and Specifying"/>
    <s v="Tectonic Operations"/>
    <n v="2"/>
    <x v="1"/>
    <x v="1"/>
    <n v="1"/>
    <n v="0.08"/>
    <n v="0.8"/>
    <n v="1"/>
    <m/>
  </r>
  <r>
    <s v="2018-19"/>
    <x v="0"/>
    <x v="9"/>
    <s v="L2"/>
    <s v="Constructing and Specifying"/>
    <s v="Tectonic Operations"/>
    <n v="3"/>
    <x v="0"/>
    <x v="2"/>
    <n v="1"/>
    <n v="0.05"/>
    <n v="1"/>
    <n v="1"/>
    <m/>
  </r>
  <r>
    <s v="2018-19"/>
    <x v="0"/>
    <x v="9"/>
    <s v="L2"/>
    <s v="Constructing and Specifying"/>
    <s v="Tectonic Operations"/>
    <n v="3"/>
    <x v="1"/>
    <x v="2"/>
    <n v="1"/>
    <n v="0.05"/>
    <n v="1"/>
    <n v="1"/>
    <m/>
  </r>
  <r>
    <s v="2018-19"/>
    <x v="0"/>
    <x v="9"/>
    <s v="L2"/>
    <s v="Constructing and Specifying"/>
    <s v="Tectonic Operations"/>
    <n v="4"/>
    <x v="0"/>
    <x v="3"/>
    <n v="1"/>
    <n v="0.14000000000000001"/>
    <n v="1"/>
    <n v="1"/>
    <m/>
  </r>
  <r>
    <s v="2018-19"/>
    <x v="0"/>
    <x v="9"/>
    <s v="L2"/>
    <s v="Constructing and Specifying"/>
    <s v="Tectonic Operations"/>
    <n v="4"/>
    <x v="1"/>
    <x v="3"/>
    <n v="1"/>
    <n v="0.14000000000000001"/>
    <n v="1"/>
    <n v="1"/>
    <m/>
  </r>
  <r>
    <s v="2018-19"/>
    <x v="0"/>
    <x v="9"/>
    <s v="L2"/>
    <s v="Constructing and Specifying"/>
    <s v="Tectonic Operations"/>
    <n v="5"/>
    <x v="0"/>
    <x v="4"/>
    <n v="1"/>
    <n v="0.11"/>
    <n v="1"/>
    <n v="1"/>
    <m/>
  </r>
  <r>
    <s v="2018-19"/>
    <x v="0"/>
    <x v="9"/>
    <s v="L2"/>
    <s v="Constructing and Specifying"/>
    <s v="Tectonic Operations"/>
    <n v="5"/>
    <x v="1"/>
    <x v="4"/>
    <n v="1"/>
    <n v="0.11"/>
    <n v="1"/>
    <n v="1"/>
    <m/>
  </r>
  <r>
    <s v="2018-19"/>
    <x v="0"/>
    <x v="9"/>
    <s v="L2"/>
    <s v="Constructing and Specifying"/>
    <s v="Tectonic Operations"/>
    <n v="6"/>
    <x v="0"/>
    <x v="5"/>
    <n v="1"/>
    <n v="0.15"/>
    <n v="1"/>
    <n v="1"/>
    <m/>
  </r>
  <r>
    <s v="2018-19"/>
    <x v="0"/>
    <x v="9"/>
    <s v="L2"/>
    <s v="Constructing and Specifying"/>
    <s v="Tectonic Operations"/>
    <n v="6"/>
    <x v="1"/>
    <x v="5"/>
    <n v="1"/>
    <n v="0.15"/>
    <n v="1"/>
    <n v="1"/>
    <m/>
  </r>
  <r>
    <s v="2018-19"/>
    <x v="0"/>
    <x v="9"/>
    <s v="L2"/>
    <s v="Constructing and Specifying"/>
    <s v="Tectonic Operations"/>
    <n v="7"/>
    <x v="0"/>
    <x v="6"/>
    <n v="1"/>
    <n v="0.1"/>
    <n v="1"/>
    <n v="1"/>
    <m/>
  </r>
  <r>
    <s v="2018-19"/>
    <x v="0"/>
    <x v="9"/>
    <s v="L2"/>
    <s v="Constructing and Specifying"/>
    <s v="Tectonic Operations"/>
    <n v="7"/>
    <x v="1"/>
    <x v="6"/>
    <n v="1"/>
    <n v="0.1"/>
    <n v="1"/>
    <n v="1"/>
    <m/>
  </r>
  <r>
    <s v="2018-19"/>
    <x v="0"/>
    <x v="9"/>
    <s v="L2"/>
    <s v="Constructing and Specifying"/>
    <s v="Tectonic Operations"/>
    <n v="8"/>
    <x v="0"/>
    <x v="7"/>
    <n v="1"/>
    <n v="0.1"/>
    <n v="1"/>
    <n v="1"/>
    <m/>
  </r>
  <r>
    <s v="2018-19"/>
    <x v="0"/>
    <x v="9"/>
    <s v="L2"/>
    <s v="Constructing and Specifying"/>
    <s v="Tectonic Operations"/>
    <n v="8"/>
    <x v="1"/>
    <x v="7"/>
    <n v="1"/>
    <n v="0.1"/>
    <n v="1"/>
    <n v="1"/>
    <m/>
  </r>
  <r>
    <s v="2018-19"/>
    <x v="0"/>
    <x v="9"/>
    <s v="L2"/>
    <s v="Constructing and Specifying"/>
    <s v="Tectonic Operations"/>
    <n v="9"/>
    <x v="0"/>
    <x v="8"/>
    <n v="1"/>
    <n v="0.05"/>
    <n v="0.85"/>
    <n v="1"/>
    <m/>
  </r>
  <r>
    <s v="2018-19"/>
    <x v="0"/>
    <x v="9"/>
    <s v="L2"/>
    <s v="Constructing and Specifying"/>
    <s v="Tectonic Operations"/>
    <n v="9"/>
    <x v="1"/>
    <x v="8"/>
    <n v="1"/>
    <n v="0.05"/>
    <n v="0.85"/>
    <n v="1"/>
    <m/>
  </r>
  <r>
    <s v="2018-19"/>
    <x v="0"/>
    <x v="9"/>
    <s v="L2"/>
    <s v="Constructing and Specifying"/>
    <s v="Tectonic Operations"/>
    <n v="10"/>
    <x v="0"/>
    <x v="8"/>
    <n v="1"/>
    <n v="0.05"/>
    <n v="0.85"/>
    <n v="1"/>
    <m/>
  </r>
  <r>
    <s v="2018-19"/>
    <x v="0"/>
    <x v="9"/>
    <s v="L2"/>
    <s v="Constructing and Specifying"/>
    <s v="Tectonic Operations"/>
    <n v="10"/>
    <x v="1"/>
    <x v="8"/>
    <n v="1"/>
    <n v="0.05"/>
    <n v="0.85"/>
    <n v="1"/>
    <m/>
  </r>
  <r>
    <s v="2018-19"/>
    <x v="0"/>
    <x v="9"/>
    <s v="L2"/>
    <s v="Constructing and Specifying"/>
    <s v="Tectonic Operations"/>
    <n v="11"/>
    <x v="0"/>
    <x v="9"/>
    <n v="1"/>
    <n v="0.05"/>
    <n v="1"/>
    <n v="1"/>
    <m/>
  </r>
  <r>
    <s v="2018-19"/>
    <x v="0"/>
    <x v="9"/>
    <s v="L2"/>
    <s v="Constructing and Specifying"/>
    <s v="Tectonic Operations"/>
    <n v="11"/>
    <x v="1"/>
    <x v="9"/>
    <n v="1"/>
    <n v="0.05"/>
    <n v="1"/>
    <n v="1"/>
    <m/>
  </r>
  <r>
    <s v="2018-19"/>
    <x v="0"/>
    <x v="10"/>
    <s v="L2"/>
    <s v="Visualization and Communication, Spatial Organization and Planning"/>
    <s v="Co production of Differential Spaces"/>
    <n v="1"/>
    <x v="0"/>
    <x v="0"/>
    <n v="0"/>
    <n v="0.12"/>
    <n v="1"/>
    <n v="0"/>
    <m/>
  </r>
  <r>
    <s v="2018-19"/>
    <x v="0"/>
    <x v="10"/>
    <s v="L2"/>
    <s v="Visualization and Communication, Spatial Organization and Planning"/>
    <s v="Co production of Differential Spaces"/>
    <n v="1"/>
    <x v="1"/>
    <x v="0"/>
    <n v="0"/>
    <n v="0.12"/>
    <n v="1"/>
    <n v="0"/>
    <m/>
  </r>
  <r>
    <s v="2018-19"/>
    <x v="0"/>
    <x v="10"/>
    <s v="L2"/>
    <s v="Visualization and Communication, Spatial Organization and Planning"/>
    <s v="Co production of Differential Spaces"/>
    <n v="2"/>
    <x v="0"/>
    <x v="1"/>
    <n v="0"/>
    <n v="0.08"/>
    <n v="0.8"/>
    <n v="0"/>
    <m/>
  </r>
  <r>
    <s v="2018-19"/>
    <x v="0"/>
    <x v="10"/>
    <s v="L2"/>
    <s v="Visualization and Communication, Spatial Organization and Planning"/>
    <s v="Co production of Differential Spaces"/>
    <n v="2"/>
    <x v="1"/>
    <x v="1"/>
    <n v="0"/>
    <n v="0.08"/>
    <n v="0.8"/>
    <n v="0"/>
    <m/>
  </r>
  <r>
    <s v="2018-19"/>
    <x v="0"/>
    <x v="10"/>
    <s v="L2"/>
    <s v="Visualization and Communication, Spatial Organization and Planning"/>
    <s v="Co production of Differential Spaces"/>
    <n v="3"/>
    <x v="0"/>
    <x v="2"/>
    <n v="0"/>
    <n v="0.05"/>
    <n v="1"/>
    <n v="0"/>
    <m/>
  </r>
  <r>
    <s v="2018-19"/>
    <x v="0"/>
    <x v="10"/>
    <s v="L2"/>
    <s v="Visualization and Communication, Spatial Organization and Planning"/>
    <s v="Co production of Differential Spaces"/>
    <n v="3"/>
    <x v="1"/>
    <x v="2"/>
    <n v="0"/>
    <n v="0.05"/>
    <n v="1"/>
    <n v="0"/>
    <m/>
  </r>
  <r>
    <s v="2018-19"/>
    <x v="0"/>
    <x v="10"/>
    <s v="L2"/>
    <s v="Visualization and Communication, Spatial Organization and Planning"/>
    <s v="Co production of Differential Spaces"/>
    <n v="4"/>
    <x v="0"/>
    <x v="3"/>
    <n v="1"/>
    <n v="0.14000000000000001"/>
    <n v="1"/>
    <n v="1"/>
    <m/>
  </r>
  <r>
    <s v="2018-19"/>
    <x v="0"/>
    <x v="10"/>
    <s v="L2"/>
    <s v="Visualization and Communication, Spatial Organization and Planning"/>
    <s v="Co production of Differential Spaces"/>
    <n v="4"/>
    <x v="1"/>
    <x v="3"/>
    <n v="-1"/>
    <n v="0.14000000000000001"/>
    <n v="1"/>
    <n v="-1"/>
    <m/>
  </r>
  <r>
    <s v="2018-19"/>
    <x v="0"/>
    <x v="10"/>
    <s v="L2"/>
    <s v="Visualization and Communication, Spatial Organization and Planning"/>
    <s v="Co production of Differential Spaces"/>
    <n v="5"/>
    <x v="0"/>
    <x v="4"/>
    <n v="1"/>
    <n v="0.11"/>
    <n v="1"/>
    <n v="1"/>
    <m/>
  </r>
  <r>
    <s v="2018-19"/>
    <x v="0"/>
    <x v="10"/>
    <s v="L2"/>
    <s v="Visualization and Communication, Spatial Organization and Planning"/>
    <s v="Co production of Differential Spaces"/>
    <n v="5"/>
    <x v="1"/>
    <x v="4"/>
    <n v="0"/>
    <n v="0.11"/>
    <n v="1"/>
    <n v="0"/>
    <m/>
  </r>
  <r>
    <s v="2018-19"/>
    <x v="0"/>
    <x v="10"/>
    <s v="L2"/>
    <s v="Visualization and Communication, Spatial Organization and Planning"/>
    <s v="Co production of Differential Spaces"/>
    <n v="6"/>
    <x v="0"/>
    <x v="5"/>
    <n v="1"/>
    <n v="0.15"/>
    <n v="1"/>
    <n v="1"/>
    <m/>
  </r>
  <r>
    <s v="2018-19"/>
    <x v="0"/>
    <x v="10"/>
    <s v="L2"/>
    <s v="Visualization and Communication, Spatial Organization and Planning"/>
    <s v="Co production of Differential Spaces"/>
    <n v="6"/>
    <x v="1"/>
    <x v="5"/>
    <n v="0"/>
    <n v="0.15"/>
    <n v="1"/>
    <n v="0"/>
    <m/>
  </r>
  <r>
    <s v="2018-19"/>
    <x v="0"/>
    <x v="10"/>
    <s v="L2"/>
    <s v="Visualization and Communication, Spatial Organization and Planning"/>
    <s v="Co production of Differential Spaces"/>
    <n v="7"/>
    <x v="0"/>
    <x v="6"/>
    <n v="-1"/>
    <n v="0.1"/>
    <n v="1"/>
    <n v="-1"/>
    <m/>
  </r>
  <r>
    <s v="2018-19"/>
    <x v="0"/>
    <x v="10"/>
    <s v="L2"/>
    <s v="Visualization and Communication, Spatial Organization and Planning"/>
    <s v="Co production of Differential Spaces"/>
    <n v="7"/>
    <x v="1"/>
    <x v="6"/>
    <n v="0"/>
    <n v="0.1"/>
    <n v="1"/>
    <n v="0"/>
    <m/>
  </r>
  <r>
    <s v="2018-19"/>
    <x v="0"/>
    <x v="10"/>
    <s v="L2"/>
    <s v="Visualization and Communication, Spatial Organization and Planning"/>
    <s v="Co production of Differential Spaces"/>
    <n v="8"/>
    <x v="0"/>
    <x v="7"/>
    <n v="-1"/>
    <n v="0.1"/>
    <n v="1"/>
    <n v="-1"/>
    <m/>
  </r>
  <r>
    <s v="2018-19"/>
    <x v="0"/>
    <x v="10"/>
    <s v="L2"/>
    <s v="Visualization and Communication, Spatial Organization and Planning"/>
    <s v="Co production of Differential Spaces"/>
    <n v="8"/>
    <x v="1"/>
    <x v="7"/>
    <n v="-1"/>
    <n v="0.1"/>
    <n v="1"/>
    <n v="-1"/>
    <m/>
  </r>
  <r>
    <s v="2018-19"/>
    <x v="0"/>
    <x v="10"/>
    <s v="L2"/>
    <s v="Visualization and Communication, Spatial Organization and Planning"/>
    <s v="Co production of Differential Spaces"/>
    <n v="9"/>
    <x v="0"/>
    <x v="8"/>
    <n v="-1"/>
    <n v="0.05"/>
    <n v="0.85"/>
    <n v="-1"/>
    <m/>
  </r>
  <r>
    <s v="2018-19"/>
    <x v="0"/>
    <x v="10"/>
    <s v="L2"/>
    <s v="Visualization and Communication, Spatial Organization and Planning"/>
    <s v="Co production of Differential Spaces"/>
    <n v="9"/>
    <x v="1"/>
    <x v="8"/>
    <n v="-1"/>
    <n v="0.05"/>
    <n v="0.85"/>
    <n v="-1"/>
    <m/>
  </r>
  <r>
    <s v="2018-19"/>
    <x v="0"/>
    <x v="10"/>
    <s v="L2"/>
    <s v="Visualization and Communication, Spatial Organization and Planning"/>
    <s v="Co production of Differential Spaces"/>
    <n v="10"/>
    <x v="0"/>
    <x v="8"/>
    <n v="0"/>
    <n v="0.05"/>
    <n v="0.85"/>
    <n v="0"/>
    <m/>
  </r>
  <r>
    <s v="2018-19"/>
    <x v="0"/>
    <x v="10"/>
    <s v="L2"/>
    <s v="Visualization and Communication, Spatial Organization and Planning"/>
    <s v="Co production of Differential Spaces"/>
    <n v="10"/>
    <x v="1"/>
    <x v="8"/>
    <n v="0"/>
    <n v="0.05"/>
    <n v="0.85"/>
    <n v="0"/>
    <m/>
  </r>
  <r>
    <s v="2018-19"/>
    <x v="0"/>
    <x v="10"/>
    <s v="L2"/>
    <s v="Visualization and Communication, Spatial Organization and Planning"/>
    <s v="Co production of Differential Spaces"/>
    <n v="11"/>
    <x v="0"/>
    <x v="9"/>
    <n v="0"/>
    <n v="0.05"/>
    <n v="1"/>
    <n v="0"/>
    <m/>
  </r>
  <r>
    <s v="2018-19"/>
    <x v="0"/>
    <x v="10"/>
    <s v="L2"/>
    <s v="Visualization and Communication, Spatial Organization and Planning"/>
    <s v="Co production of Differential Spaces"/>
    <n v="11"/>
    <x v="1"/>
    <x v="9"/>
    <n v="-1"/>
    <n v="0.05"/>
    <n v="1"/>
    <n v="-1"/>
    <m/>
  </r>
  <r>
    <s v="2018-19"/>
    <x v="0"/>
    <x v="11"/>
    <s v="L3"/>
    <m/>
    <s v="Maneuvering the New Landscape: Scale, Density and Sustainability"/>
    <n v="1"/>
    <x v="0"/>
    <x v="0"/>
    <n v="0"/>
    <n v="0.12"/>
    <n v="1"/>
    <n v="0"/>
    <m/>
  </r>
  <r>
    <s v="2018-19"/>
    <x v="0"/>
    <x v="11"/>
    <s v="L3"/>
    <m/>
    <s v="Maneuvering the New Landscape: Scale, Density and Sustainability"/>
    <n v="1"/>
    <x v="1"/>
    <x v="0"/>
    <m/>
    <n v="0.12"/>
    <n v="1"/>
    <n v="0"/>
    <m/>
  </r>
  <r>
    <s v="2018-19"/>
    <x v="0"/>
    <x v="11"/>
    <s v="L3"/>
    <m/>
    <s v="Maneuvering the New Landscape: Scale, Density and Sustainability"/>
    <n v="2"/>
    <x v="0"/>
    <x v="1"/>
    <m/>
    <n v="0.08"/>
    <n v="0.8"/>
    <n v="0"/>
    <m/>
  </r>
  <r>
    <s v="2018-19"/>
    <x v="0"/>
    <x v="11"/>
    <s v="L3"/>
    <m/>
    <s v="Maneuvering the New Landscape: Scale, Density and Sustainability"/>
    <n v="2"/>
    <x v="1"/>
    <x v="1"/>
    <m/>
    <n v="0.08"/>
    <n v="0.8"/>
    <n v="0"/>
    <m/>
  </r>
  <r>
    <s v="2018-19"/>
    <x v="0"/>
    <x v="11"/>
    <s v="L3"/>
    <m/>
    <s v="Maneuvering the New Landscape: Scale, Density and Sustainability"/>
    <n v="3"/>
    <x v="0"/>
    <x v="2"/>
    <n v="1"/>
    <n v="0.05"/>
    <n v="1"/>
    <n v="1"/>
    <m/>
  </r>
  <r>
    <s v="2018-19"/>
    <x v="0"/>
    <x v="11"/>
    <s v="L3"/>
    <m/>
    <s v="Maneuvering the New Landscape: Scale, Density and Sustainability"/>
    <n v="3"/>
    <x v="1"/>
    <x v="2"/>
    <m/>
    <n v="0.05"/>
    <n v="1"/>
    <n v="0"/>
    <m/>
  </r>
  <r>
    <s v="2018-19"/>
    <x v="0"/>
    <x v="11"/>
    <s v="L3"/>
    <m/>
    <s v="Maneuvering the New Landscape: Scale, Density and Sustainability"/>
    <n v="4"/>
    <x v="0"/>
    <x v="3"/>
    <n v="-1"/>
    <n v="0.14000000000000001"/>
    <n v="1"/>
    <n v="-1"/>
    <m/>
  </r>
  <r>
    <s v="2018-19"/>
    <x v="0"/>
    <x v="11"/>
    <s v="L3"/>
    <m/>
    <s v="Maneuvering the New Landscape: Scale, Density and Sustainability"/>
    <n v="4"/>
    <x v="1"/>
    <x v="3"/>
    <n v="-1"/>
    <n v="0.14000000000000001"/>
    <n v="1"/>
    <n v="-1"/>
    <m/>
  </r>
  <r>
    <s v="2018-19"/>
    <x v="0"/>
    <x v="11"/>
    <s v="L3"/>
    <m/>
    <s v="Maneuvering the New Landscape: Scale, Density and Sustainability"/>
    <n v="5"/>
    <x v="0"/>
    <x v="4"/>
    <n v="-1"/>
    <n v="0.11"/>
    <n v="1"/>
    <n v="-1"/>
    <m/>
  </r>
  <r>
    <s v="2018-19"/>
    <x v="0"/>
    <x v="11"/>
    <s v="L3"/>
    <m/>
    <s v="Maneuvering the New Landscape: Scale, Density and Sustainability"/>
    <n v="5"/>
    <x v="1"/>
    <x v="4"/>
    <n v="-1"/>
    <n v="0.11"/>
    <n v="1"/>
    <n v="-1"/>
    <m/>
  </r>
  <r>
    <s v="2018-19"/>
    <x v="0"/>
    <x v="11"/>
    <s v="L3"/>
    <m/>
    <s v="Maneuvering the New Landscape: Scale, Density and Sustainability"/>
    <n v="6"/>
    <x v="0"/>
    <x v="5"/>
    <n v="0"/>
    <n v="0.15"/>
    <n v="1"/>
    <n v="0"/>
    <m/>
  </r>
  <r>
    <s v="2018-19"/>
    <x v="0"/>
    <x v="11"/>
    <s v="L3"/>
    <m/>
    <s v="Maneuvering the New Landscape: Scale, Density and Sustainability"/>
    <n v="6"/>
    <x v="1"/>
    <x v="5"/>
    <n v="-1"/>
    <n v="0.15"/>
    <n v="1"/>
    <n v="-1"/>
    <m/>
  </r>
  <r>
    <s v="2018-19"/>
    <x v="0"/>
    <x v="11"/>
    <s v="L3"/>
    <m/>
    <s v="Maneuvering the New Landscape: Scale, Density and Sustainability"/>
    <n v="7"/>
    <x v="0"/>
    <x v="6"/>
    <n v="0"/>
    <n v="0.1"/>
    <n v="1"/>
    <n v="0"/>
    <m/>
  </r>
  <r>
    <s v="2018-19"/>
    <x v="0"/>
    <x v="11"/>
    <s v="L3"/>
    <m/>
    <s v="Maneuvering the New Landscape: Scale, Density and Sustainability"/>
    <n v="7"/>
    <x v="1"/>
    <x v="6"/>
    <n v="-1"/>
    <n v="0.1"/>
    <n v="1"/>
    <n v="-1"/>
    <m/>
  </r>
  <r>
    <s v="2018-19"/>
    <x v="0"/>
    <x v="11"/>
    <s v="L3"/>
    <m/>
    <s v="Maneuvering the New Landscape: Scale, Density and Sustainability"/>
    <n v="8"/>
    <x v="0"/>
    <x v="7"/>
    <n v="0"/>
    <n v="0.1"/>
    <n v="1"/>
    <n v="0"/>
    <m/>
  </r>
  <r>
    <s v="2018-19"/>
    <x v="0"/>
    <x v="11"/>
    <s v="L3"/>
    <m/>
    <s v="Maneuvering the New Landscape: Scale, Density and Sustainability"/>
    <n v="8"/>
    <x v="1"/>
    <x v="7"/>
    <n v="-1"/>
    <n v="0.1"/>
    <n v="1"/>
    <n v="-1"/>
    <m/>
  </r>
  <r>
    <s v="2018-19"/>
    <x v="0"/>
    <x v="11"/>
    <s v="L3"/>
    <m/>
    <s v="Maneuvering the New Landscape: Scale, Density and Sustainability"/>
    <n v="9"/>
    <x v="0"/>
    <x v="8"/>
    <n v="-1"/>
    <n v="0.05"/>
    <n v="0.85"/>
    <n v="-1"/>
    <m/>
  </r>
  <r>
    <s v="2018-19"/>
    <x v="0"/>
    <x v="11"/>
    <s v="L3"/>
    <m/>
    <s v="Maneuvering the New Landscape: Scale, Density and Sustainability"/>
    <n v="9"/>
    <x v="1"/>
    <x v="8"/>
    <n v="-1"/>
    <n v="0.05"/>
    <n v="0.85"/>
    <n v="-1"/>
    <m/>
  </r>
  <r>
    <s v="2018-19"/>
    <x v="0"/>
    <x v="11"/>
    <s v="L3"/>
    <m/>
    <s v="Maneuvering the New Landscape: Scale, Density and Sustainability"/>
    <n v="10"/>
    <x v="0"/>
    <x v="8"/>
    <n v="0"/>
    <n v="0.05"/>
    <n v="0.85"/>
    <n v="0"/>
    <m/>
  </r>
  <r>
    <s v="2018-19"/>
    <x v="0"/>
    <x v="11"/>
    <s v="L3"/>
    <m/>
    <s v="Maneuvering the New Landscape: Scale, Density and Sustainability"/>
    <n v="10"/>
    <x v="1"/>
    <x v="8"/>
    <n v="0"/>
    <n v="0.05"/>
    <n v="0.85"/>
    <n v="0"/>
    <m/>
  </r>
  <r>
    <s v="2018-19"/>
    <x v="0"/>
    <x v="11"/>
    <s v="L3"/>
    <m/>
    <s v="Maneuvering the New Landscape: Scale, Density and Sustainability"/>
    <n v="11"/>
    <x v="0"/>
    <x v="9"/>
    <n v="-1"/>
    <n v="0.05"/>
    <n v="1"/>
    <n v="-1"/>
    <m/>
  </r>
  <r>
    <s v="2018-19"/>
    <x v="0"/>
    <x v="11"/>
    <s v="L3"/>
    <m/>
    <s v="Maneuvering the New Landscape: Scale, Density and Sustainability"/>
    <n v="11"/>
    <x v="1"/>
    <x v="9"/>
    <n v="-1"/>
    <n v="0.05"/>
    <n v="1"/>
    <n v="-1"/>
    <m/>
  </r>
  <r>
    <s v="2018-19"/>
    <x v="0"/>
    <x v="12"/>
    <s v="L3"/>
    <m/>
    <s v="Decoding to code: Emergent Design"/>
    <n v="1"/>
    <x v="0"/>
    <x v="0"/>
    <n v="1"/>
    <n v="0.12"/>
    <n v="1"/>
    <n v="1"/>
    <m/>
  </r>
  <r>
    <s v="2018-19"/>
    <x v="0"/>
    <x v="12"/>
    <s v="L3"/>
    <m/>
    <s v="Decoding to code: Emergent Design"/>
    <n v="1"/>
    <x v="1"/>
    <x v="0"/>
    <n v="0"/>
    <n v="0.12"/>
    <n v="1"/>
    <n v="0"/>
    <m/>
  </r>
  <r>
    <s v="2018-19"/>
    <x v="0"/>
    <x v="12"/>
    <s v="L3"/>
    <m/>
    <s v="Decoding to code: Emergent Design"/>
    <n v="2"/>
    <x v="0"/>
    <x v="1"/>
    <m/>
    <n v="0.08"/>
    <n v="0.8"/>
    <n v="0"/>
    <m/>
  </r>
  <r>
    <s v="2018-19"/>
    <x v="0"/>
    <x v="12"/>
    <s v="L3"/>
    <m/>
    <s v="Decoding to code: Emergent Design"/>
    <n v="2"/>
    <x v="1"/>
    <x v="1"/>
    <n v="0"/>
    <n v="0.08"/>
    <n v="0.8"/>
    <n v="0"/>
    <m/>
  </r>
  <r>
    <s v="2018-19"/>
    <x v="0"/>
    <x v="12"/>
    <s v="L3"/>
    <m/>
    <s v="Decoding to code: Emergent Design"/>
    <n v="3"/>
    <x v="0"/>
    <x v="2"/>
    <n v="1"/>
    <n v="0.05"/>
    <n v="1"/>
    <n v="1"/>
    <m/>
  </r>
  <r>
    <s v="2018-19"/>
    <x v="0"/>
    <x v="12"/>
    <s v="L3"/>
    <m/>
    <s v="Decoding to code: Emergent Design"/>
    <n v="3"/>
    <x v="1"/>
    <x v="2"/>
    <n v="1"/>
    <n v="0.05"/>
    <n v="1"/>
    <n v="1"/>
    <m/>
  </r>
  <r>
    <s v="2018-19"/>
    <x v="0"/>
    <x v="12"/>
    <s v="L3"/>
    <m/>
    <s v="Decoding to code: Emergent Design"/>
    <n v="4"/>
    <x v="0"/>
    <x v="3"/>
    <n v="1"/>
    <n v="0.14000000000000001"/>
    <n v="1"/>
    <n v="1"/>
    <m/>
  </r>
  <r>
    <s v="2018-19"/>
    <x v="0"/>
    <x v="12"/>
    <s v="L3"/>
    <m/>
    <s v="Decoding to code: Emergent Design"/>
    <n v="4"/>
    <x v="1"/>
    <x v="3"/>
    <n v="-1"/>
    <n v="0.14000000000000001"/>
    <n v="1"/>
    <n v="-1"/>
    <m/>
  </r>
  <r>
    <s v="2018-19"/>
    <x v="0"/>
    <x v="12"/>
    <s v="L3"/>
    <m/>
    <s v="Decoding to code: Emergent Design"/>
    <n v="5"/>
    <x v="0"/>
    <x v="4"/>
    <n v="1"/>
    <n v="0.11"/>
    <n v="1"/>
    <n v="1"/>
    <m/>
  </r>
  <r>
    <s v="2018-19"/>
    <x v="0"/>
    <x v="12"/>
    <s v="L3"/>
    <m/>
    <s v="Decoding to code: Emergent Design"/>
    <n v="5"/>
    <x v="1"/>
    <x v="4"/>
    <n v="0"/>
    <n v="0.11"/>
    <n v="1"/>
    <n v="0"/>
    <m/>
  </r>
  <r>
    <s v="2018-19"/>
    <x v="0"/>
    <x v="12"/>
    <s v="L3"/>
    <m/>
    <s v="Decoding to code: Emergent Design"/>
    <n v="6"/>
    <x v="0"/>
    <x v="5"/>
    <n v="0"/>
    <n v="0.15"/>
    <n v="1"/>
    <n v="0"/>
    <m/>
  </r>
  <r>
    <s v="2018-19"/>
    <x v="0"/>
    <x v="12"/>
    <s v="L3"/>
    <m/>
    <s v="Decoding to code: Emergent Design"/>
    <n v="6"/>
    <x v="1"/>
    <x v="5"/>
    <n v="0"/>
    <n v="0.15"/>
    <n v="1"/>
    <n v="0"/>
    <m/>
  </r>
  <r>
    <s v="2018-19"/>
    <x v="0"/>
    <x v="12"/>
    <s v="L3"/>
    <m/>
    <s v="Decoding to code: Emergent Design"/>
    <n v="7"/>
    <x v="0"/>
    <x v="6"/>
    <n v="1"/>
    <n v="0.1"/>
    <n v="1"/>
    <n v="1"/>
    <m/>
  </r>
  <r>
    <s v="2018-19"/>
    <x v="0"/>
    <x v="12"/>
    <s v="L3"/>
    <m/>
    <s v="Decoding to code: Emergent Design"/>
    <n v="7"/>
    <x v="1"/>
    <x v="6"/>
    <n v="0"/>
    <n v="0.1"/>
    <n v="1"/>
    <n v="0"/>
    <m/>
  </r>
  <r>
    <s v="2018-19"/>
    <x v="0"/>
    <x v="12"/>
    <s v="L3"/>
    <m/>
    <s v="Decoding to code: Emergent Design"/>
    <n v="8"/>
    <x v="0"/>
    <x v="7"/>
    <n v="0"/>
    <n v="0.1"/>
    <n v="1"/>
    <n v="0"/>
    <m/>
  </r>
  <r>
    <s v="2018-19"/>
    <x v="0"/>
    <x v="12"/>
    <s v="L3"/>
    <m/>
    <s v="Decoding to code: Emergent Design"/>
    <n v="8"/>
    <x v="1"/>
    <x v="7"/>
    <n v="0"/>
    <n v="0.1"/>
    <n v="1"/>
    <n v="0"/>
    <m/>
  </r>
  <r>
    <s v="2018-19"/>
    <x v="0"/>
    <x v="12"/>
    <s v="L3"/>
    <m/>
    <s v="Decoding to code: Emergent Design"/>
    <n v="9"/>
    <x v="0"/>
    <x v="8"/>
    <n v="0"/>
    <n v="0.05"/>
    <n v="0.85"/>
    <n v="0"/>
    <m/>
  </r>
  <r>
    <s v="2018-19"/>
    <x v="0"/>
    <x v="12"/>
    <s v="L3"/>
    <m/>
    <s v="Decoding to code: Emergent Design"/>
    <n v="9"/>
    <x v="1"/>
    <x v="8"/>
    <n v="1"/>
    <n v="0.05"/>
    <n v="0.85"/>
    <n v="1"/>
    <m/>
  </r>
  <r>
    <s v="2018-19"/>
    <x v="0"/>
    <x v="12"/>
    <s v="L3"/>
    <m/>
    <s v="Decoding to code: Emergent Design"/>
    <n v="10"/>
    <x v="0"/>
    <x v="8"/>
    <n v="0"/>
    <n v="0.05"/>
    <n v="0.85"/>
    <n v="0"/>
    <m/>
  </r>
  <r>
    <s v="2018-19"/>
    <x v="0"/>
    <x v="12"/>
    <s v="L3"/>
    <m/>
    <s v="Decoding to code: Emergent Design"/>
    <n v="10"/>
    <x v="1"/>
    <x v="8"/>
    <n v="1"/>
    <n v="0.05"/>
    <n v="0.85"/>
    <n v="1"/>
    <m/>
  </r>
  <r>
    <s v="2018-19"/>
    <x v="0"/>
    <x v="12"/>
    <s v="L3"/>
    <m/>
    <s v="Decoding to code: Emergent Design"/>
    <n v="11"/>
    <x v="0"/>
    <x v="9"/>
    <n v="1"/>
    <n v="0.05"/>
    <n v="1"/>
    <n v="1"/>
    <m/>
  </r>
  <r>
    <s v="2018-19"/>
    <x v="0"/>
    <x v="12"/>
    <s v="L3"/>
    <m/>
    <s v="Decoding to code: Emergent Design"/>
    <n v="11"/>
    <x v="1"/>
    <x v="9"/>
    <n v="-1"/>
    <n v="0.05"/>
    <n v="1"/>
    <n v="-1"/>
    <m/>
  </r>
  <r>
    <s v="2018-19"/>
    <x v="0"/>
    <x v="13"/>
    <s v="L3"/>
    <m/>
    <s v="Contemporary Rootedness and Built Expression"/>
    <n v="1"/>
    <x v="0"/>
    <x v="0"/>
    <n v="-1"/>
    <n v="0.12"/>
    <n v="1"/>
    <n v="-1"/>
    <m/>
  </r>
  <r>
    <s v="2018-19"/>
    <x v="0"/>
    <x v="13"/>
    <s v="L3"/>
    <m/>
    <s v="Contemporary Rootedness and Built Expression"/>
    <n v="1"/>
    <x v="1"/>
    <x v="0"/>
    <m/>
    <n v="0.12"/>
    <n v="1"/>
    <n v="0"/>
    <m/>
  </r>
  <r>
    <s v="2018-19"/>
    <x v="0"/>
    <x v="13"/>
    <s v="L3"/>
    <m/>
    <s v="Contemporary Rootedness and Built Expression"/>
    <n v="2"/>
    <x v="0"/>
    <x v="1"/>
    <m/>
    <n v="0.08"/>
    <n v="0.8"/>
    <n v="0"/>
    <m/>
  </r>
  <r>
    <s v="2018-19"/>
    <x v="0"/>
    <x v="13"/>
    <s v="L3"/>
    <m/>
    <s v="Contemporary Rootedness and Built Expression"/>
    <n v="2"/>
    <x v="1"/>
    <x v="1"/>
    <m/>
    <n v="0.08"/>
    <n v="0.8"/>
    <n v="0"/>
    <m/>
  </r>
  <r>
    <s v="2018-19"/>
    <x v="0"/>
    <x v="13"/>
    <s v="L3"/>
    <m/>
    <s v="Contemporary Rootedness and Built Expression"/>
    <n v="3"/>
    <x v="0"/>
    <x v="2"/>
    <n v="0"/>
    <n v="0.05"/>
    <n v="1"/>
    <n v="0"/>
    <m/>
  </r>
  <r>
    <s v="2018-19"/>
    <x v="0"/>
    <x v="13"/>
    <s v="L3"/>
    <m/>
    <s v="Contemporary Rootedness and Built Expression"/>
    <n v="3"/>
    <x v="1"/>
    <x v="2"/>
    <m/>
    <n v="0.05"/>
    <n v="1"/>
    <n v="0"/>
    <m/>
  </r>
  <r>
    <s v="2018-19"/>
    <x v="0"/>
    <x v="13"/>
    <s v="L3"/>
    <m/>
    <s v="Contemporary Rootedness and Built Expression"/>
    <n v="4"/>
    <x v="0"/>
    <x v="3"/>
    <n v="-1"/>
    <n v="0.14000000000000001"/>
    <n v="1"/>
    <n v="-1"/>
    <m/>
  </r>
  <r>
    <s v="2018-19"/>
    <x v="0"/>
    <x v="13"/>
    <s v="L3"/>
    <m/>
    <s v="Contemporary Rootedness and Built Expression"/>
    <n v="4"/>
    <x v="1"/>
    <x v="3"/>
    <n v="-1"/>
    <n v="0.14000000000000001"/>
    <n v="1"/>
    <n v="-1"/>
    <m/>
  </r>
  <r>
    <s v="2018-19"/>
    <x v="0"/>
    <x v="13"/>
    <s v="L3"/>
    <m/>
    <s v="Contemporary Rootedness and Built Expression"/>
    <n v="5"/>
    <x v="0"/>
    <x v="4"/>
    <n v="-1"/>
    <n v="0.11"/>
    <n v="1"/>
    <n v="-1"/>
    <m/>
  </r>
  <r>
    <s v="2018-19"/>
    <x v="0"/>
    <x v="13"/>
    <s v="L3"/>
    <m/>
    <s v="Contemporary Rootedness and Built Expression"/>
    <n v="5"/>
    <x v="1"/>
    <x v="4"/>
    <n v="-1"/>
    <n v="0.11"/>
    <n v="1"/>
    <n v="-1"/>
    <m/>
  </r>
  <r>
    <s v="2018-19"/>
    <x v="0"/>
    <x v="13"/>
    <s v="L3"/>
    <m/>
    <s v="Contemporary Rootedness and Built Expression"/>
    <n v="6"/>
    <x v="0"/>
    <x v="5"/>
    <n v="-1"/>
    <n v="0.15"/>
    <n v="1"/>
    <n v="-1"/>
    <m/>
  </r>
  <r>
    <s v="2018-19"/>
    <x v="0"/>
    <x v="13"/>
    <s v="L3"/>
    <m/>
    <s v="Contemporary Rootedness and Built Expression"/>
    <n v="6"/>
    <x v="1"/>
    <x v="5"/>
    <n v="-1"/>
    <n v="0.15"/>
    <n v="1"/>
    <n v="-1"/>
    <m/>
  </r>
  <r>
    <s v="2018-19"/>
    <x v="0"/>
    <x v="13"/>
    <s v="L3"/>
    <m/>
    <s v="Contemporary Rootedness and Built Expression"/>
    <n v="7"/>
    <x v="0"/>
    <x v="6"/>
    <n v="0"/>
    <n v="0.1"/>
    <n v="1"/>
    <n v="0"/>
    <m/>
  </r>
  <r>
    <s v="2018-19"/>
    <x v="0"/>
    <x v="13"/>
    <s v="L3"/>
    <m/>
    <s v="Contemporary Rootedness and Built Expression"/>
    <n v="7"/>
    <x v="1"/>
    <x v="6"/>
    <n v="-1"/>
    <n v="0.1"/>
    <n v="1"/>
    <n v="-1"/>
    <m/>
  </r>
  <r>
    <s v="2018-19"/>
    <x v="0"/>
    <x v="13"/>
    <s v="L3"/>
    <m/>
    <s v="Contemporary Rootedness and Built Expression"/>
    <n v="8"/>
    <x v="0"/>
    <x v="7"/>
    <n v="0"/>
    <n v="0.1"/>
    <n v="1"/>
    <n v="0"/>
    <m/>
  </r>
  <r>
    <s v="2018-19"/>
    <x v="0"/>
    <x v="13"/>
    <s v="L3"/>
    <m/>
    <s v="Contemporary Rootedness and Built Expression"/>
    <n v="8"/>
    <x v="1"/>
    <x v="7"/>
    <n v="-1"/>
    <n v="0.1"/>
    <n v="1"/>
    <n v="-1"/>
    <m/>
  </r>
  <r>
    <s v="2018-19"/>
    <x v="0"/>
    <x v="13"/>
    <s v="L3"/>
    <m/>
    <s v="Contemporary Rootedness and Built Expression"/>
    <n v="9"/>
    <x v="0"/>
    <x v="8"/>
    <n v="0"/>
    <n v="0.05"/>
    <n v="0.85"/>
    <n v="0"/>
    <m/>
  </r>
  <r>
    <s v="2018-19"/>
    <x v="0"/>
    <x v="13"/>
    <s v="L3"/>
    <m/>
    <s v="Contemporary Rootedness and Built Expression"/>
    <n v="9"/>
    <x v="1"/>
    <x v="8"/>
    <n v="-1"/>
    <n v="0.05"/>
    <n v="0.85"/>
    <n v="-1"/>
    <m/>
  </r>
  <r>
    <s v="2018-19"/>
    <x v="0"/>
    <x v="13"/>
    <s v="L3"/>
    <m/>
    <s v="Contemporary Rootedness and Built Expression"/>
    <n v="10"/>
    <x v="0"/>
    <x v="8"/>
    <n v="0"/>
    <n v="0.05"/>
    <n v="0.85"/>
    <n v="0"/>
    <m/>
  </r>
  <r>
    <s v="2018-19"/>
    <x v="0"/>
    <x v="13"/>
    <s v="L3"/>
    <m/>
    <s v="Contemporary Rootedness and Built Expression"/>
    <n v="10"/>
    <x v="1"/>
    <x v="8"/>
    <n v="-1"/>
    <n v="0.05"/>
    <n v="0.85"/>
    <n v="-1"/>
    <m/>
  </r>
  <r>
    <s v="2018-19"/>
    <x v="0"/>
    <x v="13"/>
    <s v="L3"/>
    <m/>
    <s v="Contemporary Rootedness and Built Expression"/>
    <n v="11"/>
    <x v="0"/>
    <x v="9"/>
    <n v="0"/>
    <n v="0.05"/>
    <n v="1"/>
    <n v="0"/>
    <m/>
  </r>
  <r>
    <s v="2018-19"/>
    <x v="0"/>
    <x v="13"/>
    <s v="L3"/>
    <m/>
    <s v="Contemporary Rootedness and Built Expression"/>
    <n v="11"/>
    <x v="1"/>
    <x v="9"/>
    <n v="-1"/>
    <n v="0.05"/>
    <n v="1"/>
    <n v="-1"/>
    <m/>
  </r>
  <r>
    <s v="2018-19"/>
    <x v="0"/>
    <x v="14"/>
    <s v="L3"/>
    <m/>
    <s v="Oikopolis: at home in the city"/>
    <n v="1"/>
    <x v="0"/>
    <x v="0"/>
    <n v="0"/>
    <n v="0.12"/>
    <n v="1"/>
    <n v="0"/>
    <m/>
  </r>
  <r>
    <s v="2018-19"/>
    <x v="0"/>
    <x v="14"/>
    <s v="L3"/>
    <m/>
    <s v="Oikopolis: at home in the city"/>
    <n v="1"/>
    <x v="1"/>
    <x v="0"/>
    <n v="1"/>
    <n v="0.12"/>
    <n v="1"/>
    <n v="1"/>
    <m/>
  </r>
  <r>
    <s v="2018-19"/>
    <x v="0"/>
    <x v="14"/>
    <s v="L3"/>
    <m/>
    <s v="Oikopolis: at home in the city"/>
    <n v="2"/>
    <x v="0"/>
    <x v="1"/>
    <m/>
    <n v="0.08"/>
    <n v="0.8"/>
    <n v="0"/>
    <m/>
  </r>
  <r>
    <s v="2018-19"/>
    <x v="0"/>
    <x v="14"/>
    <s v="L3"/>
    <m/>
    <s v="Oikopolis: at home in the city"/>
    <n v="2"/>
    <x v="1"/>
    <x v="1"/>
    <n v="1"/>
    <n v="0.08"/>
    <n v="0.8"/>
    <n v="1"/>
    <m/>
  </r>
  <r>
    <s v="2018-19"/>
    <x v="0"/>
    <x v="14"/>
    <s v="L3"/>
    <m/>
    <s v="Oikopolis: at home in the city"/>
    <n v="3"/>
    <x v="0"/>
    <x v="2"/>
    <n v="1"/>
    <n v="0.05"/>
    <n v="1"/>
    <n v="1"/>
    <m/>
  </r>
  <r>
    <s v="2018-19"/>
    <x v="0"/>
    <x v="14"/>
    <s v="L3"/>
    <m/>
    <s v="Oikopolis: at home in the city"/>
    <n v="3"/>
    <x v="1"/>
    <x v="2"/>
    <n v="1"/>
    <n v="0.05"/>
    <n v="1"/>
    <n v="1"/>
    <m/>
  </r>
  <r>
    <s v="2018-19"/>
    <x v="0"/>
    <x v="14"/>
    <s v="L3"/>
    <m/>
    <s v="Oikopolis: at home in the city"/>
    <n v="4"/>
    <x v="0"/>
    <x v="3"/>
    <n v="0"/>
    <n v="0.14000000000000001"/>
    <n v="1"/>
    <n v="0"/>
    <m/>
  </r>
  <r>
    <s v="2018-19"/>
    <x v="0"/>
    <x v="14"/>
    <s v="L3"/>
    <m/>
    <s v="Oikopolis: at home in the city"/>
    <n v="4"/>
    <x v="1"/>
    <x v="3"/>
    <n v="1"/>
    <n v="0.14000000000000001"/>
    <n v="1"/>
    <n v="1"/>
    <m/>
  </r>
  <r>
    <s v="2018-19"/>
    <x v="0"/>
    <x v="14"/>
    <s v="L3"/>
    <m/>
    <s v="Oikopolis: at home in the city"/>
    <n v="5"/>
    <x v="0"/>
    <x v="4"/>
    <n v="0"/>
    <n v="0.11"/>
    <n v="1"/>
    <n v="0"/>
    <m/>
  </r>
  <r>
    <s v="2018-19"/>
    <x v="0"/>
    <x v="14"/>
    <s v="L3"/>
    <m/>
    <s v="Oikopolis: at home in the city"/>
    <n v="5"/>
    <x v="1"/>
    <x v="4"/>
    <n v="1"/>
    <n v="0.11"/>
    <n v="1"/>
    <n v="1"/>
    <m/>
  </r>
  <r>
    <s v="2018-19"/>
    <x v="0"/>
    <x v="14"/>
    <s v="L3"/>
    <m/>
    <s v="Oikopolis: at home in the city"/>
    <n v="6"/>
    <x v="0"/>
    <x v="5"/>
    <n v="0"/>
    <n v="0.15"/>
    <n v="1"/>
    <n v="0"/>
    <m/>
  </r>
  <r>
    <s v="2018-19"/>
    <x v="0"/>
    <x v="14"/>
    <s v="L3"/>
    <m/>
    <s v="Oikopolis: at home in the city"/>
    <n v="6"/>
    <x v="1"/>
    <x v="5"/>
    <n v="1"/>
    <n v="0.15"/>
    <n v="1"/>
    <n v="1"/>
    <m/>
  </r>
  <r>
    <s v="2018-19"/>
    <x v="0"/>
    <x v="14"/>
    <s v="L3"/>
    <m/>
    <s v="Oikopolis: at home in the city"/>
    <n v="7"/>
    <x v="0"/>
    <x v="6"/>
    <n v="1"/>
    <n v="0.1"/>
    <n v="1"/>
    <n v="1"/>
    <m/>
  </r>
  <r>
    <s v="2018-19"/>
    <x v="0"/>
    <x v="14"/>
    <s v="L3"/>
    <m/>
    <s v="Oikopolis: at home in the city"/>
    <n v="7"/>
    <x v="1"/>
    <x v="6"/>
    <n v="0"/>
    <n v="0.1"/>
    <n v="1"/>
    <n v="0"/>
    <m/>
  </r>
  <r>
    <s v="2018-19"/>
    <x v="0"/>
    <x v="14"/>
    <s v="L3"/>
    <m/>
    <s v="Oikopolis: at home in the city"/>
    <n v="8"/>
    <x v="0"/>
    <x v="7"/>
    <n v="1"/>
    <n v="0.1"/>
    <n v="1"/>
    <n v="1"/>
    <m/>
  </r>
  <r>
    <s v="2018-19"/>
    <x v="0"/>
    <x v="14"/>
    <s v="L3"/>
    <m/>
    <s v="Oikopolis: at home in the city"/>
    <n v="8"/>
    <x v="1"/>
    <x v="7"/>
    <n v="0"/>
    <n v="0.1"/>
    <n v="1"/>
    <n v="0"/>
    <m/>
  </r>
  <r>
    <s v="2018-19"/>
    <x v="0"/>
    <x v="14"/>
    <s v="L3"/>
    <m/>
    <s v="Oikopolis: at home in the city"/>
    <n v="9"/>
    <x v="0"/>
    <x v="8"/>
    <n v="1"/>
    <n v="0.05"/>
    <n v="0.85"/>
    <n v="1"/>
    <m/>
  </r>
  <r>
    <s v="2018-19"/>
    <x v="0"/>
    <x v="14"/>
    <s v="L3"/>
    <m/>
    <s v="Oikopolis: at home in the city"/>
    <n v="9"/>
    <x v="1"/>
    <x v="8"/>
    <n v="1"/>
    <n v="0.05"/>
    <n v="0.85"/>
    <n v="1"/>
    <m/>
  </r>
  <r>
    <s v="2018-19"/>
    <x v="0"/>
    <x v="14"/>
    <s v="L3"/>
    <m/>
    <s v="Oikopolis: at home in the city"/>
    <n v="10"/>
    <x v="0"/>
    <x v="8"/>
    <n v="1"/>
    <n v="0.05"/>
    <n v="0.85"/>
    <n v="1"/>
    <m/>
  </r>
  <r>
    <s v="2018-19"/>
    <x v="0"/>
    <x v="14"/>
    <s v="L3"/>
    <m/>
    <s v="Oikopolis: at home in the city"/>
    <n v="10"/>
    <x v="1"/>
    <x v="8"/>
    <n v="1"/>
    <n v="0.05"/>
    <n v="0.85"/>
    <n v="1"/>
    <m/>
  </r>
  <r>
    <s v="2018-19"/>
    <x v="0"/>
    <x v="14"/>
    <s v="L3"/>
    <m/>
    <s v="Oikopolis: at home in the city"/>
    <n v="11"/>
    <x v="0"/>
    <x v="9"/>
    <n v="0"/>
    <n v="0.05"/>
    <n v="1"/>
    <n v="0"/>
    <m/>
  </r>
  <r>
    <s v="2018-19"/>
    <x v="0"/>
    <x v="14"/>
    <s v="L3"/>
    <m/>
    <s v="Oikopolis: at home in the city"/>
    <n v="11"/>
    <x v="1"/>
    <x v="9"/>
    <n v="-1"/>
    <n v="0.05"/>
    <n v="1"/>
    <n v="-1"/>
    <m/>
  </r>
  <r>
    <s v="2018-19"/>
    <x v="0"/>
    <x v="15"/>
    <s v="L3"/>
    <m/>
    <s v="Spaces for place, people and programme"/>
    <n v="1"/>
    <x v="0"/>
    <x v="0"/>
    <n v="1"/>
    <n v="0.12"/>
    <n v="1"/>
    <n v="1"/>
    <m/>
  </r>
  <r>
    <s v="2018-19"/>
    <x v="0"/>
    <x v="15"/>
    <s v="L3"/>
    <m/>
    <s v="Spaces for place, people and programme"/>
    <n v="1"/>
    <x v="1"/>
    <x v="0"/>
    <n v="1"/>
    <n v="0.12"/>
    <n v="1"/>
    <n v="1"/>
    <m/>
  </r>
  <r>
    <s v="2018-19"/>
    <x v="0"/>
    <x v="15"/>
    <s v="L3"/>
    <m/>
    <s v="Spaces for place, people and programme"/>
    <n v="2"/>
    <x v="0"/>
    <x v="1"/>
    <m/>
    <n v="0.08"/>
    <n v="0.8"/>
    <n v="0"/>
    <m/>
  </r>
  <r>
    <s v="2018-19"/>
    <x v="0"/>
    <x v="15"/>
    <s v="L3"/>
    <m/>
    <s v="Spaces for place, people and programme"/>
    <n v="2"/>
    <x v="1"/>
    <x v="1"/>
    <n v="1"/>
    <n v="0.08"/>
    <n v="0.8"/>
    <n v="1"/>
    <m/>
  </r>
  <r>
    <s v="2018-19"/>
    <x v="0"/>
    <x v="15"/>
    <s v="L3"/>
    <m/>
    <s v="Spaces for place, people and programme"/>
    <n v="3"/>
    <x v="0"/>
    <x v="2"/>
    <n v="1"/>
    <n v="0.05"/>
    <n v="1"/>
    <n v="1"/>
    <m/>
  </r>
  <r>
    <s v="2018-19"/>
    <x v="0"/>
    <x v="15"/>
    <s v="L3"/>
    <m/>
    <s v="Spaces for place, people and programme"/>
    <n v="3"/>
    <x v="1"/>
    <x v="2"/>
    <n v="0"/>
    <n v="0.05"/>
    <n v="1"/>
    <n v="0"/>
    <m/>
  </r>
  <r>
    <s v="2018-19"/>
    <x v="0"/>
    <x v="15"/>
    <s v="L3"/>
    <m/>
    <s v="Spaces for place, people and programme"/>
    <n v="4"/>
    <x v="0"/>
    <x v="3"/>
    <n v="-1"/>
    <n v="0.14000000000000001"/>
    <n v="1"/>
    <n v="-1"/>
    <m/>
  </r>
  <r>
    <s v="2018-19"/>
    <x v="0"/>
    <x v="15"/>
    <s v="L3"/>
    <m/>
    <s v="Spaces for place, people and programme"/>
    <n v="4"/>
    <x v="1"/>
    <x v="3"/>
    <n v="0"/>
    <n v="0.14000000000000001"/>
    <n v="1"/>
    <n v="0"/>
    <m/>
  </r>
  <r>
    <s v="2018-19"/>
    <x v="0"/>
    <x v="15"/>
    <s v="L3"/>
    <m/>
    <s v="Spaces for place, people and programme"/>
    <n v="5"/>
    <x v="0"/>
    <x v="4"/>
    <n v="-1"/>
    <n v="0.11"/>
    <n v="1"/>
    <n v="-1"/>
    <m/>
  </r>
  <r>
    <s v="2018-19"/>
    <x v="0"/>
    <x v="15"/>
    <s v="L3"/>
    <m/>
    <s v="Spaces for place, people and programme"/>
    <n v="5"/>
    <x v="1"/>
    <x v="4"/>
    <n v="0"/>
    <n v="0.11"/>
    <n v="1"/>
    <n v="0"/>
    <m/>
  </r>
  <r>
    <s v="2018-19"/>
    <x v="0"/>
    <x v="15"/>
    <s v="L3"/>
    <m/>
    <s v="Spaces for place, people and programme"/>
    <n v="6"/>
    <x v="0"/>
    <x v="5"/>
    <n v="0"/>
    <n v="0.15"/>
    <n v="1"/>
    <n v="0"/>
    <m/>
  </r>
  <r>
    <s v="2018-19"/>
    <x v="0"/>
    <x v="15"/>
    <s v="L3"/>
    <m/>
    <s v="Spaces for place, people and programme"/>
    <n v="6"/>
    <x v="1"/>
    <x v="5"/>
    <n v="0"/>
    <n v="0.15"/>
    <n v="1"/>
    <n v="0"/>
    <m/>
  </r>
  <r>
    <s v="2018-19"/>
    <x v="0"/>
    <x v="15"/>
    <s v="L3"/>
    <m/>
    <s v="Spaces for place, people and programme"/>
    <n v="7"/>
    <x v="0"/>
    <x v="6"/>
    <n v="-1"/>
    <n v="0.1"/>
    <n v="1"/>
    <n v="-1"/>
    <m/>
  </r>
  <r>
    <s v="2018-19"/>
    <x v="0"/>
    <x v="15"/>
    <s v="L3"/>
    <m/>
    <s v="Spaces for place, people and programme"/>
    <n v="7"/>
    <x v="1"/>
    <x v="6"/>
    <n v="-1"/>
    <n v="0.1"/>
    <n v="1"/>
    <n v="-1"/>
    <m/>
  </r>
  <r>
    <s v="2018-19"/>
    <x v="0"/>
    <x v="15"/>
    <s v="L3"/>
    <m/>
    <s v="Spaces for place, people and programme"/>
    <n v="8"/>
    <x v="0"/>
    <x v="7"/>
    <n v="-1"/>
    <n v="0.1"/>
    <n v="1"/>
    <n v="-1"/>
    <m/>
  </r>
  <r>
    <s v="2018-19"/>
    <x v="0"/>
    <x v="15"/>
    <s v="L3"/>
    <m/>
    <s v="Spaces for place, people and programme"/>
    <n v="8"/>
    <x v="1"/>
    <x v="7"/>
    <n v="-1"/>
    <n v="0.1"/>
    <n v="1"/>
    <n v="-1"/>
    <m/>
  </r>
  <r>
    <s v="2018-19"/>
    <x v="0"/>
    <x v="15"/>
    <s v="L3"/>
    <m/>
    <s v="Spaces for place, people and programme"/>
    <n v="9"/>
    <x v="0"/>
    <x v="8"/>
    <n v="-1"/>
    <n v="0.05"/>
    <n v="0.85"/>
    <n v="-1"/>
    <m/>
  </r>
  <r>
    <s v="2018-19"/>
    <x v="0"/>
    <x v="15"/>
    <s v="L3"/>
    <m/>
    <s v="Spaces for place, people and programme"/>
    <n v="9"/>
    <x v="1"/>
    <x v="8"/>
    <n v="0"/>
    <n v="0.05"/>
    <n v="0.85"/>
    <n v="0"/>
    <m/>
  </r>
  <r>
    <s v="2018-19"/>
    <x v="0"/>
    <x v="15"/>
    <s v="L3"/>
    <m/>
    <s v="Spaces for place, people and programme"/>
    <n v="10"/>
    <x v="0"/>
    <x v="8"/>
    <n v="-1"/>
    <n v="0.05"/>
    <n v="0.85"/>
    <n v="-1"/>
    <m/>
  </r>
  <r>
    <s v="2018-19"/>
    <x v="0"/>
    <x v="15"/>
    <s v="L3"/>
    <m/>
    <s v="Spaces for place, people and programme"/>
    <n v="10"/>
    <x v="1"/>
    <x v="8"/>
    <n v="0"/>
    <n v="0.05"/>
    <n v="0.85"/>
    <n v="0"/>
    <m/>
  </r>
  <r>
    <s v="2018-19"/>
    <x v="0"/>
    <x v="15"/>
    <s v="L3"/>
    <m/>
    <s v="Spaces for place, people and programme"/>
    <n v="11"/>
    <x v="0"/>
    <x v="9"/>
    <n v="-1"/>
    <n v="0.05"/>
    <n v="1"/>
    <n v="-1"/>
    <m/>
  </r>
  <r>
    <s v="2018-19"/>
    <x v="0"/>
    <x v="15"/>
    <s v="L3"/>
    <m/>
    <s v="Spaces for place, people and programme"/>
    <n v="11"/>
    <x v="1"/>
    <x v="9"/>
    <n v="-1"/>
    <n v="0.05"/>
    <n v="1"/>
    <n v="-1"/>
    <m/>
  </r>
  <r>
    <s v="2018-19"/>
    <x v="1"/>
    <x v="0"/>
    <s v="L2"/>
    <s v="Visualization and Communication"/>
    <s v="The Purpose of Architecture : Exploring Design Interventions and Strategies"/>
    <n v="1"/>
    <x v="0"/>
    <x v="0"/>
    <n v="1"/>
    <n v="0.12"/>
    <n v="1"/>
    <n v="1"/>
    <m/>
  </r>
  <r>
    <s v="2018-19"/>
    <x v="1"/>
    <x v="0"/>
    <s v="L2"/>
    <s v="Visualization and Communication"/>
    <s v="The Purpose of Architecture : Exploring Design Interventions and Strategies"/>
    <n v="1"/>
    <x v="1"/>
    <x v="0"/>
    <n v="1"/>
    <n v="0.12"/>
    <n v="1"/>
    <n v="1"/>
    <m/>
  </r>
  <r>
    <s v="2018-19"/>
    <x v="1"/>
    <x v="0"/>
    <s v="L2"/>
    <s v="Visualization and Communication"/>
    <s v="The Purpose of Architecture : Exploring Design Interventions and Strategies"/>
    <n v="2"/>
    <x v="0"/>
    <x v="1"/>
    <n v="1"/>
    <n v="0.08"/>
    <n v="0.8"/>
    <n v="1"/>
    <m/>
  </r>
  <r>
    <s v="2018-19"/>
    <x v="1"/>
    <x v="0"/>
    <s v="L2"/>
    <s v="Visualization and Communication"/>
    <s v="The Purpose of Architecture : Exploring Design Interventions and Strategies"/>
    <n v="2"/>
    <x v="1"/>
    <x v="1"/>
    <n v="1"/>
    <n v="0.08"/>
    <n v="0.8"/>
    <n v="1"/>
    <m/>
  </r>
  <r>
    <s v="2018-19"/>
    <x v="1"/>
    <x v="0"/>
    <s v="L2"/>
    <s v="Visualization and Communication"/>
    <s v="The Purpose of Architecture : Exploring Design Interventions and Strategies"/>
    <n v="3"/>
    <x v="0"/>
    <x v="2"/>
    <n v="1"/>
    <n v="0.05"/>
    <n v="1"/>
    <n v="1"/>
    <m/>
  </r>
  <r>
    <s v="2018-19"/>
    <x v="1"/>
    <x v="0"/>
    <s v="L2"/>
    <s v="Visualization and Communication"/>
    <s v="The Purpose of Architecture : Exploring Design Interventions and Strategies"/>
    <n v="3"/>
    <x v="1"/>
    <x v="2"/>
    <n v="-1"/>
    <n v="0.05"/>
    <n v="1"/>
    <n v="-1"/>
    <s v="Very narrowly conceptualised"/>
  </r>
  <r>
    <s v="2018-19"/>
    <x v="1"/>
    <x v="0"/>
    <s v="L2"/>
    <s v="Visualization and Communication"/>
    <s v="The Purpose of Architecture : Exploring Design Interventions and Strategies"/>
    <n v="4"/>
    <x v="0"/>
    <x v="3"/>
    <n v="1"/>
    <n v="0.14000000000000001"/>
    <n v="1"/>
    <n v="1"/>
    <m/>
  </r>
  <r>
    <s v="2018-19"/>
    <x v="1"/>
    <x v="0"/>
    <s v="L2"/>
    <s v="Visualization and Communication"/>
    <s v="The Purpose of Architecture : Exploring Design Interventions and Strategies"/>
    <n v="4"/>
    <x v="1"/>
    <x v="3"/>
    <n v="-1"/>
    <n v="0.14000000000000001"/>
    <n v="1"/>
    <n v="-1"/>
    <s v="Students have failed to grapple with the problem"/>
  </r>
  <r>
    <s v="2018-19"/>
    <x v="1"/>
    <x v="0"/>
    <s v="L2"/>
    <s v="Visualization and Communication"/>
    <s v="The Purpose of Architecture : Exploring Design Interventions and Strategies"/>
    <n v="5"/>
    <x v="0"/>
    <x v="4"/>
    <n v="1"/>
    <n v="0.11"/>
    <n v="1"/>
    <n v="1"/>
    <m/>
  </r>
  <r>
    <s v="2018-19"/>
    <x v="1"/>
    <x v="0"/>
    <s v="L2"/>
    <s v="Visualization and Communication"/>
    <s v="The Purpose of Architecture : Exploring Design Interventions and Strategies"/>
    <n v="5"/>
    <x v="1"/>
    <x v="4"/>
    <n v="-1"/>
    <n v="0.11"/>
    <n v="1"/>
    <n v="-1"/>
    <s v="The process appears very fragmented and lacks continuity"/>
  </r>
  <r>
    <s v="2018-19"/>
    <x v="1"/>
    <x v="0"/>
    <s v="L2"/>
    <s v="Visualization and Communication"/>
    <s v="The Purpose of Architecture : Exploring Design Interventions and Strategies"/>
    <n v="6"/>
    <x v="0"/>
    <x v="5"/>
    <n v="1"/>
    <n v="0.15"/>
    <n v="1"/>
    <n v="1"/>
    <m/>
  </r>
  <r>
    <s v="2018-19"/>
    <x v="1"/>
    <x v="0"/>
    <s v="L2"/>
    <s v="Visualization and Communication"/>
    <s v="The Purpose of Architecture : Exploring Design Interventions and Strategies"/>
    <n v="6"/>
    <x v="1"/>
    <x v="5"/>
    <n v="-1"/>
    <n v="0.15"/>
    <n v="1"/>
    <n v="-1"/>
    <s v="Quite unispiring"/>
  </r>
  <r>
    <s v="2018-19"/>
    <x v="1"/>
    <x v="0"/>
    <s v="L2"/>
    <s v="Visualization and Communication"/>
    <s v="The Purpose of Architecture : Exploring Design Interventions and Strategies"/>
    <n v="7"/>
    <x v="0"/>
    <x v="6"/>
    <n v="0"/>
    <n v="0.1"/>
    <n v="1"/>
    <n v="0"/>
    <m/>
  </r>
  <r>
    <s v="2018-19"/>
    <x v="1"/>
    <x v="0"/>
    <s v="L2"/>
    <s v="Visualization and Communication"/>
    <s v="The Purpose of Architecture : Exploring Design Interventions and Strategies"/>
    <n v="7"/>
    <x v="1"/>
    <x v="6"/>
    <n v="-1"/>
    <n v="0.1"/>
    <n v="1"/>
    <n v="-1"/>
    <s v="Yes, it’s full of loose ends and the medium is quite broken."/>
  </r>
  <r>
    <s v="2018-19"/>
    <x v="1"/>
    <x v="0"/>
    <s v="L2"/>
    <s v="Visualization and Communication"/>
    <s v="The Purpose of Architecture : Exploring Design Interventions and Strategies"/>
    <n v="8"/>
    <x v="0"/>
    <x v="7"/>
    <n v="0"/>
    <n v="0.1"/>
    <n v="1"/>
    <n v="0"/>
    <m/>
  </r>
  <r>
    <s v="2018-19"/>
    <x v="1"/>
    <x v="0"/>
    <s v="L2"/>
    <s v="Visualization and Communication"/>
    <s v="The Purpose of Architecture : Exploring Design Interventions and Strategies"/>
    <n v="8"/>
    <x v="1"/>
    <x v="7"/>
    <n v="0"/>
    <n v="0.1"/>
    <n v="1"/>
    <n v="0"/>
    <m/>
  </r>
  <r>
    <s v="2018-19"/>
    <x v="1"/>
    <x v="0"/>
    <s v="L2"/>
    <s v="Visualization and Communication"/>
    <s v="The Purpose of Architecture : Exploring Design Interventions and Strategies"/>
    <n v="9"/>
    <x v="0"/>
    <x v="8"/>
    <n v="0"/>
    <n v="0.05"/>
    <n v="0.85"/>
    <n v="0"/>
    <m/>
  </r>
  <r>
    <s v="2018-19"/>
    <x v="1"/>
    <x v="0"/>
    <s v="L2"/>
    <s v="Visualization and Communication"/>
    <s v="The Purpose of Architecture : Exploring Design Interventions and Strategies"/>
    <n v="9"/>
    <x v="1"/>
    <x v="8"/>
    <n v="0"/>
    <n v="0.05"/>
    <n v="0.85"/>
    <n v="0"/>
    <m/>
  </r>
  <r>
    <s v="2018-19"/>
    <x v="1"/>
    <x v="0"/>
    <s v="L2"/>
    <s v="Visualization and Communication"/>
    <s v="The Purpose of Architecture : Exploring Design Interventions and Strategies"/>
    <n v="10"/>
    <x v="0"/>
    <x v="8"/>
    <n v="0"/>
    <n v="0.05"/>
    <n v="0.85"/>
    <n v="0"/>
    <m/>
  </r>
  <r>
    <s v="2018-19"/>
    <x v="1"/>
    <x v="0"/>
    <s v="L2"/>
    <s v="Visualization and Communication"/>
    <s v="The Purpose of Architecture : Exploring Design Interventions and Strategies"/>
    <n v="10"/>
    <x v="1"/>
    <x v="8"/>
    <n v="0"/>
    <n v="0.05"/>
    <n v="0.85"/>
    <n v="0"/>
    <m/>
  </r>
  <r>
    <s v="2018-19"/>
    <x v="1"/>
    <x v="0"/>
    <s v="L2"/>
    <s v="Visualization and Communication"/>
    <s v="The Purpose of Architecture : Exploring Design Interventions and Strategies"/>
    <n v="11"/>
    <x v="0"/>
    <x v="9"/>
    <n v="0"/>
    <n v="0.05"/>
    <n v="1"/>
    <n v="0"/>
    <m/>
  </r>
  <r>
    <s v="2018-19"/>
    <x v="1"/>
    <x v="0"/>
    <s v="L2"/>
    <s v="Visualization and Communication"/>
    <s v="The Purpose of Architecture : Exploring Design Interventions and Strategies"/>
    <n v="11"/>
    <x v="1"/>
    <x v="9"/>
    <n v="-1"/>
    <n v="0.05"/>
    <n v="1"/>
    <n v="-1"/>
    <s v="Absolutley not"/>
  </r>
  <r>
    <s v="2018-19"/>
    <x v="1"/>
    <x v="1"/>
    <s v="L2"/>
    <s v="Constructing and Specifying"/>
    <s v="Strange Details"/>
    <n v="1"/>
    <x v="0"/>
    <x v="0"/>
    <n v="0"/>
    <n v="0.12"/>
    <n v="1"/>
    <n v="0"/>
    <m/>
  </r>
  <r>
    <s v="2018-19"/>
    <x v="1"/>
    <x v="1"/>
    <s v="L2"/>
    <s v="Constructing and Specifying"/>
    <s v="Strange Details"/>
    <n v="1"/>
    <x v="1"/>
    <x v="0"/>
    <n v="1"/>
    <n v="0.12"/>
    <n v="1"/>
    <n v="1"/>
    <m/>
  </r>
  <r>
    <s v="2018-19"/>
    <x v="1"/>
    <x v="1"/>
    <s v="L2"/>
    <s v="Constructing and Specifying"/>
    <s v="Strange Details"/>
    <n v="2"/>
    <x v="0"/>
    <x v="1"/>
    <n v="0"/>
    <n v="0.08"/>
    <n v="0.8"/>
    <n v="0"/>
    <m/>
  </r>
  <r>
    <s v="2018-19"/>
    <x v="1"/>
    <x v="1"/>
    <s v="L2"/>
    <s v="Constructing and Specifying"/>
    <s v="Strange Details"/>
    <n v="2"/>
    <x v="1"/>
    <x v="1"/>
    <n v="1"/>
    <n v="0.08"/>
    <n v="0.8"/>
    <n v="1"/>
    <m/>
  </r>
  <r>
    <s v="2018-19"/>
    <x v="1"/>
    <x v="1"/>
    <s v="L2"/>
    <s v="Constructing and Specifying"/>
    <s v="Strange Details"/>
    <n v="3"/>
    <x v="0"/>
    <x v="2"/>
    <n v="1"/>
    <n v="0.05"/>
    <n v="1"/>
    <n v="1"/>
    <s v="It needs to improve. Lacks clarity"/>
  </r>
  <r>
    <s v="2018-19"/>
    <x v="1"/>
    <x v="1"/>
    <s v="L2"/>
    <s v="Constructing and Specifying"/>
    <s v="Strange Details"/>
    <n v="3"/>
    <x v="1"/>
    <x v="2"/>
    <n v="0"/>
    <n v="0.05"/>
    <n v="1"/>
    <n v="0"/>
    <m/>
  </r>
  <r>
    <s v="2018-19"/>
    <x v="1"/>
    <x v="1"/>
    <s v="L2"/>
    <s v="Constructing and Specifying"/>
    <s v="Strange Details"/>
    <n v="4"/>
    <x v="0"/>
    <x v="3"/>
    <n v="0"/>
    <n v="0.14000000000000001"/>
    <n v="1"/>
    <n v="0"/>
    <s v="To an extant."/>
  </r>
  <r>
    <s v="2018-19"/>
    <x v="1"/>
    <x v="1"/>
    <s v="L2"/>
    <s v="Constructing and Specifying"/>
    <s v="Strange Details"/>
    <n v="4"/>
    <x v="1"/>
    <x v="3"/>
    <n v="0"/>
    <n v="0.14000000000000001"/>
    <n v="1"/>
    <n v="0"/>
    <m/>
  </r>
  <r>
    <s v="2018-19"/>
    <x v="1"/>
    <x v="1"/>
    <s v="L2"/>
    <s v="Constructing and Specifying"/>
    <s v="Strange Details"/>
    <n v="5"/>
    <x v="0"/>
    <x v="4"/>
    <n v="0"/>
    <n v="0.11"/>
    <n v="1"/>
    <n v="0"/>
    <m/>
  </r>
  <r>
    <s v="2018-19"/>
    <x v="1"/>
    <x v="1"/>
    <s v="L2"/>
    <s v="Constructing and Specifying"/>
    <s v="Strange Details"/>
    <n v="5"/>
    <x v="1"/>
    <x v="4"/>
    <n v="-1"/>
    <n v="0.11"/>
    <n v="1"/>
    <n v="-1"/>
    <s v="No"/>
  </r>
  <r>
    <s v="2018-19"/>
    <x v="1"/>
    <x v="1"/>
    <s v="L2"/>
    <s v="Constructing and Specifying"/>
    <s v="Strange Details"/>
    <n v="6"/>
    <x v="0"/>
    <x v="5"/>
    <n v="0"/>
    <n v="0.15"/>
    <n v="1"/>
    <n v="0"/>
    <m/>
  </r>
  <r>
    <s v="2018-19"/>
    <x v="1"/>
    <x v="1"/>
    <s v="L2"/>
    <s v="Constructing and Specifying"/>
    <s v="Strange Details"/>
    <n v="6"/>
    <x v="1"/>
    <x v="5"/>
    <n v="-1"/>
    <n v="0.15"/>
    <n v="1"/>
    <n v="-1"/>
    <s v="No"/>
  </r>
  <r>
    <s v="2018-19"/>
    <x v="1"/>
    <x v="1"/>
    <s v="L2"/>
    <s v="Constructing and Specifying"/>
    <s v="Strange Details"/>
    <n v="7"/>
    <x v="0"/>
    <x v="6"/>
    <n v="0"/>
    <n v="0.1"/>
    <n v="1"/>
    <n v="0"/>
    <m/>
  </r>
  <r>
    <s v="2018-19"/>
    <x v="1"/>
    <x v="1"/>
    <s v="L2"/>
    <s v="Constructing and Specifying"/>
    <s v="Strange Details"/>
    <n v="7"/>
    <x v="1"/>
    <x v="6"/>
    <n v="-1"/>
    <n v="0.1"/>
    <n v="1"/>
    <n v="-1"/>
    <m/>
  </r>
  <r>
    <s v="2018-19"/>
    <x v="1"/>
    <x v="1"/>
    <s v="L2"/>
    <s v="Constructing and Specifying"/>
    <s v="Strange Details"/>
    <n v="8"/>
    <x v="0"/>
    <x v="7"/>
    <n v="0"/>
    <n v="0.1"/>
    <n v="1"/>
    <n v="0"/>
    <m/>
  </r>
  <r>
    <s v="2018-19"/>
    <x v="1"/>
    <x v="1"/>
    <s v="L2"/>
    <s v="Constructing and Specifying"/>
    <s v="Strange Details"/>
    <n v="8"/>
    <x v="1"/>
    <x v="7"/>
    <n v="-1"/>
    <n v="0.1"/>
    <n v="1"/>
    <n v="-1"/>
    <s v="Mediocre"/>
  </r>
  <r>
    <s v="2018-19"/>
    <x v="1"/>
    <x v="1"/>
    <s v="L2"/>
    <s v="Constructing and Specifying"/>
    <s v="Strange Details"/>
    <n v="9"/>
    <x v="0"/>
    <x v="8"/>
    <n v="0"/>
    <n v="0.05"/>
    <n v="0.85"/>
    <n v="0"/>
    <m/>
  </r>
  <r>
    <s v="2018-19"/>
    <x v="1"/>
    <x v="1"/>
    <s v="L2"/>
    <s v="Constructing and Specifying"/>
    <s v="Strange Details"/>
    <n v="9"/>
    <x v="1"/>
    <x v="8"/>
    <n v="1"/>
    <n v="0.05"/>
    <n v="0.85"/>
    <n v="1"/>
    <m/>
  </r>
  <r>
    <s v="2018-19"/>
    <x v="1"/>
    <x v="1"/>
    <s v="L2"/>
    <s v="Constructing and Specifying"/>
    <s v="Strange Details"/>
    <n v="10"/>
    <x v="0"/>
    <x v="8"/>
    <n v="-1"/>
    <n v="0.05"/>
    <n v="0.85"/>
    <n v="-1"/>
    <m/>
  </r>
  <r>
    <s v="2018-19"/>
    <x v="1"/>
    <x v="1"/>
    <s v="L2"/>
    <s v="Constructing and Specifying"/>
    <s v="Strange Details"/>
    <n v="10"/>
    <x v="1"/>
    <x v="8"/>
    <n v="1"/>
    <n v="0.05"/>
    <n v="0.85"/>
    <n v="1"/>
    <m/>
  </r>
  <r>
    <s v="2018-19"/>
    <x v="1"/>
    <x v="1"/>
    <s v="L2"/>
    <s v="Constructing and Specifying"/>
    <s v="Strange Details"/>
    <n v="11"/>
    <x v="0"/>
    <x v="9"/>
    <n v="0"/>
    <n v="0.05"/>
    <n v="1"/>
    <n v="0"/>
    <m/>
  </r>
  <r>
    <s v="2018-19"/>
    <x v="1"/>
    <x v="1"/>
    <s v="L2"/>
    <s v="Constructing and Specifying"/>
    <s v="Strange Details"/>
    <n v="11"/>
    <x v="1"/>
    <x v="9"/>
    <n v="-1"/>
    <n v="0.05"/>
    <n v="1"/>
    <n v="-1"/>
    <s v="N0."/>
  </r>
  <r>
    <s v="2018-19"/>
    <x v="1"/>
    <x v="2"/>
    <s v="L2"/>
    <s v="Spatial Planning and Organization"/>
    <s v="Of Immediate and Afar"/>
    <n v="1"/>
    <x v="0"/>
    <x v="0"/>
    <n v="-1"/>
    <n v="0.12"/>
    <n v="1"/>
    <n v="-1"/>
    <m/>
  </r>
  <r>
    <s v="2018-19"/>
    <x v="1"/>
    <x v="2"/>
    <s v="L2"/>
    <s v="Spatial Planning and Organization"/>
    <s v="Of Immediate and Afar"/>
    <n v="1"/>
    <x v="1"/>
    <x v="0"/>
    <n v="1"/>
    <n v="0.12"/>
    <n v="1"/>
    <n v="1"/>
    <m/>
  </r>
  <r>
    <s v="2018-19"/>
    <x v="1"/>
    <x v="2"/>
    <s v="L2"/>
    <s v="Spatial Planning and Organization"/>
    <s v="Of Immediate and Afar"/>
    <n v="2"/>
    <x v="0"/>
    <x v="1"/>
    <n v="0"/>
    <n v="0.08"/>
    <n v="0.8"/>
    <n v="0"/>
    <m/>
  </r>
  <r>
    <s v="2018-19"/>
    <x v="1"/>
    <x v="2"/>
    <s v="L2"/>
    <s v="Spatial Planning and Organization"/>
    <s v="Of Immediate and Afar"/>
    <n v="2"/>
    <x v="1"/>
    <x v="1"/>
    <n v="1"/>
    <n v="0.08"/>
    <n v="0.8"/>
    <n v="1"/>
    <m/>
  </r>
  <r>
    <s v="2018-19"/>
    <x v="1"/>
    <x v="2"/>
    <s v="L2"/>
    <s v="Spatial Planning and Organization"/>
    <s v="Of Immediate and Afar"/>
    <n v="3"/>
    <x v="0"/>
    <x v="2"/>
    <n v="0"/>
    <n v="0.05"/>
    <n v="1"/>
    <n v="0"/>
    <m/>
  </r>
  <r>
    <s v="2018-19"/>
    <x v="1"/>
    <x v="2"/>
    <s v="L2"/>
    <s v="Spatial Planning and Organization"/>
    <s v="Of Immediate and Afar"/>
    <n v="3"/>
    <x v="1"/>
    <x v="2"/>
    <n v="1"/>
    <n v="0.05"/>
    <n v="1"/>
    <n v="1"/>
    <m/>
  </r>
  <r>
    <s v="2018-19"/>
    <x v="1"/>
    <x v="2"/>
    <s v="L2"/>
    <s v="Spatial Planning and Organization"/>
    <s v="Of Immediate and Afar"/>
    <n v="4"/>
    <x v="0"/>
    <x v="3"/>
    <n v="0"/>
    <n v="0.14000000000000001"/>
    <n v="1"/>
    <n v="0"/>
    <m/>
  </r>
  <r>
    <s v="2018-19"/>
    <x v="1"/>
    <x v="2"/>
    <s v="L2"/>
    <s v="Spatial Planning and Organization"/>
    <s v="Of Immediate and Afar"/>
    <n v="4"/>
    <x v="1"/>
    <x v="3"/>
    <n v="1"/>
    <n v="0.14000000000000001"/>
    <n v="1"/>
    <n v="1"/>
    <m/>
  </r>
  <r>
    <s v="2018-19"/>
    <x v="1"/>
    <x v="2"/>
    <s v="L2"/>
    <s v="Spatial Planning and Organization"/>
    <s v="Of Immediate and Afar"/>
    <n v="5"/>
    <x v="0"/>
    <x v="4"/>
    <n v="0"/>
    <n v="0.11"/>
    <n v="1"/>
    <n v="0"/>
    <m/>
  </r>
  <r>
    <s v="2018-19"/>
    <x v="1"/>
    <x v="2"/>
    <s v="L2"/>
    <s v="Spatial Planning and Organization"/>
    <s v="Of Immediate and Afar"/>
    <n v="5"/>
    <x v="1"/>
    <x v="4"/>
    <n v="1"/>
    <n v="0.11"/>
    <n v="1"/>
    <n v="1"/>
    <m/>
  </r>
  <r>
    <s v="2018-19"/>
    <x v="1"/>
    <x v="2"/>
    <s v="L2"/>
    <s v="Spatial Planning and Organization"/>
    <s v="Of Immediate and Afar"/>
    <n v="6"/>
    <x v="0"/>
    <x v="5"/>
    <n v="0"/>
    <n v="0.15"/>
    <n v="1"/>
    <n v="0"/>
    <m/>
  </r>
  <r>
    <s v="2018-19"/>
    <x v="1"/>
    <x v="2"/>
    <s v="L2"/>
    <s v="Spatial Planning and Organization"/>
    <s v="Of Immediate and Afar"/>
    <n v="6"/>
    <x v="1"/>
    <x v="5"/>
    <n v="1"/>
    <n v="0.15"/>
    <n v="1"/>
    <n v="1"/>
    <s v="Convincing -yes. Ingenious and sophisticated - No."/>
  </r>
  <r>
    <s v="2018-19"/>
    <x v="1"/>
    <x v="2"/>
    <s v="L2"/>
    <s v="Spatial Planning and Organization"/>
    <s v="Of Immediate and Afar"/>
    <n v="7"/>
    <x v="0"/>
    <x v="6"/>
    <n v="0"/>
    <n v="0.1"/>
    <n v="1"/>
    <n v="0"/>
    <m/>
  </r>
  <r>
    <s v="2018-19"/>
    <x v="1"/>
    <x v="2"/>
    <s v="L2"/>
    <s v="Spatial Planning and Organization"/>
    <s v="Of Immediate and Afar"/>
    <n v="7"/>
    <x v="1"/>
    <x v="6"/>
    <n v="0"/>
    <n v="0.1"/>
    <n v="1"/>
    <n v="0"/>
    <s v="There is scope for further improvement."/>
  </r>
  <r>
    <s v="2018-19"/>
    <x v="1"/>
    <x v="2"/>
    <s v="L2"/>
    <s v="Spatial Planning and Organization"/>
    <s v="Of Immediate and Afar"/>
    <n v="8"/>
    <x v="0"/>
    <x v="7"/>
    <n v="0"/>
    <n v="0.1"/>
    <n v="1"/>
    <n v="0"/>
    <m/>
  </r>
  <r>
    <s v="2018-19"/>
    <x v="1"/>
    <x v="2"/>
    <s v="L2"/>
    <s v="Spatial Planning and Organization"/>
    <s v="Of Immediate and Afar"/>
    <n v="8"/>
    <x v="1"/>
    <x v="7"/>
    <n v="0"/>
    <n v="0.1"/>
    <n v="1"/>
    <n v="0"/>
    <s v="Its decent."/>
  </r>
  <r>
    <s v="2018-19"/>
    <x v="1"/>
    <x v="2"/>
    <s v="L2"/>
    <s v="Spatial Planning and Organization"/>
    <s v="Of Immediate and Afar"/>
    <n v="9"/>
    <x v="0"/>
    <x v="8"/>
    <n v="0"/>
    <n v="0.05"/>
    <n v="0.85"/>
    <n v="0"/>
    <m/>
  </r>
  <r>
    <s v="2018-19"/>
    <x v="1"/>
    <x v="2"/>
    <s v="L2"/>
    <s v="Spatial Planning and Organization"/>
    <s v="Of Immediate and Afar"/>
    <n v="9"/>
    <x v="1"/>
    <x v="8"/>
    <n v="1"/>
    <n v="0.05"/>
    <n v="0.85"/>
    <n v="1"/>
    <m/>
  </r>
  <r>
    <s v="2018-19"/>
    <x v="1"/>
    <x v="2"/>
    <s v="L2"/>
    <s v="Spatial Planning and Organization"/>
    <s v="Of Immediate and Afar"/>
    <n v="10"/>
    <x v="0"/>
    <x v="8"/>
    <n v="0"/>
    <n v="0.05"/>
    <n v="0.85"/>
    <n v="0"/>
    <m/>
  </r>
  <r>
    <s v="2018-19"/>
    <x v="1"/>
    <x v="2"/>
    <s v="L2"/>
    <s v="Spatial Planning and Organization"/>
    <s v="Of Immediate and Afar"/>
    <n v="10"/>
    <x v="1"/>
    <x v="8"/>
    <n v="1"/>
    <n v="0.05"/>
    <n v="0.85"/>
    <n v="1"/>
    <m/>
  </r>
  <r>
    <s v="2018-19"/>
    <x v="1"/>
    <x v="2"/>
    <s v="L2"/>
    <s v="Spatial Planning and Organization"/>
    <s v="Of Immediate and Afar"/>
    <n v="11"/>
    <x v="0"/>
    <x v="9"/>
    <n v="0"/>
    <n v="0.05"/>
    <n v="1"/>
    <n v="0"/>
    <m/>
  </r>
  <r>
    <s v="2018-19"/>
    <x v="1"/>
    <x v="2"/>
    <s v="L2"/>
    <s v="Spatial Planning and Organization"/>
    <s v="Of Immediate and Afar"/>
    <n v="11"/>
    <x v="1"/>
    <x v="9"/>
    <n v="0"/>
    <n v="0.05"/>
    <n v="1"/>
    <n v="0"/>
    <s v="No"/>
  </r>
  <r>
    <s v="2018-19"/>
    <x v="1"/>
    <x v="16"/>
    <s v="L2"/>
    <m/>
    <s v="Structure - Material - Space"/>
    <n v="1"/>
    <x v="0"/>
    <x v="0"/>
    <n v="1"/>
    <n v="0.12"/>
    <n v="1"/>
    <n v="1"/>
    <m/>
  </r>
  <r>
    <s v="2018-19"/>
    <x v="1"/>
    <x v="16"/>
    <s v="L2"/>
    <m/>
    <s v="Structure - Material - Space"/>
    <n v="1"/>
    <x v="1"/>
    <x v="0"/>
    <n v="1"/>
    <n v="0.12"/>
    <n v="1"/>
    <n v="1"/>
    <m/>
  </r>
  <r>
    <s v="2018-19"/>
    <x v="1"/>
    <x v="16"/>
    <s v="L2"/>
    <m/>
    <s v="Structure - Material - Space"/>
    <n v="2"/>
    <x v="0"/>
    <x v="1"/>
    <n v="1"/>
    <n v="0.08"/>
    <n v="0.8"/>
    <n v="1"/>
    <m/>
  </r>
  <r>
    <s v="2018-19"/>
    <x v="1"/>
    <x v="16"/>
    <s v="L2"/>
    <m/>
    <s v="Structure - Material - Space"/>
    <n v="2"/>
    <x v="1"/>
    <x v="1"/>
    <n v="1"/>
    <n v="0.08"/>
    <n v="0.8"/>
    <n v="1"/>
    <m/>
  </r>
  <r>
    <s v="2018-19"/>
    <x v="1"/>
    <x v="16"/>
    <s v="L2"/>
    <m/>
    <s v="Structure - Material - Space"/>
    <n v="3"/>
    <x v="0"/>
    <x v="2"/>
    <n v="1"/>
    <n v="0.05"/>
    <n v="1"/>
    <n v="1"/>
    <m/>
  </r>
  <r>
    <s v="2018-19"/>
    <x v="1"/>
    <x v="16"/>
    <s v="L2"/>
    <m/>
    <s v="Structure - Material - Space"/>
    <n v="3"/>
    <x v="1"/>
    <x v="2"/>
    <n v="1"/>
    <n v="0.05"/>
    <n v="1"/>
    <n v="1"/>
    <s v="It appears to be limited within a bracket.It needs to expand and explore newer mediums/methods."/>
  </r>
  <r>
    <s v="2018-19"/>
    <x v="1"/>
    <x v="16"/>
    <s v="L2"/>
    <m/>
    <s v="Structure - Material - Space"/>
    <n v="4"/>
    <x v="0"/>
    <x v="3"/>
    <n v="0"/>
    <n v="0.14000000000000001"/>
    <n v="1"/>
    <n v="0"/>
    <m/>
  </r>
  <r>
    <s v="2018-19"/>
    <x v="1"/>
    <x v="16"/>
    <s v="L2"/>
    <m/>
    <s v="Structure - Material - Space"/>
    <n v="4"/>
    <x v="1"/>
    <x v="3"/>
    <n v="1"/>
    <n v="0.14000000000000001"/>
    <n v="1"/>
    <n v="1"/>
    <m/>
  </r>
  <r>
    <s v="2018-19"/>
    <x v="1"/>
    <x v="16"/>
    <s v="L2"/>
    <m/>
    <s v="Structure - Material - Space"/>
    <n v="5"/>
    <x v="0"/>
    <x v="4"/>
    <n v="0"/>
    <n v="0.11"/>
    <n v="1"/>
    <n v="0"/>
    <m/>
  </r>
  <r>
    <s v="2018-19"/>
    <x v="1"/>
    <x v="16"/>
    <s v="L2"/>
    <m/>
    <s v="Structure - Material - Space"/>
    <n v="5"/>
    <x v="1"/>
    <x v="4"/>
    <n v="1"/>
    <n v="0.11"/>
    <n v="1"/>
    <n v="1"/>
    <m/>
  </r>
  <r>
    <s v="2018-19"/>
    <x v="1"/>
    <x v="16"/>
    <s v="L2"/>
    <m/>
    <s v="Structure - Material - Space"/>
    <n v="6"/>
    <x v="0"/>
    <x v="5"/>
    <n v="0"/>
    <n v="0.15"/>
    <n v="1"/>
    <n v="0"/>
    <m/>
  </r>
  <r>
    <s v="2018-19"/>
    <x v="1"/>
    <x v="16"/>
    <s v="L2"/>
    <m/>
    <s v="Structure - Material - Space"/>
    <n v="6"/>
    <x v="1"/>
    <x v="5"/>
    <n v="1"/>
    <n v="0.15"/>
    <n v="1"/>
    <n v="1"/>
    <s v="yes, Convincing, ingenious and sophisticated."/>
  </r>
  <r>
    <s v="2018-19"/>
    <x v="1"/>
    <x v="16"/>
    <s v="L2"/>
    <m/>
    <s v="Structure - Material - Space"/>
    <n v="7"/>
    <x v="0"/>
    <x v="6"/>
    <n v="1"/>
    <n v="0.1"/>
    <n v="1"/>
    <n v="1"/>
    <m/>
  </r>
  <r>
    <s v="2018-19"/>
    <x v="1"/>
    <x v="16"/>
    <s v="L2"/>
    <m/>
    <s v="Structure - Material - Space"/>
    <n v="7"/>
    <x v="1"/>
    <x v="6"/>
    <n v="1"/>
    <n v="0.1"/>
    <n v="1"/>
    <n v="1"/>
    <s v="Very intense"/>
  </r>
  <r>
    <s v="2018-19"/>
    <x v="1"/>
    <x v="16"/>
    <s v="L2"/>
    <m/>
    <s v="Structure - Material - Space"/>
    <n v="8"/>
    <x v="0"/>
    <x v="7"/>
    <n v="1"/>
    <n v="0.1"/>
    <n v="1"/>
    <n v="1"/>
    <m/>
  </r>
  <r>
    <s v="2018-19"/>
    <x v="1"/>
    <x v="16"/>
    <s v="L2"/>
    <m/>
    <s v="Structure - Material - Space"/>
    <n v="8"/>
    <x v="1"/>
    <x v="7"/>
    <n v="1"/>
    <n v="0.1"/>
    <n v="1"/>
    <n v="1"/>
    <m/>
  </r>
  <r>
    <s v="2018-19"/>
    <x v="1"/>
    <x v="16"/>
    <s v="L2"/>
    <m/>
    <s v="Structure - Material - Space"/>
    <n v="9"/>
    <x v="0"/>
    <x v="8"/>
    <n v="0"/>
    <n v="0.05"/>
    <n v="0.85"/>
    <n v="0"/>
    <m/>
  </r>
  <r>
    <s v="2018-19"/>
    <x v="1"/>
    <x v="16"/>
    <s v="L2"/>
    <m/>
    <s v="Structure - Material - Space"/>
    <n v="9"/>
    <x v="1"/>
    <x v="8"/>
    <n v="1"/>
    <n v="0.05"/>
    <n v="0.85"/>
    <n v="1"/>
    <m/>
  </r>
  <r>
    <s v="2018-19"/>
    <x v="1"/>
    <x v="16"/>
    <s v="L2"/>
    <m/>
    <s v="Structure - Material - Space"/>
    <n v="10"/>
    <x v="0"/>
    <x v="8"/>
    <n v="0"/>
    <n v="0.05"/>
    <n v="0.85"/>
    <n v="0"/>
    <m/>
  </r>
  <r>
    <s v="2018-19"/>
    <x v="1"/>
    <x v="16"/>
    <s v="L2"/>
    <m/>
    <s v="Structure - Material - Space"/>
    <n v="10"/>
    <x v="1"/>
    <x v="8"/>
    <n v="1"/>
    <n v="0.05"/>
    <n v="0.85"/>
    <n v="1"/>
    <m/>
  </r>
  <r>
    <s v="2018-19"/>
    <x v="1"/>
    <x v="16"/>
    <s v="L2"/>
    <m/>
    <s v="Structure - Material - Space"/>
    <n v="11"/>
    <x v="0"/>
    <x v="9"/>
    <n v="0"/>
    <n v="0.05"/>
    <n v="1"/>
    <n v="0"/>
    <m/>
  </r>
  <r>
    <s v="2018-19"/>
    <x v="1"/>
    <x v="16"/>
    <s v="L2"/>
    <m/>
    <s v="Structure - Material - Space"/>
    <n v="11"/>
    <x v="1"/>
    <x v="9"/>
    <n v="1"/>
    <n v="0.05"/>
    <n v="1"/>
    <n v="1"/>
    <s v="Yes."/>
  </r>
  <r>
    <s v="2018-19"/>
    <x v="1"/>
    <x v="3"/>
    <s v="L2"/>
    <s v="Spatial Planning and Organization"/>
    <s v="Re [De] code"/>
    <n v="1"/>
    <x v="0"/>
    <x v="0"/>
    <n v="0"/>
    <n v="0.12"/>
    <n v="1"/>
    <n v="0"/>
    <m/>
  </r>
  <r>
    <s v="2018-19"/>
    <x v="1"/>
    <x v="3"/>
    <s v="L2"/>
    <s v="Spatial Planning and Organization"/>
    <s v="Re [De] code"/>
    <n v="1"/>
    <x v="1"/>
    <x v="0"/>
    <n v="0"/>
    <n v="0.12"/>
    <n v="1"/>
    <n v="0"/>
    <s v="The problem set out is very unclear."/>
  </r>
  <r>
    <s v="2018-19"/>
    <x v="1"/>
    <x v="3"/>
    <s v="L2"/>
    <s v="Spatial Planning and Organization"/>
    <s v="Re [De] code"/>
    <n v="2"/>
    <x v="0"/>
    <x v="1"/>
    <n v="0"/>
    <n v="0.08"/>
    <n v="0.8"/>
    <n v="0"/>
    <m/>
  </r>
  <r>
    <s v="2018-19"/>
    <x v="1"/>
    <x v="3"/>
    <s v="L2"/>
    <s v="Spatial Planning and Organization"/>
    <s v="Re [De] code"/>
    <n v="2"/>
    <x v="1"/>
    <x v="1"/>
    <n v="1"/>
    <n v="0.08"/>
    <n v="0.8"/>
    <n v="1"/>
    <m/>
  </r>
  <r>
    <s v="2018-19"/>
    <x v="1"/>
    <x v="3"/>
    <s v="L2"/>
    <s v="Spatial Planning and Organization"/>
    <s v="Re [De] code"/>
    <n v="3"/>
    <x v="0"/>
    <x v="2"/>
    <n v="1"/>
    <n v="0.05"/>
    <n v="1"/>
    <n v="1"/>
    <m/>
  </r>
  <r>
    <s v="2018-19"/>
    <x v="1"/>
    <x v="3"/>
    <s v="L2"/>
    <s v="Spatial Planning and Organization"/>
    <s v="Re [De] code"/>
    <n v="3"/>
    <x v="1"/>
    <x v="2"/>
    <n v="-1"/>
    <n v="0.05"/>
    <n v="1"/>
    <n v="-1"/>
    <s v="It needs to expand and broaden out its scope and intent."/>
  </r>
  <r>
    <s v="2018-19"/>
    <x v="1"/>
    <x v="3"/>
    <s v="L2"/>
    <s v="Spatial Planning and Organization"/>
    <s v="Re [De] code"/>
    <n v="4"/>
    <x v="0"/>
    <x v="3"/>
    <n v="0"/>
    <n v="0.14000000000000001"/>
    <n v="1"/>
    <n v="0"/>
    <m/>
  </r>
  <r>
    <s v="2018-19"/>
    <x v="1"/>
    <x v="3"/>
    <s v="L2"/>
    <s v="Spatial Planning and Organization"/>
    <s v="Re [De] code"/>
    <n v="4"/>
    <x v="1"/>
    <x v="3"/>
    <n v="0"/>
    <n v="0.14000000000000001"/>
    <n v="1"/>
    <n v="0"/>
    <s v="To an extent."/>
  </r>
  <r>
    <s v="2018-19"/>
    <x v="1"/>
    <x v="3"/>
    <s v="L2"/>
    <s v="Spatial Planning and Organization"/>
    <s v="Re [De] code"/>
    <n v="5"/>
    <x v="0"/>
    <x v="4"/>
    <n v="-1"/>
    <n v="0.11"/>
    <n v="1"/>
    <n v="-1"/>
    <m/>
  </r>
  <r>
    <s v="2018-19"/>
    <x v="1"/>
    <x v="3"/>
    <s v="L2"/>
    <s v="Spatial Planning and Organization"/>
    <s v="Re [De] code"/>
    <n v="5"/>
    <x v="1"/>
    <x v="4"/>
    <n v="0"/>
    <n v="0.11"/>
    <n v="1"/>
    <n v="0"/>
    <s v="Partially"/>
  </r>
  <r>
    <s v="2018-19"/>
    <x v="1"/>
    <x v="3"/>
    <s v="L2"/>
    <s v="Spatial Planning and Organization"/>
    <s v="Re [De] code"/>
    <n v="6"/>
    <x v="0"/>
    <x v="5"/>
    <n v="0"/>
    <n v="0.15"/>
    <n v="1"/>
    <n v="0"/>
    <m/>
  </r>
  <r>
    <s v="2018-19"/>
    <x v="1"/>
    <x v="3"/>
    <s v="L2"/>
    <s v="Spatial Planning and Organization"/>
    <s v="Re [De] code"/>
    <n v="6"/>
    <x v="1"/>
    <x v="5"/>
    <n v="0"/>
    <n v="0.15"/>
    <n v="1"/>
    <n v="0"/>
    <s v="meticulous yes. Ingenious and sophisticated - no."/>
  </r>
  <r>
    <s v="2018-19"/>
    <x v="1"/>
    <x v="3"/>
    <s v="L2"/>
    <s v="Spatial Planning and Organization"/>
    <s v="Re [De] code"/>
    <n v="7"/>
    <x v="0"/>
    <x v="6"/>
    <n v="0"/>
    <n v="0.1"/>
    <n v="1"/>
    <n v="0"/>
    <m/>
  </r>
  <r>
    <s v="2018-19"/>
    <x v="1"/>
    <x v="3"/>
    <s v="L2"/>
    <s v="Spatial Planning and Organization"/>
    <s v="Re [De] code"/>
    <n v="7"/>
    <x v="1"/>
    <x v="6"/>
    <n v="0"/>
    <n v="0.1"/>
    <n v="1"/>
    <n v="0"/>
    <s v="It's consistent"/>
  </r>
  <r>
    <s v="2018-19"/>
    <x v="1"/>
    <x v="3"/>
    <s v="L2"/>
    <s v="Spatial Planning and Organization"/>
    <s v="Re [De] code"/>
    <n v="8"/>
    <x v="0"/>
    <x v="7"/>
    <n v="0"/>
    <n v="0.1"/>
    <n v="1"/>
    <n v="0"/>
    <m/>
  </r>
  <r>
    <s v="2018-19"/>
    <x v="1"/>
    <x v="3"/>
    <s v="L2"/>
    <s v="Spatial Planning and Organization"/>
    <s v="Re [De] code"/>
    <n v="8"/>
    <x v="1"/>
    <x v="7"/>
    <n v="1"/>
    <n v="0.1"/>
    <n v="1"/>
    <n v="1"/>
    <s v="It's meticulous"/>
  </r>
  <r>
    <s v="2018-19"/>
    <x v="1"/>
    <x v="3"/>
    <s v="L2"/>
    <s v="Spatial Planning and Organization"/>
    <s v="Re [De] code"/>
    <n v="9"/>
    <x v="0"/>
    <x v="8"/>
    <n v="0"/>
    <n v="0.05"/>
    <n v="0.85"/>
    <n v="0"/>
    <m/>
  </r>
  <r>
    <s v="2018-19"/>
    <x v="1"/>
    <x v="3"/>
    <s v="L2"/>
    <s v="Spatial Planning and Organization"/>
    <s v="Re [De] code"/>
    <n v="9"/>
    <x v="1"/>
    <x v="8"/>
    <n v="1"/>
    <n v="0.05"/>
    <n v="0.85"/>
    <n v="1"/>
    <m/>
  </r>
  <r>
    <s v="2018-19"/>
    <x v="1"/>
    <x v="3"/>
    <s v="L2"/>
    <s v="Spatial Planning and Organization"/>
    <s v="Re [De] code"/>
    <n v="10"/>
    <x v="0"/>
    <x v="8"/>
    <n v="0"/>
    <n v="0.05"/>
    <n v="0.85"/>
    <n v="0"/>
    <m/>
  </r>
  <r>
    <s v="2018-19"/>
    <x v="1"/>
    <x v="3"/>
    <s v="L2"/>
    <s v="Spatial Planning and Organization"/>
    <s v="Re [De] code"/>
    <n v="10"/>
    <x v="1"/>
    <x v="8"/>
    <n v="1"/>
    <n v="0.05"/>
    <n v="0.85"/>
    <n v="1"/>
    <m/>
  </r>
  <r>
    <s v="2018-19"/>
    <x v="1"/>
    <x v="3"/>
    <s v="L2"/>
    <s v="Spatial Planning and Organization"/>
    <s v="Re [De] code"/>
    <n v="11"/>
    <x v="0"/>
    <x v="9"/>
    <n v="0"/>
    <n v="0.05"/>
    <n v="1"/>
    <n v="0"/>
    <m/>
  </r>
  <r>
    <s v="2018-19"/>
    <x v="1"/>
    <x v="3"/>
    <s v="L2"/>
    <s v="Spatial Planning and Organization"/>
    <s v="Re [De] code"/>
    <n v="11"/>
    <x v="1"/>
    <x v="9"/>
    <n v="-1"/>
    <n v="0.05"/>
    <n v="1"/>
    <n v="-1"/>
    <s v="Not at all"/>
  </r>
  <r>
    <s v="2018-19"/>
    <x v="1"/>
    <x v="4"/>
    <s v="L2"/>
    <s v="Constructing and Specifying"/>
    <s v="From Drawing Board to Construction Sites"/>
    <n v="1"/>
    <x v="0"/>
    <x v="0"/>
    <n v="1"/>
    <n v="0.12"/>
    <n v="1"/>
    <n v="1"/>
    <m/>
  </r>
  <r>
    <s v="2018-19"/>
    <x v="1"/>
    <x v="4"/>
    <s v="L2"/>
    <s v="Constructing and Specifying"/>
    <s v="From Drawing Board to Construction Sites"/>
    <n v="1"/>
    <x v="1"/>
    <x v="0"/>
    <n v="1"/>
    <n v="0.12"/>
    <n v="1"/>
    <n v="1"/>
    <m/>
  </r>
  <r>
    <s v="2018-19"/>
    <x v="1"/>
    <x v="4"/>
    <s v="L2"/>
    <s v="Constructing and Specifying"/>
    <s v="From Drawing Board to Construction Sites"/>
    <n v="2"/>
    <x v="0"/>
    <x v="1"/>
    <n v="0"/>
    <n v="0.08"/>
    <n v="0.8"/>
    <n v="0"/>
    <m/>
  </r>
  <r>
    <s v="2018-19"/>
    <x v="1"/>
    <x v="4"/>
    <s v="L2"/>
    <s v="Constructing and Specifying"/>
    <s v="From Drawing Board to Construction Sites"/>
    <n v="2"/>
    <x v="1"/>
    <x v="1"/>
    <n v="1"/>
    <n v="0.08"/>
    <n v="0.8"/>
    <n v="1"/>
    <m/>
  </r>
  <r>
    <s v="2018-19"/>
    <x v="1"/>
    <x v="4"/>
    <s v="L2"/>
    <s v="Constructing and Specifying"/>
    <s v="From Drawing Board to Construction Sites"/>
    <n v="3"/>
    <x v="0"/>
    <x v="2"/>
    <n v="1"/>
    <n v="0.05"/>
    <n v="1"/>
    <n v="1"/>
    <m/>
  </r>
  <r>
    <s v="2018-19"/>
    <x v="1"/>
    <x v="4"/>
    <s v="L2"/>
    <s v="Constructing and Specifying"/>
    <s v="From Drawing Board to Construction Sites"/>
    <n v="3"/>
    <x v="1"/>
    <x v="2"/>
    <n v="1"/>
    <n v="0.05"/>
    <n v="1"/>
    <n v="1"/>
    <s v="Its well defined but lacks inventiveness and innovation."/>
  </r>
  <r>
    <s v="2018-19"/>
    <x v="1"/>
    <x v="4"/>
    <s v="L2"/>
    <s v="Constructing and Specifying"/>
    <s v="From Drawing Board to Construction Sites"/>
    <n v="4"/>
    <x v="0"/>
    <x v="3"/>
    <n v="0"/>
    <n v="0.14000000000000001"/>
    <n v="1"/>
    <n v="0"/>
    <m/>
  </r>
  <r>
    <s v="2018-19"/>
    <x v="1"/>
    <x v="4"/>
    <s v="L2"/>
    <s v="Constructing and Specifying"/>
    <s v="From Drawing Board to Construction Sites"/>
    <n v="4"/>
    <x v="1"/>
    <x v="3"/>
    <n v="1"/>
    <n v="0.14000000000000001"/>
    <n v="1"/>
    <n v="1"/>
    <m/>
  </r>
  <r>
    <s v="2018-19"/>
    <x v="1"/>
    <x v="4"/>
    <s v="L2"/>
    <s v="Constructing and Specifying"/>
    <s v="From Drawing Board to Construction Sites"/>
    <n v="5"/>
    <x v="0"/>
    <x v="4"/>
    <n v="0"/>
    <n v="0.11"/>
    <n v="1"/>
    <n v="0"/>
    <m/>
  </r>
  <r>
    <s v="2018-19"/>
    <x v="1"/>
    <x v="4"/>
    <s v="L2"/>
    <s v="Constructing and Specifying"/>
    <s v="From Drawing Board to Construction Sites"/>
    <n v="5"/>
    <x v="1"/>
    <x v="4"/>
    <n v="1"/>
    <n v="0.11"/>
    <n v="1"/>
    <n v="1"/>
    <m/>
  </r>
  <r>
    <s v="2018-19"/>
    <x v="1"/>
    <x v="4"/>
    <s v="L2"/>
    <s v="Constructing and Specifying"/>
    <s v="From Drawing Board to Construction Sites"/>
    <n v="6"/>
    <x v="0"/>
    <x v="5"/>
    <n v="0"/>
    <n v="0.15"/>
    <n v="1"/>
    <n v="0"/>
    <m/>
  </r>
  <r>
    <s v="2018-19"/>
    <x v="1"/>
    <x v="4"/>
    <s v="L2"/>
    <s v="Constructing and Specifying"/>
    <s v="From Drawing Board to Construction Sites"/>
    <n v="6"/>
    <x v="1"/>
    <x v="5"/>
    <n v="1"/>
    <n v="0.15"/>
    <n v="1"/>
    <n v="1"/>
    <m/>
  </r>
  <r>
    <s v="2018-19"/>
    <x v="1"/>
    <x v="4"/>
    <s v="L2"/>
    <s v="Constructing and Specifying"/>
    <s v="From Drawing Board to Construction Sites"/>
    <n v="7"/>
    <x v="0"/>
    <x v="6"/>
    <n v="0"/>
    <n v="0.1"/>
    <n v="1"/>
    <n v="0"/>
    <m/>
  </r>
  <r>
    <s v="2018-19"/>
    <x v="1"/>
    <x v="4"/>
    <s v="L2"/>
    <s v="Constructing and Specifying"/>
    <s v="From Drawing Board to Construction Sites"/>
    <n v="7"/>
    <x v="1"/>
    <x v="6"/>
    <n v="1"/>
    <n v="0.1"/>
    <n v="1"/>
    <n v="1"/>
    <m/>
  </r>
  <r>
    <s v="2018-19"/>
    <x v="1"/>
    <x v="4"/>
    <s v="L2"/>
    <s v="Constructing and Specifying"/>
    <s v="From Drawing Board to Construction Sites"/>
    <n v="8"/>
    <x v="0"/>
    <x v="7"/>
    <n v="0"/>
    <n v="0.1"/>
    <n v="1"/>
    <n v="0"/>
    <m/>
  </r>
  <r>
    <s v="2018-19"/>
    <x v="1"/>
    <x v="4"/>
    <s v="L2"/>
    <s v="Constructing and Specifying"/>
    <s v="From Drawing Board to Construction Sites"/>
    <n v="8"/>
    <x v="1"/>
    <x v="7"/>
    <n v="1"/>
    <n v="0.1"/>
    <n v="1"/>
    <n v="1"/>
    <m/>
  </r>
  <r>
    <s v="2018-19"/>
    <x v="1"/>
    <x v="4"/>
    <s v="L2"/>
    <s v="Constructing and Specifying"/>
    <s v="From Drawing Board to Construction Sites"/>
    <n v="9"/>
    <x v="0"/>
    <x v="8"/>
    <n v="0"/>
    <n v="0.05"/>
    <n v="0.85"/>
    <n v="0"/>
    <m/>
  </r>
  <r>
    <s v="2018-19"/>
    <x v="1"/>
    <x v="4"/>
    <s v="L2"/>
    <s v="Constructing and Specifying"/>
    <s v="From Drawing Board to Construction Sites"/>
    <n v="9"/>
    <x v="1"/>
    <x v="8"/>
    <n v="1"/>
    <n v="0.05"/>
    <n v="0.85"/>
    <n v="1"/>
    <m/>
  </r>
  <r>
    <s v="2018-19"/>
    <x v="1"/>
    <x v="4"/>
    <s v="L2"/>
    <s v="Constructing and Specifying"/>
    <s v="From Drawing Board to Construction Sites"/>
    <n v="10"/>
    <x v="0"/>
    <x v="8"/>
    <n v="0"/>
    <n v="0.05"/>
    <n v="0.85"/>
    <n v="0"/>
    <m/>
  </r>
  <r>
    <s v="2018-19"/>
    <x v="1"/>
    <x v="4"/>
    <s v="L2"/>
    <s v="Constructing and Specifying"/>
    <s v="From Drawing Board to Construction Sites"/>
    <n v="10"/>
    <x v="1"/>
    <x v="8"/>
    <n v="1"/>
    <n v="0.05"/>
    <n v="0.85"/>
    <n v="1"/>
    <m/>
  </r>
  <r>
    <s v="2018-19"/>
    <x v="1"/>
    <x v="4"/>
    <s v="L2"/>
    <s v="Constructing and Specifying"/>
    <s v="From Drawing Board to Construction Sites"/>
    <n v="11"/>
    <x v="0"/>
    <x v="9"/>
    <n v="0"/>
    <n v="0.05"/>
    <n v="1"/>
    <n v="0"/>
    <m/>
  </r>
  <r>
    <s v="2018-19"/>
    <x v="1"/>
    <x v="4"/>
    <s v="L2"/>
    <s v="Constructing and Specifying"/>
    <s v="From Drawing Board to Construction Sites"/>
    <n v="11"/>
    <x v="1"/>
    <x v="9"/>
    <n v="1"/>
    <n v="0.05"/>
    <n v="1"/>
    <n v="1"/>
    <m/>
  </r>
  <r>
    <s v="2018-19"/>
    <x v="1"/>
    <x v="5"/>
    <s v="L2"/>
    <s v="Visualization &amp; Communication, Spatial Planning &amp; Organisation"/>
    <s v="Figuring Ground: Land Building Relationships"/>
    <n v="1"/>
    <x v="0"/>
    <x v="0"/>
    <n v="1"/>
    <n v="0.12"/>
    <n v="1"/>
    <n v="1"/>
    <m/>
  </r>
  <r>
    <s v="2018-19"/>
    <x v="1"/>
    <x v="5"/>
    <s v="L2"/>
    <s v="Visualization &amp; Communication, Spatial Planning &amp; Organisation"/>
    <s v="Figuring Ground: Land Building Relationships"/>
    <n v="1"/>
    <x v="1"/>
    <x v="0"/>
    <n v="1"/>
    <n v="0.12"/>
    <n v="1"/>
    <n v="1"/>
    <m/>
  </r>
  <r>
    <s v="2018-19"/>
    <x v="1"/>
    <x v="5"/>
    <s v="L2"/>
    <s v="Visualization &amp; Communication, Spatial Planning &amp; Organisation"/>
    <s v="Figuring Ground: Land Building Relationships"/>
    <n v="2"/>
    <x v="0"/>
    <x v="1"/>
    <n v="1"/>
    <n v="0.08"/>
    <n v="0.8"/>
    <n v="1"/>
    <m/>
  </r>
  <r>
    <s v="2018-19"/>
    <x v="1"/>
    <x v="5"/>
    <s v="L2"/>
    <s v="Visualization &amp; Communication, Spatial Planning &amp; Organisation"/>
    <s v="Figuring Ground: Land Building Relationships"/>
    <n v="2"/>
    <x v="1"/>
    <x v="1"/>
    <n v="1"/>
    <n v="0.08"/>
    <n v="0.8"/>
    <n v="1"/>
    <m/>
  </r>
  <r>
    <s v="2018-19"/>
    <x v="1"/>
    <x v="5"/>
    <s v="L2"/>
    <s v="Visualization &amp; Communication, Spatial Planning &amp; Organisation"/>
    <s v="Figuring Ground: Land Building Relationships"/>
    <n v="3"/>
    <x v="0"/>
    <x v="2"/>
    <n v="1"/>
    <n v="0.05"/>
    <n v="1"/>
    <n v="1"/>
    <m/>
  </r>
  <r>
    <s v="2018-19"/>
    <x v="1"/>
    <x v="5"/>
    <s v="L2"/>
    <s v="Visualization &amp; Communication, Spatial Planning &amp; Organisation"/>
    <s v="Figuring Ground: Land Building Relationships"/>
    <n v="3"/>
    <x v="1"/>
    <x v="2"/>
    <n v="1"/>
    <n v="0.05"/>
    <n v="1"/>
    <n v="1"/>
    <m/>
  </r>
  <r>
    <s v="2018-19"/>
    <x v="1"/>
    <x v="5"/>
    <s v="L2"/>
    <s v="Visualization &amp; Communication, Spatial Planning &amp; Organisation"/>
    <s v="Figuring Ground: Land Building Relationships"/>
    <n v="4"/>
    <x v="0"/>
    <x v="3"/>
    <n v="0"/>
    <n v="0.14000000000000001"/>
    <n v="1"/>
    <n v="0"/>
    <m/>
  </r>
  <r>
    <s v="2018-19"/>
    <x v="1"/>
    <x v="5"/>
    <s v="L2"/>
    <s v="Visualization &amp; Communication, Spatial Planning &amp; Organisation"/>
    <s v="Figuring Ground: Land Building Relationships"/>
    <n v="4"/>
    <x v="1"/>
    <x v="3"/>
    <n v="0"/>
    <n v="0.14000000000000001"/>
    <n v="1"/>
    <n v="0"/>
    <s v="To a great extent , yes."/>
  </r>
  <r>
    <s v="2018-19"/>
    <x v="1"/>
    <x v="5"/>
    <s v="L2"/>
    <s v="Visualization &amp; Communication, Spatial Planning &amp; Organisation"/>
    <s v="Figuring Ground: Land Building Relationships"/>
    <n v="5"/>
    <x v="0"/>
    <x v="4"/>
    <n v="0"/>
    <n v="0.11"/>
    <n v="1"/>
    <n v="0"/>
    <m/>
  </r>
  <r>
    <s v="2018-19"/>
    <x v="1"/>
    <x v="5"/>
    <s v="L2"/>
    <s v="Visualization &amp; Communication, Spatial Planning &amp; Organisation"/>
    <s v="Figuring Ground: Land Building Relationships"/>
    <n v="5"/>
    <x v="1"/>
    <x v="4"/>
    <n v="1"/>
    <n v="0.11"/>
    <n v="1"/>
    <n v="1"/>
    <m/>
  </r>
  <r>
    <s v="2018-19"/>
    <x v="1"/>
    <x v="5"/>
    <s v="L2"/>
    <s v="Visualization &amp; Communication, Spatial Planning &amp; Organisation"/>
    <s v="Figuring Ground: Land Building Relationships"/>
    <n v="6"/>
    <x v="0"/>
    <x v="5"/>
    <n v="1"/>
    <n v="0.15"/>
    <n v="1"/>
    <n v="1"/>
    <m/>
  </r>
  <r>
    <s v="2018-19"/>
    <x v="1"/>
    <x v="5"/>
    <s v="L2"/>
    <s v="Visualization &amp; Communication, Spatial Planning &amp; Organisation"/>
    <s v="Figuring Ground: Land Building Relationships"/>
    <n v="6"/>
    <x v="1"/>
    <x v="5"/>
    <n v="1"/>
    <n v="0.15"/>
    <n v="1"/>
    <n v="1"/>
    <s v="Meticulous -yes. Ingenious and sophisticated - no."/>
  </r>
  <r>
    <s v="2018-19"/>
    <x v="1"/>
    <x v="5"/>
    <s v="L2"/>
    <s v="Visualization &amp; Communication, Spatial Planning &amp; Organisation"/>
    <s v="Figuring Ground: Land Building Relationships"/>
    <n v="7"/>
    <x v="0"/>
    <x v="6"/>
    <n v="1"/>
    <n v="0.1"/>
    <n v="1"/>
    <n v="1"/>
    <m/>
  </r>
  <r>
    <s v="2018-19"/>
    <x v="1"/>
    <x v="5"/>
    <s v="L2"/>
    <s v="Visualization &amp; Communication, Spatial Planning &amp; Organisation"/>
    <s v="Figuring Ground: Land Building Relationships"/>
    <n v="7"/>
    <x v="1"/>
    <x v="6"/>
    <n v="1"/>
    <n v="0.1"/>
    <n v="1"/>
    <n v="1"/>
    <m/>
  </r>
  <r>
    <s v="2018-19"/>
    <x v="1"/>
    <x v="5"/>
    <s v="L2"/>
    <s v="Visualization &amp; Communication, Spatial Planning &amp; Organisation"/>
    <s v="Figuring Ground: Land Building Relationships"/>
    <n v="8"/>
    <x v="0"/>
    <x v="7"/>
    <n v="1"/>
    <n v="0.1"/>
    <n v="1"/>
    <n v="1"/>
    <m/>
  </r>
  <r>
    <s v="2018-19"/>
    <x v="1"/>
    <x v="5"/>
    <s v="L2"/>
    <s v="Visualization &amp; Communication, Spatial Planning &amp; Organisation"/>
    <s v="Figuring Ground: Land Building Relationships"/>
    <n v="8"/>
    <x v="1"/>
    <x v="7"/>
    <n v="0"/>
    <n v="0.1"/>
    <n v="1"/>
    <n v="0"/>
    <s v="It's reasonable"/>
  </r>
  <r>
    <s v="2018-19"/>
    <x v="1"/>
    <x v="5"/>
    <s v="L2"/>
    <s v="Visualization &amp; Communication, Spatial Planning &amp; Organisation"/>
    <s v="Figuring Ground: Land Building Relationships"/>
    <n v="9"/>
    <x v="0"/>
    <x v="8"/>
    <n v="1"/>
    <n v="0.05"/>
    <n v="0.85"/>
    <n v="1"/>
    <m/>
  </r>
  <r>
    <s v="2018-19"/>
    <x v="1"/>
    <x v="5"/>
    <s v="L2"/>
    <s v="Visualization &amp; Communication, Spatial Planning &amp; Organisation"/>
    <s v="Figuring Ground: Land Building Relationships"/>
    <n v="9"/>
    <x v="1"/>
    <x v="8"/>
    <n v="1"/>
    <n v="0.05"/>
    <n v="0.85"/>
    <n v="1"/>
    <m/>
  </r>
  <r>
    <s v="2018-19"/>
    <x v="1"/>
    <x v="5"/>
    <s v="L2"/>
    <s v="Visualization &amp; Communication, Spatial Planning &amp; Organisation"/>
    <s v="Figuring Ground: Land Building Relationships"/>
    <n v="10"/>
    <x v="0"/>
    <x v="8"/>
    <n v="1"/>
    <n v="0.05"/>
    <n v="0.85"/>
    <n v="1"/>
    <m/>
  </r>
  <r>
    <s v="2018-19"/>
    <x v="1"/>
    <x v="5"/>
    <s v="L2"/>
    <s v="Visualization &amp; Communication, Spatial Planning &amp; Organisation"/>
    <s v="Figuring Ground: Land Building Relationships"/>
    <n v="10"/>
    <x v="1"/>
    <x v="8"/>
    <n v="1"/>
    <n v="0.05"/>
    <n v="0.85"/>
    <n v="1"/>
    <m/>
  </r>
  <r>
    <s v="2018-19"/>
    <x v="1"/>
    <x v="5"/>
    <s v="L2"/>
    <s v="Visualization &amp; Communication, Spatial Planning &amp; Organisation"/>
    <s v="Figuring Ground: Land Building Relationships"/>
    <n v="11"/>
    <x v="0"/>
    <x v="9"/>
    <n v="1"/>
    <n v="0.05"/>
    <n v="1"/>
    <n v="1"/>
    <m/>
  </r>
  <r>
    <s v="2018-19"/>
    <x v="1"/>
    <x v="5"/>
    <s v="L2"/>
    <s v="Visualization &amp; Communication, Spatial Planning &amp; Organisation"/>
    <s v="Figuring Ground: Land Building Relationships"/>
    <n v="11"/>
    <x v="1"/>
    <x v="9"/>
    <n v="-1"/>
    <n v="0.05"/>
    <n v="1"/>
    <n v="-1"/>
    <s v="No."/>
  </r>
  <r>
    <s v="2018-19"/>
    <x v="1"/>
    <x v="6"/>
    <s v="L2"/>
    <s v="Visualization &amp; Communication, Spatial Planning &amp; Organisation"/>
    <s v="Making Living Places : Craftsmanship, song and imagination"/>
    <n v="1"/>
    <x v="0"/>
    <x v="0"/>
    <n v="0"/>
    <n v="0.12"/>
    <n v="1"/>
    <n v="0"/>
    <m/>
  </r>
  <r>
    <s v="2018-19"/>
    <x v="1"/>
    <x v="6"/>
    <s v="L2"/>
    <s v="Visualization &amp; Communication, Spatial Planning &amp; Organisation"/>
    <s v="Making Living Places : Craftsmanship, song and imagination"/>
    <n v="1"/>
    <x v="1"/>
    <x v="0"/>
    <n v="1"/>
    <n v="0.12"/>
    <n v="1"/>
    <n v="1"/>
    <m/>
  </r>
  <r>
    <s v="2018-19"/>
    <x v="1"/>
    <x v="6"/>
    <s v="L2"/>
    <s v="Visualization &amp; Communication, Spatial Planning &amp; Organisation"/>
    <s v="Making Living Places : Craftsmanship, song and imagination"/>
    <n v="2"/>
    <x v="0"/>
    <x v="1"/>
    <n v="0"/>
    <n v="0.08"/>
    <n v="0.8"/>
    <n v="0"/>
    <m/>
  </r>
  <r>
    <s v="2018-19"/>
    <x v="1"/>
    <x v="6"/>
    <s v="L2"/>
    <s v="Visualization &amp; Communication, Spatial Planning &amp; Organisation"/>
    <s v="Making Living Places : Craftsmanship, song and imagination"/>
    <n v="2"/>
    <x v="1"/>
    <x v="1"/>
    <n v="1"/>
    <n v="0.08"/>
    <n v="0.8"/>
    <n v="1"/>
    <m/>
  </r>
  <r>
    <s v="2018-19"/>
    <x v="1"/>
    <x v="6"/>
    <s v="L2"/>
    <s v="Visualization &amp; Communication, Spatial Planning &amp; Organisation"/>
    <s v="Making Living Places : Craftsmanship, song and imagination"/>
    <n v="3"/>
    <x v="0"/>
    <x v="2"/>
    <n v="1"/>
    <n v="0.05"/>
    <n v="1"/>
    <n v="1"/>
    <m/>
  </r>
  <r>
    <s v="2018-19"/>
    <x v="1"/>
    <x v="6"/>
    <s v="L2"/>
    <s v="Visualization &amp; Communication, Spatial Planning &amp; Organisation"/>
    <s v="Making Living Places : Craftsmanship, song and imagination"/>
    <n v="3"/>
    <x v="1"/>
    <x v="2"/>
    <n v="0"/>
    <n v="0.05"/>
    <n v="1"/>
    <n v="0"/>
    <s v="It's well defined but architectural manifesttion is inadequate"/>
  </r>
  <r>
    <s v="2018-19"/>
    <x v="1"/>
    <x v="6"/>
    <s v="L2"/>
    <s v="Visualization &amp; Communication, Spatial Planning &amp; Organisation"/>
    <s v="Making Living Places : Craftsmanship, song and imagination"/>
    <n v="4"/>
    <x v="0"/>
    <x v="3"/>
    <n v="-1"/>
    <n v="0.14000000000000001"/>
    <n v="1"/>
    <n v="-1"/>
    <m/>
  </r>
  <r>
    <s v="2018-19"/>
    <x v="1"/>
    <x v="6"/>
    <s v="L2"/>
    <s v="Visualization &amp; Communication, Spatial Planning &amp; Organisation"/>
    <s v="Making Living Places : Craftsmanship, song and imagination"/>
    <n v="4"/>
    <x v="1"/>
    <x v="3"/>
    <n v="1"/>
    <n v="0.14000000000000001"/>
    <n v="1"/>
    <n v="1"/>
    <m/>
  </r>
  <r>
    <s v="2018-19"/>
    <x v="1"/>
    <x v="6"/>
    <s v="L2"/>
    <s v="Visualization &amp; Communication, Spatial Planning &amp; Organisation"/>
    <s v="Making Living Places : Craftsmanship, song and imagination"/>
    <n v="5"/>
    <x v="0"/>
    <x v="4"/>
    <n v="-1"/>
    <n v="0.11"/>
    <n v="1"/>
    <n v="-1"/>
    <m/>
  </r>
  <r>
    <s v="2018-19"/>
    <x v="1"/>
    <x v="6"/>
    <s v="L2"/>
    <s v="Visualization &amp; Communication, Spatial Planning &amp; Organisation"/>
    <s v="Making Living Places : Craftsmanship, song and imagination"/>
    <n v="5"/>
    <x v="1"/>
    <x v="4"/>
    <n v="1"/>
    <n v="0.11"/>
    <n v="1"/>
    <n v="1"/>
    <m/>
  </r>
  <r>
    <s v="2018-19"/>
    <x v="1"/>
    <x v="6"/>
    <s v="L2"/>
    <s v="Visualization &amp; Communication, Spatial Planning &amp; Organisation"/>
    <s v="Making Living Places : Craftsmanship, song and imagination"/>
    <n v="6"/>
    <x v="0"/>
    <x v="5"/>
    <n v="0"/>
    <n v="0.15"/>
    <n v="1"/>
    <n v="0"/>
    <m/>
  </r>
  <r>
    <s v="2018-19"/>
    <x v="1"/>
    <x v="6"/>
    <s v="L2"/>
    <s v="Visualization &amp; Communication, Spatial Planning &amp; Organisation"/>
    <s v="Making Living Places : Craftsmanship, song and imagination"/>
    <n v="6"/>
    <x v="1"/>
    <x v="5"/>
    <n v="1"/>
    <n v="0.15"/>
    <n v="1"/>
    <n v="1"/>
    <m/>
  </r>
  <r>
    <s v="2018-19"/>
    <x v="1"/>
    <x v="6"/>
    <s v="L2"/>
    <s v="Visualization &amp; Communication, Spatial Planning &amp; Organisation"/>
    <s v="Making Living Places : Craftsmanship, song and imagination"/>
    <n v="7"/>
    <x v="0"/>
    <x v="6"/>
    <n v="0"/>
    <n v="0.1"/>
    <n v="1"/>
    <n v="0"/>
    <m/>
  </r>
  <r>
    <s v="2018-19"/>
    <x v="1"/>
    <x v="6"/>
    <s v="L2"/>
    <s v="Visualization &amp; Communication, Spatial Planning &amp; Organisation"/>
    <s v="Making Living Places : Craftsmanship, song and imagination"/>
    <n v="7"/>
    <x v="1"/>
    <x v="6"/>
    <n v="1"/>
    <n v="0.1"/>
    <n v="1"/>
    <n v="1"/>
    <m/>
  </r>
  <r>
    <s v="2018-19"/>
    <x v="1"/>
    <x v="6"/>
    <s v="L2"/>
    <s v="Visualization &amp; Communication, Spatial Planning &amp; Organisation"/>
    <s v="Making Living Places : Craftsmanship, song and imagination"/>
    <n v="8"/>
    <x v="0"/>
    <x v="7"/>
    <n v="1"/>
    <n v="0.1"/>
    <n v="1"/>
    <n v="1"/>
    <m/>
  </r>
  <r>
    <s v="2018-19"/>
    <x v="1"/>
    <x v="6"/>
    <s v="L2"/>
    <s v="Visualization &amp; Communication, Spatial Planning &amp; Organisation"/>
    <s v="Making Living Places : Craftsmanship, song and imagination"/>
    <n v="8"/>
    <x v="1"/>
    <x v="7"/>
    <n v="1"/>
    <n v="0.1"/>
    <n v="1"/>
    <n v="1"/>
    <m/>
  </r>
  <r>
    <s v="2018-19"/>
    <x v="1"/>
    <x v="6"/>
    <s v="L2"/>
    <s v="Visualization &amp; Communication, Spatial Planning &amp; Organisation"/>
    <s v="Making Living Places : Craftsmanship, song and imagination"/>
    <n v="9"/>
    <x v="0"/>
    <x v="8"/>
    <n v="0"/>
    <n v="0.05"/>
    <n v="0.85"/>
    <n v="0"/>
    <m/>
  </r>
  <r>
    <s v="2018-19"/>
    <x v="1"/>
    <x v="6"/>
    <s v="L2"/>
    <s v="Visualization &amp; Communication, Spatial Planning &amp; Organisation"/>
    <s v="Making Living Places : Craftsmanship, song and imagination"/>
    <n v="9"/>
    <x v="1"/>
    <x v="8"/>
    <n v="1"/>
    <n v="0.05"/>
    <n v="0.85"/>
    <n v="1"/>
    <m/>
  </r>
  <r>
    <s v="2018-19"/>
    <x v="1"/>
    <x v="6"/>
    <s v="L2"/>
    <s v="Visualization &amp; Communication, Spatial Planning &amp; Organisation"/>
    <s v="Making Living Places : Craftsmanship, song and imagination"/>
    <n v="10"/>
    <x v="0"/>
    <x v="8"/>
    <n v="0"/>
    <n v="0.05"/>
    <n v="0.85"/>
    <n v="0"/>
    <m/>
  </r>
  <r>
    <s v="2018-19"/>
    <x v="1"/>
    <x v="6"/>
    <s v="L2"/>
    <s v="Visualization &amp; Communication, Spatial Planning &amp; Organisation"/>
    <s v="Making Living Places : Craftsmanship, song and imagination"/>
    <n v="10"/>
    <x v="1"/>
    <x v="8"/>
    <n v="1"/>
    <n v="0.05"/>
    <n v="0.85"/>
    <n v="1"/>
    <m/>
  </r>
  <r>
    <s v="2018-19"/>
    <x v="1"/>
    <x v="6"/>
    <s v="L2"/>
    <s v="Visualization &amp; Communication, Spatial Planning &amp; Organisation"/>
    <s v="Making Living Places : Craftsmanship, song and imagination"/>
    <n v="11"/>
    <x v="0"/>
    <x v="9"/>
    <n v="-1"/>
    <n v="0.05"/>
    <n v="1"/>
    <n v="-1"/>
    <m/>
  </r>
  <r>
    <s v="2018-19"/>
    <x v="1"/>
    <x v="6"/>
    <s v="L2"/>
    <s v="Visualization &amp; Communication, Spatial Planning &amp; Organisation"/>
    <s v="Making Living Places : Craftsmanship, song and imagination"/>
    <n v="11"/>
    <x v="1"/>
    <x v="9"/>
    <n v="1"/>
    <n v="0.05"/>
    <n v="1"/>
    <n v="1"/>
    <s v="Yes."/>
  </r>
  <r>
    <s v="2018-19"/>
    <x v="1"/>
    <x v="7"/>
    <s v="L2"/>
    <s v="Visualization and Communication, Spatial Planning and Organisation"/>
    <s v="Master’s Stroke: Matters of Architectural Language"/>
    <n v="1"/>
    <x v="0"/>
    <x v="0"/>
    <n v="1"/>
    <n v="0.12"/>
    <n v="1"/>
    <n v="1"/>
    <m/>
  </r>
  <r>
    <s v="2018-19"/>
    <x v="1"/>
    <x v="7"/>
    <s v="L2"/>
    <s v="Visualization and Communication, Spatial Planning and Organisation"/>
    <s v="Master’s Stroke: Matters of Architectural Language"/>
    <n v="1"/>
    <x v="1"/>
    <x v="0"/>
    <n v="1"/>
    <n v="0.12"/>
    <n v="1"/>
    <n v="1"/>
    <m/>
  </r>
  <r>
    <s v="2018-19"/>
    <x v="1"/>
    <x v="7"/>
    <s v="L2"/>
    <s v="Visualization and Communication, Spatial Planning and Organisation"/>
    <s v="Master’s Stroke: Matters of Architectural Language"/>
    <n v="2"/>
    <x v="0"/>
    <x v="1"/>
    <n v="1"/>
    <n v="0.08"/>
    <n v="0.8"/>
    <n v="1"/>
    <m/>
  </r>
  <r>
    <s v="2018-19"/>
    <x v="1"/>
    <x v="7"/>
    <s v="L2"/>
    <s v="Visualization and Communication, Spatial Planning and Organisation"/>
    <s v="Master’s Stroke: Matters of Architectural Language"/>
    <n v="2"/>
    <x v="1"/>
    <x v="1"/>
    <n v="1"/>
    <n v="0.08"/>
    <n v="0.8"/>
    <n v="1"/>
    <m/>
  </r>
  <r>
    <s v="2018-19"/>
    <x v="1"/>
    <x v="7"/>
    <s v="L2"/>
    <s v="Visualization and Communication, Spatial Planning and Organisation"/>
    <s v="Master’s Stroke: Matters of Architectural Language"/>
    <n v="3"/>
    <x v="0"/>
    <x v="2"/>
    <n v="1"/>
    <n v="0.05"/>
    <n v="1"/>
    <n v="1"/>
    <m/>
  </r>
  <r>
    <s v="2018-19"/>
    <x v="1"/>
    <x v="7"/>
    <s v="L2"/>
    <s v="Visualization and Communication, Spatial Planning and Organisation"/>
    <s v="Master’s Stroke: Matters of Architectural Language"/>
    <n v="3"/>
    <x v="1"/>
    <x v="2"/>
    <n v="1"/>
    <n v="0.05"/>
    <n v="1"/>
    <n v="1"/>
    <m/>
  </r>
  <r>
    <s v="2018-19"/>
    <x v="1"/>
    <x v="7"/>
    <s v="L2"/>
    <s v="Visualization and Communication, Spatial Planning and Organisation"/>
    <s v="Master’s Stroke: Matters of Architectural Language"/>
    <n v="4"/>
    <x v="0"/>
    <x v="3"/>
    <n v="1"/>
    <n v="0.14000000000000001"/>
    <n v="1"/>
    <n v="1"/>
    <m/>
  </r>
  <r>
    <s v="2018-19"/>
    <x v="1"/>
    <x v="7"/>
    <s v="L2"/>
    <s v="Visualization and Communication, Spatial Planning and Organisation"/>
    <s v="Master’s Stroke: Matters of Architectural Language"/>
    <n v="4"/>
    <x v="1"/>
    <x v="3"/>
    <n v="1"/>
    <n v="0.14000000000000001"/>
    <n v="1"/>
    <n v="1"/>
    <m/>
  </r>
  <r>
    <s v="2018-19"/>
    <x v="1"/>
    <x v="7"/>
    <s v="L2"/>
    <s v="Visualization and Communication, Spatial Planning and Organisation"/>
    <s v="Master’s Stroke: Matters of Architectural Language"/>
    <n v="5"/>
    <x v="0"/>
    <x v="4"/>
    <n v="1"/>
    <n v="0.11"/>
    <n v="1"/>
    <n v="1"/>
    <m/>
  </r>
  <r>
    <s v="2018-19"/>
    <x v="1"/>
    <x v="7"/>
    <s v="L2"/>
    <s v="Visualization and Communication, Spatial Planning and Organisation"/>
    <s v="Master’s Stroke: Matters of Architectural Language"/>
    <n v="5"/>
    <x v="1"/>
    <x v="4"/>
    <n v="1"/>
    <n v="0.11"/>
    <n v="1"/>
    <n v="1"/>
    <s v="There is a possibility of students getting limited in individual expression, getting caught up by the language of a given architect."/>
  </r>
  <r>
    <s v="2018-19"/>
    <x v="1"/>
    <x v="7"/>
    <s v="L2"/>
    <s v="Visualization and Communication, Spatial Planning and Organisation"/>
    <s v="Master’s Stroke: Matters of Architectural Language"/>
    <n v="6"/>
    <x v="0"/>
    <x v="5"/>
    <n v="1"/>
    <n v="0.15"/>
    <n v="1"/>
    <n v="1"/>
    <m/>
  </r>
  <r>
    <s v="2018-19"/>
    <x v="1"/>
    <x v="7"/>
    <s v="L2"/>
    <s v="Visualization and Communication, Spatial Planning and Organisation"/>
    <s v="Master’s Stroke: Matters of Architectural Language"/>
    <n v="6"/>
    <x v="1"/>
    <x v="5"/>
    <n v="0"/>
    <n v="0.15"/>
    <n v="1"/>
    <n v="0"/>
    <s v="Convincing but not ingenious and sophisticated."/>
  </r>
  <r>
    <s v="2018-19"/>
    <x v="1"/>
    <x v="7"/>
    <s v="L2"/>
    <s v="Visualization and Communication, Spatial Planning and Organisation"/>
    <s v="Master’s Stroke: Matters of Architectural Language"/>
    <n v="7"/>
    <x v="0"/>
    <x v="6"/>
    <n v="1"/>
    <n v="0.1"/>
    <n v="1"/>
    <n v="1"/>
    <m/>
  </r>
  <r>
    <s v="2018-19"/>
    <x v="1"/>
    <x v="7"/>
    <s v="L2"/>
    <s v="Visualization and Communication, Spatial Planning and Organisation"/>
    <s v="Master’s Stroke: Matters of Architectural Language"/>
    <n v="7"/>
    <x v="1"/>
    <x v="6"/>
    <n v="1"/>
    <n v="0.1"/>
    <n v="1"/>
    <n v="1"/>
    <s v="Can improve"/>
  </r>
  <r>
    <s v="2018-19"/>
    <x v="1"/>
    <x v="7"/>
    <s v="L2"/>
    <s v="Visualization and Communication, Spatial Planning and Organisation"/>
    <s v="Master’s Stroke: Matters of Architectural Language"/>
    <n v="8"/>
    <x v="0"/>
    <x v="7"/>
    <n v="0"/>
    <n v="0.1"/>
    <n v="1"/>
    <n v="0"/>
    <m/>
  </r>
  <r>
    <s v="2018-19"/>
    <x v="1"/>
    <x v="7"/>
    <s v="L2"/>
    <s v="Visualization and Communication, Spatial Planning and Organisation"/>
    <s v="Master’s Stroke: Matters of Architectural Language"/>
    <n v="8"/>
    <x v="1"/>
    <x v="7"/>
    <n v="1"/>
    <n v="0.1"/>
    <n v="1"/>
    <n v="1"/>
    <m/>
  </r>
  <r>
    <s v="2018-19"/>
    <x v="1"/>
    <x v="7"/>
    <s v="L2"/>
    <s v="Visualization and Communication, Spatial Planning and Organisation"/>
    <s v="Master’s Stroke: Matters of Architectural Language"/>
    <n v="9"/>
    <x v="0"/>
    <x v="8"/>
    <n v="1"/>
    <n v="0.05"/>
    <n v="0.85"/>
    <n v="1"/>
    <m/>
  </r>
  <r>
    <s v="2018-19"/>
    <x v="1"/>
    <x v="7"/>
    <s v="L2"/>
    <s v="Visualization and Communication, Spatial Planning and Organisation"/>
    <s v="Master’s Stroke: Matters of Architectural Language"/>
    <n v="9"/>
    <x v="1"/>
    <x v="8"/>
    <n v="1"/>
    <n v="0.05"/>
    <n v="0.85"/>
    <n v="1"/>
    <m/>
  </r>
  <r>
    <s v="2018-19"/>
    <x v="1"/>
    <x v="7"/>
    <s v="L2"/>
    <s v="Visualization and Communication, Spatial Planning and Organisation"/>
    <s v="Master’s Stroke: Matters of Architectural Language"/>
    <n v="10"/>
    <x v="0"/>
    <x v="8"/>
    <n v="0"/>
    <n v="0.05"/>
    <n v="0.85"/>
    <n v="0"/>
    <m/>
  </r>
  <r>
    <s v="2018-19"/>
    <x v="1"/>
    <x v="7"/>
    <s v="L2"/>
    <s v="Visualization and Communication, Spatial Planning and Organisation"/>
    <s v="Master’s Stroke: Matters of Architectural Language"/>
    <n v="10"/>
    <x v="1"/>
    <x v="8"/>
    <n v="1"/>
    <n v="0.05"/>
    <n v="0.85"/>
    <n v="1"/>
    <m/>
  </r>
  <r>
    <s v="2018-19"/>
    <x v="1"/>
    <x v="7"/>
    <s v="L2"/>
    <s v="Visualization and Communication, Spatial Planning and Organisation"/>
    <s v="Master’s Stroke: Matters of Architectural Language"/>
    <n v="11"/>
    <x v="0"/>
    <x v="9"/>
    <n v="1"/>
    <n v="0.05"/>
    <n v="1"/>
    <n v="1"/>
    <m/>
  </r>
  <r>
    <s v="2018-19"/>
    <x v="1"/>
    <x v="7"/>
    <s v="L2"/>
    <s v="Visualization and Communication, Spatial Planning and Organisation"/>
    <s v="Master’s Stroke: Matters of Architectural Language"/>
    <n v="11"/>
    <x v="1"/>
    <x v="9"/>
    <n v="0"/>
    <n v="0.05"/>
    <n v="1"/>
    <n v="0"/>
    <s v="Not yet, but another level of refinement could lead to it being at par. "/>
  </r>
  <r>
    <s v="2018-19"/>
    <x v="1"/>
    <x v="8"/>
    <s v="L2"/>
    <s v="Visualization and Communication, Spatial Planning and Organisation"/>
    <s v="Designing Types - Office Building"/>
    <n v="1"/>
    <x v="0"/>
    <x v="0"/>
    <n v="0"/>
    <n v="0.12"/>
    <n v="1"/>
    <n v="0"/>
    <m/>
  </r>
  <r>
    <s v="2018-19"/>
    <x v="1"/>
    <x v="8"/>
    <s v="L2"/>
    <s v="Visualization and Communication, Spatial Planning and Organisation"/>
    <s v="Designing Types - Office Building"/>
    <n v="1"/>
    <x v="1"/>
    <x v="0"/>
    <n v="-1"/>
    <n v="0.12"/>
    <n v="1"/>
    <n v="-1"/>
    <m/>
  </r>
  <r>
    <s v="2018-19"/>
    <x v="1"/>
    <x v="8"/>
    <s v="L2"/>
    <s v="Visualization and Communication, Spatial Planning and Organisation"/>
    <s v="Designing Types - Office Building"/>
    <n v="2"/>
    <x v="0"/>
    <x v="1"/>
    <n v="0"/>
    <n v="0.08"/>
    <n v="0.8"/>
    <n v="0"/>
    <m/>
  </r>
  <r>
    <s v="2018-19"/>
    <x v="1"/>
    <x v="8"/>
    <s v="L2"/>
    <s v="Visualization and Communication, Spatial Planning and Organisation"/>
    <s v="Designing Types - Office Building"/>
    <n v="2"/>
    <x v="1"/>
    <x v="1"/>
    <n v="-1"/>
    <n v="0.08"/>
    <n v="0.8"/>
    <n v="-1"/>
    <m/>
  </r>
  <r>
    <s v="2018-19"/>
    <x v="1"/>
    <x v="8"/>
    <s v="L2"/>
    <s v="Visualization and Communication, Spatial Planning and Organisation"/>
    <s v="Designing Types - Office Building"/>
    <n v="3"/>
    <x v="0"/>
    <x v="2"/>
    <n v="0"/>
    <n v="0.05"/>
    <n v="1"/>
    <n v="0"/>
    <m/>
  </r>
  <r>
    <s v="2018-19"/>
    <x v="1"/>
    <x v="8"/>
    <s v="L2"/>
    <s v="Visualization and Communication, Spatial Planning and Organisation"/>
    <s v="Designing Types - Office Building"/>
    <n v="3"/>
    <x v="1"/>
    <x v="2"/>
    <n v="-1"/>
    <n v="0.05"/>
    <n v="1"/>
    <n v="-1"/>
    <s v="Very narrowly conceptualised"/>
  </r>
  <r>
    <s v="2018-19"/>
    <x v="1"/>
    <x v="8"/>
    <s v="L2"/>
    <s v="Visualization and Communication, Spatial Planning and Organisation"/>
    <s v="Designing Types - Office Building"/>
    <n v="4"/>
    <x v="0"/>
    <x v="3"/>
    <n v="-1"/>
    <n v="0.14000000000000001"/>
    <n v="1"/>
    <n v="-1"/>
    <m/>
  </r>
  <r>
    <s v="2018-19"/>
    <x v="1"/>
    <x v="8"/>
    <s v="L2"/>
    <s v="Visualization and Communication, Spatial Planning and Organisation"/>
    <s v="Designing Types - Office Building"/>
    <n v="4"/>
    <x v="1"/>
    <x v="3"/>
    <n v="-1"/>
    <n v="0.14000000000000001"/>
    <n v="1"/>
    <n v="-1"/>
    <s v="No"/>
  </r>
  <r>
    <s v="2018-19"/>
    <x v="1"/>
    <x v="8"/>
    <s v="L2"/>
    <s v="Visualization and Communication, Spatial Planning and Organisation"/>
    <s v="Designing Types - Office Building"/>
    <n v="5"/>
    <x v="0"/>
    <x v="4"/>
    <n v="-1"/>
    <n v="0.11"/>
    <n v="1"/>
    <n v="-1"/>
    <m/>
  </r>
  <r>
    <s v="2018-19"/>
    <x v="1"/>
    <x v="8"/>
    <s v="L2"/>
    <s v="Visualization and Communication, Spatial Planning and Organisation"/>
    <s v="Designing Types - Office Building"/>
    <n v="5"/>
    <x v="1"/>
    <x v="4"/>
    <n v="-1"/>
    <n v="0.11"/>
    <n v="1"/>
    <n v="-1"/>
    <m/>
  </r>
  <r>
    <s v="2018-19"/>
    <x v="1"/>
    <x v="8"/>
    <s v="L2"/>
    <s v="Visualization and Communication, Spatial Planning and Organisation"/>
    <s v="Designing Types - Office Building"/>
    <n v="6"/>
    <x v="0"/>
    <x v="5"/>
    <n v="0"/>
    <n v="0.15"/>
    <n v="1"/>
    <n v="0"/>
    <m/>
  </r>
  <r>
    <s v="2018-19"/>
    <x v="1"/>
    <x v="8"/>
    <s v="L2"/>
    <s v="Visualization and Communication, Spatial Planning and Organisation"/>
    <s v="Designing Types - Office Building"/>
    <n v="6"/>
    <x v="1"/>
    <x v="5"/>
    <n v="-1"/>
    <n v="0.15"/>
    <n v="1"/>
    <n v="-1"/>
    <s v="Very disappointing"/>
  </r>
  <r>
    <s v="2018-19"/>
    <x v="1"/>
    <x v="8"/>
    <s v="L2"/>
    <s v="Visualization and Communication, Spatial Planning and Organisation"/>
    <s v="Designing Types - Office Building"/>
    <n v="7"/>
    <x v="0"/>
    <x v="6"/>
    <n v="0"/>
    <n v="0.1"/>
    <n v="1"/>
    <n v="0"/>
    <m/>
  </r>
  <r>
    <s v="2018-19"/>
    <x v="1"/>
    <x v="8"/>
    <s v="L2"/>
    <s v="Visualization and Communication, Spatial Planning and Organisation"/>
    <s v="Designing Types - Office Building"/>
    <n v="7"/>
    <x v="1"/>
    <x v="6"/>
    <n v="-1"/>
    <n v="0.1"/>
    <n v="1"/>
    <n v="-1"/>
    <s v="It's very immature and fragmented"/>
  </r>
  <r>
    <s v="2018-19"/>
    <x v="1"/>
    <x v="8"/>
    <s v="L2"/>
    <s v="Visualization and Communication, Spatial Planning and Organisation"/>
    <s v="Designing Types - Office Building"/>
    <n v="8"/>
    <x v="0"/>
    <x v="7"/>
    <n v="0"/>
    <n v="0.1"/>
    <n v="1"/>
    <n v="0"/>
    <m/>
  </r>
  <r>
    <s v="2018-19"/>
    <x v="1"/>
    <x v="8"/>
    <s v="L2"/>
    <s v="Visualization and Communication, Spatial Planning and Organisation"/>
    <s v="Designing Types - Office Building"/>
    <n v="8"/>
    <x v="1"/>
    <x v="7"/>
    <n v="-1"/>
    <n v="0.1"/>
    <n v="1"/>
    <n v="-1"/>
    <m/>
  </r>
  <r>
    <s v="2018-19"/>
    <x v="1"/>
    <x v="8"/>
    <s v="L2"/>
    <s v="Visualization and Communication, Spatial Planning and Organisation"/>
    <s v="Designing Types - Office Building"/>
    <n v="9"/>
    <x v="0"/>
    <x v="8"/>
    <n v="-1"/>
    <n v="0.05"/>
    <n v="0.85"/>
    <n v="-1"/>
    <m/>
  </r>
  <r>
    <s v="2018-19"/>
    <x v="1"/>
    <x v="8"/>
    <s v="L2"/>
    <s v="Visualization and Communication, Spatial Planning and Organisation"/>
    <s v="Designing Types - Office Building"/>
    <n v="9"/>
    <x v="1"/>
    <x v="8"/>
    <n v="0"/>
    <n v="0.05"/>
    <n v="0.85"/>
    <n v="0"/>
    <m/>
  </r>
  <r>
    <s v="2018-19"/>
    <x v="1"/>
    <x v="8"/>
    <s v="L2"/>
    <s v="Visualization and Communication, Spatial Planning and Organisation"/>
    <s v="Designing Types - Office Building"/>
    <n v="10"/>
    <x v="0"/>
    <x v="8"/>
    <n v="0"/>
    <n v="0.05"/>
    <n v="0.85"/>
    <n v="0"/>
    <m/>
  </r>
  <r>
    <s v="2018-19"/>
    <x v="1"/>
    <x v="8"/>
    <s v="L2"/>
    <s v="Visualization and Communication, Spatial Planning and Organisation"/>
    <s v="Designing Types - Office Building"/>
    <n v="10"/>
    <x v="1"/>
    <x v="8"/>
    <n v="0"/>
    <n v="0.05"/>
    <n v="0.85"/>
    <n v="0"/>
    <m/>
  </r>
  <r>
    <s v="2018-19"/>
    <x v="1"/>
    <x v="8"/>
    <s v="L2"/>
    <s v="Visualization and Communication, Spatial Planning and Organisation"/>
    <s v="Designing Types - Office Building"/>
    <n v="11"/>
    <x v="0"/>
    <x v="9"/>
    <n v="-1"/>
    <n v="0.05"/>
    <n v="1"/>
    <n v="-1"/>
    <m/>
  </r>
  <r>
    <s v="2018-19"/>
    <x v="1"/>
    <x v="8"/>
    <s v="L2"/>
    <s v="Visualization and Communication, Spatial Planning and Organisation"/>
    <s v="Designing Types - Office Building"/>
    <n v="11"/>
    <x v="1"/>
    <x v="9"/>
    <n v="-1"/>
    <n v="0.05"/>
    <n v="1"/>
    <n v="-1"/>
    <s v="No. Far from it."/>
  </r>
  <r>
    <s v="2018-19"/>
    <x v="1"/>
    <x v="9"/>
    <s v="L2"/>
    <s v="Constructing and Specifying"/>
    <s v="Tectonic Operations"/>
    <n v="1"/>
    <x v="0"/>
    <x v="0"/>
    <n v="0"/>
    <n v="0.12"/>
    <n v="1"/>
    <n v="0"/>
    <m/>
  </r>
  <r>
    <s v="2018-19"/>
    <x v="1"/>
    <x v="9"/>
    <s v="L2"/>
    <s v="Constructing and Specifying"/>
    <s v="Tectonic Operations"/>
    <n v="1"/>
    <x v="1"/>
    <x v="0"/>
    <n v="1"/>
    <n v="0.12"/>
    <n v="1"/>
    <n v="1"/>
    <m/>
  </r>
  <r>
    <s v="2018-19"/>
    <x v="1"/>
    <x v="9"/>
    <s v="L2"/>
    <s v="Constructing and Specifying"/>
    <s v="Tectonic Operations"/>
    <n v="2"/>
    <x v="0"/>
    <x v="1"/>
    <n v="0"/>
    <n v="0.08"/>
    <n v="0.8"/>
    <n v="0"/>
    <m/>
  </r>
  <r>
    <s v="2018-19"/>
    <x v="1"/>
    <x v="9"/>
    <s v="L2"/>
    <s v="Constructing and Specifying"/>
    <s v="Tectonic Operations"/>
    <n v="2"/>
    <x v="1"/>
    <x v="1"/>
    <n v="1"/>
    <n v="0.08"/>
    <n v="0.8"/>
    <n v="1"/>
    <m/>
  </r>
  <r>
    <s v="2018-19"/>
    <x v="1"/>
    <x v="9"/>
    <s v="L2"/>
    <s v="Constructing and Specifying"/>
    <s v="Tectonic Operations"/>
    <n v="3"/>
    <x v="0"/>
    <x v="2"/>
    <n v="1"/>
    <n v="0.05"/>
    <n v="1"/>
    <n v="1"/>
    <m/>
  </r>
  <r>
    <s v="2018-19"/>
    <x v="1"/>
    <x v="9"/>
    <s v="L2"/>
    <s v="Constructing and Specifying"/>
    <s v="Tectonic Operations"/>
    <n v="3"/>
    <x v="1"/>
    <x v="2"/>
    <n v="1"/>
    <n v="0.05"/>
    <n v="1"/>
    <n v="1"/>
    <m/>
  </r>
  <r>
    <s v="2018-19"/>
    <x v="1"/>
    <x v="9"/>
    <s v="L2"/>
    <s v="Constructing and Specifying"/>
    <s v="Tectonic Operations"/>
    <n v="4"/>
    <x v="0"/>
    <x v="3"/>
    <n v="1"/>
    <n v="0.14000000000000001"/>
    <n v="1"/>
    <n v="1"/>
    <m/>
  </r>
  <r>
    <s v="2018-19"/>
    <x v="1"/>
    <x v="9"/>
    <s v="L2"/>
    <s v="Constructing and Specifying"/>
    <s v="Tectonic Operations"/>
    <n v="4"/>
    <x v="1"/>
    <x v="3"/>
    <n v="1"/>
    <n v="0.14000000000000001"/>
    <n v="1"/>
    <n v="1"/>
    <m/>
  </r>
  <r>
    <s v="2018-19"/>
    <x v="1"/>
    <x v="9"/>
    <s v="L2"/>
    <s v="Constructing and Specifying"/>
    <s v="Tectonic Operations"/>
    <n v="5"/>
    <x v="0"/>
    <x v="4"/>
    <n v="1"/>
    <n v="0.11"/>
    <n v="1"/>
    <n v="1"/>
    <m/>
  </r>
  <r>
    <s v="2018-19"/>
    <x v="1"/>
    <x v="9"/>
    <s v="L2"/>
    <s v="Constructing and Specifying"/>
    <s v="Tectonic Operations"/>
    <n v="5"/>
    <x v="1"/>
    <x v="4"/>
    <n v="1"/>
    <n v="0.11"/>
    <n v="1"/>
    <n v="1"/>
    <m/>
  </r>
  <r>
    <s v="2018-19"/>
    <x v="1"/>
    <x v="9"/>
    <s v="L2"/>
    <s v="Constructing and Specifying"/>
    <s v="Tectonic Operations"/>
    <n v="6"/>
    <x v="0"/>
    <x v="5"/>
    <n v="1"/>
    <n v="0.15"/>
    <n v="1"/>
    <n v="1"/>
    <m/>
  </r>
  <r>
    <s v="2018-19"/>
    <x v="1"/>
    <x v="9"/>
    <s v="L2"/>
    <s v="Constructing and Specifying"/>
    <s v="Tectonic Operations"/>
    <n v="6"/>
    <x v="1"/>
    <x v="5"/>
    <n v="1"/>
    <n v="0.15"/>
    <n v="1"/>
    <n v="1"/>
    <m/>
  </r>
  <r>
    <s v="2018-19"/>
    <x v="1"/>
    <x v="9"/>
    <s v="L2"/>
    <s v="Constructing and Specifying"/>
    <s v="Tectonic Operations"/>
    <n v="7"/>
    <x v="0"/>
    <x v="6"/>
    <n v="1"/>
    <n v="0.1"/>
    <n v="1"/>
    <n v="1"/>
    <m/>
  </r>
  <r>
    <s v="2018-19"/>
    <x v="1"/>
    <x v="9"/>
    <s v="L2"/>
    <s v="Constructing and Specifying"/>
    <s v="Tectonic Operations"/>
    <n v="7"/>
    <x v="1"/>
    <x v="6"/>
    <n v="1"/>
    <n v="0.1"/>
    <n v="1"/>
    <n v="1"/>
    <m/>
  </r>
  <r>
    <s v="2018-19"/>
    <x v="1"/>
    <x v="9"/>
    <s v="L2"/>
    <s v="Constructing and Specifying"/>
    <s v="Tectonic Operations"/>
    <n v="8"/>
    <x v="0"/>
    <x v="7"/>
    <n v="1"/>
    <n v="0.1"/>
    <n v="1"/>
    <n v="1"/>
    <m/>
  </r>
  <r>
    <s v="2018-19"/>
    <x v="1"/>
    <x v="9"/>
    <s v="L2"/>
    <s v="Constructing and Specifying"/>
    <s v="Tectonic Operations"/>
    <n v="8"/>
    <x v="1"/>
    <x v="7"/>
    <n v="1"/>
    <n v="0.1"/>
    <n v="1"/>
    <n v="1"/>
    <m/>
  </r>
  <r>
    <s v="2018-19"/>
    <x v="1"/>
    <x v="9"/>
    <s v="L2"/>
    <s v="Constructing and Specifying"/>
    <s v="Tectonic Operations"/>
    <n v="9"/>
    <x v="0"/>
    <x v="8"/>
    <n v="1"/>
    <n v="0.05"/>
    <n v="0.85"/>
    <n v="1"/>
    <m/>
  </r>
  <r>
    <s v="2018-19"/>
    <x v="1"/>
    <x v="9"/>
    <s v="L2"/>
    <s v="Constructing and Specifying"/>
    <s v="Tectonic Operations"/>
    <n v="9"/>
    <x v="1"/>
    <x v="8"/>
    <n v="1"/>
    <n v="0.05"/>
    <n v="0.85"/>
    <n v="1"/>
    <m/>
  </r>
  <r>
    <s v="2018-19"/>
    <x v="1"/>
    <x v="9"/>
    <s v="L2"/>
    <s v="Constructing and Specifying"/>
    <s v="Tectonic Operations"/>
    <n v="10"/>
    <x v="0"/>
    <x v="8"/>
    <n v="0"/>
    <n v="0.05"/>
    <n v="0.85"/>
    <n v="0"/>
    <m/>
  </r>
  <r>
    <s v="2018-19"/>
    <x v="1"/>
    <x v="9"/>
    <s v="L2"/>
    <s v="Constructing and Specifying"/>
    <s v="Tectonic Operations"/>
    <n v="10"/>
    <x v="1"/>
    <x v="8"/>
    <n v="1"/>
    <n v="0.05"/>
    <n v="0.85"/>
    <n v="1"/>
    <m/>
  </r>
  <r>
    <s v="2018-19"/>
    <x v="1"/>
    <x v="9"/>
    <s v="L2"/>
    <s v="Constructing and Specifying"/>
    <s v="Tectonic Operations"/>
    <n v="11"/>
    <x v="0"/>
    <x v="9"/>
    <n v="1"/>
    <n v="0.05"/>
    <n v="1"/>
    <n v="1"/>
    <m/>
  </r>
  <r>
    <s v="2018-19"/>
    <x v="1"/>
    <x v="9"/>
    <s v="L2"/>
    <s v="Constructing and Specifying"/>
    <s v="Tectonic Operations"/>
    <n v="11"/>
    <x v="1"/>
    <x v="9"/>
    <n v="1"/>
    <n v="0.05"/>
    <n v="1"/>
    <n v="1"/>
    <s v="Yes."/>
  </r>
  <r>
    <s v="2018-19"/>
    <x v="1"/>
    <x v="17"/>
    <s v="L2"/>
    <m/>
    <s v="Designing with People"/>
    <n v="1"/>
    <x v="0"/>
    <x v="0"/>
    <n v="1"/>
    <n v="0.12"/>
    <n v="1"/>
    <n v="1"/>
    <m/>
  </r>
  <r>
    <s v="2018-19"/>
    <x v="1"/>
    <x v="17"/>
    <s v="L2"/>
    <m/>
    <s v="Designing with People"/>
    <n v="1"/>
    <x v="1"/>
    <x v="0"/>
    <n v="1"/>
    <n v="0.12"/>
    <n v="1"/>
    <n v="1"/>
    <m/>
  </r>
  <r>
    <s v="2018-19"/>
    <x v="1"/>
    <x v="17"/>
    <s v="L2"/>
    <m/>
    <s v="Designing with People"/>
    <n v="2"/>
    <x v="0"/>
    <x v="1"/>
    <n v="1"/>
    <n v="0.08"/>
    <n v="0.8"/>
    <n v="1"/>
    <m/>
  </r>
  <r>
    <s v="2018-19"/>
    <x v="1"/>
    <x v="17"/>
    <s v="L2"/>
    <m/>
    <s v="Designing with People"/>
    <n v="2"/>
    <x v="1"/>
    <x v="1"/>
    <n v="1"/>
    <n v="0.08"/>
    <n v="0.8"/>
    <n v="1"/>
    <m/>
  </r>
  <r>
    <s v="2018-19"/>
    <x v="1"/>
    <x v="17"/>
    <s v="L2"/>
    <m/>
    <s v="Designing with People"/>
    <n v="3"/>
    <x v="0"/>
    <x v="2"/>
    <n v="1"/>
    <n v="0.05"/>
    <n v="1"/>
    <n v="1"/>
    <m/>
  </r>
  <r>
    <s v="2018-19"/>
    <x v="1"/>
    <x v="17"/>
    <s v="L2"/>
    <m/>
    <s v="Designing with People"/>
    <n v="3"/>
    <x v="1"/>
    <x v="2"/>
    <n v="1"/>
    <n v="0.05"/>
    <n v="1"/>
    <n v="1"/>
    <s v="It's well specified"/>
  </r>
  <r>
    <s v="2018-19"/>
    <x v="1"/>
    <x v="17"/>
    <s v="L2"/>
    <m/>
    <s v="Designing with People"/>
    <n v="4"/>
    <x v="0"/>
    <x v="3"/>
    <n v="1"/>
    <n v="0.14000000000000001"/>
    <n v="1"/>
    <n v="1"/>
    <m/>
  </r>
  <r>
    <s v="2018-19"/>
    <x v="1"/>
    <x v="17"/>
    <s v="L2"/>
    <m/>
    <s v="Designing with People"/>
    <n v="4"/>
    <x v="1"/>
    <x v="3"/>
    <n v="1"/>
    <n v="0.14000000000000001"/>
    <n v="1"/>
    <n v="1"/>
    <m/>
  </r>
  <r>
    <s v="2018-19"/>
    <x v="1"/>
    <x v="17"/>
    <s v="L2"/>
    <m/>
    <s v="Designing with People"/>
    <n v="5"/>
    <x v="0"/>
    <x v="4"/>
    <n v="1"/>
    <n v="0.11"/>
    <n v="1"/>
    <n v="1"/>
    <m/>
  </r>
  <r>
    <s v="2018-19"/>
    <x v="1"/>
    <x v="17"/>
    <s v="L2"/>
    <m/>
    <s v="Designing with People"/>
    <n v="5"/>
    <x v="1"/>
    <x v="4"/>
    <n v="1"/>
    <n v="0.11"/>
    <n v="1"/>
    <n v="1"/>
    <m/>
  </r>
  <r>
    <s v="2018-19"/>
    <x v="1"/>
    <x v="17"/>
    <s v="L2"/>
    <m/>
    <s v="Designing with People"/>
    <n v="6"/>
    <x v="0"/>
    <x v="5"/>
    <n v="1"/>
    <n v="0.15"/>
    <n v="1"/>
    <n v="1"/>
    <m/>
  </r>
  <r>
    <s v="2018-19"/>
    <x v="1"/>
    <x v="17"/>
    <s v="L2"/>
    <m/>
    <s v="Designing with People"/>
    <n v="6"/>
    <x v="1"/>
    <x v="5"/>
    <n v="0"/>
    <n v="0.15"/>
    <n v="1"/>
    <n v="0"/>
    <s v="Convincing- yes. Ingenious and Sophisticated - no."/>
  </r>
  <r>
    <s v="2018-19"/>
    <x v="1"/>
    <x v="17"/>
    <s v="L2"/>
    <m/>
    <s v="Designing with People"/>
    <n v="7"/>
    <x v="0"/>
    <x v="6"/>
    <n v="1"/>
    <n v="0.1"/>
    <n v="1"/>
    <n v="1"/>
    <m/>
  </r>
  <r>
    <s v="2018-19"/>
    <x v="1"/>
    <x v="17"/>
    <s v="L2"/>
    <m/>
    <s v="Designing with People"/>
    <n v="7"/>
    <x v="1"/>
    <x v="6"/>
    <n v="1"/>
    <n v="0.1"/>
    <n v="1"/>
    <n v="1"/>
    <m/>
  </r>
  <r>
    <s v="2018-19"/>
    <x v="1"/>
    <x v="17"/>
    <s v="L2"/>
    <m/>
    <s v="Designing with People"/>
    <n v="8"/>
    <x v="0"/>
    <x v="7"/>
    <n v="0"/>
    <n v="0.1"/>
    <n v="1"/>
    <n v="0"/>
    <m/>
  </r>
  <r>
    <s v="2018-19"/>
    <x v="1"/>
    <x v="17"/>
    <s v="L2"/>
    <m/>
    <s v="Designing with People"/>
    <n v="8"/>
    <x v="1"/>
    <x v="7"/>
    <n v="1"/>
    <n v="0.1"/>
    <n v="1"/>
    <n v="1"/>
    <m/>
  </r>
  <r>
    <s v="2018-19"/>
    <x v="1"/>
    <x v="17"/>
    <s v="L2"/>
    <m/>
    <s v="Designing with People"/>
    <n v="9"/>
    <x v="0"/>
    <x v="8"/>
    <n v="0"/>
    <n v="0.05"/>
    <n v="0.85"/>
    <n v="0"/>
    <m/>
  </r>
  <r>
    <s v="2018-19"/>
    <x v="1"/>
    <x v="17"/>
    <s v="L2"/>
    <m/>
    <s v="Designing with People"/>
    <n v="9"/>
    <x v="1"/>
    <x v="8"/>
    <n v="1"/>
    <n v="0.05"/>
    <n v="0.85"/>
    <n v="1"/>
    <m/>
  </r>
  <r>
    <s v="2018-19"/>
    <x v="1"/>
    <x v="17"/>
    <s v="L2"/>
    <m/>
    <s v="Designing with People"/>
    <n v="10"/>
    <x v="0"/>
    <x v="8"/>
    <n v="0"/>
    <n v="0.05"/>
    <n v="0.85"/>
    <n v="0"/>
    <m/>
  </r>
  <r>
    <s v="2018-19"/>
    <x v="1"/>
    <x v="17"/>
    <s v="L2"/>
    <m/>
    <s v="Designing with People"/>
    <n v="10"/>
    <x v="1"/>
    <x v="8"/>
    <n v="1"/>
    <n v="0.05"/>
    <n v="0.85"/>
    <n v="1"/>
    <m/>
  </r>
  <r>
    <s v="2018-19"/>
    <x v="1"/>
    <x v="17"/>
    <s v="L2"/>
    <m/>
    <s v="Designing with People"/>
    <n v="11"/>
    <x v="0"/>
    <x v="9"/>
    <n v="0"/>
    <n v="0.05"/>
    <n v="1"/>
    <n v="0"/>
    <m/>
  </r>
  <r>
    <s v="2018-19"/>
    <x v="1"/>
    <x v="17"/>
    <s v="L2"/>
    <m/>
    <s v="Designing with People"/>
    <n v="11"/>
    <x v="1"/>
    <x v="9"/>
    <n v="0"/>
    <n v="0.05"/>
    <n v="1"/>
    <n v="0"/>
    <s v="Not yet but there is a potential for it to be."/>
  </r>
  <r>
    <s v="2018-19"/>
    <x v="1"/>
    <x v="18"/>
    <s v="L2"/>
    <m/>
    <s v="Where Material Meets Design"/>
    <n v="1"/>
    <x v="0"/>
    <x v="0"/>
    <n v="0"/>
    <n v="0.12"/>
    <n v="1"/>
    <n v="0"/>
    <m/>
  </r>
  <r>
    <s v="2018-19"/>
    <x v="1"/>
    <x v="18"/>
    <s v="L2"/>
    <m/>
    <s v="Where Material Meets Design"/>
    <n v="1"/>
    <x v="1"/>
    <x v="0"/>
    <n v="1"/>
    <n v="0.12"/>
    <n v="1"/>
    <n v="1"/>
    <m/>
  </r>
  <r>
    <s v="2018-19"/>
    <x v="1"/>
    <x v="18"/>
    <s v="L2"/>
    <m/>
    <s v="Where Material Meets Design"/>
    <n v="2"/>
    <x v="0"/>
    <x v="1"/>
    <n v="0"/>
    <n v="0.08"/>
    <n v="0.8"/>
    <n v="0"/>
    <m/>
  </r>
  <r>
    <s v="2018-19"/>
    <x v="1"/>
    <x v="18"/>
    <s v="L2"/>
    <m/>
    <s v="Where Material Meets Design"/>
    <n v="2"/>
    <x v="1"/>
    <x v="1"/>
    <n v="1"/>
    <n v="0.08"/>
    <n v="0.8"/>
    <n v="1"/>
    <m/>
  </r>
  <r>
    <s v="2018-19"/>
    <x v="1"/>
    <x v="18"/>
    <s v="L2"/>
    <m/>
    <s v="Where Material Meets Design"/>
    <n v="3"/>
    <x v="0"/>
    <x v="2"/>
    <n v="1"/>
    <n v="0.05"/>
    <n v="1"/>
    <n v="1"/>
    <m/>
  </r>
  <r>
    <s v="2018-19"/>
    <x v="1"/>
    <x v="18"/>
    <s v="L2"/>
    <m/>
    <s v="Where Material Meets Design"/>
    <n v="3"/>
    <x v="1"/>
    <x v="2"/>
    <n v="1"/>
    <n v="0.05"/>
    <n v="1"/>
    <n v="1"/>
    <m/>
  </r>
  <r>
    <s v="2018-19"/>
    <x v="1"/>
    <x v="18"/>
    <s v="L2"/>
    <m/>
    <s v="Where Material Meets Design"/>
    <n v="4"/>
    <x v="0"/>
    <x v="3"/>
    <n v="0"/>
    <n v="0.14000000000000001"/>
    <n v="1"/>
    <n v="0"/>
    <m/>
  </r>
  <r>
    <s v="2018-19"/>
    <x v="1"/>
    <x v="18"/>
    <s v="L2"/>
    <m/>
    <s v="Where Material Meets Design"/>
    <n v="4"/>
    <x v="1"/>
    <x v="3"/>
    <n v="1"/>
    <n v="0.14000000000000001"/>
    <n v="1"/>
    <n v="1"/>
    <m/>
  </r>
  <r>
    <s v="2018-19"/>
    <x v="1"/>
    <x v="18"/>
    <s v="L2"/>
    <m/>
    <s v="Where Material Meets Design"/>
    <n v="5"/>
    <x v="0"/>
    <x v="4"/>
    <n v="-1"/>
    <n v="0.11"/>
    <n v="1"/>
    <n v="-1"/>
    <m/>
  </r>
  <r>
    <s v="2018-19"/>
    <x v="1"/>
    <x v="18"/>
    <s v="L2"/>
    <m/>
    <s v="Where Material Meets Design"/>
    <n v="5"/>
    <x v="1"/>
    <x v="4"/>
    <n v="0"/>
    <n v="0.11"/>
    <n v="1"/>
    <n v="0"/>
    <m/>
  </r>
  <r>
    <s v="2018-19"/>
    <x v="1"/>
    <x v="18"/>
    <s v="L2"/>
    <m/>
    <s v="Where Material Meets Design"/>
    <n v="6"/>
    <x v="0"/>
    <x v="5"/>
    <n v="0"/>
    <n v="0.15"/>
    <n v="1"/>
    <n v="0"/>
    <m/>
  </r>
  <r>
    <s v="2018-19"/>
    <x v="1"/>
    <x v="18"/>
    <s v="L2"/>
    <m/>
    <s v="Where Material Meets Design"/>
    <n v="6"/>
    <x v="1"/>
    <x v="5"/>
    <n v="1"/>
    <n v="0.15"/>
    <n v="1"/>
    <n v="1"/>
    <m/>
  </r>
  <r>
    <s v="2018-19"/>
    <x v="1"/>
    <x v="18"/>
    <s v="L2"/>
    <m/>
    <s v="Where Material Meets Design"/>
    <n v="7"/>
    <x v="0"/>
    <x v="6"/>
    <n v="0"/>
    <n v="0.1"/>
    <n v="1"/>
    <n v="0"/>
    <m/>
  </r>
  <r>
    <s v="2018-19"/>
    <x v="1"/>
    <x v="18"/>
    <s v="L2"/>
    <m/>
    <s v="Where Material Meets Design"/>
    <n v="7"/>
    <x v="1"/>
    <x v="6"/>
    <n v="1"/>
    <n v="0.1"/>
    <n v="1"/>
    <n v="1"/>
    <s v="It's rigorous and meticulous"/>
  </r>
  <r>
    <s v="2018-19"/>
    <x v="1"/>
    <x v="18"/>
    <s v="L2"/>
    <m/>
    <s v="Where Material Meets Design"/>
    <n v="8"/>
    <x v="0"/>
    <x v="7"/>
    <n v="0"/>
    <n v="0.1"/>
    <n v="1"/>
    <n v="0"/>
    <m/>
  </r>
  <r>
    <s v="2018-19"/>
    <x v="1"/>
    <x v="18"/>
    <s v="L2"/>
    <m/>
    <s v="Where Material Meets Design"/>
    <n v="8"/>
    <x v="1"/>
    <x v="7"/>
    <n v="1"/>
    <n v="0.1"/>
    <n v="1"/>
    <n v="1"/>
    <s v="Well presented"/>
  </r>
  <r>
    <s v="2018-19"/>
    <x v="1"/>
    <x v="18"/>
    <s v="L2"/>
    <m/>
    <s v="Where Material Meets Design"/>
    <n v="9"/>
    <x v="0"/>
    <x v="8"/>
    <n v="-1"/>
    <n v="0.05"/>
    <n v="0.85"/>
    <n v="-1"/>
    <m/>
  </r>
  <r>
    <s v="2018-19"/>
    <x v="1"/>
    <x v="18"/>
    <s v="L2"/>
    <m/>
    <s v="Where Material Meets Design"/>
    <n v="9"/>
    <x v="1"/>
    <x v="8"/>
    <n v="0"/>
    <n v="0.05"/>
    <n v="0.85"/>
    <n v="0"/>
    <m/>
  </r>
  <r>
    <s v="2018-19"/>
    <x v="1"/>
    <x v="18"/>
    <s v="L2"/>
    <m/>
    <s v="Where Material Meets Design"/>
    <n v="10"/>
    <x v="0"/>
    <x v="8"/>
    <n v="0"/>
    <n v="0.05"/>
    <n v="0.85"/>
    <n v="0"/>
    <m/>
  </r>
  <r>
    <s v="2018-19"/>
    <x v="1"/>
    <x v="18"/>
    <s v="L2"/>
    <m/>
    <s v="Where Material Meets Design"/>
    <n v="10"/>
    <x v="1"/>
    <x v="8"/>
    <n v="1"/>
    <n v="0.05"/>
    <n v="0.85"/>
    <n v="1"/>
    <m/>
  </r>
  <r>
    <s v="2018-19"/>
    <x v="1"/>
    <x v="18"/>
    <s v="L2"/>
    <m/>
    <s v="Where Material Meets Design"/>
    <n v="11"/>
    <x v="0"/>
    <x v="9"/>
    <n v="0"/>
    <n v="0.05"/>
    <n v="1"/>
    <n v="0"/>
    <m/>
  </r>
  <r>
    <s v="2018-19"/>
    <x v="1"/>
    <x v="18"/>
    <s v="L2"/>
    <m/>
    <s v="Where Material Meets Design"/>
    <n v="11"/>
    <x v="1"/>
    <x v="9"/>
    <n v="1"/>
    <n v="0.05"/>
    <n v="1"/>
    <n v="1"/>
    <s v="Again interesting work which could benefit greatly from looking at the eventual manifestation categories."/>
  </r>
  <r>
    <s v="2018-19"/>
    <x v="1"/>
    <x v="19"/>
    <s v="L2"/>
    <m/>
    <s v="A Place for Water"/>
    <n v="1"/>
    <x v="0"/>
    <x v="0"/>
    <n v="1"/>
    <n v="0.12"/>
    <n v="1"/>
    <n v="1"/>
    <m/>
  </r>
  <r>
    <s v="2018-19"/>
    <x v="1"/>
    <x v="19"/>
    <s v="L2"/>
    <m/>
    <s v="A Place for Water"/>
    <n v="1"/>
    <x v="1"/>
    <x v="0"/>
    <n v="1"/>
    <n v="0.12"/>
    <n v="1"/>
    <n v="1"/>
    <m/>
  </r>
  <r>
    <s v="2018-19"/>
    <x v="1"/>
    <x v="19"/>
    <s v="L2"/>
    <m/>
    <s v="A Place for Water"/>
    <n v="2"/>
    <x v="0"/>
    <x v="1"/>
    <n v="1"/>
    <n v="0.08"/>
    <n v="0.8"/>
    <n v="1"/>
    <m/>
  </r>
  <r>
    <s v="2018-19"/>
    <x v="1"/>
    <x v="19"/>
    <s v="L2"/>
    <m/>
    <s v="A Place for Water"/>
    <n v="2"/>
    <x v="1"/>
    <x v="1"/>
    <n v="1"/>
    <n v="0.08"/>
    <n v="0.8"/>
    <n v="1"/>
    <m/>
  </r>
  <r>
    <s v="2018-19"/>
    <x v="1"/>
    <x v="19"/>
    <s v="L2"/>
    <m/>
    <s v="A Place for Water"/>
    <n v="3"/>
    <x v="0"/>
    <x v="2"/>
    <n v="1"/>
    <n v="0.05"/>
    <n v="1"/>
    <n v="1"/>
    <m/>
  </r>
  <r>
    <s v="2018-19"/>
    <x v="1"/>
    <x v="19"/>
    <s v="L2"/>
    <m/>
    <s v="A Place for Water"/>
    <n v="3"/>
    <x v="1"/>
    <x v="2"/>
    <n v="0"/>
    <n v="0.05"/>
    <n v="1"/>
    <n v="0"/>
    <s v="It needs to be better focused and defined."/>
  </r>
  <r>
    <s v="2018-19"/>
    <x v="1"/>
    <x v="19"/>
    <s v="L2"/>
    <m/>
    <s v="A Place for Water"/>
    <n v="4"/>
    <x v="0"/>
    <x v="3"/>
    <n v="1"/>
    <n v="0.14000000000000001"/>
    <n v="1"/>
    <n v="1"/>
    <m/>
  </r>
  <r>
    <s v="2018-19"/>
    <x v="1"/>
    <x v="19"/>
    <s v="L2"/>
    <m/>
    <s v="A Place for Water"/>
    <n v="4"/>
    <x v="1"/>
    <x v="3"/>
    <n v="0"/>
    <n v="0.14000000000000001"/>
    <n v="1"/>
    <n v="0"/>
    <s v="There is an effort"/>
  </r>
  <r>
    <s v="2018-19"/>
    <x v="1"/>
    <x v="19"/>
    <s v="L2"/>
    <m/>
    <s v="A Place for Water"/>
    <n v="5"/>
    <x v="0"/>
    <x v="4"/>
    <n v="0"/>
    <n v="0.11"/>
    <n v="1"/>
    <n v="0"/>
    <m/>
  </r>
  <r>
    <s v="2018-19"/>
    <x v="1"/>
    <x v="19"/>
    <s v="L2"/>
    <m/>
    <s v="A Place for Water"/>
    <n v="5"/>
    <x v="1"/>
    <x v="4"/>
    <n v="0"/>
    <n v="0.11"/>
    <n v="1"/>
    <n v="0"/>
    <s v="Not really"/>
  </r>
  <r>
    <s v="2018-19"/>
    <x v="1"/>
    <x v="19"/>
    <s v="L2"/>
    <m/>
    <s v="A Place for Water"/>
    <n v="6"/>
    <x v="0"/>
    <x v="5"/>
    <n v="1"/>
    <n v="0.15"/>
    <n v="1"/>
    <n v="1"/>
    <m/>
  </r>
  <r>
    <s v="2018-19"/>
    <x v="1"/>
    <x v="19"/>
    <s v="L2"/>
    <m/>
    <s v="A Place for Water"/>
    <n v="6"/>
    <x v="1"/>
    <x v="5"/>
    <n v="0"/>
    <n v="0.15"/>
    <n v="1"/>
    <n v="0"/>
    <s v="There is scope for improvement"/>
  </r>
  <r>
    <s v="2018-19"/>
    <x v="1"/>
    <x v="19"/>
    <s v="L2"/>
    <m/>
    <s v="A Place for Water"/>
    <n v="7"/>
    <x v="0"/>
    <x v="6"/>
    <n v="0"/>
    <n v="0.1"/>
    <n v="1"/>
    <n v="0"/>
    <m/>
  </r>
  <r>
    <s v="2018-19"/>
    <x v="1"/>
    <x v="19"/>
    <s v="L2"/>
    <m/>
    <s v="A Place for Water"/>
    <n v="7"/>
    <x v="1"/>
    <x v="6"/>
    <n v="0"/>
    <n v="0.1"/>
    <n v="1"/>
    <n v="0"/>
    <s v="It needs to be more intense and exploratory"/>
  </r>
  <r>
    <s v="2018-19"/>
    <x v="1"/>
    <x v="19"/>
    <s v="L2"/>
    <m/>
    <s v="A Place for Water"/>
    <n v="8"/>
    <x v="0"/>
    <x v="7"/>
    <n v="0"/>
    <n v="0.1"/>
    <n v="1"/>
    <n v="0"/>
    <m/>
  </r>
  <r>
    <s v="2018-19"/>
    <x v="1"/>
    <x v="19"/>
    <s v="L2"/>
    <m/>
    <s v="A Place for Water"/>
    <n v="8"/>
    <x v="1"/>
    <x v="7"/>
    <n v="0"/>
    <n v="0.1"/>
    <n v="1"/>
    <n v="0"/>
    <s v="Can improve"/>
  </r>
  <r>
    <s v="2018-19"/>
    <x v="1"/>
    <x v="19"/>
    <s v="L2"/>
    <m/>
    <s v="A Place for Water"/>
    <n v="9"/>
    <x v="0"/>
    <x v="8"/>
    <n v="1"/>
    <n v="0.05"/>
    <n v="0.85"/>
    <n v="1"/>
    <m/>
  </r>
  <r>
    <s v="2018-19"/>
    <x v="1"/>
    <x v="19"/>
    <s v="L2"/>
    <m/>
    <s v="A Place for Water"/>
    <n v="9"/>
    <x v="1"/>
    <x v="8"/>
    <n v="0"/>
    <n v="0.05"/>
    <n v="0.85"/>
    <n v="0"/>
    <s v="Can improve"/>
  </r>
  <r>
    <s v="2018-19"/>
    <x v="1"/>
    <x v="19"/>
    <s v="L2"/>
    <m/>
    <s v="A Place for Water"/>
    <n v="10"/>
    <x v="0"/>
    <x v="8"/>
    <n v="0"/>
    <n v="0.05"/>
    <n v="0.85"/>
    <n v="0"/>
    <m/>
  </r>
  <r>
    <s v="2018-19"/>
    <x v="1"/>
    <x v="19"/>
    <s v="L2"/>
    <m/>
    <s v="A Place for Water"/>
    <n v="10"/>
    <x v="1"/>
    <x v="8"/>
    <n v="0"/>
    <n v="0.05"/>
    <n v="0.85"/>
    <n v="0"/>
    <s v="Average"/>
  </r>
  <r>
    <s v="2018-19"/>
    <x v="1"/>
    <x v="19"/>
    <s v="L2"/>
    <m/>
    <s v="A Place for Water"/>
    <n v="11"/>
    <x v="0"/>
    <x v="9"/>
    <n v="0"/>
    <n v="0.05"/>
    <n v="1"/>
    <n v="0"/>
    <m/>
  </r>
  <r>
    <s v="2018-19"/>
    <x v="1"/>
    <x v="19"/>
    <s v="L2"/>
    <m/>
    <s v="A Place for Water"/>
    <n v="11"/>
    <x v="1"/>
    <x v="9"/>
    <n v="-1"/>
    <n v="0.05"/>
    <n v="1"/>
    <n v="-1"/>
    <s v="No.  The disjunct between the architectural responses to the centrality of the initial water based brief_x000a_seemed missing."/>
  </r>
  <r>
    <s v="2018-19"/>
    <x v="1"/>
    <x v="20"/>
    <s v="L3"/>
    <m/>
    <s v="Terrain-Vague Bricolage | Herbarium in an abandoned quarry at Champaner"/>
    <n v="1"/>
    <x v="0"/>
    <x v="0"/>
    <n v="1"/>
    <n v="0.12"/>
    <n v="1"/>
    <n v="1"/>
    <m/>
  </r>
  <r>
    <s v="2018-19"/>
    <x v="1"/>
    <x v="20"/>
    <s v="L3"/>
    <m/>
    <s v="Terrain-Vague Bricolage | Herbarium in an abandoned quarry at Champaner"/>
    <n v="1"/>
    <x v="1"/>
    <x v="0"/>
    <n v="1"/>
    <n v="0.12"/>
    <n v="1"/>
    <n v="1"/>
    <m/>
  </r>
  <r>
    <s v="2018-19"/>
    <x v="1"/>
    <x v="20"/>
    <s v="L3"/>
    <m/>
    <s v="Terrain-Vague Bricolage | Herbarium in an abandoned quarry at Champaner"/>
    <n v="2"/>
    <x v="0"/>
    <x v="1"/>
    <n v="1"/>
    <n v="0.08"/>
    <n v="0.8"/>
    <n v="1"/>
    <m/>
  </r>
  <r>
    <s v="2018-19"/>
    <x v="1"/>
    <x v="20"/>
    <s v="L3"/>
    <m/>
    <s v="Terrain-Vague Bricolage | Herbarium in an abandoned quarry at Champaner"/>
    <n v="2"/>
    <x v="1"/>
    <x v="1"/>
    <n v="0"/>
    <n v="0.08"/>
    <n v="0.8"/>
    <n v="0"/>
    <m/>
  </r>
  <r>
    <s v="2018-19"/>
    <x v="1"/>
    <x v="20"/>
    <s v="L3"/>
    <m/>
    <s v="Terrain-Vague Bricolage | Herbarium in an abandoned quarry at Champaner"/>
    <n v="3"/>
    <x v="0"/>
    <x v="2"/>
    <n v="1"/>
    <n v="0.05"/>
    <n v="1"/>
    <n v="1"/>
    <m/>
  </r>
  <r>
    <s v="2018-19"/>
    <x v="1"/>
    <x v="20"/>
    <s v="L3"/>
    <m/>
    <s v="Terrain-Vague Bricolage | Herbarium in an abandoned quarry at Champaner"/>
    <n v="3"/>
    <x v="1"/>
    <x v="2"/>
    <n v="0"/>
    <n v="0.05"/>
    <n v="1"/>
    <n v="0"/>
    <m/>
  </r>
  <r>
    <s v="2018-19"/>
    <x v="1"/>
    <x v="20"/>
    <s v="L3"/>
    <m/>
    <s v="Terrain-Vague Bricolage | Herbarium in an abandoned quarry at Champaner"/>
    <n v="4"/>
    <x v="0"/>
    <x v="3"/>
    <n v="0"/>
    <n v="0.14000000000000001"/>
    <n v="1"/>
    <n v="0"/>
    <m/>
  </r>
  <r>
    <s v="2018-19"/>
    <x v="1"/>
    <x v="20"/>
    <s v="L3"/>
    <m/>
    <s v="Terrain-Vague Bricolage | Herbarium in an abandoned quarry at Champaner"/>
    <n v="4"/>
    <x v="1"/>
    <x v="3"/>
    <n v="-1"/>
    <n v="0.14000000000000001"/>
    <n v="1"/>
    <n v="-1"/>
    <m/>
  </r>
  <r>
    <s v="2018-19"/>
    <x v="1"/>
    <x v="20"/>
    <s v="L3"/>
    <m/>
    <s v="Terrain-Vague Bricolage | Herbarium in an abandoned quarry at Champaner"/>
    <n v="5"/>
    <x v="0"/>
    <x v="4"/>
    <n v="0"/>
    <n v="0.11"/>
    <n v="1"/>
    <n v="0"/>
    <m/>
  </r>
  <r>
    <s v="2018-19"/>
    <x v="1"/>
    <x v="20"/>
    <s v="L3"/>
    <m/>
    <s v="Terrain-Vague Bricolage | Herbarium in an abandoned quarry at Champaner"/>
    <n v="5"/>
    <x v="1"/>
    <x v="4"/>
    <n v="-1"/>
    <n v="0.11"/>
    <n v="1"/>
    <n v="-1"/>
    <m/>
  </r>
  <r>
    <s v="2018-19"/>
    <x v="1"/>
    <x v="20"/>
    <s v="L3"/>
    <m/>
    <s v="Terrain-Vague Bricolage | Herbarium in an abandoned quarry at Champaner"/>
    <n v="6"/>
    <x v="0"/>
    <x v="5"/>
    <n v="1"/>
    <n v="0.15"/>
    <n v="1"/>
    <n v="1"/>
    <m/>
  </r>
  <r>
    <s v="2018-19"/>
    <x v="1"/>
    <x v="20"/>
    <s v="L3"/>
    <m/>
    <s v="Terrain-Vague Bricolage | Herbarium in an abandoned quarry at Champaner"/>
    <n v="6"/>
    <x v="1"/>
    <x v="5"/>
    <n v="-1"/>
    <n v="0.15"/>
    <n v="1"/>
    <n v="-1"/>
    <m/>
  </r>
  <r>
    <s v="2018-19"/>
    <x v="1"/>
    <x v="20"/>
    <s v="L3"/>
    <m/>
    <s v="Terrain-Vague Bricolage | Herbarium in an abandoned quarry at Champaner"/>
    <n v="7"/>
    <x v="0"/>
    <x v="6"/>
    <n v="0"/>
    <n v="0.1"/>
    <n v="1"/>
    <n v="0"/>
    <m/>
  </r>
  <r>
    <s v="2018-19"/>
    <x v="1"/>
    <x v="20"/>
    <s v="L3"/>
    <m/>
    <s v="Terrain-Vague Bricolage | Herbarium in an abandoned quarry at Champaner"/>
    <n v="7"/>
    <x v="1"/>
    <x v="6"/>
    <n v="-1"/>
    <n v="0.1"/>
    <n v="1"/>
    <n v="-1"/>
    <m/>
  </r>
  <r>
    <s v="2018-19"/>
    <x v="1"/>
    <x v="20"/>
    <s v="L3"/>
    <m/>
    <s v="Terrain-Vague Bricolage | Herbarium in an abandoned quarry at Champaner"/>
    <n v="8"/>
    <x v="0"/>
    <x v="7"/>
    <n v="1"/>
    <n v="0.1"/>
    <n v="1"/>
    <n v="1"/>
    <m/>
  </r>
  <r>
    <s v="2018-19"/>
    <x v="1"/>
    <x v="20"/>
    <s v="L3"/>
    <m/>
    <s v="Terrain-Vague Bricolage | Herbarium in an abandoned quarry at Champaner"/>
    <n v="8"/>
    <x v="1"/>
    <x v="7"/>
    <n v="-1"/>
    <n v="0.1"/>
    <n v="1"/>
    <n v="-1"/>
    <m/>
  </r>
  <r>
    <s v="2018-19"/>
    <x v="1"/>
    <x v="20"/>
    <s v="L3"/>
    <m/>
    <s v="Terrain-Vague Bricolage | Herbarium in an abandoned quarry at Champaner"/>
    <n v="9"/>
    <x v="0"/>
    <x v="8"/>
    <n v="1"/>
    <n v="0.05"/>
    <n v="0.85"/>
    <n v="1"/>
    <m/>
  </r>
  <r>
    <s v="2018-19"/>
    <x v="1"/>
    <x v="20"/>
    <s v="L3"/>
    <m/>
    <s v="Terrain-Vague Bricolage | Herbarium in an abandoned quarry at Champaner"/>
    <n v="9"/>
    <x v="1"/>
    <x v="8"/>
    <n v="0"/>
    <n v="0.05"/>
    <n v="0.85"/>
    <n v="0"/>
    <m/>
  </r>
  <r>
    <s v="2018-19"/>
    <x v="1"/>
    <x v="20"/>
    <s v="L3"/>
    <m/>
    <s v="Terrain-Vague Bricolage | Herbarium in an abandoned quarry at Champaner"/>
    <n v="10"/>
    <x v="0"/>
    <x v="8"/>
    <n v="1"/>
    <n v="0.05"/>
    <n v="0.85"/>
    <n v="1"/>
    <m/>
  </r>
  <r>
    <s v="2018-19"/>
    <x v="1"/>
    <x v="20"/>
    <s v="L3"/>
    <m/>
    <s v="Terrain-Vague Bricolage | Herbarium in an abandoned quarry at Champaner"/>
    <n v="10"/>
    <x v="1"/>
    <x v="8"/>
    <n v="-1"/>
    <n v="0.05"/>
    <n v="0.85"/>
    <n v="-1"/>
    <m/>
  </r>
  <r>
    <s v="2018-19"/>
    <x v="1"/>
    <x v="20"/>
    <s v="L3"/>
    <m/>
    <s v="Terrain-Vague Bricolage | Herbarium in an abandoned quarry at Champaner"/>
    <n v="11"/>
    <x v="0"/>
    <x v="9"/>
    <n v="1"/>
    <n v="0.05"/>
    <n v="1"/>
    <n v="1"/>
    <m/>
  </r>
  <r>
    <s v="2018-19"/>
    <x v="1"/>
    <x v="20"/>
    <s v="L3"/>
    <m/>
    <s v="Terrain-Vague Bricolage | Herbarium in an abandoned quarry at Champaner"/>
    <n v="11"/>
    <x v="1"/>
    <x v="9"/>
    <n v="-1"/>
    <n v="0.05"/>
    <n v="1"/>
    <n v="-1"/>
    <s v="No.  The disjunct between the architectural responses to the centrality of the initial water based brief_x000a_seemed missing."/>
  </r>
  <r>
    <s v="2018-19"/>
    <x v="1"/>
    <x v="21"/>
    <s v="L3"/>
    <m/>
    <s v="Urban Insert – Reimaging Community &amp; Awareness Center"/>
    <n v="1"/>
    <x v="0"/>
    <x v="0"/>
    <n v="0"/>
    <n v="0.12"/>
    <n v="1"/>
    <n v="0"/>
    <m/>
  </r>
  <r>
    <s v="2018-19"/>
    <x v="1"/>
    <x v="21"/>
    <s v="L3"/>
    <m/>
    <s v="Urban Insert – Reimaging Community &amp; Awareness Center"/>
    <n v="1"/>
    <x v="1"/>
    <x v="0"/>
    <n v="0"/>
    <n v="0.12"/>
    <n v="1"/>
    <n v="0"/>
    <s v="Needs to be improved."/>
  </r>
  <r>
    <s v="2018-19"/>
    <x v="1"/>
    <x v="21"/>
    <s v="L3"/>
    <m/>
    <s v="Urban Insert – Reimaging Community &amp; Awareness Center"/>
    <n v="2"/>
    <x v="0"/>
    <x v="1"/>
    <n v="-1"/>
    <n v="0.08"/>
    <n v="0.8"/>
    <n v="-1"/>
    <m/>
  </r>
  <r>
    <s v="2018-19"/>
    <x v="1"/>
    <x v="21"/>
    <s v="L3"/>
    <m/>
    <s v="Urban Insert – Reimaging Community &amp; Awareness Center"/>
    <n v="2"/>
    <x v="1"/>
    <x v="1"/>
    <n v="0"/>
    <n v="0.08"/>
    <n v="0.8"/>
    <n v="0"/>
    <m/>
  </r>
  <r>
    <s v="2018-19"/>
    <x v="1"/>
    <x v="21"/>
    <s v="L3"/>
    <m/>
    <s v="Urban Insert – Reimaging Community &amp; Awareness Center"/>
    <n v="3"/>
    <x v="0"/>
    <x v="2"/>
    <n v="0"/>
    <n v="0.05"/>
    <n v="1"/>
    <n v="0"/>
    <m/>
  </r>
  <r>
    <s v="2018-19"/>
    <x v="1"/>
    <x v="21"/>
    <s v="L3"/>
    <m/>
    <s v="Urban Insert – Reimaging Community &amp; Awareness Center"/>
    <n v="3"/>
    <x v="1"/>
    <x v="2"/>
    <n v="0"/>
    <n v="0.05"/>
    <n v="1"/>
    <n v="0"/>
    <m/>
  </r>
  <r>
    <s v="2018-19"/>
    <x v="1"/>
    <x v="21"/>
    <s v="L3"/>
    <m/>
    <s v="Urban Insert – Reimaging Community &amp; Awareness Center"/>
    <n v="4"/>
    <x v="0"/>
    <x v="3"/>
    <n v="-1"/>
    <n v="0.14000000000000001"/>
    <n v="1"/>
    <n v="-1"/>
    <m/>
  </r>
  <r>
    <s v="2018-19"/>
    <x v="1"/>
    <x v="21"/>
    <s v="L3"/>
    <m/>
    <s v="Urban Insert – Reimaging Community &amp; Awareness Center"/>
    <n v="4"/>
    <x v="1"/>
    <x v="3"/>
    <n v="-1"/>
    <n v="0.14000000000000001"/>
    <n v="1"/>
    <n v="-1"/>
    <m/>
  </r>
  <r>
    <s v="2018-19"/>
    <x v="1"/>
    <x v="21"/>
    <s v="L3"/>
    <m/>
    <s v="Urban Insert – Reimaging Community &amp; Awareness Center"/>
    <n v="5"/>
    <x v="0"/>
    <x v="4"/>
    <n v="-1"/>
    <n v="0.11"/>
    <n v="1"/>
    <n v="-1"/>
    <m/>
  </r>
  <r>
    <s v="2018-19"/>
    <x v="1"/>
    <x v="21"/>
    <s v="L3"/>
    <m/>
    <s v="Urban Insert – Reimaging Community &amp; Awareness Center"/>
    <n v="5"/>
    <x v="1"/>
    <x v="4"/>
    <n v="-1"/>
    <n v="0.11"/>
    <n v="1"/>
    <n v="-1"/>
    <m/>
  </r>
  <r>
    <s v="2018-19"/>
    <x v="1"/>
    <x v="21"/>
    <s v="L3"/>
    <m/>
    <s v="Urban Insert – Reimaging Community &amp; Awareness Center"/>
    <n v="6"/>
    <x v="0"/>
    <x v="5"/>
    <n v="-1"/>
    <n v="0.15"/>
    <n v="1"/>
    <n v="-1"/>
    <m/>
  </r>
  <r>
    <s v="2018-19"/>
    <x v="1"/>
    <x v="21"/>
    <s v="L3"/>
    <m/>
    <s v="Urban Insert – Reimaging Community &amp; Awareness Center"/>
    <n v="6"/>
    <x v="1"/>
    <x v="5"/>
    <n v="-1"/>
    <n v="0.15"/>
    <n v="1"/>
    <n v="-1"/>
    <m/>
  </r>
  <r>
    <s v="2018-19"/>
    <x v="1"/>
    <x v="21"/>
    <s v="L3"/>
    <m/>
    <s v="Urban Insert – Reimaging Community &amp; Awareness Center"/>
    <n v="7"/>
    <x v="0"/>
    <x v="6"/>
    <n v="-1"/>
    <n v="0.1"/>
    <n v="1"/>
    <n v="-1"/>
    <m/>
  </r>
  <r>
    <s v="2018-19"/>
    <x v="1"/>
    <x v="21"/>
    <s v="L3"/>
    <m/>
    <s v="Urban Insert – Reimaging Community &amp; Awareness Center"/>
    <n v="7"/>
    <x v="1"/>
    <x v="6"/>
    <n v="-1"/>
    <n v="0.1"/>
    <n v="1"/>
    <n v="-1"/>
    <m/>
  </r>
  <r>
    <s v="2018-19"/>
    <x v="1"/>
    <x v="21"/>
    <s v="L3"/>
    <m/>
    <s v="Urban Insert – Reimaging Community &amp; Awareness Center"/>
    <n v="8"/>
    <x v="0"/>
    <x v="7"/>
    <n v="-1"/>
    <n v="0.1"/>
    <n v="1"/>
    <n v="-1"/>
    <m/>
  </r>
  <r>
    <s v="2018-19"/>
    <x v="1"/>
    <x v="21"/>
    <s v="L3"/>
    <m/>
    <s v="Urban Insert – Reimaging Community &amp; Awareness Center"/>
    <n v="8"/>
    <x v="1"/>
    <x v="7"/>
    <n v="-1"/>
    <n v="0.1"/>
    <n v="1"/>
    <n v="-1"/>
    <m/>
  </r>
  <r>
    <s v="2018-19"/>
    <x v="1"/>
    <x v="21"/>
    <s v="L3"/>
    <m/>
    <s v="Urban Insert – Reimaging Community &amp; Awareness Center"/>
    <n v="9"/>
    <x v="0"/>
    <x v="8"/>
    <n v="-1"/>
    <n v="0.05"/>
    <n v="0.85"/>
    <n v="-1"/>
    <m/>
  </r>
  <r>
    <s v="2018-19"/>
    <x v="1"/>
    <x v="21"/>
    <s v="L3"/>
    <m/>
    <s v="Urban Insert – Reimaging Community &amp; Awareness Center"/>
    <n v="9"/>
    <x v="1"/>
    <x v="8"/>
    <n v="-1"/>
    <n v="0.05"/>
    <n v="0.85"/>
    <n v="-1"/>
    <m/>
  </r>
  <r>
    <s v="2018-19"/>
    <x v="1"/>
    <x v="21"/>
    <s v="L3"/>
    <m/>
    <s v="Urban Insert – Reimaging Community &amp; Awareness Center"/>
    <n v="10"/>
    <x v="0"/>
    <x v="8"/>
    <n v="-1"/>
    <n v="0.05"/>
    <n v="0.85"/>
    <n v="-1"/>
    <m/>
  </r>
  <r>
    <s v="2018-19"/>
    <x v="1"/>
    <x v="21"/>
    <s v="L3"/>
    <m/>
    <s v="Urban Insert – Reimaging Community &amp; Awareness Center"/>
    <n v="10"/>
    <x v="1"/>
    <x v="8"/>
    <n v="0"/>
    <n v="0.05"/>
    <n v="0.85"/>
    <n v="0"/>
    <m/>
  </r>
  <r>
    <s v="2018-19"/>
    <x v="1"/>
    <x v="21"/>
    <s v="L3"/>
    <m/>
    <s v="Urban Insert – Reimaging Community &amp; Awareness Center"/>
    <n v="11"/>
    <x v="0"/>
    <x v="9"/>
    <n v="-1"/>
    <n v="0.05"/>
    <n v="1"/>
    <n v="-1"/>
    <m/>
  </r>
  <r>
    <s v="2018-19"/>
    <x v="1"/>
    <x v="21"/>
    <s v="L3"/>
    <m/>
    <s v="Urban Insert – Reimaging Community &amp; Awareness Center"/>
    <n v="11"/>
    <x v="1"/>
    <x v="9"/>
    <n v="-1"/>
    <n v="0.05"/>
    <n v="1"/>
    <n v="-1"/>
    <s v="No. Uninventive projects that don't actually come together even as simple building packages. At level 3, one expects the dialogue and discussion of broader interests and issues, its disappointing to notice that even basic architectural representation lacks fundamental quality."/>
  </r>
  <r>
    <s v="2018-19"/>
    <x v="1"/>
    <x v="22"/>
    <s v="L3"/>
    <m/>
    <s v="Massing the houses for housing the masses: Sustainable, Plural and Humane Habitats"/>
    <n v="1"/>
    <x v="0"/>
    <x v="0"/>
    <n v="0"/>
    <n v="0.12"/>
    <n v="1"/>
    <n v="0"/>
    <m/>
  </r>
  <r>
    <s v="2018-19"/>
    <x v="1"/>
    <x v="22"/>
    <s v="L3"/>
    <m/>
    <s v="Massing the houses for housing the masses: Sustainable, Plural and Humane Habitats"/>
    <n v="1"/>
    <x v="1"/>
    <x v="0"/>
    <n v="0"/>
    <n v="0.12"/>
    <n v="1"/>
    <n v="0"/>
    <m/>
  </r>
  <r>
    <s v="2018-19"/>
    <x v="1"/>
    <x v="22"/>
    <s v="L3"/>
    <m/>
    <s v="Massing the houses for housing the masses: Sustainable, Plural and Humane Habitats"/>
    <n v="2"/>
    <x v="0"/>
    <x v="1"/>
    <n v="0"/>
    <n v="0.08"/>
    <n v="0.8"/>
    <n v="0"/>
    <m/>
  </r>
  <r>
    <s v="2018-19"/>
    <x v="1"/>
    <x v="22"/>
    <s v="L3"/>
    <m/>
    <s v="Massing the houses for housing the masses: Sustainable, Plural and Humane Habitats"/>
    <n v="2"/>
    <x v="1"/>
    <x v="1"/>
    <n v="-1"/>
    <n v="0.08"/>
    <n v="0.8"/>
    <n v="-1"/>
    <m/>
  </r>
  <r>
    <s v="2018-19"/>
    <x v="1"/>
    <x v="22"/>
    <s v="L3"/>
    <m/>
    <s v="Massing the houses for housing the masses: Sustainable, Plural and Humane Habitats"/>
    <n v="3"/>
    <x v="0"/>
    <x v="2"/>
    <n v="1"/>
    <n v="0.05"/>
    <n v="1"/>
    <n v="1"/>
    <m/>
  </r>
  <r>
    <s v="2018-19"/>
    <x v="1"/>
    <x v="22"/>
    <s v="L3"/>
    <m/>
    <s v="Massing the houses for housing the masses: Sustainable, Plural and Humane Habitats"/>
    <n v="3"/>
    <x v="1"/>
    <x v="2"/>
    <n v="-1"/>
    <n v="0.05"/>
    <n v="1"/>
    <n v="-1"/>
    <s v="Very immature for L3"/>
  </r>
  <r>
    <s v="2018-19"/>
    <x v="1"/>
    <x v="22"/>
    <s v="L3"/>
    <m/>
    <s v="Massing the houses for housing the masses: Sustainable, Plural and Humane Habitats"/>
    <n v="4"/>
    <x v="0"/>
    <x v="3"/>
    <n v="-1"/>
    <n v="0.14000000000000001"/>
    <n v="1"/>
    <n v="-1"/>
    <m/>
  </r>
  <r>
    <s v="2018-19"/>
    <x v="1"/>
    <x v="22"/>
    <s v="L3"/>
    <m/>
    <s v="Massing the houses for housing the masses: Sustainable, Plural and Humane Habitats"/>
    <n v="4"/>
    <x v="1"/>
    <x v="3"/>
    <n v="-1"/>
    <n v="0.14000000000000001"/>
    <n v="1"/>
    <n v="-1"/>
    <s v="Disappointing"/>
  </r>
  <r>
    <s v="2018-19"/>
    <x v="1"/>
    <x v="22"/>
    <s v="L3"/>
    <m/>
    <s v="Massing the houses for housing the masses: Sustainable, Plural and Humane Habitats"/>
    <n v="5"/>
    <x v="0"/>
    <x v="4"/>
    <n v="-1"/>
    <n v="0.11"/>
    <n v="1"/>
    <n v="-1"/>
    <m/>
  </r>
  <r>
    <s v="2018-19"/>
    <x v="1"/>
    <x v="22"/>
    <s v="L3"/>
    <m/>
    <s v="Massing the houses for housing the masses: Sustainable, Plural and Humane Habitats"/>
    <n v="5"/>
    <x v="1"/>
    <x v="4"/>
    <n v="-1"/>
    <n v="0.11"/>
    <n v="1"/>
    <n v="-1"/>
    <s v="Very disappointing"/>
  </r>
  <r>
    <s v="2018-19"/>
    <x v="1"/>
    <x v="22"/>
    <s v="L3"/>
    <m/>
    <s v="Massing the houses for housing the masses: Sustainable, Plural and Humane Habitats"/>
    <n v="6"/>
    <x v="0"/>
    <x v="5"/>
    <n v="-1"/>
    <n v="0.15"/>
    <n v="1"/>
    <n v="-1"/>
    <m/>
  </r>
  <r>
    <s v="2018-19"/>
    <x v="1"/>
    <x v="22"/>
    <s v="L3"/>
    <m/>
    <s v="Massing the houses for housing the masses: Sustainable, Plural and Humane Habitats"/>
    <n v="6"/>
    <x v="1"/>
    <x v="5"/>
    <n v="-1"/>
    <n v="0.15"/>
    <n v="1"/>
    <n v="-1"/>
    <s v="SAD"/>
  </r>
  <r>
    <s v="2018-19"/>
    <x v="1"/>
    <x v="22"/>
    <s v="L3"/>
    <m/>
    <s v="Massing the houses for housing the masses: Sustainable, Plural and Humane Habitats"/>
    <n v="7"/>
    <x v="0"/>
    <x v="6"/>
    <n v="-1"/>
    <n v="0.1"/>
    <n v="1"/>
    <n v="-1"/>
    <m/>
  </r>
  <r>
    <s v="2018-19"/>
    <x v="1"/>
    <x v="22"/>
    <s v="L3"/>
    <m/>
    <s v="Massing the houses for housing the masses: Sustainable, Plural and Humane Habitats"/>
    <n v="7"/>
    <x v="1"/>
    <x v="6"/>
    <n v="-1"/>
    <n v="0.1"/>
    <n v="1"/>
    <n v="-1"/>
    <m/>
  </r>
  <r>
    <s v="2018-19"/>
    <x v="1"/>
    <x v="22"/>
    <s v="L3"/>
    <m/>
    <s v="Massing the houses for housing the masses: Sustainable, Plural and Humane Habitats"/>
    <n v="8"/>
    <x v="0"/>
    <x v="7"/>
    <n v="-1"/>
    <n v="0.1"/>
    <n v="1"/>
    <n v="-1"/>
    <m/>
  </r>
  <r>
    <s v="2018-19"/>
    <x v="1"/>
    <x v="22"/>
    <s v="L3"/>
    <m/>
    <s v="Massing the houses for housing the masses: Sustainable, Plural and Humane Habitats"/>
    <n v="8"/>
    <x v="1"/>
    <x v="7"/>
    <n v="-1"/>
    <n v="0.1"/>
    <n v="1"/>
    <n v="-1"/>
    <m/>
  </r>
  <r>
    <s v="2018-19"/>
    <x v="1"/>
    <x v="22"/>
    <s v="L3"/>
    <m/>
    <s v="Massing the houses for housing the masses: Sustainable, Plural and Humane Habitats"/>
    <n v="9"/>
    <x v="0"/>
    <x v="8"/>
    <n v="-1"/>
    <n v="0.05"/>
    <n v="0.85"/>
    <n v="-1"/>
    <m/>
  </r>
  <r>
    <s v="2018-19"/>
    <x v="1"/>
    <x v="22"/>
    <s v="L3"/>
    <m/>
    <s v="Massing the houses for housing the masses: Sustainable, Plural and Humane Habitats"/>
    <n v="9"/>
    <x v="1"/>
    <x v="8"/>
    <n v="0"/>
    <n v="0.05"/>
    <n v="0.85"/>
    <n v="0"/>
    <m/>
  </r>
  <r>
    <s v="2018-19"/>
    <x v="1"/>
    <x v="22"/>
    <s v="L3"/>
    <m/>
    <s v="Massing the houses for housing the masses: Sustainable, Plural and Humane Habitats"/>
    <n v="10"/>
    <x v="0"/>
    <x v="8"/>
    <n v="0"/>
    <n v="0.05"/>
    <n v="0.85"/>
    <n v="0"/>
    <m/>
  </r>
  <r>
    <s v="2018-19"/>
    <x v="1"/>
    <x v="22"/>
    <s v="L3"/>
    <m/>
    <s v="Massing the houses for housing the masses: Sustainable, Plural and Humane Habitats"/>
    <n v="10"/>
    <x v="1"/>
    <x v="8"/>
    <n v="0"/>
    <n v="0.05"/>
    <n v="0.85"/>
    <n v="0"/>
    <m/>
  </r>
  <r>
    <s v="2018-19"/>
    <x v="1"/>
    <x v="22"/>
    <s v="L3"/>
    <m/>
    <s v="Massing the houses for housing the masses: Sustainable, Plural and Humane Habitats"/>
    <n v="11"/>
    <x v="0"/>
    <x v="9"/>
    <n v="-1"/>
    <n v="0.05"/>
    <n v="1"/>
    <n v="-1"/>
    <m/>
  </r>
  <r>
    <s v="2018-19"/>
    <x v="1"/>
    <x v="22"/>
    <s v="L3"/>
    <m/>
    <s v="Massing the houses for housing the masses: Sustainable, Plural and Humane Habitats"/>
    <n v="11"/>
    <x v="1"/>
    <x v="9"/>
    <n v="-1"/>
    <n v="0.05"/>
    <n v="1"/>
    <n v="-1"/>
    <s v="No. Could be better served by a process that examines the potential of new spatial/ formal typologies in relation to context around and within rather than just formal patterns."/>
  </r>
  <r>
    <s v="2018-19"/>
    <x v="1"/>
    <x v="23"/>
    <s v="L3"/>
    <m/>
    <s v="Urban Assemblies: drawing on vacant lands"/>
    <n v="1"/>
    <x v="0"/>
    <x v="0"/>
    <n v="0"/>
    <n v="0.12"/>
    <n v="1"/>
    <n v="0"/>
    <m/>
  </r>
  <r>
    <s v="2018-19"/>
    <x v="1"/>
    <x v="23"/>
    <s v="L3"/>
    <m/>
    <s v="Urban Assemblies: drawing on vacant lands"/>
    <n v="1"/>
    <x v="1"/>
    <x v="0"/>
    <n v="0"/>
    <n v="0.12"/>
    <n v="1"/>
    <n v="0"/>
    <s v="Lacks clarity"/>
  </r>
  <r>
    <s v="2018-19"/>
    <x v="1"/>
    <x v="23"/>
    <s v="L3"/>
    <m/>
    <s v="Urban Assemblies: drawing on vacant lands"/>
    <n v="2"/>
    <x v="0"/>
    <x v="1"/>
    <n v="0"/>
    <n v="0.08"/>
    <n v="0.8"/>
    <n v="0"/>
    <m/>
  </r>
  <r>
    <s v="2018-19"/>
    <x v="1"/>
    <x v="23"/>
    <s v="L3"/>
    <m/>
    <s v="Urban Assemblies: drawing on vacant lands"/>
    <n v="2"/>
    <x v="1"/>
    <x v="1"/>
    <n v="0"/>
    <n v="0.08"/>
    <n v="0.8"/>
    <n v="0"/>
    <m/>
  </r>
  <r>
    <s v="2018-19"/>
    <x v="1"/>
    <x v="23"/>
    <s v="L3"/>
    <m/>
    <s v="Urban Assemblies: drawing on vacant lands"/>
    <n v="3"/>
    <x v="0"/>
    <x v="2"/>
    <n v="1"/>
    <n v="0.05"/>
    <n v="1"/>
    <n v="1"/>
    <m/>
  </r>
  <r>
    <s v="2018-19"/>
    <x v="1"/>
    <x v="23"/>
    <s v="L3"/>
    <m/>
    <s v="Urban Assemblies: drawing on vacant lands"/>
    <n v="3"/>
    <x v="1"/>
    <x v="2"/>
    <n v="0"/>
    <n v="0.05"/>
    <n v="1"/>
    <n v="0"/>
    <m/>
  </r>
  <r>
    <s v="2018-19"/>
    <x v="1"/>
    <x v="23"/>
    <s v="L3"/>
    <m/>
    <s v="Urban Assemblies: drawing on vacant lands"/>
    <n v="4"/>
    <x v="0"/>
    <x v="3"/>
    <n v="-1"/>
    <n v="0.14000000000000001"/>
    <n v="1"/>
    <n v="-1"/>
    <m/>
  </r>
  <r>
    <s v="2018-19"/>
    <x v="1"/>
    <x v="23"/>
    <s v="L3"/>
    <m/>
    <s v="Urban Assemblies: drawing on vacant lands"/>
    <n v="4"/>
    <x v="1"/>
    <x v="3"/>
    <n v="-1"/>
    <n v="0.14000000000000001"/>
    <n v="1"/>
    <n v="-1"/>
    <m/>
  </r>
  <r>
    <s v="2018-19"/>
    <x v="1"/>
    <x v="23"/>
    <s v="L3"/>
    <m/>
    <s v="Urban Assemblies: drawing on vacant lands"/>
    <n v="5"/>
    <x v="0"/>
    <x v="4"/>
    <n v="-1"/>
    <n v="0.11"/>
    <n v="1"/>
    <n v="-1"/>
    <m/>
  </r>
  <r>
    <s v="2018-19"/>
    <x v="1"/>
    <x v="23"/>
    <s v="L3"/>
    <m/>
    <s v="Urban Assemblies: drawing on vacant lands"/>
    <n v="5"/>
    <x v="1"/>
    <x v="4"/>
    <n v="-1"/>
    <n v="0.11"/>
    <n v="1"/>
    <n v="-1"/>
    <m/>
  </r>
  <r>
    <s v="2018-19"/>
    <x v="1"/>
    <x v="23"/>
    <s v="L3"/>
    <m/>
    <s v="Urban Assemblies: drawing on vacant lands"/>
    <n v="6"/>
    <x v="0"/>
    <x v="5"/>
    <n v="-1"/>
    <n v="0.15"/>
    <n v="1"/>
    <n v="-1"/>
    <m/>
  </r>
  <r>
    <s v="2018-19"/>
    <x v="1"/>
    <x v="23"/>
    <s v="L3"/>
    <m/>
    <s v="Urban Assemblies: drawing on vacant lands"/>
    <n v="6"/>
    <x v="1"/>
    <x v="5"/>
    <n v="-1"/>
    <n v="0.15"/>
    <n v="1"/>
    <n v="-1"/>
    <s v="Neither convincing, nor ingenious or spohisticated."/>
  </r>
  <r>
    <s v="2018-19"/>
    <x v="1"/>
    <x v="23"/>
    <s v="L3"/>
    <m/>
    <s v="Urban Assemblies: drawing on vacant lands"/>
    <n v="7"/>
    <x v="0"/>
    <x v="6"/>
    <n v="0"/>
    <n v="0.1"/>
    <n v="1"/>
    <n v="0"/>
    <m/>
  </r>
  <r>
    <s v="2018-19"/>
    <x v="1"/>
    <x v="23"/>
    <s v="L3"/>
    <m/>
    <s v="Urban Assemblies: drawing on vacant lands"/>
    <n v="7"/>
    <x v="1"/>
    <x v="6"/>
    <n v="-1"/>
    <n v="0.1"/>
    <n v="1"/>
    <n v="-1"/>
    <m/>
  </r>
  <r>
    <s v="2018-19"/>
    <x v="1"/>
    <x v="23"/>
    <s v="L3"/>
    <m/>
    <s v="Urban Assemblies: drawing on vacant lands"/>
    <n v="8"/>
    <x v="0"/>
    <x v="7"/>
    <n v="0"/>
    <n v="0.1"/>
    <n v="1"/>
    <n v="0"/>
    <m/>
  </r>
  <r>
    <s v="2018-19"/>
    <x v="1"/>
    <x v="23"/>
    <s v="L3"/>
    <m/>
    <s v="Urban Assemblies: drawing on vacant lands"/>
    <n v="8"/>
    <x v="1"/>
    <x v="7"/>
    <n v="0"/>
    <n v="0.1"/>
    <n v="1"/>
    <n v="0"/>
    <m/>
  </r>
  <r>
    <s v="2018-19"/>
    <x v="1"/>
    <x v="23"/>
    <s v="L3"/>
    <m/>
    <s v="Urban Assemblies: drawing on vacant lands"/>
    <n v="9"/>
    <x v="0"/>
    <x v="8"/>
    <n v="-1"/>
    <n v="0.05"/>
    <n v="0.85"/>
    <n v="-1"/>
    <m/>
  </r>
  <r>
    <s v="2018-19"/>
    <x v="1"/>
    <x v="23"/>
    <s v="L3"/>
    <m/>
    <s v="Urban Assemblies: drawing on vacant lands"/>
    <n v="9"/>
    <x v="1"/>
    <x v="8"/>
    <n v="1"/>
    <n v="0.05"/>
    <n v="0.85"/>
    <n v="1"/>
    <m/>
  </r>
  <r>
    <s v="2018-19"/>
    <x v="1"/>
    <x v="23"/>
    <s v="L3"/>
    <m/>
    <s v="Urban Assemblies: drawing on vacant lands"/>
    <n v="10"/>
    <x v="0"/>
    <x v="8"/>
    <n v="-1"/>
    <n v="0.05"/>
    <n v="0.85"/>
    <n v="-1"/>
    <m/>
  </r>
  <r>
    <s v="2018-19"/>
    <x v="1"/>
    <x v="23"/>
    <s v="L3"/>
    <m/>
    <s v="Urban Assemblies: drawing on vacant lands"/>
    <n v="10"/>
    <x v="1"/>
    <x v="8"/>
    <n v="1"/>
    <n v="0.05"/>
    <n v="0.85"/>
    <n v="1"/>
    <m/>
  </r>
  <r>
    <s v="2018-19"/>
    <x v="1"/>
    <x v="23"/>
    <s v="L3"/>
    <m/>
    <s v="Urban Assemblies: drawing on vacant lands"/>
    <n v="11"/>
    <x v="0"/>
    <x v="9"/>
    <n v="-1"/>
    <n v="0.05"/>
    <n v="1"/>
    <n v="-1"/>
    <m/>
  </r>
  <r>
    <s v="2018-19"/>
    <x v="1"/>
    <x v="23"/>
    <s v="L3"/>
    <m/>
    <s v="Urban Assemblies: drawing on vacant lands"/>
    <n v="11"/>
    <x v="1"/>
    <x v="9"/>
    <n v="-1"/>
    <n v="0.05"/>
    <n v="1"/>
    <n v="-1"/>
    <s v="No. Studio could benefit greatly as a project that searches for urban formal types to fit with the interstices of public spaces. program can be subservient to formal investigation."/>
  </r>
  <r>
    <s v="2019-20"/>
    <x v="2"/>
    <x v="1"/>
    <s v="L2"/>
    <s v="Constructing and Specifying"/>
    <s v="Strange Details"/>
    <n v="1"/>
    <x v="0"/>
    <x v="0"/>
    <n v="0"/>
    <n v="0.12"/>
    <n v="1"/>
    <n v="0"/>
    <m/>
  </r>
  <r>
    <s v="2019-20"/>
    <x v="2"/>
    <x v="1"/>
    <s v="L2"/>
    <s v="Constructing and Specifying"/>
    <s v="Strange Details"/>
    <n v="1"/>
    <x v="1"/>
    <x v="0"/>
    <n v="1"/>
    <n v="0.12"/>
    <n v="1"/>
    <n v="1"/>
    <m/>
  </r>
  <r>
    <s v="2019-20"/>
    <x v="2"/>
    <x v="1"/>
    <s v="L2"/>
    <s v="Constructing and Specifying"/>
    <s v="Strange Details"/>
    <n v="2"/>
    <x v="0"/>
    <x v="1"/>
    <n v="0"/>
    <n v="0.08"/>
    <n v="0.8"/>
    <n v="0"/>
    <m/>
  </r>
  <r>
    <s v="2019-20"/>
    <x v="2"/>
    <x v="1"/>
    <s v="L2"/>
    <s v="Constructing and Specifying"/>
    <s v="Strange Details"/>
    <n v="2"/>
    <x v="1"/>
    <x v="1"/>
    <n v="1"/>
    <n v="0.08"/>
    <n v="0.8"/>
    <n v="1"/>
    <s v="Yes because the process of developing construction methods and details, including choice of materials, by deconstructing existing buildings by well known architects appears to be an interesting way to teach students to bridge the gap between a concept and its manifestation successfully"/>
  </r>
  <r>
    <s v="2019-20"/>
    <x v="2"/>
    <x v="1"/>
    <s v="L2"/>
    <s v="Constructing and Specifying"/>
    <s v="Strange Details"/>
    <n v="3"/>
    <x v="0"/>
    <x v="2"/>
    <n v="1"/>
    <n v="0.05"/>
    <n v="1"/>
    <n v="1"/>
    <m/>
  </r>
  <r>
    <s v="2019-20"/>
    <x v="2"/>
    <x v="1"/>
    <s v="L2"/>
    <s v="Constructing and Specifying"/>
    <s v="Strange Details"/>
    <n v="3"/>
    <x v="1"/>
    <x v="2"/>
    <n v="1"/>
    <n v="0.05"/>
    <n v="1"/>
    <n v="1"/>
    <m/>
  </r>
  <r>
    <s v="2019-20"/>
    <x v="2"/>
    <x v="1"/>
    <s v="L2"/>
    <s v="Constructing and Specifying"/>
    <s v="Strange Details"/>
    <n v="4"/>
    <x v="0"/>
    <x v="3"/>
    <n v="-1"/>
    <n v="0.14000000000000001"/>
    <n v="1"/>
    <n v="-1"/>
    <m/>
  </r>
  <r>
    <s v="2019-20"/>
    <x v="2"/>
    <x v="1"/>
    <s v="L2"/>
    <s v="Constructing and Specifying"/>
    <s v="Strange Details"/>
    <n v="4"/>
    <x v="1"/>
    <x v="3"/>
    <n v="0"/>
    <n v="0.14000000000000001"/>
    <n v="1"/>
    <n v="0"/>
    <s v="It could have been taken further in terms of technical drawing even though the making of large scale"/>
  </r>
  <r>
    <s v="2019-20"/>
    <x v="2"/>
    <x v="1"/>
    <s v="L2"/>
    <s v="Constructing and Specifying"/>
    <s v="Strange Details"/>
    <n v="5"/>
    <x v="0"/>
    <x v="4"/>
    <n v="0"/>
    <n v="0.11"/>
    <n v="1"/>
    <n v="0"/>
    <m/>
  </r>
  <r>
    <s v="2019-20"/>
    <x v="2"/>
    <x v="1"/>
    <s v="L2"/>
    <s v="Constructing and Specifying"/>
    <s v="Strange Details"/>
    <n v="5"/>
    <x v="1"/>
    <x v="4"/>
    <n v="0"/>
    <n v="0.11"/>
    <n v="1"/>
    <n v="0"/>
    <s v="I would say success in developing the ability it was meant to develop is more ore less 60-70%. It could improve a lot."/>
  </r>
  <r>
    <s v="2019-20"/>
    <x v="2"/>
    <x v="1"/>
    <s v="L2"/>
    <s v="Constructing and Specifying"/>
    <s v="Strange Details"/>
    <n v="6"/>
    <x v="0"/>
    <x v="5"/>
    <n v="-1"/>
    <n v="0.15"/>
    <n v="1"/>
    <n v="-1"/>
    <m/>
  </r>
  <r>
    <s v="2019-20"/>
    <x v="2"/>
    <x v="1"/>
    <s v="L2"/>
    <s v="Constructing and Specifying"/>
    <s v="Strange Details"/>
    <n v="6"/>
    <x v="1"/>
    <x v="5"/>
    <n v="0"/>
    <n v="0.15"/>
    <n v="1"/>
    <n v="0"/>
    <s v="Again, I felt the drawings lacked intensity and desired sophistication. "/>
  </r>
  <r>
    <s v="2019-20"/>
    <x v="2"/>
    <x v="1"/>
    <s v="L2"/>
    <s v="Constructing and Specifying"/>
    <s v="Strange Details"/>
    <n v="7"/>
    <x v="0"/>
    <x v="6"/>
    <n v="0"/>
    <n v="0.1"/>
    <n v="1"/>
    <n v="0"/>
    <m/>
  </r>
  <r>
    <s v="2019-20"/>
    <x v="2"/>
    <x v="1"/>
    <s v="L2"/>
    <s v="Constructing and Specifying"/>
    <s v="Strange Details"/>
    <n v="7"/>
    <x v="1"/>
    <x v="6"/>
    <n v="0"/>
    <n v="0.1"/>
    <n v="1"/>
    <n v="0"/>
    <s v="There appears to be rigour in the beginning that seemingly gets diluted towards the second half. It does have a few loose ends."/>
  </r>
  <r>
    <s v="2019-20"/>
    <x v="2"/>
    <x v="1"/>
    <s v="L2"/>
    <s v="Constructing and Specifying"/>
    <s v="Strange Details"/>
    <n v="8"/>
    <x v="0"/>
    <x v="7"/>
    <n v="0"/>
    <n v="0.1"/>
    <n v="1"/>
    <n v="0"/>
    <m/>
  </r>
  <r>
    <s v="2019-20"/>
    <x v="2"/>
    <x v="1"/>
    <s v="L2"/>
    <s v="Constructing and Specifying"/>
    <s v="Strange Details"/>
    <n v="8"/>
    <x v="1"/>
    <x v="7"/>
    <n v="0"/>
    <n v="0.1"/>
    <n v="1"/>
    <n v="0"/>
    <s v="The workmanship is not consistent across the unit. "/>
  </r>
  <r>
    <s v="2019-20"/>
    <x v="2"/>
    <x v="1"/>
    <s v="L2"/>
    <s v="Constructing and Specifying"/>
    <s v="Strange Details"/>
    <n v="9"/>
    <x v="0"/>
    <x v="8"/>
    <n v="0"/>
    <n v="0.05"/>
    <n v="0.85"/>
    <n v="0"/>
    <m/>
  </r>
  <r>
    <s v="2019-20"/>
    <x v="2"/>
    <x v="1"/>
    <s v="L2"/>
    <s v="Constructing and Specifying"/>
    <s v="Strange Details"/>
    <n v="9"/>
    <x v="1"/>
    <x v="8"/>
    <n v="1"/>
    <n v="0.05"/>
    <n v="0.85"/>
    <n v="1"/>
    <m/>
  </r>
  <r>
    <s v="2019-20"/>
    <x v="2"/>
    <x v="1"/>
    <s v="L2"/>
    <s v="Constructing and Specifying"/>
    <s v="Strange Details"/>
    <n v="10"/>
    <x v="0"/>
    <x v="8"/>
    <n v="0"/>
    <n v="0.05"/>
    <n v="0.85"/>
    <n v="0"/>
    <m/>
  </r>
  <r>
    <s v="2019-20"/>
    <x v="2"/>
    <x v="1"/>
    <s v="L2"/>
    <s v="Constructing and Specifying"/>
    <s v="Strange Details"/>
    <n v="10"/>
    <x v="1"/>
    <x v="8"/>
    <n v="1"/>
    <n v="0.05"/>
    <n v="0.85"/>
    <n v="1"/>
    <m/>
  </r>
  <r>
    <s v="2019-20"/>
    <x v="2"/>
    <x v="1"/>
    <s v="L2"/>
    <s v="Constructing and Specifying"/>
    <s v="Strange Details"/>
    <n v="11"/>
    <x v="0"/>
    <x v="9"/>
    <n v="-1"/>
    <n v="0.05"/>
    <n v="1"/>
    <n v="-1"/>
    <m/>
  </r>
  <r>
    <s v="2019-20"/>
    <x v="2"/>
    <x v="1"/>
    <s v="L2"/>
    <s v="Constructing and Specifying"/>
    <s v="Strange Details"/>
    <n v="11"/>
    <x v="1"/>
    <x v="9"/>
    <n v="0"/>
    <n v="0.05"/>
    <n v="1"/>
    <n v="0"/>
    <s v="Not in all cases and combined studio with 3rd &amp; 5th semester students with different levels of maturity vis-a-vis architectural design studios may have been an issue for this particular learning objective"/>
  </r>
  <r>
    <s v="2019-20"/>
    <x v="2"/>
    <x v="24"/>
    <s v="L2"/>
    <m/>
    <s v="The fiction of landscape"/>
    <n v="1"/>
    <x v="0"/>
    <x v="0"/>
    <n v="0"/>
    <n v="0.12"/>
    <n v="1"/>
    <n v="0"/>
    <m/>
  </r>
  <r>
    <s v="2019-20"/>
    <x v="2"/>
    <x v="24"/>
    <s v="L2"/>
    <m/>
    <s v="The fiction of landscape"/>
    <n v="1"/>
    <x v="1"/>
    <x v="0"/>
    <n v="1"/>
    <n v="0.12"/>
    <n v="1"/>
    <n v="1"/>
    <s v="Yes, because the idea behind this Studio Problem is also clear, simple, and good."/>
  </r>
  <r>
    <s v="2019-20"/>
    <x v="2"/>
    <x v="24"/>
    <s v="L2"/>
    <m/>
    <s v="The fiction of landscape"/>
    <n v="2"/>
    <x v="0"/>
    <x v="1"/>
    <n v="0"/>
    <n v="0.08"/>
    <n v="0.8"/>
    <n v="0"/>
    <m/>
  </r>
  <r>
    <s v="2019-20"/>
    <x v="2"/>
    <x v="24"/>
    <s v="L2"/>
    <m/>
    <s v="The fiction of landscape"/>
    <n v="2"/>
    <x v="1"/>
    <x v="1"/>
    <n v="1"/>
    <n v="0.08"/>
    <n v="0.8"/>
    <n v="1"/>
    <s v="Hopefully, this ability, and the need to pay close attention to nature and context of site, will stay with them through their careers in architecture"/>
  </r>
  <r>
    <s v="2019-20"/>
    <x v="2"/>
    <x v="24"/>
    <s v="L2"/>
    <m/>
    <s v="The fiction of landscape"/>
    <n v="3"/>
    <x v="0"/>
    <x v="2"/>
    <n v="0"/>
    <n v="0.05"/>
    <n v="1"/>
    <n v="0"/>
    <m/>
  </r>
  <r>
    <s v="2019-20"/>
    <x v="2"/>
    <x v="24"/>
    <s v="L2"/>
    <m/>
    <s v="The fiction of landscape"/>
    <n v="3"/>
    <x v="1"/>
    <x v="2"/>
    <n v="0"/>
    <n v="0.05"/>
    <n v="1"/>
    <n v="0"/>
    <s v="CAN BE MORE DEEPER &amp; MORE QUALITY AND PROCESS DRIVEN"/>
  </r>
  <r>
    <s v="2019-20"/>
    <x v="2"/>
    <x v="24"/>
    <s v="L2"/>
    <m/>
    <s v="The fiction of landscape"/>
    <n v="4"/>
    <x v="0"/>
    <x v="3"/>
    <n v="-1"/>
    <n v="0.14000000000000001"/>
    <n v="1"/>
    <n v="-1"/>
    <m/>
  </r>
  <r>
    <s v="2019-20"/>
    <x v="2"/>
    <x v="24"/>
    <s v="L2"/>
    <m/>
    <s v="The fiction of landscape"/>
    <n v="4"/>
    <x v="1"/>
    <x v="3"/>
    <n v="1"/>
    <n v="0.14000000000000001"/>
    <n v="1"/>
    <n v="1"/>
    <s v="Still needs more improvement"/>
  </r>
  <r>
    <s v="2019-20"/>
    <x v="2"/>
    <x v="24"/>
    <s v="L2"/>
    <m/>
    <s v="The fiction of landscape"/>
    <n v="5"/>
    <x v="0"/>
    <x v="4"/>
    <n v="-1"/>
    <n v="0.11"/>
    <n v="1"/>
    <n v="-1"/>
    <m/>
  </r>
  <r>
    <s v="2019-20"/>
    <x v="2"/>
    <x v="24"/>
    <s v="L2"/>
    <m/>
    <s v="The fiction of landscape"/>
    <n v="5"/>
    <x v="1"/>
    <x v="4"/>
    <n v="0"/>
    <n v="0.11"/>
    <n v="1"/>
    <n v="0"/>
    <s v="Inconsistent andnot in all cases"/>
  </r>
  <r>
    <s v="2019-20"/>
    <x v="2"/>
    <x v="24"/>
    <s v="L2"/>
    <m/>
    <s v="The fiction of landscape"/>
    <n v="6"/>
    <x v="0"/>
    <x v="5"/>
    <n v="-1"/>
    <n v="0.15"/>
    <n v="1"/>
    <n v="-1"/>
    <m/>
  </r>
  <r>
    <s v="2019-20"/>
    <x v="2"/>
    <x v="24"/>
    <s v="L2"/>
    <m/>
    <s v="The fiction of landscape"/>
    <n v="6"/>
    <x v="1"/>
    <x v="5"/>
    <n v="0"/>
    <n v="0.15"/>
    <n v="1"/>
    <n v="0"/>
    <s v="Not in all cases but many of them were rendered beautifully, with skills developed in the Foundation Program perhaps, and very evocative of specific context"/>
  </r>
  <r>
    <s v="2019-20"/>
    <x v="2"/>
    <x v="24"/>
    <s v="L2"/>
    <m/>
    <s v="The fiction of landscape"/>
    <n v="7"/>
    <x v="0"/>
    <x v="6"/>
    <n v="-1"/>
    <n v="0.1"/>
    <n v="1"/>
    <n v="-1"/>
    <m/>
  </r>
  <r>
    <s v="2019-20"/>
    <x v="2"/>
    <x v="24"/>
    <s v="L2"/>
    <m/>
    <s v="The fiction of landscape"/>
    <n v="7"/>
    <x v="1"/>
    <x v="6"/>
    <n v="0"/>
    <n v="0.1"/>
    <n v="1"/>
    <n v="0"/>
    <s v="Some of them are good"/>
  </r>
  <r>
    <s v="2019-20"/>
    <x v="2"/>
    <x v="24"/>
    <s v="L2"/>
    <m/>
    <s v="The fiction of landscape"/>
    <n v="8"/>
    <x v="0"/>
    <x v="7"/>
    <n v="0"/>
    <n v="0.1"/>
    <n v="1"/>
    <n v="0"/>
    <m/>
  </r>
  <r>
    <s v="2019-20"/>
    <x v="2"/>
    <x v="24"/>
    <s v="L2"/>
    <m/>
    <s v="The fiction of landscape"/>
    <n v="8"/>
    <x v="1"/>
    <x v="7"/>
    <n v="0"/>
    <n v="0.1"/>
    <n v="1"/>
    <n v="0"/>
    <m/>
  </r>
  <r>
    <s v="2019-20"/>
    <x v="2"/>
    <x v="24"/>
    <s v="L2"/>
    <m/>
    <s v="The fiction of landscape"/>
    <n v="9"/>
    <x v="0"/>
    <x v="8"/>
    <n v="0"/>
    <n v="0.05"/>
    <n v="0.85"/>
    <n v="0"/>
    <m/>
  </r>
  <r>
    <s v="2019-20"/>
    <x v="2"/>
    <x v="24"/>
    <s v="L2"/>
    <m/>
    <s v="The fiction of landscape"/>
    <n v="9"/>
    <x v="1"/>
    <x v="8"/>
    <n v="1"/>
    <n v="0.05"/>
    <n v="0.85"/>
    <n v="1"/>
    <s v="It's 50-50"/>
  </r>
  <r>
    <s v="2019-20"/>
    <x v="2"/>
    <x v="24"/>
    <s v="L2"/>
    <m/>
    <s v="The fiction of landscape"/>
    <n v="10"/>
    <x v="0"/>
    <x v="8"/>
    <n v="-1"/>
    <n v="0.05"/>
    <n v="0.85"/>
    <n v="-1"/>
    <m/>
  </r>
  <r>
    <s v="2019-20"/>
    <x v="2"/>
    <x v="24"/>
    <s v="L2"/>
    <m/>
    <s v="The fiction of landscape"/>
    <n v="10"/>
    <x v="1"/>
    <x v="8"/>
    <n v="1"/>
    <n v="0.05"/>
    <n v="0.85"/>
    <n v="1"/>
    <m/>
  </r>
  <r>
    <s v="2019-20"/>
    <x v="2"/>
    <x v="24"/>
    <s v="L2"/>
    <m/>
    <s v="The fiction of landscape"/>
    <n v="11"/>
    <x v="0"/>
    <x v="9"/>
    <n v="-1"/>
    <n v="0.05"/>
    <n v="1"/>
    <n v="-1"/>
    <m/>
  </r>
  <r>
    <s v="2019-20"/>
    <x v="2"/>
    <x v="24"/>
    <s v="L2"/>
    <m/>
    <s v="The fiction of landscape"/>
    <n v="11"/>
    <x v="1"/>
    <x v="9"/>
    <n v="0"/>
    <n v="0.05"/>
    <n v="1"/>
    <n v="0"/>
    <s v="Due to inconsistency in standard of work among students"/>
  </r>
  <r>
    <s v="2019-20"/>
    <x v="2"/>
    <x v="4"/>
    <s v="L2"/>
    <s v="Constructing and Specifying"/>
    <s v="From Drawing Board to Construction Sites"/>
    <n v="1"/>
    <x v="0"/>
    <x v="0"/>
    <n v="1"/>
    <n v="0.12"/>
    <n v="1"/>
    <n v="1"/>
    <m/>
  </r>
  <r>
    <s v="2019-20"/>
    <x v="2"/>
    <x v="4"/>
    <s v="L2"/>
    <s v="Constructing and Specifying"/>
    <s v="From Drawing Board to Construction Sites"/>
    <n v="1"/>
    <x v="1"/>
    <x v="0"/>
    <n v="1"/>
    <n v="0.12"/>
    <n v="1"/>
    <n v="1"/>
    <m/>
  </r>
  <r>
    <s v="2019-20"/>
    <x v="2"/>
    <x v="4"/>
    <s v="L2"/>
    <s v="Constructing and Specifying"/>
    <s v="From Drawing Board to Construction Sites"/>
    <n v="2"/>
    <x v="0"/>
    <x v="1"/>
    <n v="1"/>
    <n v="0.08"/>
    <n v="0.8"/>
    <n v="1"/>
    <m/>
  </r>
  <r>
    <s v="2019-20"/>
    <x v="2"/>
    <x v="4"/>
    <s v="L2"/>
    <s v="Constructing and Specifying"/>
    <s v="From Drawing Board to Construction Sites"/>
    <n v="2"/>
    <x v="1"/>
    <x v="1"/>
    <n v="1"/>
    <n v="0.08"/>
    <n v="0.8"/>
    <n v="1"/>
    <m/>
  </r>
  <r>
    <s v="2019-20"/>
    <x v="2"/>
    <x v="4"/>
    <s v="L2"/>
    <s v="Constructing and Specifying"/>
    <s v="From Drawing Board to Construction Sites"/>
    <n v="3"/>
    <x v="0"/>
    <x v="2"/>
    <n v="1"/>
    <n v="0.05"/>
    <n v="1"/>
    <n v="1"/>
    <m/>
  </r>
  <r>
    <s v="2019-20"/>
    <x v="2"/>
    <x v="4"/>
    <s v="L2"/>
    <s v="Constructing and Specifying"/>
    <s v="From Drawing Board to Construction Sites"/>
    <n v="3"/>
    <x v="1"/>
    <x v="2"/>
    <n v="1"/>
    <n v="0.05"/>
    <n v="1"/>
    <n v="1"/>
    <m/>
  </r>
  <r>
    <s v="2019-20"/>
    <x v="2"/>
    <x v="4"/>
    <s v="L2"/>
    <s v="Constructing and Specifying"/>
    <s v="From Drawing Board to Construction Sites"/>
    <n v="4"/>
    <x v="0"/>
    <x v="3"/>
    <n v="1"/>
    <n v="0.14000000000000001"/>
    <n v="1"/>
    <n v="1"/>
    <m/>
  </r>
  <r>
    <s v="2019-20"/>
    <x v="2"/>
    <x v="4"/>
    <s v="L2"/>
    <s v="Constructing and Specifying"/>
    <s v="From Drawing Board to Construction Sites"/>
    <n v="4"/>
    <x v="1"/>
    <x v="3"/>
    <n v="1"/>
    <n v="0.14000000000000001"/>
    <n v="1"/>
    <n v="1"/>
    <s v="Working on construction sites and learning from artisans seems to have given the students in this studio greater clarity and depth of understanding"/>
  </r>
  <r>
    <s v="2019-20"/>
    <x v="2"/>
    <x v="4"/>
    <s v="L2"/>
    <s v="Constructing and Specifying"/>
    <s v="From Drawing Board to Construction Sites"/>
    <n v="5"/>
    <x v="0"/>
    <x v="4"/>
    <n v="1"/>
    <n v="0.11"/>
    <n v="1"/>
    <n v="1"/>
    <m/>
  </r>
  <r>
    <s v="2019-20"/>
    <x v="2"/>
    <x v="4"/>
    <s v="L2"/>
    <s v="Constructing and Specifying"/>
    <s v="From Drawing Board to Construction Sites"/>
    <n v="5"/>
    <x v="1"/>
    <x v="4"/>
    <n v="1"/>
    <n v="0.11"/>
    <n v="1"/>
    <n v="1"/>
    <s v="Additionally, the idea of having students make fairly large-scale and detailed models from drawings made by other students sets up an interesting dialogue between them with good and clarifying feedback."/>
  </r>
  <r>
    <s v="2019-20"/>
    <x v="2"/>
    <x v="4"/>
    <s v="L2"/>
    <s v="Constructing and Specifying"/>
    <s v="From Drawing Board to Construction Sites"/>
    <n v="6"/>
    <x v="0"/>
    <x v="5"/>
    <n v="1"/>
    <n v="0.15"/>
    <n v="1"/>
    <n v="1"/>
    <m/>
  </r>
  <r>
    <s v="2019-20"/>
    <x v="2"/>
    <x v="4"/>
    <s v="L2"/>
    <s v="Constructing and Specifying"/>
    <s v="From Drawing Board to Construction Sites"/>
    <n v="6"/>
    <x v="1"/>
    <x v="5"/>
    <n v="1"/>
    <n v="0.15"/>
    <n v="1"/>
    <n v="1"/>
    <m/>
  </r>
  <r>
    <s v="2019-20"/>
    <x v="2"/>
    <x v="4"/>
    <s v="L2"/>
    <s v="Constructing and Specifying"/>
    <s v="From Drawing Board to Construction Sites"/>
    <n v="7"/>
    <x v="0"/>
    <x v="6"/>
    <n v="1"/>
    <n v="0.1"/>
    <n v="1"/>
    <n v="1"/>
    <m/>
  </r>
  <r>
    <s v="2019-20"/>
    <x v="2"/>
    <x v="4"/>
    <s v="L2"/>
    <s v="Constructing and Specifying"/>
    <s v="From Drawing Board to Construction Sites"/>
    <n v="7"/>
    <x v="1"/>
    <x v="6"/>
    <n v="1"/>
    <n v="0.1"/>
    <n v="1"/>
    <n v="1"/>
    <m/>
  </r>
  <r>
    <s v="2019-20"/>
    <x v="2"/>
    <x v="4"/>
    <s v="L2"/>
    <s v="Constructing and Specifying"/>
    <s v="From Drawing Board to Construction Sites"/>
    <n v="8"/>
    <x v="0"/>
    <x v="7"/>
    <n v="1"/>
    <n v="0.1"/>
    <n v="1"/>
    <n v="1"/>
    <m/>
  </r>
  <r>
    <s v="2019-20"/>
    <x v="2"/>
    <x v="4"/>
    <s v="L2"/>
    <s v="Constructing and Specifying"/>
    <s v="From Drawing Board to Construction Sites"/>
    <n v="8"/>
    <x v="1"/>
    <x v="7"/>
    <n v="1"/>
    <n v="0.1"/>
    <n v="1"/>
    <n v="1"/>
    <m/>
  </r>
  <r>
    <s v="2019-20"/>
    <x v="2"/>
    <x v="4"/>
    <s v="L2"/>
    <s v="Constructing and Specifying"/>
    <s v="From Drawing Board to Construction Sites"/>
    <n v="9"/>
    <x v="0"/>
    <x v="8"/>
    <n v="1"/>
    <n v="0.05"/>
    <n v="0.85"/>
    <n v="1"/>
    <m/>
  </r>
  <r>
    <s v="2019-20"/>
    <x v="2"/>
    <x v="4"/>
    <s v="L2"/>
    <s v="Constructing and Specifying"/>
    <s v="From Drawing Board to Construction Sites"/>
    <n v="9"/>
    <x v="1"/>
    <x v="8"/>
    <n v="1"/>
    <n v="0.05"/>
    <n v="0.85"/>
    <n v="1"/>
    <m/>
  </r>
  <r>
    <s v="2019-20"/>
    <x v="2"/>
    <x v="4"/>
    <s v="L2"/>
    <s v="Constructing and Specifying"/>
    <s v="From Drawing Board to Construction Sites"/>
    <n v="10"/>
    <x v="0"/>
    <x v="8"/>
    <n v="1"/>
    <n v="0.05"/>
    <n v="0.85"/>
    <n v="1"/>
    <m/>
  </r>
  <r>
    <s v="2019-20"/>
    <x v="2"/>
    <x v="4"/>
    <s v="L2"/>
    <s v="Constructing and Specifying"/>
    <s v="From Drawing Board to Construction Sites"/>
    <n v="10"/>
    <x v="1"/>
    <x v="8"/>
    <n v="1"/>
    <n v="0.05"/>
    <n v="0.85"/>
    <n v="1"/>
    <m/>
  </r>
  <r>
    <s v="2019-20"/>
    <x v="2"/>
    <x v="4"/>
    <s v="L2"/>
    <s v="Constructing and Specifying"/>
    <s v="From Drawing Board to Construction Sites"/>
    <n v="11"/>
    <x v="0"/>
    <x v="9"/>
    <n v="0"/>
    <n v="0.05"/>
    <n v="1"/>
    <n v="0"/>
    <m/>
  </r>
  <r>
    <s v="2019-20"/>
    <x v="2"/>
    <x v="4"/>
    <s v="L2"/>
    <s v="Constructing and Specifying"/>
    <s v="From Drawing Board to Construction Sites"/>
    <n v="11"/>
    <x v="1"/>
    <x v="9"/>
    <n v="1"/>
    <n v="0.05"/>
    <n v="1"/>
    <n v="1"/>
    <s v="DRAWINGS MAY BE MORE SOPHISTICATED AND MODELS MAY BE MORE DEFINED . The work of this studio impressed me in a deep and holistic way. It was clean, austere, and well-executed. It had an underlying and identifiable character that was strong and unified and this come through in the work of all students."/>
  </r>
  <r>
    <s v="2019-20"/>
    <x v="2"/>
    <x v="5"/>
    <s v="L2"/>
    <s v="Visualization &amp; Communication, Spatial Planning &amp; Organisation"/>
    <s v="Figuring Ground: Land Building Relationships"/>
    <n v="1"/>
    <x v="0"/>
    <x v="0"/>
    <n v="1"/>
    <n v="0.12"/>
    <n v="1"/>
    <n v="1"/>
    <m/>
  </r>
  <r>
    <s v="2019-20"/>
    <x v="2"/>
    <x v="5"/>
    <s v="L2"/>
    <s v="Visualization &amp; Communication, Spatial Planning &amp; Organisation"/>
    <s v="Figuring Ground: Land Building Relationships"/>
    <n v="1"/>
    <x v="1"/>
    <x v="0"/>
    <n v="1"/>
    <n v="0.12"/>
    <n v="1"/>
    <n v="1"/>
    <m/>
  </r>
  <r>
    <s v="2019-20"/>
    <x v="2"/>
    <x v="5"/>
    <s v="L2"/>
    <s v="Visualization &amp; Communication, Spatial Planning &amp; Organisation"/>
    <s v="Figuring Ground: Land Building Relationships"/>
    <n v="2"/>
    <x v="0"/>
    <x v="1"/>
    <n v="0"/>
    <n v="0.08"/>
    <n v="0.8"/>
    <n v="0"/>
    <m/>
  </r>
  <r>
    <s v="2019-20"/>
    <x v="2"/>
    <x v="5"/>
    <s v="L2"/>
    <s v="Visualization &amp; Communication, Spatial Planning &amp; Organisation"/>
    <s v="Figuring Ground: Land Building Relationships"/>
    <n v="2"/>
    <x v="1"/>
    <x v="1"/>
    <n v="0"/>
    <n v="0.08"/>
    <n v="0.8"/>
    <n v="0"/>
    <s v="CAN BE EXPLORED MORE IN OTHER PARAMETER."/>
  </r>
  <r>
    <s v="2019-20"/>
    <x v="2"/>
    <x v="5"/>
    <s v="L2"/>
    <s v="Visualization &amp; Communication, Spatial Planning &amp; Organisation"/>
    <s v="Figuring Ground: Land Building Relationships"/>
    <n v="3"/>
    <x v="0"/>
    <x v="2"/>
    <n v="1"/>
    <n v="0.05"/>
    <n v="1"/>
    <n v="1"/>
    <m/>
  </r>
  <r>
    <s v="2019-20"/>
    <x v="2"/>
    <x v="5"/>
    <s v="L2"/>
    <s v="Visualization &amp; Communication, Spatial Planning &amp; Organisation"/>
    <s v="Figuring Ground: Land Building Relationships"/>
    <n v="3"/>
    <x v="1"/>
    <x v="2"/>
    <n v="1"/>
    <n v="0.05"/>
    <n v="1"/>
    <n v="1"/>
    <s v="60% - 40%"/>
  </r>
  <r>
    <s v="2019-20"/>
    <x v="2"/>
    <x v="5"/>
    <s v="L2"/>
    <s v="Visualization &amp; Communication, Spatial Planning &amp; Organisation"/>
    <s v="Figuring Ground: Land Building Relationships"/>
    <n v="4"/>
    <x v="0"/>
    <x v="3"/>
    <n v="-1"/>
    <n v="0.14000000000000001"/>
    <n v="1"/>
    <n v="-1"/>
    <m/>
  </r>
  <r>
    <s v="2019-20"/>
    <x v="2"/>
    <x v="5"/>
    <s v="L2"/>
    <s v="Visualization &amp; Communication, Spatial Planning &amp; Organisation"/>
    <s v="Figuring Ground: Land Building Relationships"/>
    <n v="4"/>
    <x v="1"/>
    <x v="3"/>
    <n v="0"/>
    <n v="0.14000000000000001"/>
    <n v="1"/>
    <n v="0"/>
    <s v="50% - 50%. To a great extent with respect to land-building relationships but not as much with respect to the design exercise of a Primary School. The studio seems to have lost focus and clarity in trying to produce something more superficially &quot;creative or innovative&quot; compared to what I saw at Summer Exhibition 2019."/>
  </r>
  <r>
    <s v="2019-20"/>
    <x v="2"/>
    <x v="5"/>
    <s v="L2"/>
    <s v="Visualization &amp; Communication, Spatial Planning &amp; Organisation"/>
    <s v="Figuring Ground: Land Building Relationships"/>
    <n v="5"/>
    <x v="0"/>
    <x v="4"/>
    <n v="-1"/>
    <n v="0.11"/>
    <n v="1"/>
    <n v="-1"/>
    <m/>
  </r>
  <r>
    <s v="2019-20"/>
    <x v="2"/>
    <x v="5"/>
    <s v="L2"/>
    <s v="Visualization &amp; Communication, Spatial Planning &amp; Organisation"/>
    <s v="Figuring Ground: Land Building Relationships"/>
    <n v="5"/>
    <x v="1"/>
    <x v="4"/>
    <n v="0"/>
    <n v="0.11"/>
    <n v="1"/>
    <n v="0"/>
    <s v="Same as above"/>
  </r>
  <r>
    <s v="2019-20"/>
    <x v="2"/>
    <x v="5"/>
    <s v="L2"/>
    <s v="Visualization &amp; Communication, Spatial Planning &amp; Organisation"/>
    <s v="Figuring Ground: Land Building Relationships"/>
    <n v="6"/>
    <x v="0"/>
    <x v="5"/>
    <n v="-1"/>
    <n v="0.15"/>
    <n v="1"/>
    <n v="-1"/>
    <m/>
  </r>
  <r>
    <s v="2019-20"/>
    <x v="2"/>
    <x v="5"/>
    <s v="L2"/>
    <s v="Visualization &amp; Communication, Spatial Planning &amp; Organisation"/>
    <s v="Figuring Ground: Land Building Relationships"/>
    <n v="6"/>
    <x v="1"/>
    <x v="5"/>
    <n v="0"/>
    <n v="0.15"/>
    <n v="1"/>
    <n v="0"/>
    <s v="Same as above"/>
  </r>
  <r>
    <s v="2019-20"/>
    <x v="2"/>
    <x v="5"/>
    <s v="L2"/>
    <s v="Visualization &amp; Communication, Spatial Planning &amp; Organisation"/>
    <s v="Figuring Ground: Land Building Relationships"/>
    <n v="7"/>
    <x v="0"/>
    <x v="6"/>
    <n v="0"/>
    <n v="0.1"/>
    <n v="1"/>
    <n v="0"/>
    <m/>
  </r>
  <r>
    <s v="2019-20"/>
    <x v="2"/>
    <x v="5"/>
    <s v="L2"/>
    <s v="Visualization &amp; Communication, Spatial Planning &amp; Organisation"/>
    <s v="Figuring Ground: Land Building Relationships"/>
    <n v="7"/>
    <x v="1"/>
    <x v="6"/>
    <n v="0"/>
    <n v="0.1"/>
    <n v="1"/>
    <n v="0"/>
    <s v="It leaves a lot of loose ends"/>
  </r>
  <r>
    <s v="2019-20"/>
    <x v="2"/>
    <x v="5"/>
    <s v="L2"/>
    <s v="Visualization &amp; Communication, Spatial Planning &amp; Organisation"/>
    <s v="Figuring Ground: Land Building Relationships"/>
    <n v="8"/>
    <x v="0"/>
    <x v="7"/>
    <n v="0"/>
    <n v="0.1"/>
    <n v="1"/>
    <n v="0"/>
    <m/>
  </r>
  <r>
    <s v="2019-20"/>
    <x v="2"/>
    <x v="5"/>
    <s v="L2"/>
    <s v="Visualization &amp; Communication, Spatial Planning &amp; Organisation"/>
    <s v="Figuring Ground: Land Building Relationships"/>
    <n v="8"/>
    <x v="1"/>
    <x v="7"/>
    <n v="0"/>
    <n v="0.1"/>
    <n v="1"/>
    <n v="0"/>
    <s v="The workmanship needs to improve a lot. "/>
  </r>
  <r>
    <s v="2019-20"/>
    <x v="2"/>
    <x v="5"/>
    <s v="L2"/>
    <s v="Visualization &amp; Communication, Spatial Planning &amp; Organisation"/>
    <s v="Figuring Ground: Land Building Relationships"/>
    <n v="9"/>
    <x v="0"/>
    <x v="8"/>
    <n v="0"/>
    <n v="0.05"/>
    <n v="0.85"/>
    <n v="0"/>
    <m/>
  </r>
  <r>
    <s v="2019-20"/>
    <x v="2"/>
    <x v="5"/>
    <s v="L2"/>
    <s v="Visualization &amp; Communication, Spatial Planning &amp; Organisation"/>
    <s v="Figuring Ground: Land Building Relationships"/>
    <n v="9"/>
    <x v="1"/>
    <x v="8"/>
    <n v="1"/>
    <n v="0.05"/>
    <n v="0.85"/>
    <n v="1"/>
    <m/>
  </r>
  <r>
    <s v="2019-20"/>
    <x v="2"/>
    <x v="5"/>
    <s v="L2"/>
    <s v="Visualization &amp; Communication, Spatial Planning &amp; Organisation"/>
    <s v="Figuring Ground: Land Building Relationships"/>
    <n v="10"/>
    <x v="0"/>
    <x v="8"/>
    <n v="0"/>
    <n v="0.05"/>
    <n v="0.85"/>
    <n v="0"/>
    <m/>
  </r>
  <r>
    <s v="2019-20"/>
    <x v="2"/>
    <x v="5"/>
    <s v="L2"/>
    <s v="Visualization &amp; Communication, Spatial Planning &amp; Organisation"/>
    <s v="Figuring Ground: Land Building Relationships"/>
    <n v="10"/>
    <x v="1"/>
    <x v="8"/>
    <n v="1"/>
    <n v="0.05"/>
    <n v="0.85"/>
    <n v="1"/>
    <m/>
  </r>
  <r>
    <s v="2019-20"/>
    <x v="2"/>
    <x v="5"/>
    <s v="L2"/>
    <s v="Visualization &amp; Communication, Spatial Planning &amp; Organisation"/>
    <s v="Figuring Ground: Land Building Relationships"/>
    <n v="11"/>
    <x v="0"/>
    <x v="9"/>
    <n v="-1"/>
    <n v="0.05"/>
    <n v="1"/>
    <n v="-1"/>
    <m/>
  </r>
  <r>
    <s v="2019-20"/>
    <x v="2"/>
    <x v="5"/>
    <s v="L2"/>
    <s v="Visualization &amp; Communication, Spatial Planning &amp; Organisation"/>
    <s v="Figuring Ground: Land Building Relationships"/>
    <n v="11"/>
    <x v="1"/>
    <x v="9"/>
    <n v="0"/>
    <n v="0.05"/>
    <n v="1"/>
    <n v="0"/>
    <m/>
  </r>
  <r>
    <s v="2019-20"/>
    <x v="2"/>
    <x v="6"/>
    <s v="L2"/>
    <s v="Visualization &amp; Communication, Spatial Planning &amp; Organisation"/>
    <s v="Making Living Places : Craftsmanship, song and imagination"/>
    <n v="1"/>
    <x v="0"/>
    <x v="0"/>
    <n v="0"/>
    <n v="0.12"/>
    <n v="1"/>
    <n v="0"/>
    <m/>
  </r>
  <r>
    <s v="2019-20"/>
    <x v="2"/>
    <x v="6"/>
    <s v="L2"/>
    <s v="Visualization &amp; Communication, Spatial Planning &amp; Organisation"/>
    <s v="Making Living Places : Craftsmanship, song and imagination"/>
    <n v="1"/>
    <x v="1"/>
    <x v="0"/>
    <n v="1"/>
    <n v="0.12"/>
    <n v="1"/>
    <n v="1"/>
    <s v="Objectively speaking, the problem statement in terms of deciphering and making &quot;living spaces&quot; lacks clarity but it may be that we all have an instinctive feel for this on attentive reflection supported by the properties described in &quot;The Nature of Order&quot; by Christopher Alexander"/>
  </r>
  <r>
    <s v="2019-20"/>
    <x v="2"/>
    <x v="6"/>
    <s v="L2"/>
    <s v="Visualization &amp; Communication, Spatial Planning &amp; Organisation"/>
    <s v="Making Living Places : Craftsmanship, song and imagination"/>
    <n v="2"/>
    <x v="0"/>
    <x v="1"/>
    <n v="0"/>
    <n v="0.08"/>
    <n v="0.8"/>
    <n v="0"/>
    <m/>
  </r>
  <r>
    <s v="2019-20"/>
    <x v="2"/>
    <x v="6"/>
    <s v="L2"/>
    <s v="Visualization &amp; Communication, Spatial Planning &amp; Organisation"/>
    <s v="Making Living Places : Craftsmanship, song and imagination"/>
    <n v="2"/>
    <x v="1"/>
    <x v="1"/>
    <n v="1"/>
    <n v="0.08"/>
    <n v="0.8"/>
    <n v="1"/>
    <m/>
  </r>
  <r>
    <s v="2019-20"/>
    <x v="2"/>
    <x v="6"/>
    <s v="L2"/>
    <s v="Visualization &amp; Communication, Spatial Planning &amp; Organisation"/>
    <s v="Making Living Places : Craftsmanship, song and imagination"/>
    <n v="3"/>
    <x v="0"/>
    <x v="2"/>
    <n v="1"/>
    <n v="0.05"/>
    <n v="1"/>
    <n v="1"/>
    <m/>
  </r>
  <r>
    <s v="2019-20"/>
    <x v="2"/>
    <x v="6"/>
    <s v="L2"/>
    <s v="Visualization &amp; Communication, Spatial Planning &amp; Organisation"/>
    <s v="Making Living Places : Craftsmanship, song and imagination"/>
    <n v="3"/>
    <x v="1"/>
    <x v="2"/>
    <n v="1"/>
    <n v="0.05"/>
    <n v="1"/>
    <n v="1"/>
    <m/>
  </r>
  <r>
    <s v="2019-20"/>
    <x v="2"/>
    <x v="6"/>
    <s v="L2"/>
    <s v="Visualization &amp; Communication, Spatial Planning &amp; Organisation"/>
    <s v="Making Living Places : Craftsmanship, song and imagination"/>
    <n v="4"/>
    <x v="0"/>
    <x v="3"/>
    <n v="0"/>
    <n v="0.14000000000000001"/>
    <n v="1"/>
    <n v="0"/>
    <m/>
  </r>
  <r>
    <s v="2019-20"/>
    <x v="2"/>
    <x v="6"/>
    <s v="L2"/>
    <s v="Visualization &amp; Communication, Spatial Planning &amp; Organisation"/>
    <s v="Making Living Places : Craftsmanship, song and imagination"/>
    <n v="4"/>
    <x v="1"/>
    <x v="3"/>
    <n v="1"/>
    <n v="0.14000000000000001"/>
    <n v="1"/>
    <n v="1"/>
    <m/>
  </r>
  <r>
    <s v="2019-20"/>
    <x v="2"/>
    <x v="6"/>
    <s v="L2"/>
    <s v="Visualization &amp; Communication, Spatial Planning &amp; Organisation"/>
    <s v="Making Living Places : Craftsmanship, song and imagination"/>
    <n v="5"/>
    <x v="0"/>
    <x v="4"/>
    <n v="-1"/>
    <n v="0.11"/>
    <n v="1"/>
    <n v="-1"/>
    <m/>
  </r>
  <r>
    <s v="2019-20"/>
    <x v="2"/>
    <x v="6"/>
    <s v="L2"/>
    <s v="Visualization &amp; Communication, Spatial Planning &amp; Organisation"/>
    <s v="Making Living Places : Craftsmanship, song and imagination"/>
    <n v="5"/>
    <x v="1"/>
    <x v="4"/>
    <n v="1"/>
    <n v="0.11"/>
    <n v="1"/>
    <n v="1"/>
    <s v="Most likely. But I feel, as a graduate student of Christopher Alexander in the mid-80's while he was in process of writing &quot;The Nature of Order&quot;, that their interventions should have been more challenging in terms of building program and output"/>
  </r>
  <r>
    <s v="2019-20"/>
    <x v="2"/>
    <x v="6"/>
    <s v="L2"/>
    <s v="Visualization &amp; Communication, Spatial Planning &amp; Organisation"/>
    <s v="Making Living Places : Craftsmanship, song and imagination"/>
    <n v="6"/>
    <x v="0"/>
    <x v="5"/>
    <n v="0"/>
    <n v="0.15"/>
    <n v="1"/>
    <n v="0"/>
    <m/>
  </r>
  <r>
    <s v="2019-20"/>
    <x v="2"/>
    <x v="6"/>
    <s v="L2"/>
    <s v="Visualization &amp; Communication, Spatial Planning &amp; Organisation"/>
    <s v="Making Living Places : Craftsmanship, song and imagination"/>
    <n v="6"/>
    <x v="1"/>
    <x v="5"/>
    <n v="1"/>
    <n v="0.15"/>
    <n v="1"/>
    <n v="1"/>
    <s v="However, the models in particular, although appropriate and well-executed, tend to be relatively mystifying with respect to what actually has been done to create and transform spaces into living spaces"/>
  </r>
  <r>
    <s v="2019-20"/>
    <x v="2"/>
    <x v="6"/>
    <s v="L2"/>
    <s v="Visualization &amp; Communication, Spatial Planning &amp; Organisation"/>
    <s v="Making Living Places : Craftsmanship, song and imagination"/>
    <n v="7"/>
    <x v="0"/>
    <x v="6"/>
    <n v="-1"/>
    <n v="0.1"/>
    <n v="1"/>
    <n v="-1"/>
    <m/>
  </r>
  <r>
    <s v="2019-20"/>
    <x v="2"/>
    <x v="6"/>
    <s v="L2"/>
    <s v="Visualization &amp; Communication, Spatial Planning &amp; Organisation"/>
    <s v="Making Living Places : Craftsmanship, song and imagination"/>
    <n v="7"/>
    <x v="1"/>
    <x v="6"/>
    <n v="1"/>
    <n v="0.1"/>
    <n v="1"/>
    <n v="1"/>
    <m/>
  </r>
  <r>
    <s v="2019-20"/>
    <x v="2"/>
    <x v="6"/>
    <s v="L2"/>
    <s v="Visualization &amp; Communication, Spatial Planning &amp; Organisation"/>
    <s v="Making Living Places : Craftsmanship, song and imagination"/>
    <n v="8"/>
    <x v="0"/>
    <x v="7"/>
    <n v="0"/>
    <n v="0.1"/>
    <n v="1"/>
    <n v="0"/>
    <m/>
  </r>
  <r>
    <s v="2019-20"/>
    <x v="2"/>
    <x v="6"/>
    <s v="L2"/>
    <s v="Visualization &amp; Communication, Spatial Planning &amp; Organisation"/>
    <s v="Making Living Places : Craftsmanship, song and imagination"/>
    <n v="8"/>
    <x v="1"/>
    <x v="7"/>
    <n v="1"/>
    <n v="0.1"/>
    <n v="1"/>
    <n v="1"/>
    <m/>
  </r>
  <r>
    <s v="2019-20"/>
    <x v="2"/>
    <x v="6"/>
    <s v="L2"/>
    <s v="Visualization &amp; Communication, Spatial Planning &amp; Organisation"/>
    <s v="Making Living Places : Craftsmanship, song and imagination"/>
    <n v="9"/>
    <x v="0"/>
    <x v="8"/>
    <n v="-1"/>
    <n v="0.05"/>
    <n v="0.85"/>
    <n v="-1"/>
    <m/>
  </r>
  <r>
    <s v="2019-20"/>
    <x v="2"/>
    <x v="6"/>
    <s v="L2"/>
    <s v="Visualization &amp; Communication, Spatial Planning &amp; Organisation"/>
    <s v="Making Living Places : Craftsmanship, song and imagination"/>
    <n v="9"/>
    <x v="1"/>
    <x v="8"/>
    <n v="1"/>
    <n v="0.05"/>
    <n v="0.85"/>
    <n v="1"/>
    <s v="As in Q 6"/>
  </r>
  <r>
    <s v="2019-20"/>
    <x v="2"/>
    <x v="6"/>
    <s v="L2"/>
    <s v="Visualization &amp; Communication, Spatial Planning &amp; Organisation"/>
    <s v="Making Living Places : Craftsmanship, song and imagination"/>
    <n v="10"/>
    <x v="0"/>
    <x v="8"/>
    <n v="0"/>
    <n v="0.05"/>
    <n v="0.85"/>
    <n v="0"/>
    <m/>
  </r>
  <r>
    <s v="2019-20"/>
    <x v="2"/>
    <x v="6"/>
    <s v="L2"/>
    <s v="Visualization &amp; Communication, Spatial Planning &amp; Organisation"/>
    <s v="Making Living Places : Craftsmanship, song and imagination"/>
    <n v="10"/>
    <x v="1"/>
    <x v="8"/>
    <n v="1"/>
    <n v="0.05"/>
    <n v="0.85"/>
    <n v="1"/>
    <m/>
  </r>
  <r>
    <s v="2019-20"/>
    <x v="2"/>
    <x v="6"/>
    <s v="L2"/>
    <s v="Visualization &amp; Communication, Spatial Planning &amp; Organisation"/>
    <s v="Making Living Places : Craftsmanship, song and imagination"/>
    <n v="11"/>
    <x v="0"/>
    <x v="9"/>
    <n v="-1"/>
    <n v="0.05"/>
    <n v="1"/>
    <n v="-1"/>
    <m/>
  </r>
  <r>
    <s v="2019-20"/>
    <x v="2"/>
    <x v="6"/>
    <s v="L2"/>
    <s v="Visualization &amp; Communication, Spatial Planning &amp; Organisation"/>
    <s v="Making Living Places : Craftsmanship, song and imagination"/>
    <n v="11"/>
    <x v="1"/>
    <x v="9"/>
    <n v="0"/>
    <n v="0.05"/>
    <n v="1"/>
    <n v="0"/>
    <s v="Only because I have reservations in terms of content. I find the work of this studio to be underwhelming in that regard."/>
  </r>
  <r>
    <s v="2019-20"/>
    <x v="2"/>
    <x v="7"/>
    <s v="L2"/>
    <s v="Visualization and Communication, Spatial Planning and Organisation"/>
    <s v="Master’s Stroke"/>
    <n v="1"/>
    <x v="0"/>
    <x v="0"/>
    <n v="1"/>
    <n v="0.12"/>
    <n v="1"/>
    <n v="1"/>
    <m/>
  </r>
  <r>
    <s v="2019-20"/>
    <x v="2"/>
    <x v="7"/>
    <s v="L2"/>
    <s v="Visualization and Communication, Spatial Planning and Organisation"/>
    <s v="Master’s Stroke"/>
    <n v="1"/>
    <x v="1"/>
    <x v="0"/>
    <n v="1"/>
    <n v="0.12"/>
    <n v="1"/>
    <n v="1"/>
    <s v="My only concern with this pedagogy lies in its tendency to influence and inhibit individual abilities and directions of students. Intense, and undoubtedly creative, methods of study and analysis of works of well-known architects may be more appropriate in supporting Theory &amp; Criticism courses."/>
  </r>
  <r>
    <s v="2019-20"/>
    <x v="2"/>
    <x v="7"/>
    <s v="L2"/>
    <s v="Visualization and Communication, Spatial Planning and Organisation"/>
    <s v="Master’s Stroke"/>
    <n v="2"/>
    <x v="0"/>
    <x v="1"/>
    <n v="1"/>
    <n v="0.08"/>
    <n v="0.8"/>
    <n v="1"/>
    <m/>
  </r>
  <r>
    <s v="2019-20"/>
    <x v="2"/>
    <x v="7"/>
    <s v="L2"/>
    <s v="Visualization and Communication, Spatial Planning and Organisation"/>
    <s v="Master’s Stroke"/>
    <n v="2"/>
    <x v="1"/>
    <x v="1"/>
    <n v="1"/>
    <n v="0.08"/>
    <n v="0.8"/>
    <n v="1"/>
    <m/>
  </r>
  <r>
    <s v="2019-20"/>
    <x v="2"/>
    <x v="7"/>
    <s v="L2"/>
    <s v="Visualization and Communication, Spatial Planning and Organisation"/>
    <s v="Master’s Stroke"/>
    <n v="3"/>
    <x v="0"/>
    <x v="2"/>
    <n v="1"/>
    <n v="0.05"/>
    <n v="1"/>
    <n v="1"/>
    <m/>
  </r>
  <r>
    <s v="2019-20"/>
    <x v="2"/>
    <x v="7"/>
    <s v="L2"/>
    <s v="Visualization and Communication, Spatial Planning and Organisation"/>
    <s v="Master’s Stroke"/>
    <n v="3"/>
    <x v="1"/>
    <x v="2"/>
    <n v="1"/>
    <n v="0.05"/>
    <n v="1"/>
    <n v="1"/>
    <s v="I think it tends towards narrowing global exploration by limiting it towards a student's understanding of the language and style of a specified and well-known architect."/>
  </r>
  <r>
    <s v="2019-20"/>
    <x v="2"/>
    <x v="7"/>
    <s v="L2"/>
    <s v="Visualization and Communication, Spatial Planning and Organisation"/>
    <s v="Master’s Stroke"/>
    <n v="4"/>
    <x v="0"/>
    <x v="3"/>
    <n v="1"/>
    <n v="0.14000000000000001"/>
    <n v="1"/>
    <n v="1"/>
    <m/>
  </r>
  <r>
    <s v="2019-20"/>
    <x v="2"/>
    <x v="7"/>
    <s v="L2"/>
    <s v="Visualization and Communication, Spatial Planning and Organisation"/>
    <s v="Master’s Stroke"/>
    <n v="4"/>
    <x v="1"/>
    <x v="3"/>
    <n v="1"/>
    <n v="0.14000000000000001"/>
    <n v="1"/>
    <n v="1"/>
    <m/>
  </r>
  <r>
    <s v="2019-20"/>
    <x v="2"/>
    <x v="7"/>
    <s v="L2"/>
    <s v="Visualization and Communication, Spatial Planning and Organisation"/>
    <s v="Master’s Stroke"/>
    <n v="5"/>
    <x v="0"/>
    <x v="4"/>
    <n v="0"/>
    <n v="0.11"/>
    <n v="1"/>
    <n v="0"/>
    <m/>
  </r>
  <r>
    <s v="2019-20"/>
    <x v="2"/>
    <x v="7"/>
    <s v="L2"/>
    <s v="Visualization and Communication, Spatial Planning and Organisation"/>
    <s v="Master’s Stroke"/>
    <n v="5"/>
    <x v="1"/>
    <x v="4"/>
    <n v="1"/>
    <n v="0.11"/>
    <n v="1"/>
    <n v="1"/>
    <m/>
  </r>
  <r>
    <s v="2019-20"/>
    <x v="2"/>
    <x v="7"/>
    <s v="L2"/>
    <s v="Visualization and Communication, Spatial Planning and Organisation"/>
    <s v="Master’s Stroke"/>
    <n v="6"/>
    <x v="0"/>
    <x v="5"/>
    <n v="0"/>
    <n v="0.15"/>
    <n v="1"/>
    <n v="0"/>
    <m/>
  </r>
  <r>
    <s v="2019-20"/>
    <x v="2"/>
    <x v="7"/>
    <s v="L2"/>
    <s v="Visualization and Communication, Spatial Planning and Organisation"/>
    <s v="Master’s Stroke"/>
    <n v="6"/>
    <x v="1"/>
    <x v="5"/>
    <n v="1"/>
    <n v="0.15"/>
    <n v="1"/>
    <n v="1"/>
    <s v="Excellent presentation by all students"/>
  </r>
  <r>
    <s v="2019-20"/>
    <x v="2"/>
    <x v="7"/>
    <s v="L2"/>
    <s v="Visualization and Communication, Spatial Planning and Organisation"/>
    <s v="Master’s Stroke"/>
    <n v="7"/>
    <x v="0"/>
    <x v="6"/>
    <n v="0"/>
    <n v="0.1"/>
    <n v="1"/>
    <n v="0"/>
    <m/>
  </r>
  <r>
    <s v="2019-20"/>
    <x v="2"/>
    <x v="7"/>
    <s v="L2"/>
    <s v="Visualization and Communication, Spatial Planning and Organisation"/>
    <s v="Master’s Stroke"/>
    <n v="7"/>
    <x v="1"/>
    <x v="6"/>
    <n v="1"/>
    <n v="0.1"/>
    <n v="1"/>
    <n v="1"/>
    <m/>
  </r>
  <r>
    <s v="2019-20"/>
    <x v="2"/>
    <x v="7"/>
    <s v="L2"/>
    <s v="Visualization and Communication, Spatial Planning and Organisation"/>
    <s v="Master’s Stroke"/>
    <n v="8"/>
    <x v="0"/>
    <x v="7"/>
    <n v="1"/>
    <n v="0.1"/>
    <n v="1"/>
    <n v="1"/>
    <m/>
  </r>
  <r>
    <s v="2019-20"/>
    <x v="2"/>
    <x v="7"/>
    <s v="L2"/>
    <s v="Visualization and Communication, Spatial Planning and Organisation"/>
    <s v="Master’s Stroke"/>
    <n v="8"/>
    <x v="1"/>
    <x v="7"/>
    <n v="1"/>
    <n v="0.1"/>
    <n v="1"/>
    <n v="1"/>
    <s v="Same as Q6"/>
  </r>
  <r>
    <s v="2019-20"/>
    <x v="2"/>
    <x v="7"/>
    <s v="L2"/>
    <s v="Visualization and Communication, Spatial Planning and Organisation"/>
    <s v="Master’s Stroke"/>
    <n v="9"/>
    <x v="0"/>
    <x v="8"/>
    <n v="1"/>
    <n v="0.05"/>
    <n v="0.85"/>
    <n v="1"/>
    <m/>
  </r>
  <r>
    <s v="2019-20"/>
    <x v="2"/>
    <x v="7"/>
    <s v="L2"/>
    <s v="Visualization and Communication, Spatial Planning and Organisation"/>
    <s v="Master’s Stroke"/>
    <n v="9"/>
    <x v="1"/>
    <x v="8"/>
    <n v="1"/>
    <n v="0.05"/>
    <n v="0.85"/>
    <n v="1"/>
    <m/>
  </r>
  <r>
    <s v="2019-20"/>
    <x v="2"/>
    <x v="7"/>
    <s v="L2"/>
    <s v="Visualization and Communication, Spatial Planning and Organisation"/>
    <s v="Master’s Stroke"/>
    <n v="10"/>
    <x v="0"/>
    <x v="8"/>
    <n v="0"/>
    <n v="0.05"/>
    <n v="0.85"/>
    <n v="0"/>
    <m/>
  </r>
  <r>
    <s v="2019-20"/>
    <x v="2"/>
    <x v="7"/>
    <s v="L2"/>
    <s v="Visualization and Communication, Spatial Planning and Organisation"/>
    <s v="Master’s Stroke"/>
    <n v="10"/>
    <x v="1"/>
    <x v="8"/>
    <n v="1"/>
    <n v="0.05"/>
    <n v="0.85"/>
    <n v="1"/>
    <m/>
  </r>
  <r>
    <s v="2019-20"/>
    <x v="2"/>
    <x v="7"/>
    <s v="L2"/>
    <s v="Visualization and Communication, Spatial Planning and Organisation"/>
    <s v="Master’s Stroke"/>
    <n v="11"/>
    <x v="0"/>
    <x v="9"/>
    <n v="0"/>
    <n v="0.05"/>
    <n v="1"/>
    <n v="0"/>
    <m/>
  </r>
  <r>
    <s v="2019-20"/>
    <x v="2"/>
    <x v="7"/>
    <s v="L2"/>
    <s v="Visualization and Communication, Spatial Planning and Organisation"/>
    <s v="Master’s Stroke"/>
    <n v="11"/>
    <x v="1"/>
    <x v="9"/>
    <n v="1"/>
    <n v="0.05"/>
    <n v="1"/>
    <n v="1"/>
    <s v="Outstanding"/>
  </r>
  <r>
    <s v="2019-20"/>
    <x v="2"/>
    <x v="9"/>
    <s v="L2"/>
    <s v="Constructing and Specifying"/>
    <s v="Tectonic Operations"/>
    <n v="1"/>
    <x v="0"/>
    <x v="0"/>
    <n v="1"/>
    <n v="0.12"/>
    <n v="1"/>
    <n v="1"/>
    <m/>
  </r>
  <r>
    <s v="2019-20"/>
    <x v="2"/>
    <x v="9"/>
    <s v="L2"/>
    <s v="Constructing and Specifying"/>
    <s v="Tectonic Operations"/>
    <n v="1"/>
    <x v="1"/>
    <x v="0"/>
    <n v="1"/>
    <n v="0.12"/>
    <n v="1"/>
    <n v="1"/>
    <s v="I thought it was very clever to engage with adaptive re-use of existing buildings to convey the idea that the process of design continues through design development into constructing and specifying as well"/>
  </r>
  <r>
    <s v="2019-20"/>
    <x v="2"/>
    <x v="9"/>
    <s v="L2"/>
    <s v="Constructing and Specifying"/>
    <s v="Tectonic Operations"/>
    <n v="2"/>
    <x v="0"/>
    <x v="1"/>
    <n v="1"/>
    <n v="0.08"/>
    <n v="0.8"/>
    <n v="1"/>
    <m/>
  </r>
  <r>
    <s v="2019-20"/>
    <x v="2"/>
    <x v="9"/>
    <s v="L2"/>
    <s v="Constructing and Specifying"/>
    <s v="Tectonic Operations"/>
    <n v="2"/>
    <x v="1"/>
    <x v="1"/>
    <n v="1"/>
    <n v="0.08"/>
    <n v="0.8"/>
    <n v="1"/>
    <m/>
  </r>
  <r>
    <s v="2019-20"/>
    <x v="2"/>
    <x v="9"/>
    <s v="L2"/>
    <s v="Constructing and Specifying"/>
    <s v="Tectonic Operations"/>
    <n v="3"/>
    <x v="0"/>
    <x v="2"/>
    <n v="1"/>
    <n v="0.05"/>
    <n v="1"/>
    <n v="1"/>
    <m/>
  </r>
  <r>
    <s v="2019-20"/>
    <x v="2"/>
    <x v="9"/>
    <s v="L2"/>
    <s v="Constructing and Specifying"/>
    <s v="Tectonic Operations"/>
    <n v="3"/>
    <x v="1"/>
    <x v="2"/>
    <n v="1"/>
    <n v="0.05"/>
    <n v="1"/>
    <n v="1"/>
    <m/>
  </r>
  <r>
    <s v="2019-20"/>
    <x v="2"/>
    <x v="9"/>
    <s v="L2"/>
    <s v="Constructing and Specifying"/>
    <s v="Tectonic Operations"/>
    <n v="4"/>
    <x v="0"/>
    <x v="3"/>
    <n v="1"/>
    <n v="0.14000000000000001"/>
    <n v="1"/>
    <n v="1"/>
    <m/>
  </r>
  <r>
    <s v="2019-20"/>
    <x v="2"/>
    <x v="9"/>
    <s v="L2"/>
    <s v="Constructing and Specifying"/>
    <s v="Tectonic Operations"/>
    <n v="4"/>
    <x v="1"/>
    <x v="3"/>
    <n v="1"/>
    <n v="0.14000000000000001"/>
    <n v="1"/>
    <n v="1"/>
    <s v="However, at the same time, it seems to have paid less attention to the issues of adjacency and contiguity in one entity"/>
  </r>
  <r>
    <s v="2019-20"/>
    <x v="2"/>
    <x v="9"/>
    <s v="L2"/>
    <s v="Constructing and Specifying"/>
    <s v="Tectonic Operations"/>
    <n v="5"/>
    <x v="0"/>
    <x v="4"/>
    <n v="1"/>
    <n v="0.11"/>
    <n v="1"/>
    <n v="1"/>
    <m/>
  </r>
  <r>
    <s v="2019-20"/>
    <x v="2"/>
    <x v="9"/>
    <s v="L2"/>
    <s v="Constructing and Specifying"/>
    <s v="Tectonic Operations"/>
    <n v="5"/>
    <x v="1"/>
    <x v="4"/>
    <n v="1"/>
    <n v="0.11"/>
    <n v="1"/>
    <n v="1"/>
    <s v="Certainly, in terms of constructing and specifying as a process of design but it seems to have overlooked the ability to be in harmony with immediate context"/>
  </r>
  <r>
    <s v="2019-20"/>
    <x v="2"/>
    <x v="9"/>
    <s v="L2"/>
    <s v="Constructing and Specifying"/>
    <s v="Tectonic Operations"/>
    <n v="6"/>
    <x v="0"/>
    <x v="5"/>
    <n v="1"/>
    <n v="0.15"/>
    <n v="1"/>
    <n v="1"/>
    <m/>
  </r>
  <r>
    <s v="2019-20"/>
    <x v="2"/>
    <x v="9"/>
    <s v="L2"/>
    <s v="Constructing and Specifying"/>
    <s v="Tectonic Operations"/>
    <n v="6"/>
    <x v="1"/>
    <x v="5"/>
    <n v="1"/>
    <n v="0.15"/>
    <n v="1"/>
    <n v="1"/>
    <m/>
  </r>
  <r>
    <s v="2019-20"/>
    <x v="2"/>
    <x v="9"/>
    <s v="L2"/>
    <s v="Constructing and Specifying"/>
    <s v="Tectonic Operations"/>
    <n v="7"/>
    <x v="0"/>
    <x v="6"/>
    <n v="1"/>
    <n v="0.1"/>
    <n v="1"/>
    <n v="1"/>
    <m/>
  </r>
  <r>
    <s v="2019-20"/>
    <x v="2"/>
    <x v="9"/>
    <s v="L2"/>
    <s v="Constructing and Specifying"/>
    <s v="Tectonic Operations"/>
    <n v="7"/>
    <x v="1"/>
    <x v="6"/>
    <n v="1"/>
    <n v="0.1"/>
    <n v="1"/>
    <n v="1"/>
    <m/>
  </r>
  <r>
    <s v="2019-20"/>
    <x v="2"/>
    <x v="9"/>
    <s v="L2"/>
    <s v="Constructing and Specifying"/>
    <s v="Tectonic Operations"/>
    <n v="8"/>
    <x v="0"/>
    <x v="7"/>
    <n v="1"/>
    <n v="0.1"/>
    <n v="1"/>
    <n v="1"/>
    <m/>
  </r>
  <r>
    <s v="2019-20"/>
    <x v="2"/>
    <x v="9"/>
    <s v="L2"/>
    <s v="Constructing and Specifying"/>
    <s v="Tectonic Operations"/>
    <n v="8"/>
    <x v="1"/>
    <x v="7"/>
    <n v="1"/>
    <n v="0.1"/>
    <n v="1"/>
    <n v="1"/>
    <m/>
  </r>
  <r>
    <s v="2019-20"/>
    <x v="2"/>
    <x v="9"/>
    <s v="L2"/>
    <s v="Constructing and Specifying"/>
    <s v="Tectonic Operations"/>
    <n v="9"/>
    <x v="0"/>
    <x v="8"/>
    <n v="0"/>
    <n v="0.05"/>
    <n v="0.85"/>
    <n v="0"/>
    <m/>
  </r>
  <r>
    <s v="2019-20"/>
    <x v="2"/>
    <x v="9"/>
    <s v="L2"/>
    <s v="Constructing and Specifying"/>
    <s v="Tectonic Operations"/>
    <n v="9"/>
    <x v="1"/>
    <x v="8"/>
    <n v="1"/>
    <n v="0.05"/>
    <n v="0.85"/>
    <n v="1"/>
    <m/>
  </r>
  <r>
    <s v="2019-20"/>
    <x v="2"/>
    <x v="9"/>
    <s v="L2"/>
    <s v="Constructing and Specifying"/>
    <s v="Tectonic Operations"/>
    <n v="10"/>
    <x v="0"/>
    <x v="8"/>
    <n v="0"/>
    <n v="0.05"/>
    <n v="0.85"/>
    <n v="0"/>
    <m/>
  </r>
  <r>
    <s v="2019-20"/>
    <x v="2"/>
    <x v="9"/>
    <s v="L2"/>
    <s v="Constructing and Specifying"/>
    <s v="Tectonic Operations"/>
    <n v="10"/>
    <x v="1"/>
    <x v="8"/>
    <n v="1"/>
    <n v="0.05"/>
    <n v="0.85"/>
    <n v="1"/>
    <m/>
  </r>
  <r>
    <s v="2019-20"/>
    <x v="2"/>
    <x v="9"/>
    <s v="L2"/>
    <s v="Constructing and Specifying"/>
    <s v="Tectonic Operations"/>
    <n v="11"/>
    <x v="0"/>
    <x v="9"/>
    <n v="1"/>
    <n v="0.05"/>
    <n v="1"/>
    <n v="1"/>
    <m/>
  </r>
  <r>
    <s v="2019-20"/>
    <x v="2"/>
    <x v="9"/>
    <s v="L2"/>
    <s v="Constructing and Specifying"/>
    <s v="Tectonic Operations"/>
    <n v="11"/>
    <x v="1"/>
    <x v="9"/>
    <n v="0"/>
    <n v="0.05"/>
    <n v="1"/>
    <n v="0"/>
    <s v="I cannot be completely sure but it's close."/>
  </r>
  <r>
    <s v="2019-20"/>
    <x v="2"/>
    <x v="18"/>
    <s v="L2"/>
    <m/>
    <s v="Where Material Meets Design"/>
    <n v="1"/>
    <x v="0"/>
    <x v="0"/>
    <n v="1"/>
    <n v="0.12"/>
    <n v="1"/>
    <n v="1"/>
    <m/>
  </r>
  <r>
    <s v="2019-20"/>
    <x v="2"/>
    <x v="18"/>
    <s v="L2"/>
    <m/>
    <s v="Where Material Meets Design"/>
    <n v="1"/>
    <x v="1"/>
    <x v="0"/>
    <n v="1"/>
    <n v="0.12"/>
    <n v="1"/>
    <n v="1"/>
    <s v="I thought the inversion of design methodology form material to space/ form to function was very interesting and unusual also given that this was done in conjunction with highly grounded and tangible studio exercises"/>
  </r>
  <r>
    <s v="2019-20"/>
    <x v="2"/>
    <x v="18"/>
    <s v="L2"/>
    <m/>
    <s v="Where Material Meets Design"/>
    <n v="2"/>
    <x v="0"/>
    <x v="1"/>
    <n v="1"/>
    <n v="0.08"/>
    <n v="0.8"/>
    <n v="1"/>
    <m/>
  </r>
  <r>
    <s v="2019-20"/>
    <x v="2"/>
    <x v="18"/>
    <s v="L2"/>
    <m/>
    <s v="Where Material Meets Design"/>
    <n v="2"/>
    <x v="1"/>
    <x v="1"/>
    <n v="1"/>
    <n v="0.08"/>
    <n v="0.8"/>
    <n v="1"/>
    <s v="I would say its been 70% successful here."/>
  </r>
  <r>
    <s v="2019-20"/>
    <x v="2"/>
    <x v="18"/>
    <s v="L2"/>
    <m/>
    <s v="Where Material Meets Design"/>
    <n v="3"/>
    <x v="0"/>
    <x v="2"/>
    <n v="1"/>
    <n v="0.05"/>
    <n v="1"/>
    <n v="1"/>
    <m/>
  </r>
  <r>
    <s v="2019-20"/>
    <x v="2"/>
    <x v="18"/>
    <s v="L2"/>
    <m/>
    <s v="Where Material Meets Design"/>
    <n v="3"/>
    <x v="1"/>
    <x v="2"/>
    <n v="1"/>
    <n v="0.05"/>
    <n v="1"/>
    <n v="1"/>
    <m/>
  </r>
  <r>
    <s v="2019-20"/>
    <x v="2"/>
    <x v="18"/>
    <s v="L2"/>
    <m/>
    <s v="Where Material Meets Design"/>
    <n v="4"/>
    <x v="0"/>
    <x v="3"/>
    <n v="1"/>
    <n v="0.14000000000000001"/>
    <n v="1"/>
    <n v="1"/>
    <m/>
  </r>
  <r>
    <s v="2019-20"/>
    <x v="2"/>
    <x v="18"/>
    <s v="L2"/>
    <m/>
    <s v="Where Material Meets Design"/>
    <n v="4"/>
    <x v="1"/>
    <x v="3"/>
    <n v="1"/>
    <n v="0.14000000000000001"/>
    <n v="1"/>
    <n v="1"/>
    <s v="The studio should take it a little further into the realm of potential purpose by visualizing and representing this at a schematic level at the least, so that material meets space meets architecture!"/>
  </r>
  <r>
    <s v="2019-20"/>
    <x v="2"/>
    <x v="18"/>
    <s v="L2"/>
    <m/>
    <s v="Where Material Meets Design"/>
    <n v="5"/>
    <x v="0"/>
    <x v="4"/>
    <n v="1"/>
    <n v="0.11"/>
    <n v="1"/>
    <n v="1"/>
    <m/>
  </r>
  <r>
    <s v="2019-20"/>
    <x v="2"/>
    <x v="18"/>
    <s v="L2"/>
    <m/>
    <s v="Where Material Meets Design"/>
    <n v="5"/>
    <x v="1"/>
    <x v="4"/>
    <n v="1"/>
    <n v="0.11"/>
    <n v="1"/>
    <n v="1"/>
    <s v="To the extent of 65-70% It can be said so."/>
  </r>
  <r>
    <s v="2019-20"/>
    <x v="2"/>
    <x v="18"/>
    <s v="L2"/>
    <m/>
    <s v="Where Material Meets Design"/>
    <n v="6"/>
    <x v="0"/>
    <x v="5"/>
    <n v="0"/>
    <n v="0.15"/>
    <n v="1"/>
    <n v="0"/>
    <m/>
  </r>
  <r>
    <s v="2019-20"/>
    <x v="2"/>
    <x v="18"/>
    <s v="L2"/>
    <m/>
    <s v="Where Material Meets Design"/>
    <n v="6"/>
    <x v="1"/>
    <x v="5"/>
    <n v="1"/>
    <n v="0.15"/>
    <n v="1"/>
    <n v="1"/>
    <m/>
  </r>
  <r>
    <s v="2019-20"/>
    <x v="2"/>
    <x v="18"/>
    <s v="L2"/>
    <m/>
    <s v="Where Material Meets Design"/>
    <n v="7"/>
    <x v="0"/>
    <x v="6"/>
    <n v="0"/>
    <n v="0.1"/>
    <n v="1"/>
    <n v="0"/>
    <m/>
  </r>
  <r>
    <s v="2019-20"/>
    <x v="2"/>
    <x v="18"/>
    <s v="L2"/>
    <m/>
    <s v="Where Material Meets Design"/>
    <n v="7"/>
    <x v="1"/>
    <x v="6"/>
    <n v="1"/>
    <n v="0.1"/>
    <n v="1"/>
    <n v="1"/>
    <m/>
  </r>
  <r>
    <s v="2019-20"/>
    <x v="2"/>
    <x v="18"/>
    <s v="L2"/>
    <m/>
    <s v="Where Material Meets Design"/>
    <n v="8"/>
    <x v="0"/>
    <x v="7"/>
    <n v="0"/>
    <n v="0.1"/>
    <n v="1"/>
    <n v="0"/>
    <m/>
  </r>
  <r>
    <s v="2019-20"/>
    <x v="2"/>
    <x v="18"/>
    <s v="L2"/>
    <m/>
    <s v="Where Material Meets Design"/>
    <n v="8"/>
    <x v="1"/>
    <x v="7"/>
    <n v="1"/>
    <n v="0.1"/>
    <n v="1"/>
    <n v="1"/>
    <s v="I would rate it as 70%."/>
  </r>
  <r>
    <s v="2019-20"/>
    <x v="2"/>
    <x v="18"/>
    <s v="L2"/>
    <m/>
    <s v="Where Material Meets Design"/>
    <n v="9"/>
    <x v="0"/>
    <x v="8"/>
    <n v="1"/>
    <n v="0.05"/>
    <n v="0.85"/>
    <n v="1"/>
    <m/>
  </r>
  <r>
    <s v="2019-20"/>
    <x v="2"/>
    <x v="18"/>
    <s v="L2"/>
    <m/>
    <s v="Where Material Meets Design"/>
    <n v="9"/>
    <x v="1"/>
    <x v="8"/>
    <n v="1"/>
    <n v="0.05"/>
    <n v="0.85"/>
    <n v="1"/>
    <m/>
  </r>
  <r>
    <s v="2019-20"/>
    <x v="2"/>
    <x v="18"/>
    <s v="L2"/>
    <m/>
    <s v="Where Material Meets Design"/>
    <n v="10"/>
    <x v="0"/>
    <x v="8"/>
    <n v="1"/>
    <n v="0.05"/>
    <n v="0.85"/>
    <n v="1"/>
    <m/>
  </r>
  <r>
    <s v="2019-20"/>
    <x v="2"/>
    <x v="18"/>
    <s v="L2"/>
    <m/>
    <s v="Where Material Meets Design"/>
    <n v="10"/>
    <x v="1"/>
    <x v="8"/>
    <n v="1"/>
    <n v="0.05"/>
    <n v="0.85"/>
    <n v="1"/>
    <m/>
  </r>
  <r>
    <s v="2019-20"/>
    <x v="2"/>
    <x v="18"/>
    <s v="L2"/>
    <m/>
    <s v="Where Material Meets Design"/>
    <n v="11"/>
    <x v="0"/>
    <x v="9"/>
    <n v="-1"/>
    <n v="0.05"/>
    <n v="1"/>
    <n v="-1"/>
    <m/>
  </r>
  <r>
    <s v="2019-20"/>
    <x v="2"/>
    <x v="18"/>
    <s v="L2"/>
    <m/>
    <s v="Where Material Meets Design"/>
    <n v="11"/>
    <x v="1"/>
    <x v="9"/>
    <n v="0"/>
    <n v="0.05"/>
    <n v="1"/>
    <n v="0"/>
    <s v="Same as in Question 4 remarks"/>
  </r>
  <r>
    <s v="2019-20"/>
    <x v="2"/>
    <x v="25"/>
    <s v="L2"/>
    <m/>
    <s v="Space Kinematics"/>
    <n v="1"/>
    <x v="0"/>
    <x v="0"/>
    <n v="0"/>
    <n v="0.12"/>
    <n v="1"/>
    <n v="0"/>
    <m/>
  </r>
  <r>
    <s v="2019-20"/>
    <x v="2"/>
    <x v="25"/>
    <s v="L2"/>
    <m/>
    <s v="Space Kinematics"/>
    <n v="1"/>
    <x v="1"/>
    <x v="0"/>
    <n v="1"/>
    <n v="0.12"/>
    <n v="1"/>
    <n v="1"/>
    <s v="The learning objectives of this studio, grounded as they are in transformation, movement and innovation in architecture are interesting and challenging with endless applications and possibilities over the years of this studio."/>
  </r>
  <r>
    <s v="2019-20"/>
    <x v="2"/>
    <x v="25"/>
    <s v="L2"/>
    <m/>
    <s v="Space Kinematics"/>
    <n v="2"/>
    <x v="0"/>
    <x v="1"/>
    <n v="0"/>
    <n v="0.08"/>
    <n v="0.8"/>
    <n v="0"/>
    <m/>
  </r>
  <r>
    <s v="2019-20"/>
    <x v="2"/>
    <x v="25"/>
    <s v="L2"/>
    <m/>
    <s v="Space Kinematics"/>
    <n v="2"/>
    <x v="1"/>
    <x v="1"/>
    <n v="1"/>
    <n v="0.08"/>
    <n v="0.8"/>
    <n v="1"/>
    <m/>
  </r>
  <r>
    <s v="2019-20"/>
    <x v="2"/>
    <x v="25"/>
    <s v="L2"/>
    <m/>
    <s v="Space Kinematics"/>
    <n v="3"/>
    <x v="0"/>
    <x v="2"/>
    <n v="1"/>
    <n v="0.05"/>
    <n v="1"/>
    <n v="1"/>
    <m/>
  </r>
  <r>
    <s v="2019-20"/>
    <x v="2"/>
    <x v="25"/>
    <s v="L2"/>
    <m/>
    <s v="Space Kinematics"/>
    <n v="3"/>
    <x v="1"/>
    <x v="2"/>
    <n v="1"/>
    <n v="0.05"/>
    <n v="1"/>
    <n v="1"/>
    <m/>
  </r>
  <r>
    <s v="2019-20"/>
    <x v="2"/>
    <x v="25"/>
    <s v="L2"/>
    <m/>
    <s v="Space Kinematics"/>
    <n v="4"/>
    <x v="0"/>
    <x v="3"/>
    <n v="0"/>
    <n v="0.14000000000000001"/>
    <n v="1"/>
    <n v="0"/>
    <m/>
  </r>
  <r>
    <s v="2019-20"/>
    <x v="2"/>
    <x v="25"/>
    <s v="L2"/>
    <m/>
    <s v="Space Kinematics"/>
    <n v="4"/>
    <x v="1"/>
    <x v="3"/>
    <n v="1"/>
    <n v="0.14000000000000001"/>
    <n v="1"/>
    <n v="1"/>
    <s v="I would say about 60% - 70%"/>
  </r>
  <r>
    <s v="2019-20"/>
    <x v="2"/>
    <x v="25"/>
    <s v="L2"/>
    <m/>
    <s v="Space Kinematics"/>
    <n v="5"/>
    <x v="0"/>
    <x v="4"/>
    <n v="-1"/>
    <n v="0.11"/>
    <n v="1"/>
    <n v="-1"/>
    <m/>
  </r>
  <r>
    <s v="2019-20"/>
    <x v="2"/>
    <x v="25"/>
    <s v="L2"/>
    <m/>
    <s v="Space Kinematics"/>
    <n v="5"/>
    <x v="1"/>
    <x v="4"/>
    <n v="0"/>
    <n v="0.11"/>
    <n v="1"/>
    <n v="0"/>
    <s v="Yes, from point of view of ideas that students wanted to explore, but not fully with respect to execution of these ideas."/>
  </r>
  <r>
    <s v="2019-20"/>
    <x v="2"/>
    <x v="25"/>
    <s v="L2"/>
    <m/>
    <s v="Space Kinematics"/>
    <n v="6"/>
    <x v="0"/>
    <x v="5"/>
    <n v="-1"/>
    <n v="0.15"/>
    <n v="1"/>
    <n v="-1"/>
    <m/>
  </r>
  <r>
    <s v="2019-20"/>
    <x v="2"/>
    <x v="25"/>
    <s v="L2"/>
    <m/>
    <s v="Space Kinematics"/>
    <n v="6"/>
    <x v="1"/>
    <x v="5"/>
    <n v="1"/>
    <n v="0.15"/>
    <n v="1"/>
    <n v="1"/>
    <s v="Same as Q5"/>
  </r>
  <r>
    <s v="2019-20"/>
    <x v="2"/>
    <x v="25"/>
    <s v="L2"/>
    <m/>
    <s v="Space Kinematics"/>
    <n v="7"/>
    <x v="0"/>
    <x v="6"/>
    <n v="-1"/>
    <n v="0.1"/>
    <n v="1"/>
    <n v="-1"/>
    <m/>
  </r>
  <r>
    <s v="2019-20"/>
    <x v="2"/>
    <x v="25"/>
    <s v="L2"/>
    <m/>
    <s v="Space Kinematics"/>
    <n v="7"/>
    <x v="1"/>
    <x v="6"/>
    <n v="1"/>
    <n v="0.1"/>
    <n v="1"/>
    <n v="1"/>
    <s v="Rigorous and meticulous but with understandable errors and loose ends. "/>
  </r>
  <r>
    <s v="2019-20"/>
    <x v="2"/>
    <x v="25"/>
    <s v="L2"/>
    <m/>
    <s v="Space Kinematics"/>
    <n v="8"/>
    <x v="0"/>
    <x v="7"/>
    <n v="0"/>
    <n v="0.1"/>
    <n v="1"/>
    <n v="0"/>
    <m/>
  </r>
  <r>
    <s v="2019-20"/>
    <x v="2"/>
    <x v="25"/>
    <s v="L2"/>
    <m/>
    <s v="Space Kinematics"/>
    <n v="8"/>
    <x v="1"/>
    <x v="7"/>
    <n v="1"/>
    <n v="0.1"/>
    <n v="1"/>
    <n v="1"/>
    <s v="About 60% - 70%"/>
  </r>
  <r>
    <s v="2019-20"/>
    <x v="2"/>
    <x v="25"/>
    <s v="L2"/>
    <m/>
    <s v="Space Kinematics"/>
    <n v="9"/>
    <x v="0"/>
    <x v="8"/>
    <n v="1"/>
    <n v="0.05"/>
    <n v="0.85"/>
    <n v="1"/>
    <m/>
  </r>
  <r>
    <s v="2019-20"/>
    <x v="2"/>
    <x v="25"/>
    <s v="L2"/>
    <m/>
    <s v="Space Kinematics"/>
    <n v="9"/>
    <x v="1"/>
    <x v="8"/>
    <n v="1"/>
    <n v="0.05"/>
    <n v="0.85"/>
    <n v="1"/>
    <m/>
  </r>
  <r>
    <s v="2019-20"/>
    <x v="2"/>
    <x v="25"/>
    <s v="L2"/>
    <m/>
    <s v="Space Kinematics"/>
    <n v="10"/>
    <x v="0"/>
    <x v="8"/>
    <n v="0"/>
    <n v="0.05"/>
    <n v="0.85"/>
    <n v="0"/>
    <m/>
  </r>
  <r>
    <s v="2019-20"/>
    <x v="2"/>
    <x v="25"/>
    <s v="L2"/>
    <m/>
    <s v="Space Kinematics"/>
    <n v="10"/>
    <x v="1"/>
    <x v="8"/>
    <n v="1"/>
    <n v="0.05"/>
    <n v="0.85"/>
    <n v="1"/>
    <m/>
  </r>
  <r>
    <s v="2019-20"/>
    <x v="2"/>
    <x v="25"/>
    <s v="L2"/>
    <m/>
    <s v="Space Kinematics"/>
    <n v="11"/>
    <x v="0"/>
    <x v="9"/>
    <n v="-1"/>
    <n v="0.05"/>
    <n v="1"/>
    <n v="-1"/>
    <m/>
  </r>
  <r>
    <s v="2019-20"/>
    <x v="2"/>
    <x v="25"/>
    <s v="L2"/>
    <m/>
    <s v="Space Kinematics"/>
    <n v="11"/>
    <x v="1"/>
    <x v="9"/>
    <n v="0"/>
    <n v="0.05"/>
    <n v="1"/>
    <n v="0"/>
    <s v="Needs a little more refinement and there appears to be some difficulty in execution to scale"/>
  </r>
  <r>
    <s v="2019-20"/>
    <x v="2"/>
    <x v="26"/>
    <s v="L2"/>
    <m/>
    <s v="Spatial Narratives: Timeless and Experientially Engaging Architecture"/>
    <n v="1"/>
    <x v="0"/>
    <x v="0"/>
    <n v="0"/>
    <n v="0.12"/>
    <n v="1"/>
    <n v="0"/>
    <m/>
  </r>
  <r>
    <s v="2019-20"/>
    <x v="2"/>
    <x v="26"/>
    <s v="L2"/>
    <m/>
    <s v="Spatial Narratives: Timeless and Experientially Engaging Architecture"/>
    <n v="1"/>
    <x v="1"/>
    <x v="0"/>
    <n v="1"/>
    <n v="0.12"/>
    <n v="1"/>
    <n v="1"/>
    <m/>
  </r>
  <r>
    <s v="2019-20"/>
    <x v="2"/>
    <x v="26"/>
    <s v="L2"/>
    <m/>
    <s v="Spatial Narratives: Timeless and Experientially Engaging Architecture"/>
    <n v="2"/>
    <x v="0"/>
    <x v="1"/>
    <n v="-1"/>
    <n v="0.08"/>
    <n v="0.8"/>
    <n v="-1"/>
    <m/>
  </r>
  <r>
    <s v="2019-20"/>
    <x v="2"/>
    <x v="26"/>
    <s v="L2"/>
    <m/>
    <s v="Spatial Narratives: Timeless and Experientially Engaging Architecture"/>
    <n v="2"/>
    <x v="1"/>
    <x v="1"/>
    <n v="1"/>
    <n v="0.08"/>
    <n v="0.8"/>
    <n v="1"/>
    <s v="Once again, I'm not sure why this studio comes under &quot;Planning and Organizing&quot; and not &quot;Visualizing and communicating&quot;."/>
  </r>
  <r>
    <s v="2019-20"/>
    <x v="2"/>
    <x v="26"/>
    <s v="L2"/>
    <m/>
    <s v="Spatial Narratives: Timeless and Experientially Engaging Architecture"/>
    <n v="3"/>
    <x v="0"/>
    <x v="2"/>
    <n v="1"/>
    <n v="0.05"/>
    <n v="1"/>
    <n v="1"/>
    <m/>
  </r>
  <r>
    <s v="2019-20"/>
    <x v="2"/>
    <x v="26"/>
    <s v="L2"/>
    <m/>
    <s v="Spatial Narratives: Timeless and Experientially Engaging Architecture"/>
    <n v="3"/>
    <x v="1"/>
    <x v="2"/>
    <n v="1"/>
    <n v="0.05"/>
    <n v="1"/>
    <n v="1"/>
    <m/>
  </r>
  <r>
    <s v="2019-20"/>
    <x v="2"/>
    <x v="26"/>
    <s v="L2"/>
    <m/>
    <s v="Spatial Narratives: Timeless and Experientially Engaging Architecture"/>
    <n v="4"/>
    <x v="0"/>
    <x v="3"/>
    <n v="-1"/>
    <n v="0.14000000000000001"/>
    <n v="1"/>
    <n v="-1"/>
    <m/>
  </r>
  <r>
    <s v="2019-20"/>
    <x v="2"/>
    <x v="26"/>
    <s v="L2"/>
    <m/>
    <s v="Spatial Narratives: Timeless and Experientially Engaging Architecture"/>
    <n v="4"/>
    <x v="1"/>
    <x v="3"/>
    <n v="1"/>
    <n v="0.14000000000000001"/>
    <n v="1"/>
    <n v="1"/>
    <m/>
  </r>
  <r>
    <s v="2019-20"/>
    <x v="2"/>
    <x v="26"/>
    <s v="L2"/>
    <m/>
    <s v="Spatial Narratives: Timeless and Experientially Engaging Architecture"/>
    <n v="5"/>
    <x v="0"/>
    <x v="4"/>
    <n v="-1"/>
    <n v="0.11"/>
    <n v="1"/>
    <n v="-1"/>
    <m/>
  </r>
  <r>
    <s v="2019-20"/>
    <x v="2"/>
    <x v="26"/>
    <s v="L2"/>
    <m/>
    <s v="Spatial Narratives: Timeless and Experientially Engaging Architecture"/>
    <n v="5"/>
    <x v="1"/>
    <x v="4"/>
    <n v="1"/>
    <n v="0.11"/>
    <n v="1"/>
    <n v="1"/>
    <m/>
  </r>
  <r>
    <s v="2019-20"/>
    <x v="2"/>
    <x v="26"/>
    <s v="L2"/>
    <m/>
    <s v="Spatial Narratives: Timeless and Experientially Engaging Architecture"/>
    <n v="6"/>
    <x v="0"/>
    <x v="5"/>
    <n v="-1"/>
    <n v="0.15"/>
    <n v="1"/>
    <n v="-1"/>
    <m/>
  </r>
  <r>
    <s v="2019-20"/>
    <x v="2"/>
    <x v="26"/>
    <s v="L2"/>
    <m/>
    <s v="Spatial Narratives: Timeless and Experientially Engaging Architecture"/>
    <n v="6"/>
    <x v="1"/>
    <x v="5"/>
    <n v="0"/>
    <n v="0.15"/>
    <n v="1"/>
    <n v="0"/>
    <s v="I would say about 65% - 70%"/>
  </r>
  <r>
    <s v="2019-20"/>
    <x v="2"/>
    <x v="26"/>
    <s v="L2"/>
    <m/>
    <s v="Spatial Narratives: Timeless and Experientially Engaging Architecture"/>
    <n v="7"/>
    <x v="0"/>
    <x v="6"/>
    <n v="-1"/>
    <n v="0.1"/>
    <n v="1"/>
    <n v="-1"/>
    <m/>
  </r>
  <r>
    <s v="2019-20"/>
    <x v="2"/>
    <x v="26"/>
    <s v="L2"/>
    <m/>
    <s v="Spatial Narratives: Timeless and Experientially Engaging Architecture"/>
    <n v="7"/>
    <x v="1"/>
    <x v="6"/>
    <n v="1"/>
    <n v="0.1"/>
    <n v="1"/>
    <n v="1"/>
    <s v="Interesting in terms of processes but the architectural representation was perhaps 50-50%."/>
  </r>
  <r>
    <s v="2019-20"/>
    <x v="2"/>
    <x v="26"/>
    <s v="L2"/>
    <m/>
    <s v="Spatial Narratives: Timeless and Experientially Engaging Architecture"/>
    <n v="8"/>
    <x v="0"/>
    <x v="7"/>
    <n v="0"/>
    <n v="0.1"/>
    <n v="1"/>
    <n v="0"/>
    <m/>
  </r>
  <r>
    <s v="2019-20"/>
    <x v="2"/>
    <x v="26"/>
    <s v="L2"/>
    <m/>
    <s v="Spatial Narratives: Timeless and Experientially Engaging Architecture"/>
    <n v="8"/>
    <x v="1"/>
    <x v="7"/>
    <n v="0"/>
    <n v="0.1"/>
    <n v="1"/>
    <n v="0"/>
    <s v="It was in case of say 60%."/>
  </r>
  <r>
    <s v="2019-20"/>
    <x v="2"/>
    <x v="26"/>
    <s v="L2"/>
    <m/>
    <s v="Spatial Narratives: Timeless and Experientially Engaging Architecture"/>
    <n v="9"/>
    <x v="0"/>
    <x v="8"/>
    <n v="0"/>
    <n v="0.05"/>
    <n v="0.85"/>
    <n v="0"/>
    <m/>
  </r>
  <r>
    <s v="2019-20"/>
    <x v="2"/>
    <x v="26"/>
    <s v="L2"/>
    <m/>
    <s v="Spatial Narratives: Timeless and Experientially Engaging Architecture"/>
    <n v="9"/>
    <x v="1"/>
    <x v="8"/>
    <n v="1"/>
    <n v="0.05"/>
    <n v="0.85"/>
    <n v="1"/>
    <s v="65% - 70% yes"/>
  </r>
  <r>
    <s v="2019-20"/>
    <x v="2"/>
    <x v="26"/>
    <s v="L2"/>
    <m/>
    <s v="Spatial Narratives: Timeless and Experientially Engaging Architecture"/>
    <n v="10"/>
    <x v="0"/>
    <x v="8"/>
    <n v="0"/>
    <n v="0.05"/>
    <n v="0.85"/>
    <n v="0"/>
    <m/>
  </r>
  <r>
    <s v="2019-20"/>
    <x v="2"/>
    <x v="26"/>
    <s v="L2"/>
    <m/>
    <s v="Spatial Narratives: Timeless and Experientially Engaging Architecture"/>
    <n v="10"/>
    <x v="1"/>
    <x v="8"/>
    <n v="1"/>
    <n v="0.05"/>
    <n v="0.85"/>
    <n v="1"/>
    <s v="Almost 80% - 85% yes"/>
  </r>
  <r>
    <s v="2019-20"/>
    <x v="2"/>
    <x v="26"/>
    <s v="L2"/>
    <m/>
    <s v="Spatial Narratives: Timeless and Experientially Engaging Architecture"/>
    <n v="11"/>
    <x v="0"/>
    <x v="9"/>
    <n v="-1"/>
    <n v="0.05"/>
    <n v="1"/>
    <n v="-1"/>
    <m/>
  </r>
  <r>
    <s v="2019-20"/>
    <x v="2"/>
    <x v="26"/>
    <s v="L2"/>
    <m/>
    <s v="Spatial Narratives: Timeless and Experientially Engaging Architecture"/>
    <n v="11"/>
    <x v="1"/>
    <x v="9"/>
    <n v="0"/>
    <n v="0.05"/>
    <n v="1"/>
    <n v="0"/>
    <s v="Possibly in planning or visualising but not so much in organizing the result of these processes and communicating the same."/>
  </r>
  <r>
    <s v="2019-20"/>
    <x v="2"/>
    <x v="27"/>
    <s v="L2"/>
    <s v="Planning and Orgnizing"/>
    <s v="The Joy of Architecture"/>
    <n v="1"/>
    <x v="0"/>
    <x v="0"/>
    <n v="1"/>
    <n v="0.12"/>
    <n v="1"/>
    <n v="1"/>
    <m/>
  </r>
  <r>
    <s v="2019-20"/>
    <x v="2"/>
    <x v="27"/>
    <s v="L2"/>
    <s v="Planning and Orgnizing"/>
    <s v="The Joy of Architecture"/>
    <n v="1"/>
    <x v="1"/>
    <x v="0"/>
    <n v="1"/>
    <n v="0.12"/>
    <n v="1"/>
    <n v="1"/>
    <s v="Good idea and well stated"/>
  </r>
  <r>
    <s v="2019-20"/>
    <x v="2"/>
    <x v="27"/>
    <s v="L2"/>
    <s v="Planning and Orgnizing"/>
    <s v="The Joy of Architecture"/>
    <n v="2"/>
    <x v="0"/>
    <x v="1"/>
    <n v="0"/>
    <n v="0.08"/>
    <n v="0.8"/>
    <n v="0"/>
    <m/>
  </r>
  <r>
    <s v="2019-20"/>
    <x v="2"/>
    <x v="27"/>
    <s v="L2"/>
    <s v="Planning and Orgnizing"/>
    <s v="The Joy of Architecture"/>
    <n v="2"/>
    <x v="1"/>
    <x v="1"/>
    <n v="0"/>
    <n v="0.08"/>
    <n v="0.8"/>
    <n v="0"/>
    <s v="I am not sure why it is under Planning and Organizing and not under Visualizing and Communicating."/>
  </r>
  <r>
    <s v="2019-20"/>
    <x v="2"/>
    <x v="27"/>
    <s v="L2"/>
    <s v="Planning and Orgnizing"/>
    <s v="The Joy of Architecture"/>
    <n v="3"/>
    <x v="0"/>
    <x v="2"/>
    <n v="1"/>
    <n v="0.05"/>
    <n v="1"/>
    <n v="1"/>
    <m/>
  </r>
  <r>
    <s v="2019-20"/>
    <x v="2"/>
    <x v="27"/>
    <s v="L2"/>
    <s v="Planning and Orgnizing"/>
    <s v="The Joy of Architecture"/>
    <n v="3"/>
    <x v="1"/>
    <x v="2"/>
    <n v="1"/>
    <n v="0.05"/>
    <n v="1"/>
    <n v="1"/>
    <s v="Very much so. However, it may have been too broad in that students may not have had enough time to study and understand the architecture of Mandu and apply this to their specific studio problem."/>
  </r>
  <r>
    <s v="2019-20"/>
    <x v="2"/>
    <x v="27"/>
    <s v="L2"/>
    <s v="Planning and Orgnizing"/>
    <s v="The Joy of Architecture"/>
    <n v="4"/>
    <x v="0"/>
    <x v="3"/>
    <n v="0"/>
    <n v="0.14000000000000001"/>
    <n v="1"/>
    <n v="0"/>
    <m/>
  </r>
  <r>
    <s v="2019-20"/>
    <x v="2"/>
    <x v="27"/>
    <s v="L2"/>
    <s v="Planning and Orgnizing"/>
    <s v="The Joy of Architecture"/>
    <n v="4"/>
    <x v="1"/>
    <x v="3"/>
    <n v="1"/>
    <n v="0.14000000000000001"/>
    <n v="1"/>
    <n v="1"/>
    <s v="Students' work did not show an understanding of the importance of the historic, architectural context in which the project site was located"/>
  </r>
  <r>
    <s v="2019-20"/>
    <x v="2"/>
    <x v="27"/>
    <s v="L2"/>
    <s v="Planning and Orgnizing"/>
    <s v="The Joy of Architecture"/>
    <n v="5"/>
    <x v="0"/>
    <x v="4"/>
    <n v="-1"/>
    <n v="0.11"/>
    <n v="1"/>
    <n v="-1"/>
    <m/>
  </r>
  <r>
    <s v="2019-20"/>
    <x v="2"/>
    <x v="27"/>
    <s v="L2"/>
    <s v="Planning and Orgnizing"/>
    <s v="The Joy of Architecture"/>
    <n v="5"/>
    <x v="1"/>
    <x v="4"/>
    <n v="0"/>
    <n v="0.11"/>
    <n v="1"/>
    <n v="0"/>
    <s v="t was difficult to see or feel the &quot;Experience of Mandu&quot; in the work of the students. The learning objectives may have been too ambitious at this level or the students did not work hard enough to understand this."/>
  </r>
  <r>
    <s v="2019-20"/>
    <x v="2"/>
    <x v="27"/>
    <s v="L2"/>
    <s v="Planning and Orgnizing"/>
    <s v="The Joy of Architecture"/>
    <n v="6"/>
    <x v="0"/>
    <x v="5"/>
    <n v="0"/>
    <n v="0.15"/>
    <n v="1"/>
    <n v="0"/>
    <m/>
  </r>
  <r>
    <s v="2019-20"/>
    <x v="2"/>
    <x v="27"/>
    <s v="L2"/>
    <s v="Planning and Orgnizing"/>
    <s v="The Joy of Architecture"/>
    <n v="6"/>
    <x v="1"/>
    <x v="5"/>
    <n v="0"/>
    <n v="0.15"/>
    <n v="1"/>
    <n v="0"/>
    <s v="NOT GREAT."/>
  </r>
  <r>
    <s v="2019-20"/>
    <x v="2"/>
    <x v="27"/>
    <s v="L2"/>
    <s v="Planning and Orgnizing"/>
    <s v="The Joy of Architecture"/>
    <n v="7"/>
    <x v="0"/>
    <x v="6"/>
    <n v="0"/>
    <n v="0.1"/>
    <n v="1"/>
    <n v="0"/>
    <m/>
  </r>
  <r>
    <s v="2019-20"/>
    <x v="2"/>
    <x v="27"/>
    <s v="L2"/>
    <s v="Planning and Orgnizing"/>
    <s v="The Joy of Architecture"/>
    <n v="7"/>
    <x v="1"/>
    <x v="6"/>
    <n v="0"/>
    <n v="0.1"/>
    <n v="1"/>
    <n v="0"/>
    <s v="It was difficult to understand the process by which the students arrived at their final solutions. "/>
  </r>
  <r>
    <s v="2019-20"/>
    <x v="2"/>
    <x v="27"/>
    <s v="L2"/>
    <s v="Planning and Orgnizing"/>
    <s v="The Joy of Architecture"/>
    <n v="8"/>
    <x v="0"/>
    <x v="7"/>
    <n v="0"/>
    <n v="0.1"/>
    <n v="1"/>
    <n v="0"/>
    <m/>
  </r>
  <r>
    <s v="2019-20"/>
    <x v="2"/>
    <x v="27"/>
    <s v="L2"/>
    <s v="Planning and Orgnizing"/>
    <s v="The Joy of Architecture"/>
    <n v="8"/>
    <x v="1"/>
    <x v="7"/>
    <n v="0"/>
    <n v="0.1"/>
    <n v="1"/>
    <n v="0"/>
    <s v="NEEDS IMPROVEMENT,"/>
  </r>
  <r>
    <s v="2019-20"/>
    <x v="2"/>
    <x v="27"/>
    <s v="L2"/>
    <s v="Planning and Orgnizing"/>
    <s v="The Joy of Architecture"/>
    <n v="9"/>
    <x v="0"/>
    <x v="8"/>
    <n v="0"/>
    <n v="0.05"/>
    <n v="0.85"/>
    <n v="0"/>
    <m/>
  </r>
  <r>
    <s v="2019-20"/>
    <x v="2"/>
    <x v="27"/>
    <s v="L2"/>
    <s v="Planning and Orgnizing"/>
    <s v="The Joy of Architecture"/>
    <n v="9"/>
    <x v="1"/>
    <x v="8"/>
    <n v="0"/>
    <n v="0.05"/>
    <n v="0.85"/>
    <n v="0"/>
    <m/>
  </r>
  <r>
    <s v="2019-20"/>
    <x v="2"/>
    <x v="27"/>
    <s v="L2"/>
    <s v="Planning and Orgnizing"/>
    <s v="The Joy of Architecture"/>
    <n v="10"/>
    <x v="0"/>
    <x v="8"/>
    <n v="0"/>
    <n v="0.05"/>
    <n v="0.85"/>
    <n v="0"/>
    <m/>
  </r>
  <r>
    <s v="2019-20"/>
    <x v="2"/>
    <x v="27"/>
    <s v="L2"/>
    <s v="Planning and Orgnizing"/>
    <s v="The Joy of Architecture"/>
    <n v="10"/>
    <x v="1"/>
    <x v="8"/>
    <n v="0"/>
    <n v="0.05"/>
    <n v="0.85"/>
    <n v="0"/>
    <n v="0.7"/>
  </r>
  <r>
    <s v="2019-20"/>
    <x v="2"/>
    <x v="27"/>
    <s v="L2"/>
    <s v="Planning and Orgnizing"/>
    <s v="The Joy of Architecture"/>
    <n v="11"/>
    <x v="0"/>
    <x v="9"/>
    <n v="-1"/>
    <n v="0.05"/>
    <n v="1"/>
    <n v="-1"/>
    <m/>
  </r>
  <r>
    <s v="2019-20"/>
    <x v="2"/>
    <x v="27"/>
    <s v="L2"/>
    <s v="Planning and Orgnizing"/>
    <s v="The Joy of Architecture"/>
    <n v="11"/>
    <x v="1"/>
    <x v="9"/>
    <n v="-1"/>
    <n v="0.05"/>
    <n v="1"/>
    <n v="-1"/>
    <s v="Learning outcomes did not match learning objectives."/>
  </r>
  <r>
    <s v="2019-20"/>
    <x v="2"/>
    <x v="28"/>
    <s v="L2"/>
    <m/>
    <s v="Climate Responsive Architecture"/>
    <n v="1"/>
    <x v="0"/>
    <x v="0"/>
    <n v="1"/>
    <n v="0.12"/>
    <n v="1"/>
    <n v="1"/>
    <m/>
  </r>
  <r>
    <s v="2019-20"/>
    <x v="2"/>
    <x v="28"/>
    <s v="L2"/>
    <m/>
    <s v="Climate Responsive Architecture"/>
    <n v="1"/>
    <x v="1"/>
    <x v="0"/>
    <n v="1"/>
    <n v="0.12"/>
    <n v="1"/>
    <n v="1"/>
    <m/>
  </r>
  <r>
    <s v="2019-20"/>
    <x v="2"/>
    <x v="28"/>
    <s v="L2"/>
    <m/>
    <s v="Climate Responsive Architecture"/>
    <n v="2"/>
    <x v="0"/>
    <x v="1"/>
    <n v="1"/>
    <n v="0.08"/>
    <n v="0.8"/>
    <n v="1"/>
    <m/>
  </r>
  <r>
    <s v="2019-20"/>
    <x v="2"/>
    <x v="28"/>
    <s v="L2"/>
    <m/>
    <s v="Climate Responsive Architecture"/>
    <n v="2"/>
    <x v="1"/>
    <x v="1"/>
    <n v="1"/>
    <n v="0.08"/>
    <n v="0.8"/>
    <n v="1"/>
    <s v="Perhaps this studio problem helps to clarify distinction between planning &amp; organizing and visualizing and communicating."/>
  </r>
  <r>
    <s v="2019-20"/>
    <x v="2"/>
    <x v="28"/>
    <s v="L2"/>
    <m/>
    <s v="Climate Responsive Architecture"/>
    <n v="3"/>
    <x v="0"/>
    <x v="2"/>
    <n v="1"/>
    <n v="0.05"/>
    <n v="1"/>
    <n v="1"/>
    <m/>
  </r>
  <r>
    <s v="2019-20"/>
    <x v="2"/>
    <x v="28"/>
    <s v="L2"/>
    <m/>
    <s v="Climate Responsive Architecture"/>
    <n v="3"/>
    <x v="1"/>
    <x v="2"/>
    <n v="1"/>
    <n v="0.05"/>
    <n v="1"/>
    <n v="1"/>
    <m/>
  </r>
  <r>
    <s v="2019-20"/>
    <x v="2"/>
    <x v="28"/>
    <s v="L2"/>
    <m/>
    <s v="Climate Responsive Architecture"/>
    <n v="4"/>
    <x v="0"/>
    <x v="3"/>
    <n v="1"/>
    <n v="0.14000000000000001"/>
    <n v="1"/>
    <n v="1"/>
    <m/>
  </r>
  <r>
    <s v="2019-20"/>
    <x v="2"/>
    <x v="28"/>
    <s v="L2"/>
    <m/>
    <s v="Climate Responsive Architecture"/>
    <n v="4"/>
    <x v="1"/>
    <x v="3"/>
    <n v="1"/>
    <n v="0.14000000000000001"/>
    <n v="1"/>
    <n v="1"/>
    <s v="Students' work in this studio exhibits quite a bit of enthusiasm for what they were working on and they seem to have enjoyed what they were doing."/>
  </r>
  <r>
    <s v="2019-20"/>
    <x v="2"/>
    <x v="28"/>
    <s v="L2"/>
    <m/>
    <s v="Climate Responsive Architecture"/>
    <n v="5"/>
    <x v="0"/>
    <x v="4"/>
    <n v="0"/>
    <n v="0.11"/>
    <n v="1"/>
    <n v="0"/>
    <m/>
  </r>
  <r>
    <s v="2019-20"/>
    <x v="2"/>
    <x v="28"/>
    <s v="L2"/>
    <m/>
    <s v="Climate Responsive Architecture"/>
    <n v="5"/>
    <x v="1"/>
    <x v="4"/>
    <n v="1"/>
    <n v="0.11"/>
    <n v="1"/>
    <n v="1"/>
    <s v="70% yes."/>
  </r>
  <r>
    <s v="2019-20"/>
    <x v="2"/>
    <x v="28"/>
    <s v="L2"/>
    <m/>
    <s v="Climate Responsive Architecture"/>
    <n v="6"/>
    <x v="0"/>
    <x v="5"/>
    <n v="0"/>
    <n v="0.15"/>
    <n v="1"/>
    <n v="0"/>
    <m/>
  </r>
  <r>
    <s v="2019-20"/>
    <x v="2"/>
    <x v="28"/>
    <s v="L2"/>
    <m/>
    <s v="Climate Responsive Architecture"/>
    <n v="6"/>
    <x v="1"/>
    <x v="5"/>
    <n v="0"/>
    <n v="0.15"/>
    <n v="1"/>
    <n v="0"/>
    <s v="It needs to improve a lot."/>
  </r>
  <r>
    <s v="2019-20"/>
    <x v="2"/>
    <x v="28"/>
    <s v="L2"/>
    <m/>
    <s v="Climate Responsive Architecture"/>
    <n v="7"/>
    <x v="0"/>
    <x v="6"/>
    <n v="0"/>
    <n v="0.1"/>
    <n v="1"/>
    <n v="0"/>
    <m/>
  </r>
  <r>
    <s v="2019-20"/>
    <x v="2"/>
    <x v="28"/>
    <s v="L2"/>
    <m/>
    <s v="Climate Responsive Architecture"/>
    <n v="7"/>
    <x v="1"/>
    <x v="6"/>
    <n v="1"/>
    <n v="0.1"/>
    <n v="1"/>
    <n v="1"/>
    <s v="I would say about 65% - 75%  yes"/>
  </r>
  <r>
    <s v="2019-20"/>
    <x v="2"/>
    <x v="28"/>
    <s v="L2"/>
    <m/>
    <s v="Climate Responsive Architecture"/>
    <n v="8"/>
    <x v="0"/>
    <x v="7"/>
    <n v="1"/>
    <n v="0.1"/>
    <n v="1"/>
    <n v="1"/>
    <m/>
  </r>
  <r>
    <s v="2019-20"/>
    <x v="2"/>
    <x v="28"/>
    <s v="L2"/>
    <m/>
    <s v="Climate Responsive Architecture"/>
    <n v="8"/>
    <x v="1"/>
    <x v="7"/>
    <n v="1"/>
    <n v="0.1"/>
    <n v="1"/>
    <n v="1"/>
    <s v="To an extent of 60% yes"/>
  </r>
  <r>
    <s v="2019-20"/>
    <x v="2"/>
    <x v="28"/>
    <s v="L2"/>
    <m/>
    <s v="Climate Responsive Architecture"/>
    <n v="9"/>
    <x v="0"/>
    <x v="8"/>
    <n v="0"/>
    <n v="0.05"/>
    <n v="0.85"/>
    <n v="0"/>
    <m/>
  </r>
  <r>
    <s v="2019-20"/>
    <x v="2"/>
    <x v="28"/>
    <s v="L2"/>
    <m/>
    <s v="Climate Responsive Architecture"/>
    <n v="9"/>
    <x v="1"/>
    <x v="8"/>
    <n v="1"/>
    <n v="0.05"/>
    <n v="0.85"/>
    <n v="1"/>
    <s v="almost 80% yes"/>
  </r>
  <r>
    <s v="2019-20"/>
    <x v="2"/>
    <x v="28"/>
    <s v="L2"/>
    <m/>
    <s v="Climate Responsive Architecture"/>
    <n v="10"/>
    <x v="0"/>
    <x v="8"/>
    <n v="1"/>
    <n v="0.05"/>
    <n v="0.85"/>
    <n v="1"/>
    <m/>
  </r>
  <r>
    <s v="2019-20"/>
    <x v="2"/>
    <x v="28"/>
    <s v="L2"/>
    <m/>
    <s v="Climate Responsive Architecture"/>
    <n v="10"/>
    <x v="1"/>
    <x v="8"/>
    <n v="1"/>
    <n v="0.05"/>
    <n v="0.85"/>
    <n v="1"/>
    <s v="almost 80% yes"/>
  </r>
  <r>
    <s v="2019-20"/>
    <x v="2"/>
    <x v="28"/>
    <s v="L2"/>
    <m/>
    <s v="Climate Responsive Architecture"/>
    <n v="11"/>
    <x v="0"/>
    <x v="9"/>
    <n v="-1"/>
    <n v="0.05"/>
    <n v="1"/>
    <n v="-1"/>
    <m/>
  </r>
  <r>
    <s v="2019-20"/>
    <x v="2"/>
    <x v="28"/>
    <s v="L2"/>
    <m/>
    <s v="Climate Responsive Architecture"/>
    <n v="11"/>
    <x v="1"/>
    <x v="9"/>
    <n v="1"/>
    <n v="0.05"/>
    <n v="1"/>
    <n v="1"/>
    <s v="Apart from the interesting studio problem itself, this studio also fits in very well with the heartfelt and serious climate change concerns of younger generations."/>
  </r>
  <r>
    <s v="2019-20"/>
    <x v="2"/>
    <x v="14"/>
    <s v="L3"/>
    <m/>
    <s v="Oikopolis: Attack of the Clones"/>
    <n v="1"/>
    <x v="0"/>
    <x v="0"/>
    <n v="0"/>
    <n v="0.12"/>
    <n v="1"/>
    <n v="0"/>
    <m/>
  </r>
  <r>
    <s v="2019-20"/>
    <x v="2"/>
    <x v="14"/>
    <s v="L3"/>
    <m/>
    <s v="Oikopolis: Attack of the Clones"/>
    <n v="1"/>
    <x v="1"/>
    <x v="0"/>
    <n v="1"/>
    <n v="0.12"/>
    <n v="1"/>
    <n v="1"/>
    <s v="Course introduction is interestingly described in narrative form"/>
  </r>
  <r>
    <s v="2019-20"/>
    <x v="2"/>
    <x v="14"/>
    <s v="L3"/>
    <m/>
    <s v="Oikopolis: Attack of the Clones"/>
    <n v="2"/>
    <x v="0"/>
    <x v="1"/>
    <n v="0"/>
    <n v="0.08"/>
    <n v="0.8"/>
    <n v="0"/>
    <m/>
  </r>
  <r>
    <s v="2019-20"/>
    <x v="2"/>
    <x v="14"/>
    <s v="L3"/>
    <m/>
    <s v="Oikopolis: Attack of the Clones"/>
    <n v="2"/>
    <x v="1"/>
    <x v="1"/>
    <n v="1"/>
    <n v="0.08"/>
    <n v="0.8"/>
    <n v="1"/>
    <s v="The studio appears to have lost its way, and lost its battle, by spending a disproportionate amount of time going &quot;deep into enemy territory&quot; and less on &quot;proposing housing design alternatives&quot;"/>
  </r>
  <r>
    <s v="2019-20"/>
    <x v="2"/>
    <x v="14"/>
    <s v="L3"/>
    <m/>
    <s v="Oikopolis: Attack of the Clones"/>
    <n v="3"/>
    <x v="0"/>
    <x v="2"/>
    <n v="1"/>
    <n v="0.05"/>
    <n v="1"/>
    <n v="1"/>
    <m/>
  </r>
  <r>
    <s v="2019-20"/>
    <x v="2"/>
    <x v="14"/>
    <s v="L3"/>
    <m/>
    <s v="Oikopolis: Attack of the Clones"/>
    <n v="3"/>
    <x v="1"/>
    <x v="2"/>
    <n v="1"/>
    <n v="0.05"/>
    <n v="1"/>
    <n v="1"/>
    <m/>
  </r>
  <r>
    <s v="2019-20"/>
    <x v="2"/>
    <x v="14"/>
    <s v="L3"/>
    <m/>
    <s v="Oikopolis: Attack of the Clones"/>
    <n v="4"/>
    <x v="0"/>
    <x v="3"/>
    <n v="0"/>
    <n v="0.14000000000000001"/>
    <n v="1"/>
    <n v="0"/>
    <m/>
  </r>
  <r>
    <s v="2019-20"/>
    <x v="2"/>
    <x v="14"/>
    <s v="L3"/>
    <m/>
    <s v="Oikopolis: Attack of the Clones"/>
    <n v="4"/>
    <x v="1"/>
    <x v="3"/>
    <n v="1"/>
    <n v="0.14000000000000001"/>
    <n v="1"/>
    <n v="1"/>
    <s v="I think they tried to do this."/>
  </r>
  <r>
    <s v="2019-20"/>
    <x v="2"/>
    <x v="14"/>
    <s v="L3"/>
    <m/>
    <s v="Oikopolis: Attack of the Clones"/>
    <n v="5"/>
    <x v="0"/>
    <x v="4"/>
    <n v="-1"/>
    <n v="0.11"/>
    <n v="1"/>
    <n v="-1"/>
    <m/>
  </r>
  <r>
    <s v="2019-20"/>
    <x v="2"/>
    <x v="14"/>
    <s v="L3"/>
    <m/>
    <s v="Oikopolis: Attack of the Clones"/>
    <n v="5"/>
    <x v="1"/>
    <x v="4"/>
    <n v="0"/>
    <n v="0.11"/>
    <n v="1"/>
    <n v="0"/>
    <s v="I would say about 50% yes"/>
  </r>
  <r>
    <s v="2019-20"/>
    <x v="2"/>
    <x v="14"/>
    <s v="L3"/>
    <m/>
    <s v="Oikopolis: Attack of the Clones"/>
    <n v="6"/>
    <x v="0"/>
    <x v="5"/>
    <n v="-1"/>
    <n v="0.15"/>
    <n v="1"/>
    <n v="-1"/>
    <m/>
  </r>
  <r>
    <s v="2019-20"/>
    <x v="2"/>
    <x v="14"/>
    <s v="L3"/>
    <m/>
    <s v="Oikopolis: Attack of the Clones"/>
    <n v="6"/>
    <x v="1"/>
    <x v="5"/>
    <n v="0"/>
    <n v="0.15"/>
    <n v="1"/>
    <n v="0"/>
    <s v="I was surprised that some of the floor plans and unit plans, at 7th, 8th &amp; 9th semester levels, did not indicate a thorough knowledge of anthropometric dimensions and requirements."/>
  </r>
  <r>
    <s v="2019-20"/>
    <x v="2"/>
    <x v="14"/>
    <s v="L3"/>
    <m/>
    <s v="Oikopolis: Attack of the Clones"/>
    <n v="7"/>
    <x v="0"/>
    <x v="6"/>
    <n v="0"/>
    <n v="0.1"/>
    <n v="1"/>
    <n v="0"/>
    <m/>
  </r>
  <r>
    <s v="2019-20"/>
    <x v="2"/>
    <x v="14"/>
    <s v="L3"/>
    <m/>
    <s v="Oikopolis: Attack of the Clones"/>
    <n v="7"/>
    <x v="1"/>
    <x v="6"/>
    <n v="0"/>
    <n v="0.1"/>
    <n v="1"/>
    <n v="0"/>
    <m/>
  </r>
  <r>
    <s v="2019-20"/>
    <x v="2"/>
    <x v="14"/>
    <s v="L3"/>
    <m/>
    <s v="Oikopolis: Attack of the Clones"/>
    <n v="8"/>
    <x v="0"/>
    <x v="7"/>
    <n v="0"/>
    <n v="0.1"/>
    <n v="1"/>
    <n v="0"/>
    <m/>
  </r>
  <r>
    <s v="2019-20"/>
    <x v="2"/>
    <x v="14"/>
    <s v="L3"/>
    <m/>
    <s v="Oikopolis: Attack of the Clones"/>
    <n v="8"/>
    <x v="1"/>
    <x v="7"/>
    <n v="0"/>
    <n v="0.1"/>
    <n v="1"/>
    <n v="0"/>
    <m/>
  </r>
  <r>
    <s v="2019-20"/>
    <x v="2"/>
    <x v="14"/>
    <s v="L3"/>
    <m/>
    <s v="Oikopolis: Attack of the Clones"/>
    <n v="9"/>
    <x v="0"/>
    <x v="8"/>
    <n v="-1"/>
    <n v="0.05"/>
    <n v="0.85"/>
    <n v="-1"/>
    <m/>
  </r>
  <r>
    <s v="2019-20"/>
    <x v="2"/>
    <x v="14"/>
    <s v="L3"/>
    <m/>
    <s v="Oikopolis: Attack of the Clones"/>
    <n v="9"/>
    <x v="1"/>
    <x v="8"/>
    <n v="1"/>
    <n v="0.05"/>
    <n v="0.85"/>
    <n v="1"/>
    <m/>
  </r>
  <r>
    <s v="2019-20"/>
    <x v="2"/>
    <x v="14"/>
    <s v="L3"/>
    <m/>
    <s v="Oikopolis: Attack of the Clones"/>
    <n v="10"/>
    <x v="0"/>
    <x v="8"/>
    <n v="-1"/>
    <n v="0.05"/>
    <n v="0.85"/>
    <n v="-1"/>
    <m/>
  </r>
  <r>
    <s v="2019-20"/>
    <x v="2"/>
    <x v="14"/>
    <s v="L3"/>
    <m/>
    <s v="Oikopolis: Attack of the Clones"/>
    <n v="10"/>
    <x v="1"/>
    <x v="8"/>
    <n v="1"/>
    <n v="0.05"/>
    <n v="0.85"/>
    <n v="1"/>
    <m/>
  </r>
  <r>
    <s v="2019-20"/>
    <x v="2"/>
    <x v="14"/>
    <s v="L3"/>
    <m/>
    <s v="Oikopolis: Attack of the Clones"/>
    <n v="11"/>
    <x v="0"/>
    <x v="9"/>
    <n v="-1"/>
    <n v="0.05"/>
    <n v="1"/>
    <n v="-1"/>
    <m/>
  </r>
  <r>
    <s v="2019-20"/>
    <x v="2"/>
    <x v="14"/>
    <s v="L3"/>
    <m/>
    <s v="Oikopolis: Attack of the Clones"/>
    <n v="11"/>
    <x v="1"/>
    <x v="9"/>
    <n v="0"/>
    <n v="0.05"/>
    <n v="1"/>
    <n v="0"/>
    <m/>
  </r>
  <r>
    <s v="2019-20"/>
    <x v="2"/>
    <x v="20"/>
    <s v="L3"/>
    <m/>
    <s v="Terrain-Vague Bricolage | Herbarium in an abandoned quarry at Champaner"/>
    <n v="1"/>
    <x v="0"/>
    <x v="0"/>
    <n v="1"/>
    <n v="0.12"/>
    <n v="1"/>
    <n v="1"/>
    <m/>
  </r>
  <r>
    <s v="2019-20"/>
    <x v="2"/>
    <x v="20"/>
    <s v="L3"/>
    <m/>
    <s v="Terrain-Vague Bricolage | Herbarium in an abandoned quarry at Champaner"/>
    <n v="1"/>
    <x v="1"/>
    <x v="0"/>
    <n v="-1"/>
    <n v="0.12"/>
    <n v="1"/>
    <n v="-1"/>
    <m/>
  </r>
  <r>
    <s v="2019-20"/>
    <x v="2"/>
    <x v="20"/>
    <s v="L3"/>
    <m/>
    <s v="Terrain-Vague Bricolage | Herbarium in an abandoned quarry at Champaner"/>
    <n v="2"/>
    <x v="0"/>
    <x v="1"/>
    <n v="1"/>
    <n v="0.08"/>
    <n v="0.8"/>
    <n v="1"/>
    <m/>
  </r>
  <r>
    <s v="2019-20"/>
    <x v="2"/>
    <x v="20"/>
    <s v="L3"/>
    <m/>
    <s v="Terrain-Vague Bricolage | Herbarium in an abandoned quarry at Champaner"/>
    <n v="2"/>
    <x v="1"/>
    <x v="1"/>
    <n v="-1"/>
    <n v="0.08"/>
    <n v="0.8"/>
    <n v="-1"/>
    <s v="bout 60% yes"/>
  </r>
  <r>
    <s v="2019-20"/>
    <x v="2"/>
    <x v="20"/>
    <s v="L3"/>
    <m/>
    <s v="Terrain-Vague Bricolage | Herbarium in an abandoned quarry at Champaner"/>
    <n v="3"/>
    <x v="0"/>
    <x v="2"/>
    <n v="1"/>
    <n v="0.05"/>
    <n v="1"/>
    <n v="1"/>
    <m/>
  </r>
  <r>
    <s v="2019-20"/>
    <x v="2"/>
    <x v="20"/>
    <s v="L3"/>
    <m/>
    <s v="Terrain-Vague Bricolage | Herbarium in an abandoned quarry at Champaner"/>
    <n v="3"/>
    <x v="1"/>
    <x v="2"/>
    <n v="0"/>
    <n v="0.05"/>
    <n v="1"/>
    <n v="0"/>
    <m/>
  </r>
  <r>
    <s v="2019-20"/>
    <x v="2"/>
    <x v="20"/>
    <s v="L3"/>
    <m/>
    <s v="Terrain-Vague Bricolage | Herbarium in an abandoned quarry at Champaner"/>
    <n v="4"/>
    <x v="0"/>
    <x v="3"/>
    <n v="0"/>
    <n v="0.14000000000000001"/>
    <n v="1"/>
    <n v="0"/>
    <m/>
  </r>
  <r>
    <s v="2019-20"/>
    <x v="2"/>
    <x v="20"/>
    <s v="L3"/>
    <m/>
    <s v="Terrain-Vague Bricolage | Herbarium in an abandoned quarry at Champaner"/>
    <n v="4"/>
    <x v="1"/>
    <x v="3"/>
    <n v="0"/>
    <n v="0.14000000000000001"/>
    <n v="1"/>
    <n v="0"/>
    <s v="Presentation lacks in terms of clarity, without verbal explanation; difficult to understand the intent and outcome of the project. Student work does not show that they have been able to wrap their heads around concepts in this studio. only about 40%."/>
  </r>
  <r>
    <s v="2019-20"/>
    <x v="2"/>
    <x v="20"/>
    <s v="L3"/>
    <m/>
    <s v="Terrain-Vague Bricolage | Herbarium in an abandoned quarry at Champaner"/>
    <n v="5"/>
    <x v="0"/>
    <x v="4"/>
    <n v="0"/>
    <n v="0.11"/>
    <n v="1"/>
    <n v="0"/>
    <m/>
  </r>
  <r>
    <s v="2019-20"/>
    <x v="2"/>
    <x v="20"/>
    <s v="L3"/>
    <m/>
    <s v="Terrain-Vague Bricolage | Herbarium in an abandoned quarry at Champaner"/>
    <n v="5"/>
    <x v="1"/>
    <x v="4"/>
    <n v="-1"/>
    <n v="0.11"/>
    <n v="1"/>
    <n v="-1"/>
    <m/>
  </r>
  <r>
    <s v="2019-20"/>
    <x v="2"/>
    <x v="20"/>
    <s v="L3"/>
    <m/>
    <s v="Terrain-Vague Bricolage | Herbarium in an abandoned quarry at Champaner"/>
    <n v="6"/>
    <x v="0"/>
    <x v="5"/>
    <n v="0"/>
    <n v="0.15"/>
    <n v="1"/>
    <n v="0"/>
    <m/>
  </r>
  <r>
    <s v="2019-20"/>
    <x v="2"/>
    <x v="20"/>
    <s v="L3"/>
    <m/>
    <s v="Terrain-Vague Bricolage | Herbarium in an abandoned quarry at Champaner"/>
    <n v="6"/>
    <x v="1"/>
    <x v="5"/>
    <n v="0"/>
    <n v="0.15"/>
    <n v="1"/>
    <n v="0"/>
    <m/>
  </r>
  <r>
    <s v="2019-20"/>
    <x v="2"/>
    <x v="20"/>
    <s v="L3"/>
    <m/>
    <s v="Terrain-Vague Bricolage | Herbarium in an abandoned quarry at Champaner"/>
    <n v="7"/>
    <x v="0"/>
    <x v="6"/>
    <n v="0"/>
    <n v="0.1"/>
    <n v="1"/>
    <n v="0"/>
    <m/>
  </r>
  <r>
    <s v="2019-20"/>
    <x v="2"/>
    <x v="20"/>
    <s v="L3"/>
    <m/>
    <s v="Terrain-Vague Bricolage | Herbarium in an abandoned quarry at Champaner"/>
    <n v="7"/>
    <x v="1"/>
    <x v="6"/>
    <n v="0"/>
    <n v="0.1"/>
    <n v="1"/>
    <n v="0"/>
    <m/>
  </r>
  <r>
    <s v="2019-20"/>
    <x v="2"/>
    <x v="20"/>
    <s v="L3"/>
    <m/>
    <s v="Terrain-Vague Bricolage | Herbarium in an abandoned quarry at Champaner"/>
    <n v="8"/>
    <x v="0"/>
    <x v="7"/>
    <n v="0"/>
    <n v="0.1"/>
    <n v="1"/>
    <n v="0"/>
    <m/>
  </r>
  <r>
    <s v="2019-20"/>
    <x v="2"/>
    <x v="20"/>
    <s v="L3"/>
    <m/>
    <s v="Terrain-Vague Bricolage | Herbarium in an abandoned quarry at Champaner"/>
    <n v="8"/>
    <x v="1"/>
    <x v="7"/>
    <n v="0"/>
    <n v="0.1"/>
    <n v="1"/>
    <n v="0"/>
    <m/>
  </r>
  <r>
    <s v="2019-20"/>
    <x v="2"/>
    <x v="20"/>
    <s v="L3"/>
    <m/>
    <s v="Terrain-Vague Bricolage | Herbarium in an abandoned quarry at Champaner"/>
    <n v="9"/>
    <x v="0"/>
    <x v="8"/>
    <n v="0"/>
    <n v="0.05"/>
    <n v="0.85"/>
    <n v="0"/>
    <m/>
  </r>
  <r>
    <s v="2019-20"/>
    <x v="2"/>
    <x v="20"/>
    <s v="L3"/>
    <m/>
    <s v="Terrain-Vague Bricolage | Herbarium in an abandoned quarry at Champaner"/>
    <n v="9"/>
    <x v="1"/>
    <x v="8"/>
    <n v="0"/>
    <n v="0.05"/>
    <n v="0.85"/>
    <n v="0"/>
    <m/>
  </r>
  <r>
    <s v="2019-20"/>
    <x v="2"/>
    <x v="20"/>
    <s v="L3"/>
    <m/>
    <s v="Terrain-Vague Bricolage | Herbarium in an abandoned quarry at Champaner"/>
    <n v="10"/>
    <x v="0"/>
    <x v="8"/>
    <n v="0"/>
    <n v="0.05"/>
    <n v="0.85"/>
    <n v="0"/>
    <m/>
  </r>
  <r>
    <s v="2019-20"/>
    <x v="2"/>
    <x v="20"/>
    <s v="L3"/>
    <m/>
    <s v="Terrain-Vague Bricolage | Herbarium in an abandoned quarry at Champaner"/>
    <n v="10"/>
    <x v="1"/>
    <x v="8"/>
    <n v="0"/>
    <n v="0.05"/>
    <n v="0.85"/>
    <n v="0"/>
    <m/>
  </r>
  <r>
    <s v="2019-20"/>
    <x v="2"/>
    <x v="20"/>
    <s v="L3"/>
    <m/>
    <s v="Terrain-Vague Bricolage | Herbarium in an abandoned quarry at Champaner"/>
    <n v="11"/>
    <x v="0"/>
    <x v="9"/>
    <n v="-1"/>
    <n v="0.05"/>
    <n v="1"/>
    <n v="-1"/>
    <m/>
  </r>
  <r>
    <s v="2019-20"/>
    <x v="2"/>
    <x v="20"/>
    <s v="L3"/>
    <m/>
    <s v="Terrain-Vague Bricolage | Herbarium in an abandoned quarry at Champaner"/>
    <n v="11"/>
    <x v="1"/>
    <x v="9"/>
    <n v="-1"/>
    <n v="0.05"/>
    <n v="1"/>
    <n v="-1"/>
    <s v="There appears to have been a fair amount of learning and exploration in this studio but not enough work to show for this. Translation into an architectural process and out come is lost."/>
  </r>
  <r>
    <s v="2019-20"/>
    <x v="2"/>
    <x v="29"/>
    <s v="L3"/>
    <m/>
    <s v="Narratives in Architecture"/>
    <n v="1"/>
    <x v="0"/>
    <x v="0"/>
    <n v="1"/>
    <n v="0.12"/>
    <n v="1"/>
    <n v="1"/>
    <m/>
  </r>
  <r>
    <s v="2019-20"/>
    <x v="2"/>
    <x v="29"/>
    <s v="L3"/>
    <m/>
    <s v="Narratives in Architecture"/>
    <n v="1"/>
    <x v="1"/>
    <x v="0"/>
    <n v="1"/>
    <n v="0.12"/>
    <n v="1"/>
    <n v="1"/>
    <m/>
  </r>
  <r>
    <s v="2019-20"/>
    <x v="2"/>
    <x v="29"/>
    <s v="L3"/>
    <m/>
    <s v="Narratives in Architecture"/>
    <n v="2"/>
    <x v="0"/>
    <x v="1"/>
    <n v="1"/>
    <n v="0.08"/>
    <n v="0.8"/>
    <n v="1"/>
    <m/>
  </r>
  <r>
    <s v="2019-20"/>
    <x v="2"/>
    <x v="29"/>
    <s v="L3"/>
    <m/>
    <s v="Narratives in Architecture"/>
    <n v="2"/>
    <x v="1"/>
    <x v="1"/>
    <n v="1"/>
    <n v="0.08"/>
    <n v="0.8"/>
    <n v="1"/>
    <m/>
  </r>
  <r>
    <s v="2019-20"/>
    <x v="2"/>
    <x v="29"/>
    <s v="L3"/>
    <m/>
    <s v="Narratives in Architecture"/>
    <n v="3"/>
    <x v="0"/>
    <x v="2"/>
    <n v="1"/>
    <n v="0.05"/>
    <n v="1"/>
    <n v="1"/>
    <m/>
  </r>
  <r>
    <s v="2019-20"/>
    <x v="2"/>
    <x v="29"/>
    <s v="L3"/>
    <m/>
    <s v="Narratives in Architecture"/>
    <n v="3"/>
    <x v="1"/>
    <x v="2"/>
    <n v="1"/>
    <n v="0.05"/>
    <n v="1"/>
    <n v="1"/>
    <m/>
  </r>
  <r>
    <s v="2019-20"/>
    <x v="2"/>
    <x v="29"/>
    <s v="L3"/>
    <m/>
    <s v="Narratives in Architecture"/>
    <n v="4"/>
    <x v="0"/>
    <x v="3"/>
    <n v="0"/>
    <n v="0.14000000000000001"/>
    <n v="1"/>
    <n v="0"/>
    <m/>
  </r>
  <r>
    <s v="2019-20"/>
    <x v="2"/>
    <x v="29"/>
    <s v="L3"/>
    <m/>
    <s v="Narratives in Architecture"/>
    <n v="4"/>
    <x v="1"/>
    <x v="3"/>
    <n v="0"/>
    <n v="0.14000000000000001"/>
    <n v="1"/>
    <n v="0"/>
    <s v="Some of the work appeared to indicate some confusion and a lack of clarity. There appeared to be an overall lack of enthusiasm and vitality as well. However, we did not have enough time to go through their presentations and portfolios diligently and to give the benefit of doubt, I may have misjudged some of these factors."/>
  </r>
  <r>
    <s v="2019-20"/>
    <x v="2"/>
    <x v="29"/>
    <s v="L3"/>
    <m/>
    <s v="Narratives in Architecture"/>
    <n v="5"/>
    <x v="0"/>
    <x v="4"/>
    <n v="0"/>
    <n v="0.11"/>
    <n v="1"/>
    <n v="0"/>
    <m/>
  </r>
  <r>
    <s v="2019-20"/>
    <x v="2"/>
    <x v="29"/>
    <s v="L3"/>
    <m/>
    <s v="Narratives in Architecture"/>
    <n v="5"/>
    <x v="1"/>
    <x v="4"/>
    <n v="1"/>
    <n v="0.11"/>
    <n v="1"/>
    <n v="1"/>
    <m/>
  </r>
  <r>
    <s v="2019-20"/>
    <x v="2"/>
    <x v="29"/>
    <s v="L3"/>
    <m/>
    <s v="Narratives in Architecture"/>
    <n v="6"/>
    <x v="0"/>
    <x v="5"/>
    <n v="1"/>
    <n v="0.15"/>
    <n v="1"/>
    <n v="1"/>
    <m/>
  </r>
  <r>
    <s v="2019-20"/>
    <x v="2"/>
    <x v="29"/>
    <s v="L3"/>
    <m/>
    <s v="Narratives in Architecture"/>
    <n v="6"/>
    <x v="1"/>
    <x v="5"/>
    <n v="1"/>
    <n v="0.15"/>
    <n v="1"/>
    <n v="1"/>
    <m/>
  </r>
  <r>
    <s v="2019-20"/>
    <x v="2"/>
    <x v="29"/>
    <s v="L3"/>
    <m/>
    <s v="Narratives in Architecture"/>
    <n v="7"/>
    <x v="0"/>
    <x v="6"/>
    <n v="0"/>
    <n v="0.1"/>
    <n v="1"/>
    <n v="0"/>
    <m/>
  </r>
  <r>
    <s v="2019-20"/>
    <x v="2"/>
    <x v="29"/>
    <s v="L3"/>
    <m/>
    <s v="Narratives in Architecture"/>
    <n v="7"/>
    <x v="1"/>
    <x v="6"/>
    <n v="1"/>
    <n v="0.1"/>
    <n v="1"/>
    <n v="1"/>
    <m/>
  </r>
  <r>
    <s v="2019-20"/>
    <x v="2"/>
    <x v="29"/>
    <s v="L3"/>
    <m/>
    <s v="Narratives in Architecture"/>
    <n v="8"/>
    <x v="0"/>
    <x v="7"/>
    <n v="0"/>
    <n v="0.1"/>
    <n v="1"/>
    <n v="0"/>
    <m/>
  </r>
  <r>
    <s v="2019-20"/>
    <x v="2"/>
    <x v="29"/>
    <s v="L3"/>
    <m/>
    <s v="Narratives in Architecture"/>
    <n v="8"/>
    <x v="1"/>
    <x v="7"/>
    <n v="1"/>
    <n v="0.1"/>
    <n v="1"/>
    <n v="1"/>
    <m/>
  </r>
  <r>
    <s v="2019-20"/>
    <x v="2"/>
    <x v="29"/>
    <s v="L3"/>
    <m/>
    <s v="Narratives in Architecture"/>
    <n v="9"/>
    <x v="0"/>
    <x v="8"/>
    <n v="1"/>
    <n v="0.05"/>
    <n v="0.85"/>
    <n v="1"/>
    <m/>
  </r>
  <r>
    <s v="2019-20"/>
    <x v="2"/>
    <x v="29"/>
    <s v="L3"/>
    <m/>
    <s v="Narratives in Architecture"/>
    <n v="9"/>
    <x v="1"/>
    <x v="8"/>
    <n v="1"/>
    <n v="0.05"/>
    <n v="0.85"/>
    <n v="1"/>
    <s v="Yes, but it needed more time for review. This was clearly a different kind of studio with content that was not easily accessible."/>
  </r>
  <r>
    <s v="2019-20"/>
    <x v="2"/>
    <x v="29"/>
    <s v="L3"/>
    <m/>
    <s v="Narratives in Architecture"/>
    <n v="10"/>
    <x v="0"/>
    <x v="8"/>
    <n v="0"/>
    <n v="0.05"/>
    <n v="0.85"/>
    <n v="0"/>
    <m/>
  </r>
  <r>
    <s v="2019-20"/>
    <x v="2"/>
    <x v="29"/>
    <s v="L3"/>
    <m/>
    <s v="Narratives in Architecture"/>
    <n v="10"/>
    <x v="1"/>
    <x v="8"/>
    <n v="1"/>
    <n v="0.05"/>
    <n v="0.85"/>
    <n v="1"/>
    <m/>
  </r>
  <r>
    <s v="2019-20"/>
    <x v="2"/>
    <x v="29"/>
    <s v="L3"/>
    <m/>
    <s v="Narratives in Architecture"/>
    <n v="11"/>
    <x v="0"/>
    <x v="9"/>
    <n v="0"/>
    <n v="0.05"/>
    <n v="1"/>
    <n v="0"/>
    <m/>
  </r>
  <r>
    <s v="2019-20"/>
    <x v="2"/>
    <x v="29"/>
    <s v="L3"/>
    <m/>
    <s v="Narratives in Architecture"/>
    <n v="11"/>
    <x v="1"/>
    <x v="9"/>
    <n v="0"/>
    <n v="0.05"/>
    <n v="1"/>
    <n v="0"/>
    <s v="The depth and intensity in terms of engagement from students end is nowhere closer to what perhaps is appropriate and expected at L3."/>
  </r>
  <r>
    <s v="2019-20"/>
    <x v="2"/>
    <x v="30"/>
    <s v="L3"/>
    <m/>
    <s v="At the cusp of land and water"/>
    <n v="1"/>
    <x v="0"/>
    <x v="0"/>
    <n v="0"/>
    <n v="0.12"/>
    <n v="1"/>
    <n v="0"/>
    <m/>
  </r>
  <r>
    <s v="2019-20"/>
    <x v="2"/>
    <x v="30"/>
    <s v="L3"/>
    <m/>
    <s v="At the cusp of land and water"/>
    <n v="1"/>
    <x v="1"/>
    <x v="0"/>
    <n v="-1"/>
    <n v="0.12"/>
    <n v="1"/>
    <n v="-1"/>
    <s v="at level of L4 WE NEED MORE DEEPER EXPLORATION IN TERMS OF PROBLEM"/>
  </r>
  <r>
    <s v="2019-20"/>
    <x v="2"/>
    <x v="30"/>
    <s v="L3"/>
    <m/>
    <s v="At the cusp of land and water"/>
    <n v="2"/>
    <x v="0"/>
    <x v="1"/>
    <n v="-1"/>
    <n v="0.08"/>
    <n v="0.8"/>
    <n v="-1"/>
    <m/>
  </r>
  <r>
    <s v="2019-20"/>
    <x v="2"/>
    <x v="30"/>
    <s v="L3"/>
    <m/>
    <s v="At the cusp of land and water"/>
    <n v="2"/>
    <x v="1"/>
    <x v="1"/>
    <n v="-1"/>
    <n v="0.08"/>
    <n v="0.8"/>
    <n v="-1"/>
    <m/>
  </r>
  <r>
    <s v="2019-20"/>
    <x v="2"/>
    <x v="30"/>
    <s v="L3"/>
    <m/>
    <s v="At the cusp of land and water"/>
    <n v="3"/>
    <x v="0"/>
    <x v="2"/>
    <n v="1"/>
    <n v="0.05"/>
    <n v="1"/>
    <n v="1"/>
    <m/>
  </r>
  <r>
    <s v="2019-20"/>
    <x v="2"/>
    <x v="30"/>
    <s v="L3"/>
    <m/>
    <s v="At the cusp of land and water"/>
    <n v="3"/>
    <x v="1"/>
    <x v="2"/>
    <n v="-1"/>
    <n v="0.05"/>
    <n v="1"/>
    <n v="-1"/>
    <m/>
  </r>
  <r>
    <s v="2019-20"/>
    <x v="2"/>
    <x v="30"/>
    <s v="L3"/>
    <m/>
    <s v="At the cusp of land and water"/>
    <n v="4"/>
    <x v="0"/>
    <x v="3"/>
    <n v="-1"/>
    <n v="0.14000000000000001"/>
    <n v="1"/>
    <n v="-1"/>
    <m/>
  </r>
  <r>
    <s v="2019-20"/>
    <x v="2"/>
    <x v="30"/>
    <s v="L3"/>
    <m/>
    <s v="At the cusp of land and water"/>
    <n v="4"/>
    <x v="1"/>
    <x v="3"/>
    <n v="0"/>
    <n v="0.14000000000000001"/>
    <n v="1"/>
    <n v="0"/>
    <s v="The relevant research and data collection is satisfactory, but the ultimate intent of the project seemed lost in some cases."/>
  </r>
  <r>
    <s v="2019-20"/>
    <x v="2"/>
    <x v="30"/>
    <s v="L3"/>
    <m/>
    <s v="At the cusp of land and water"/>
    <n v="5"/>
    <x v="0"/>
    <x v="4"/>
    <n v="-1"/>
    <n v="0.11"/>
    <n v="1"/>
    <n v="-1"/>
    <m/>
  </r>
  <r>
    <s v="2019-20"/>
    <x v="2"/>
    <x v="30"/>
    <s v="L3"/>
    <m/>
    <s v="At the cusp of land and water"/>
    <n v="5"/>
    <x v="1"/>
    <x v="4"/>
    <n v="-1"/>
    <n v="0.11"/>
    <n v="1"/>
    <n v="-1"/>
    <s v="No, because most of the work of this studio indicates that very few students have engaged with any of the issues such as importance of context, or programmatic linkage between what is existing and proposed intervention towards renewal, or response to the river, and so on as described in Learning Outcomes."/>
  </r>
  <r>
    <s v="2019-20"/>
    <x v="2"/>
    <x v="30"/>
    <s v="L3"/>
    <m/>
    <s v="At the cusp of land and water"/>
    <n v="6"/>
    <x v="0"/>
    <x v="5"/>
    <n v="0"/>
    <n v="0.15"/>
    <n v="1"/>
    <n v="0"/>
    <m/>
  </r>
  <r>
    <s v="2019-20"/>
    <x v="2"/>
    <x v="30"/>
    <s v="L3"/>
    <m/>
    <s v="At the cusp of land and water"/>
    <n v="6"/>
    <x v="1"/>
    <x v="5"/>
    <n v="0"/>
    <n v="0.15"/>
    <n v="1"/>
    <n v="0"/>
    <s v="The quality of drawings has scope of improvement, in depth knowledge of the same is not expressed as expected. Some of the drawings and models were reasonably good"/>
  </r>
  <r>
    <s v="2019-20"/>
    <x v="2"/>
    <x v="30"/>
    <s v="L3"/>
    <m/>
    <s v="At the cusp of land and water"/>
    <n v="7"/>
    <x v="0"/>
    <x v="6"/>
    <n v="-1"/>
    <n v="0.1"/>
    <n v="1"/>
    <n v="-1"/>
    <m/>
  </r>
  <r>
    <s v="2019-20"/>
    <x v="2"/>
    <x v="30"/>
    <s v="L3"/>
    <m/>
    <s v="At the cusp of land and water"/>
    <n v="7"/>
    <x v="1"/>
    <x v="6"/>
    <n v="0"/>
    <n v="0.1"/>
    <n v="1"/>
    <n v="0"/>
    <s v="Same as Q5"/>
  </r>
  <r>
    <s v="2019-20"/>
    <x v="2"/>
    <x v="30"/>
    <s v="L3"/>
    <m/>
    <s v="At the cusp of land and water"/>
    <n v="8"/>
    <x v="0"/>
    <x v="7"/>
    <n v="-1"/>
    <n v="0.1"/>
    <n v="1"/>
    <n v="-1"/>
    <m/>
  </r>
  <r>
    <s v="2019-20"/>
    <x v="2"/>
    <x v="30"/>
    <s v="L3"/>
    <m/>
    <s v="At the cusp of land and water"/>
    <n v="8"/>
    <x v="1"/>
    <x v="7"/>
    <n v="0"/>
    <n v="0.1"/>
    <n v="1"/>
    <n v="0"/>
    <s v="Same as Q6"/>
  </r>
  <r>
    <s v="2019-20"/>
    <x v="2"/>
    <x v="30"/>
    <s v="L3"/>
    <m/>
    <s v="At the cusp of land and water"/>
    <n v="9"/>
    <x v="0"/>
    <x v="8"/>
    <n v="0"/>
    <n v="0.05"/>
    <n v="0.85"/>
    <n v="0"/>
    <m/>
  </r>
  <r>
    <s v="2019-20"/>
    <x v="2"/>
    <x v="30"/>
    <s v="L3"/>
    <m/>
    <s v="At the cusp of land and water"/>
    <n v="9"/>
    <x v="1"/>
    <x v="8"/>
    <n v="-1"/>
    <n v="0.05"/>
    <n v="0.85"/>
    <n v="-1"/>
    <m/>
  </r>
  <r>
    <s v="2019-20"/>
    <x v="2"/>
    <x v="30"/>
    <s v="L3"/>
    <m/>
    <s v="At the cusp of land and water"/>
    <n v="10"/>
    <x v="0"/>
    <x v="8"/>
    <n v="0"/>
    <n v="0.05"/>
    <n v="0.85"/>
    <n v="0"/>
    <m/>
  </r>
  <r>
    <s v="2019-20"/>
    <x v="2"/>
    <x v="30"/>
    <s v="L3"/>
    <m/>
    <s v="At the cusp of land and water"/>
    <n v="10"/>
    <x v="1"/>
    <x v="8"/>
    <n v="0"/>
    <n v="0.05"/>
    <n v="0.85"/>
    <n v="0"/>
    <m/>
  </r>
  <r>
    <s v="2019-20"/>
    <x v="2"/>
    <x v="30"/>
    <s v="L3"/>
    <m/>
    <s v="At the cusp of land and water"/>
    <n v="11"/>
    <x v="0"/>
    <x v="9"/>
    <n v="-1"/>
    <n v="0.05"/>
    <n v="1"/>
    <n v="-1"/>
    <m/>
  </r>
  <r>
    <s v="2019-20"/>
    <x v="2"/>
    <x v="30"/>
    <s v="L3"/>
    <m/>
    <s v="At the cusp of land and water"/>
    <n v="11"/>
    <x v="1"/>
    <x v="9"/>
    <n v="-1"/>
    <n v="0.05"/>
    <n v="1"/>
    <n v="-1"/>
    <s v="Neither the process nor the resolution could be seen. The final outcome of architectural expression was way below average, both in terms of design and presentation or rather lack of it. ABIN: I COMPLETELY AGREE ."/>
  </r>
  <r>
    <s v="2019-20"/>
    <x v="2"/>
    <x v="31"/>
    <s v="L3"/>
    <m/>
    <s v="Urban Commons: A Place of Wellness in the city"/>
    <n v="1"/>
    <x v="0"/>
    <x v="0"/>
    <n v="1"/>
    <n v="0.12"/>
    <n v="1"/>
    <n v="1"/>
    <m/>
  </r>
  <r>
    <s v="2019-20"/>
    <x v="2"/>
    <x v="31"/>
    <s v="L3"/>
    <m/>
    <s v="Urban Commons: A Place of Wellness in the city"/>
    <n v="1"/>
    <x v="1"/>
    <x v="0"/>
    <n v="1"/>
    <n v="0.12"/>
    <n v="1"/>
    <n v="1"/>
    <m/>
  </r>
  <r>
    <s v="2019-20"/>
    <x v="2"/>
    <x v="31"/>
    <s v="L3"/>
    <m/>
    <s v="Urban Commons: A Place of Wellness in the city"/>
    <n v="2"/>
    <x v="0"/>
    <x v="1"/>
    <n v="1"/>
    <n v="0.08"/>
    <n v="0.8"/>
    <n v="1"/>
    <m/>
  </r>
  <r>
    <s v="2019-20"/>
    <x v="2"/>
    <x v="31"/>
    <s v="L3"/>
    <m/>
    <s v="Urban Commons: A Place of Wellness in the city"/>
    <n v="2"/>
    <x v="1"/>
    <x v="1"/>
    <n v="1"/>
    <n v="0.08"/>
    <n v="0.8"/>
    <n v="1"/>
    <s v="Upyo 50%"/>
  </r>
  <r>
    <s v="2019-20"/>
    <x v="2"/>
    <x v="31"/>
    <s v="L3"/>
    <m/>
    <s v="Urban Commons: A Place of Wellness in the city"/>
    <n v="3"/>
    <x v="0"/>
    <x v="2"/>
    <n v="1"/>
    <n v="0.05"/>
    <n v="1"/>
    <n v="1"/>
    <m/>
  </r>
  <r>
    <s v="2019-20"/>
    <x v="2"/>
    <x v="31"/>
    <s v="L3"/>
    <m/>
    <s v="Urban Commons: A Place of Wellness in the city"/>
    <n v="3"/>
    <x v="1"/>
    <x v="2"/>
    <n v="1"/>
    <n v="0.05"/>
    <n v="1"/>
    <n v="1"/>
    <s v="This is probably the core strength of this studio"/>
  </r>
  <r>
    <s v="2019-20"/>
    <x v="2"/>
    <x v="31"/>
    <s v="L3"/>
    <m/>
    <s v="Urban Commons: A Place of Wellness in the city"/>
    <n v="4"/>
    <x v="0"/>
    <x v="3"/>
    <n v="0"/>
    <n v="0.14000000000000001"/>
    <n v="1"/>
    <n v="0"/>
    <m/>
  </r>
  <r>
    <s v="2019-20"/>
    <x v="2"/>
    <x v="31"/>
    <s v="L3"/>
    <m/>
    <s v="Urban Commons: A Place of Wellness in the city"/>
    <n v="4"/>
    <x v="1"/>
    <x v="3"/>
    <n v="1"/>
    <n v="0.14000000000000001"/>
    <n v="1"/>
    <n v="1"/>
    <s v="Probably 40-50%. ABIN: EXPLORATION OF SPACE NEEDS TO BE MORE PROFOUND. ALSO IN TERMS OF WELLNESS, EXHIBITION AND PROGRAMME."/>
  </r>
  <r>
    <s v="2019-20"/>
    <x v="2"/>
    <x v="31"/>
    <s v="L3"/>
    <m/>
    <s v="Urban Commons: A Place of Wellness in the city"/>
    <n v="5"/>
    <x v="0"/>
    <x v="4"/>
    <n v="0"/>
    <n v="0.11"/>
    <n v="1"/>
    <n v="0"/>
    <m/>
  </r>
  <r>
    <s v="2019-20"/>
    <x v="2"/>
    <x v="31"/>
    <s v="L3"/>
    <m/>
    <s v="Urban Commons: A Place of Wellness in the city"/>
    <n v="5"/>
    <x v="1"/>
    <x v="4"/>
    <n v="0"/>
    <n v="0.11"/>
    <n v="1"/>
    <n v="0"/>
    <s v="Some of the work indicates a struggle with lack of clarity and/ or direction."/>
  </r>
  <r>
    <s v="2019-20"/>
    <x v="2"/>
    <x v="31"/>
    <s v="L3"/>
    <m/>
    <s v="Urban Commons: A Place of Wellness in the city"/>
    <n v="6"/>
    <x v="0"/>
    <x v="5"/>
    <n v="0"/>
    <n v="0.15"/>
    <n v="1"/>
    <n v="0"/>
    <m/>
  </r>
  <r>
    <s v="2019-20"/>
    <x v="2"/>
    <x v="31"/>
    <s v="L3"/>
    <m/>
    <s v="Urban Commons: A Place of Wellness in the city"/>
    <n v="6"/>
    <x v="1"/>
    <x v="5"/>
    <n v="0"/>
    <n v="0.15"/>
    <n v="1"/>
    <n v="0"/>
    <s v="Some of the drawings and sketches were good and communicated well. Models were not made that well.."/>
  </r>
  <r>
    <s v="2019-20"/>
    <x v="2"/>
    <x v="31"/>
    <s v="L3"/>
    <m/>
    <s v="Urban Commons: A Place of Wellness in the city"/>
    <n v="7"/>
    <x v="0"/>
    <x v="6"/>
    <n v="0"/>
    <n v="0.1"/>
    <n v="1"/>
    <n v="0"/>
    <m/>
  </r>
  <r>
    <s v="2019-20"/>
    <x v="2"/>
    <x v="31"/>
    <s v="L3"/>
    <m/>
    <s v="Urban Commons: A Place of Wellness in the city"/>
    <n v="7"/>
    <x v="1"/>
    <x v="6"/>
    <n v="0"/>
    <n v="0.1"/>
    <n v="1"/>
    <n v="0"/>
    <s v="It does have loose ends"/>
  </r>
  <r>
    <s v="2019-20"/>
    <x v="2"/>
    <x v="31"/>
    <s v="L3"/>
    <m/>
    <s v="Urban Commons: A Place of Wellness in the city"/>
    <n v="8"/>
    <x v="0"/>
    <x v="7"/>
    <n v="0"/>
    <n v="0.1"/>
    <n v="1"/>
    <n v="0"/>
    <m/>
  </r>
  <r>
    <s v="2019-20"/>
    <x v="2"/>
    <x v="31"/>
    <s v="L3"/>
    <m/>
    <s v="Urban Commons: A Place of Wellness in the city"/>
    <n v="8"/>
    <x v="1"/>
    <x v="7"/>
    <n v="0"/>
    <n v="0.1"/>
    <n v="1"/>
    <n v="0"/>
    <s v="Same as Q6"/>
  </r>
  <r>
    <s v="2019-20"/>
    <x v="2"/>
    <x v="31"/>
    <s v="L3"/>
    <m/>
    <s v="Urban Commons: A Place of Wellness in the city"/>
    <n v="9"/>
    <x v="0"/>
    <x v="8"/>
    <n v="-1"/>
    <n v="0.05"/>
    <n v="0.85"/>
    <n v="-1"/>
    <m/>
  </r>
  <r>
    <s v="2019-20"/>
    <x v="2"/>
    <x v="31"/>
    <s v="L3"/>
    <m/>
    <s v="Urban Commons: A Place of Wellness in the city"/>
    <n v="9"/>
    <x v="1"/>
    <x v="8"/>
    <n v="1"/>
    <n v="0.05"/>
    <n v="0.85"/>
    <n v="1"/>
    <s v="Upto 70% yes"/>
  </r>
  <r>
    <s v="2019-20"/>
    <x v="2"/>
    <x v="31"/>
    <s v="L3"/>
    <m/>
    <s v="Urban Commons: A Place of Wellness in the city"/>
    <n v="10"/>
    <x v="0"/>
    <x v="8"/>
    <n v="-1"/>
    <n v="0.05"/>
    <n v="0.85"/>
    <n v="-1"/>
    <m/>
  </r>
  <r>
    <s v="2019-20"/>
    <x v="2"/>
    <x v="31"/>
    <s v="L3"/>
    <m/>
    <s v="Urban Commons: A Place of Wellness in the city"/>
    <n v="10"/>
    <x v="1"/>
    <x v="8"/>
    <n v="1"/>
    <n v="0.05"/>
    <n v="0.85"/>
    <n v="1"/>
    <s v="Upto 70% yes"/>
  </r>
  <r>
    <s v="2019-20"/>
    <x v="2"/>
    <x v="31"/>
    <s v="L3"/>
    <m/>
    <s v="Urban Commons: A Place of Wellness in the city"/>
    <n v="11"/>
    <x v="0"/>
    <x v="9"/>
    <n v="-1"/>
    <n v="0.05"/>
    <n v="1"/>
    <n v="-1"/>
    <m/>
  </r>
  <r>
    <s v="2019-20"/>
    <x v="2"/>
    <x v="31"/>
    <s v="L3"/>
    <m/>
    <s v="Urban Commons: A Place of Wellness in the city"/>
    <n v="11"/>
    <x v="1"/>
    <x v="9"/>
    <n v="0"/>
    <n v="0.05"/>
    <n v="1"/>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0">
  <r>
    <s v="2018-19"/>
    <x v="0"/>
    <x v="0"/>
    <s v="L2"/>
    <s v="Visualization and Communication"/>
    <s v="The Purpose of Architecture: Exploring Design Interventions and Strategies"/>
    <n v="1"/>
    <x v="0"/>
    <x v="0"/>
    <n v="1"/>
    <n v="0.12"/>
    <n v="1"/>
    <n v="0.12"/>
    <x v="0"/>
  </r>
  <r>
    <s v="2018-19"/>
    <x v="0"/>
    <x v="0"/>
    <s v="L2"/>
    <s v="Visualization and Communication"/>
    <s v="The Purpose of Architecture: Exploring Design Interventions and Strategies"/>
    <n v="1"/>
    <x v="1"/>
    <x v="0"/>
    <n v="1"/>
    <n v="0.12"/>
    <n v="1"/>
    <n v="0.12"/>
    <x v="0"/>
  </r>
  <r>
    <s v="2018-19"/>
    <x v="0"/>
    <x v="0"/>
    <s v="L2"/>
    <s v="Visualization and Communication"/>
    <s v="The Purpose of Architecture: Exploring Design Interventions and Strategies"/>
    <n v="2"/>
    <x v="0"/>
    <x v="1"/>
    <n v="1"/>
    <n v="0.08"/>
    <n v="0.8"/>
    <n v="6.4000000000000001E-2"/>
    <x v="0"/>
  </r>
  <r>
    <s v="2018-19"/>
    <x v="0"/>
    <x v="0"/>
    <s v="L2"/>
    <s v="Visualization and Communication"/>
    <s v="The Purpose of Architecture: Exploring Design Interventions and Strategies"/>
    <n v="2"/>
    <x v="1"/>
    <x v="1"/>
    <n v="1"/>
    <n v="0.08"/>
    <n v="0.8"/>
    <n v="6.4000000000000001E-2"/>
    <x v="0"/>
  </r>
  <r>
    <s v="2018-19"/>
    <x v="0"/>
    <x v="0"/>
    <s v="L2"/>
    <s v="Visualization and Communication"/>
    <s v="The Purpose of Architecture: Exploring Design Interventions and Strategies"/>
    <n v="3"/>
    <x v="0"/>
    <x v="2"/>
    <n v="1"/>
    <n v="0.05"/>
    <n v="1"/>
    <n v="0.05"/>
    <x v="0"/>
  </r>
  <r>
    <s v="2018-19"/>
    <x v="0"/>
    <x v="0"/>
    <s v="L2"/>
    <s v="Visualization and Communication"/>
    <s v="The Purpose of Architecture: Exploring Design Interventions and Strategies"/>
    <n v="3"/>
    <x v="1"/>
    <x v="2"/>
    <n v="1"/>
    <n v="0.05"/>
    <n v="1"/>
    <n v="0.05"/>
    <x v="0"/>
  </r>
  <r>
    <s v="2018-19"/>
    <x v="0"/>
    <x v="0"/>
    <s v="L2"/>
    <s v="Visualization and Communication"/>
    <s v="The Purpose of Architecture: Exploring Design Interventions and Strategies"/>
    <n v="4"/>
    <x v="0"/>
    <x v="3"/>
    <n v="0"/>
    <n v="0.14000000000000001"/>
    <n v="1"/>
    <n v="0"/>
    <x v="0"/>
  </r>
  <r>
    <s v="2018-19"/>
    <x v="0"/>
    <x v="0"/>
    <s v="L2"/>
    <s v="Visualization and Communication"/>
    <s v="The Purpose of Architecture: Exploring Design Interventions and Strategies"/>
    <n v="4"/>
    <x v="1"/>
    <x v="3"/>
    <n v="1"/>
    <n v="0.14000000000000001"/>
    <n v="1"/>
    <n v="0.14000000000000001"/>
    <x v="0"/>
  </r>
  <r>
    <s v="2018-19"/>
    <x v="0"/>
    <x v="0"/>
    <s v="L2"/>
    <s v="Visualization and Communication"/>
    <s v="The Purpose of Architecture: Exploring Design Interventions and Strategies"/>
    <n v="5"/>
    <x v="0"/>
    <x v="4"/>
    <n v="1"/>
    <n v="0.11"/>
    <n v="1"/>
    <n v="0.11"/>
    <x v="0"/>
  </r>
  <r>
    <s v="2018-19"/>
    <x v="0"/>
    <x v="0"/>
    <s v="L2"/>
    <s v="Visualization and Communication"/>
    <s v="The Purpose of Architecture: Exploring Design Interventions and Strategies"/>
    <n v="5"/>
    <x v="1"/>
    <x v="4"/>
    <n v="1"/>
    <n v="0.11"/>
    <n v="1"/>
    <n v="0.11"/>
    <x v="0"/>
  </r>
  <r>
    <s v="2018-19"/>
    <x v="0"/>
    <x v="0"/>
    <s v="L2"/>
    <s v="Visualization and Communication"/>
    <s v="The Purpose of Architecture: Exploring Design Interventions and Strategies"/>
    <n v="6"/>
    <x v="0"/>
    <x v="5"/>
    <n v="1"/>
    <n v="0.15"/>
    <n v="1"/>
    <n v="0.15"/>
    <x v="0"/>
  </r>
  <r>
    <s v="2018-19"/>
    <x v="0"/>
    <x v="0"/>
    <s v="L2"/>
    <s v="Visualization and Communication"/>
    <s v="The Purpose of Architecture: Exploring Design Interventions and Strategies"/>
    <n v="6"/>
    <x v="1"/>
    <x v="5"/>
    <n v="1"/>
    <n v="0.15"/>
    <n v="1"/>
    <n v="0.15"/>
    <x v="0"/>
  </r>
  <r>
    <s v="2018-19"/>
    <x v="0"/>
    <x v="0"/>
    <s v="L2"/>
    <s v="Visualization and Communication"/>
    <s v="The Purpose of Architecture: Exploring Design Interventions and Strategies"/>
    <n v="7"/>
    <x v="0"/>
    <x v="6"/>
    <n v="1"/>
    <n v="0.1"/>
    <n v="1"/>
    <n v="0.1"/>
    <x v="0"/>
  </r>
  <r>
    <s v="2018-19"/>
    <x v="0"/>
    <x v="0"/>
    <s v="L2"/>
    <s v="Visualization and Communication"/>
    <s v="The Purpose of Architecture: Exploring Design Interventions and Strategies"/>
    <n v="7"/>
    <x v="1"/>
    <x v="6"/>
    <n v="1"/>
    <n v="0.1"/>
    <n v="1"/>
    <n v="0.1"/>
    <x v="0"/>
  </r>
  <r>
    <s v="2018-19"/>
    <x v="0"/>
    <x v="0"/>
    <s v="L2"/>
    <s v="Visualization and Communication"/>
    <s v="The Purpose of Architecture: Exploring Design Interventions and Strategies"/>
    <n v="8"/>
    <x v="0"/>
    <x v="7"/>
    <n v="1"/>
    <n v="0.1"/>
    <n v="1"/>
    <n v="0.1"/>
    <x v="0"/>
  </r>
  <r>
    <s v="2018-19"/>
    <x v="0"/>
    <x v="0"/>
    <s v="L2"/>
    <s v="Visualization and Communication"/>
    <s v="The Purpose of Architecture: Exploring Design Interventions and Strategies"/>
    <n v="8"/>
    <x v="1"/>
    <x v="7"/>
    <n v="1"/>
    <n v="0.1"/>
    <n v="1"/>
    <n v="0.1"/>
    <x v="0"/>
  </r>
  <r>
    <s v="2018-19"/>
    <x v="0"/>
    <x v="0"/>
    <s v="L2"/>
    <s v="Visualization and Communication"/>
    <s v="The Purpose of Architecture: Exploring Design Interventions and Strategies"/>
    <n v="9"/>
    <x v="0"/>
    <x v="8"/>
    <n v="1"/>
    <n v="0.05"/>
    <n v="0.85"/>
    <n v="4.2500000000000003E-2"/>
    <x v="0"/>
  </r>
  <r>
    <s v="2018-19"/>
    <x v="0"/>
    <x v="0"/>
    <s v="L2"/>
    <s v="Visualization and Communication"/>
    <s v="The Purpose of Architecture: Exploring Design Interventions and Strategies"/>
    <n v="9"/>
    <x v="1"/>
    <x v="8"/>
    <n v="1"/>
    <n v="0.05"/>
    <n v="0.85"/>
    <n v="4.2500000000000003E-2"/>
    <x v="0"/>
  </r>
  <r>
    <s v="2018-19"/>
    <x v="0"/>
    <x v="0"/>
    <s v="L2"/>
    <s v="Visualization and Communication"/>
    <s v="The Purpose of Architecture: Exploring Design Interventions and Strategies"/>
    <n v="10"/>
    <x v="0"/>
    <x v="8"/>
    <n v="0"/>
    <n v="0.05"/>
    <n v="0.85"/>
    <n v="0"/>
    <x v="0"/>
  </r>
  <r>
    <s v="2018-19"/>
    <x v="0"/>
    <x v="0"/>
    <s v="L2"/>
    <s v="Visualization and Communication"/>
    <s v="The Purpose of Architecture: Exploring Design Interventions and Strategies"/>
    <n v="10"/>
    <x v="1"/>
    <x v="8"/>
    <n v="1"/>
    <n v="0.05"/>
    <n v="0.85"/>
    <n v="4.2500000000000003E-2"/>
    <x v="0"/>
  </r>
  <r>
    <s v="2018-19"/>
    <x v="0"/>
    <x v="0"/>
    <s v="L2"/>
    <s v="Visualization and Communication"/>
    <s v="The Purpose of Architecture: Exploring Design Interventions and Strategies"/>
    <n v="11"/>
    <x v="0"/>
    <x v="9"/>
    <n v="1"/>
    <n v="0.05"/>
    <n v="1"/>
    <n v="0.05"/>
    <x v="0"/>
  </r>
  <r>
    <s v="2018-19"/>
    <x v="0"/>
    <x v="0"/>
    <s v="L2"/>
    <s v="Visualization and Communication"/>
    <s v="The Purpose of Architecture: Exploring Design Interventions and Strategies"/>
    <n v="11"/>
    <x v="1"/>
    <x v="9"/>
    <n v="0"/>
    <n v="0.05"/>
    <n v="1"/>
    <n v="0"/>
    <x v="0"/>
  </r>
  <r>
    <s v="2018-19"/>
    <x v="0"/>
    <x v="1"/>
    <s v="L2"/>
    <s v="Constructing and Specifying"/>
    <s v="Strange Details"/>
    <n v="1"/>
    <x v="0"/>
    <x v="0"/>
    <n v="1"/>
    <n v="0.12"/>
    <n v="1"/>
    <n v="0.12"/>
    <x v="0"/>
  </r>
  <r>
    <s v="2018-19"/>
    <x v="0"/>
    <x v="1"/>
    <s v="L2"/>
    <s v="Constructing and Specifying"/>
    <s v="Strange Details"/>
    <n v="1"/>
    <x v="1"/>
    <x v="0"/>
    <n v="1"/>
    <n v="0.12"/>
    <n v="1"/>
    <n v="0.12"/>
    <x v="0"/>
  </r>
  <r>
    <s v="2018-19"/>
    <x v="0"/>
    <x v="1"/>
    <s v="L2"/>
    <s v="Constructing and Specifying"/>
    <s v="Strange Details"/>
    <n v="2"/>
    <x v="0"/>
    <x v="1"/>
    <n v="1"/>
    <n v="0.08"/>
    <n v="0.8"/>
    <n v="6.4000000000000001E-2"/>
    <x v="0"/>
  </r>
  <r>
    <s v="2018-19"/>
    <x v="0"/>
    <x v="1"/>
    <s v="L2"/>
    <s v="Constructing and Specifying"/>
    <s v="Strange Details"/>
    <n v="2"/>
    <x v="1"/>
    <x v="1"/>
    <n v="1"/>
    <n v="0.08"/>
    <n v="0.8"/>
    <n v="6.4000000000000001E-2"/>
    <x v="0"/>
  </r>
  <r>
    <s v="2018-19"/>
    <x v="0"/>
    <x v="1"/>
    <s v="L2"/>
    <s v="Constructing and Specifying"/>
    <s v="Strange Details"/>
    <n v="3"/>
    <x v="0"/>
    <x v="2"/>
    <n v="1"/>
    <n v="0.05"/>
    <n v="1"/>
    <n v="0.05"/>
    <x v="0"/>
  </r>
  <r>
    <s v="2018-19"/>
    <x v="0"/>
    <x v="1"/>
    <s v="L2"/>
    <s v="Constructing and Specifying"/>
    <s v="Strange Details"/>
    <n v="3"/>
    <x v="1"/>
    <x v="2"/>
    <n v="1"/>
    <n v="0.05"/>
    <n v="1"/>
    <n v="0.05"/>
    <x v="0"/>
  </r>
  <r>
    <s v="2018-19"/>
    <x v="0"/>
    <x v="1"/>
    <s v="L2"/>
    <s v="Constructing and Specifying"/>
    <s v="Strange Details"/>
    <n v="4"/>
    <x v="0"/>
    <x v="3"/>
    <n v="0"/>
    <n v="0.14000000000000001"/>
    <n v="1"/>
    <n v="0"/>
    <x v="0"/>
  </r>
  <r>
    <s v="2018-19"/>
    <x v="0"/>
    <x v="1"/>
    <s v="L2"/>
    <s v="Constructing and Specifying"/>
    <s v="Strange Details"/>
    <n v="4"/>
    <x v="1"/>
    <x v="3"/>
    <n v="1"/>
    <n v="0.14000000000000001"/>
    <n v="1"/>
    <n v="0.14000000000000001"/>
    <x v="0"/>
  </r>
  <r>
    <s v="2018-19"/>
    <x v="0"/>
    <x v="1"/>
    <s v="L2"/>
    <s v="Constructing and Specifying"/>
    <s v="Strange Details"/>
    <n v="5"/>
    <x v="0"/>
    <x v="4"/>
    <n v="0"/>
    <n v="0.11"/>
    <n v="1"/>
    <n v="0"/>
    <x v="0"/>
  </r>
  <r>
    <s v="2018-19"/>
    <x v="0"/>
    <x v="1"/>
    <s v="L2"/>
    <s v="Constructing and Specifying"/>
    <s v="Strange Details"/>
    <n v="5"/>
    <x v="1"/>
    <x v="4"/>
    <n v="1"/>
    <n v="0.11"/>
    <n v="1"/>
    <n v="0.11"/>
    <x v="0"/>
  </r>
  <r>
    <s v="2018-19"/>
    <x v="0"/>
    <x v="1"/>
    <s v="L2"/>
    <s v="Constructing and Specifying"/>
    <s v="Strange Details"/>
    <n v="6"/>
    <x v="0"/>
    <x v="5"/>
    <n v="0"/>
    <n v="0.15"/>
    <n v="1"/>
    <n v="0"/>
    <x v="0"/>
  </r>
  <r>
    <s v="2018-19"/>
    <x v="0"/>
    <x v="1"/>
    <s v="L2"/>
    <s v="Constructing and Specifying"/>
    <s v="Strange Details"/>
    <n v="6"/>
    <x v="1"/>
    <x v="5"/>
    <n v="1"/>
    <n v="0.15"/>
    <n v="1"/>
    <n v="0.15"/>
    <x v="0"/>
  </r>
  <r>
    <s v="2018-19"/>
    <x v="0"/>
    <x v="1"/>
    <s v="L2"/>
    <s v="Constructing and Specifying"/>
    <s v="Strange Details"/>
    <n v="7"/>
    <x v="0"/>
    <x v="6"/>
    <n v="0"/>
    <n v="0.1"/>
    <n v="1"/>
    <n v="0"/>
    <x v="0"/>
  </r>
  <r>
    <s v="2018-19"/>
    <x v="0"/>
    <x v="1"/>
    <s v="L2"/>
    <s v="Constructing and Specifying"/>
    <s v="Strange Details"/>
    <n v="7"/>
    <x v="1"/>
    <x v="6"/>
    <n v="1"/>
    <n v="0.1"/>
    <n v="1"/>
    <n v="0.1"/>
    <x v="0"/>
  </r>
  <r>
    <s v="2018-19"/>
    <x v="0"/>
    <x v="1"/>
    <s v="L2"/>
    <s v="Constructing and Specifying"/>
    <s v="Strange Details"/>
    <n v="8"/>
    <x v="0"/>
    <x v="7"/>
    <n v="0"/>
    <n v="0.1"/>
    <n v="1"/>
    <n v="0"/>
    <x v="0"/>
  </r>
  <r>
    <s v="2018-19"/>
    <x v="0"/>
    <x v="1"/>
    <s v="L2"/>
    <s v="Constructing and Specifying"/>
    <s v="Strange Details"/>
    <n v="8"/>
    <x v="1"/>
    <x v="7"/>
    <n v="1"/>
    <n v="0.1"/>
    <n v="1"/>
    <n v="0.1"/>
    <x v="0"/>
  </r>
  <r>
    <s v="2018-19"/>
    <x v="0"/>
    <x v="1"/>
    <s v="L2"/>
    <s v="Constructing and Specifying"/>
    <s v="Strange Details"/>
    <n v="9"/>
    <x v="0"/>
    <x v="8"/>
    <n v="0"/>
    <n v="0.05"/>
    <n v="0.85"/>
    <n v="0"/>
    <x v="0"/>
  </r>
  <r>
    <s v="2018-19"/>
    <x v="0"/>
    <x v="1"/>
    <s v="L2"/>
    <s v="Constructing and Specifying"/>
    <s v="Strange Details"/>
    <n v="9"/>
    <x v="1"/>
    <x v="8"/>
    <n v="1"/>
    <n v="0.05"/>
    <n v="0.85"/>
    <n v="4.2500000000000003E-2"/>
    <x v="0"/>
  </r>
  <r>
    <s v="2018-19"/>
    <x v="0"/>
    <x v="1"/>
    <s v="L2"/>
    <s v="Constructing and Specifying"/>
    <s v="Strange Details"/>
    <n v="10"/>
    <x v="0"/>
    <x v="8"/>
    <n v="0"/>
    <n v="0.05"/>
    <n v="0.85"/>
    <n v="0"/>
    <x v="0"/>
  </r>
  <r>
    <s v="2018-19"/>
    <x v="0"/>
    <x v="1"/>
    <s v="L2"/>
    <s v="Constructing and Specifying"/>
    <s v="Strange Details"/>
    <n v="10"/>
    <x v="1"/>
    <x v="8"/>
    <n v="1"/>
    <n v="0.05"/>
    <n v="0.85"/>
    <n v="4.2500000000000003E-2"/>
    <x v="0"/>
  </r>
  <r>
    <s v="2018-19"/>
    <x v="0"/>
    <x v="1"/>
    <s v="L2"/>
    <s v="Constructing and Specifying"/>
    <s v="Strange Details"/>
    <n v="11"/>
    <x v="0"/>
    <x v="9"/>
    <n v="0"/>
    <n v="0.05"/>
    <n v="1"/>
    <n v="0"/>
    <x v="0"/>
  </r>
  <r>
    <s v="2018-19"/>
    <x v="0"/>
    <x v="1"/>
    <s v="L2"/>
    <s v="Constructing and Specifying"/>
    <s v="Strange Details"/>
    <n v="11"/>
    <x v="1"/>
    <x v="9"/>
    <n v="0"/>
    <n v="0.05"/>
    <n v="1"/>
    <n v="0"/>
    <x v="0"/>
  </r>
  <r>
    <s v="2018-19"/>
    <x v="0"/>
    <x v="2"/>
    <s v="L2"/>
    <s v="Spatial Planning and Organization"/>
    <s v="Of Immediate and Afar"/>
    <n v="1"/>
    <x v="0"/>
    <x v="0"/>
    <n v="1"/>
    <n v="0.12"/>
    <n v="1"/>
    <n v="0.12"/>
    <x v="0"/>
  </r>
  <r>
    <s v="2018-19"/>
    <x v="0"/>
    <x v="2"/>
    <s v="L2"/>
    <s v="Spatial Planning and Organization"/>
    <s v="Of Immediate and Afar"/>
    <n v="1"/>
    <x v="1"/>
    <x v="0"/>
    <n v="1"/>
    <n v="0.12"/>
    <n v="1"/>
    <n v="0.12"/>
    <x v="0"/>
  </r>
  <r>
    <s v="2018-19"/>
    <x v="0"/>
    <x v="2"/>
    <s v="L2"/>
    <s v="Spatial Planning and Organization"/>
    <s v="Of Immediate and Afar"/>
    <n v="2"/>
    <x v="0"/>
    <x v="1"/>
    <n v="1"/>
    <n v="0.08"/>
    <n v="0.8"/>
    <n v="6.4000000000000001E-2"/>
    <x v="0"/>
  </r>
  <r>
    <s v="2018-19"/>
    <x v="0"/>
    <x v="2"/>
    <s v="L2"/>
    <s v="Spatial Planning and Organization"/>
    <s v="Of Immediate and Afar"/>
    <n v="2"/>
    <x v="1"/>
    <x v="1"/>
    <n v="1"/>
    <n v="0.08"/>
    <n v="0.8"/>
    <n v="6.4000000000000001E-2"/>
    <x v="0"/>
  </r>
  <r>
    <s v="2018-19"/>
    <x v="0"/>
    <x v="2"/>
    <s v="L2"/>
    <s v="Spatial Planning and Organization"/>
    <s v="Of Immediate and Afar"/>
    <n v="3"/>
    <x v="0"/>
    <x v="2"/>
    <n v="0"/>
    <n v="0.05"/>
    <n v="1"/>
    <n v="0"/>
    <x v="0"/>
  </r>
  <r>
    <s v="2018-19"/>
    <x v="0"/>
    <x v="2"/>
    <s v="L2"/>
    <s v="Spatial Planning and Organization"/>
    <s v="Of Immediate and Afar"/>
    <n v="3"/>
    <x v="1"/>
    <x v="2"/>
    <n v="1"/>
    <n v="0.05"/>
    <n v="1"/>
    <n v="0.05"/>
    <x v="0"/>
  </r>
  <r>
    <s v="2018-19"/>
    <x v="0"/>
    <x v="2"/>
    <s v="L2"/>
    <s v="Spatial Planning and Organization"/>
    <s v="Of Immediate and Afar"/>
    <n v="4"/>
    <x v="0"/>
    <x v="3"/>
    <n v="0"/>
    <n v="0.14000000000000001"/>
    <n v="1"/>
    <n v="0"/>
    <x v="0"/>
  </r>
  <r>
    <s v="2018-19"/>
    <x v="0"/>
    <x v="2"/>
    <s v="L2"/>
    <s v="Spatial Planning and Organization"/>
    <s v="Of Immediate and Afar"/>
    <n v="4"/>
    <x v="1"/>
    <x v="3"/>
    <n v="1"/>
    <n v="0.14000000000000001"/>
    <n v="1"/>
    <n v="0.14000000000000001"/>
    <x v="0"/>
  </r>
  <r>
    <s v="2018-19"/>
    <x v="0"/>
    <x v="2"/>
    <s v="L2"/>
    <s v="Spatial Planning and Organization"/>
    <s v="Of Immediate and Afar"/>
    <n v="5"/>
    <x v="0"/>
    <x v="4"/>
    <n v="1"/>
    <n v="0.11"/>
    <n v="1"/>
    <n v="0.11"/>
    <x v="0"/>
  </r>
  <r>
    <s v="2018-19"/>
    <x v="0"/>
    <x v="2"/>
    <s v="L2"/>
    <s v="Spatial Planning and Organization"/>
    <s v="Of Immediate and Afar"/>
    <n v="5"/>
    <x v="1"/>
    <x v="4"/>
    <n v="1"/>
    <n v="0.11"/>
    <n v="1"/>
    <n v="0.11"/>
    <x v="0"/>
  </r>
  <r>
    <s v="2018-19"/>
    <x v="0"/>
    <x v="2"/>
    <s v="L2"/>
    <s v="Spatial Planning and Organization"/>
    <s v="Of Immediate and Afar"/>
    <n v="6"/>
    <x v="0"/>
    <x v="5"/>
    <n v="1"/>
    <n v="0.15"/>
    <n v="1"/>
    <n v="0.15"/>
    <x v="0"/>
  </r>
  <r>
    <s v="2018-19"/>
    <x v="0"/>
    <x v="2"/>
    <s v="L2"/>
    <s v="Spatial Planning and Organization"/>
    <s v="Of Immediate and Afar"/>
    <n v="6"/>
    <x v="1"/>
    <x v="5"/>
    <n v="1"/>
    <n v="0.15"/>
    <n v="1"/>
    <n v="0.15"/>
    <x v="0"/>
  </r>
  <r>
    <s v="2018-19"/>
    <x v="0"/>
    <x v="2"/>
    <s v="L2"/>
    <s v="Spatial Planning and Organization"/>
    <s v="Of Immediate and Afar"/>
    <n v="7"/>
    <x v="0"/>
    <x v="6"/>
    <n v="0"/>
    <n v="0.1"/>
    <n v="1"/>
    <n v="0"/>
    <x v="0"/>
  </r>
  <r>
    <s v="2018-19"/>
    <x v="0"/>
    <x v="2"/>
    <s v="L2"/>
    <s v="Spatial Planning and Organization"/>
    <s v="Of Immediate and Afar"/>
    <n v="7"/>
    <x v="1"/>
    <x v="6"/>
    <n v="0"/>
    <n v="0.1"/>
    <n v="1"/>
    <n v="0"/>
    <x v="0"/>
  </r>
  <r>
    <s v="2018-19"/>
    <x v="0"/>
    <x v="2"/>
    <s v="L2"/>
    <s v="Spatial Planning and Organization"/>
    <s v="Of Immediate and Afar"/>
    <n v="8"/>
    <x v="0"/>
    <x v="7"/>
    <n v="1"/>
    <n v="0.1"/>
    <n v="1"/>
    <n v="0.1"/>
    <x v="0"/>
  </r>
  <r>
    <s v="2018-19"/>
    <x v="0"/>
    <x v="2"/>
    <s v="L2"/>
    <s v="Spatial Planning and Organization"/>
    <s v="Of Immediate and Afar"/>
    <n v="8"/>
    <x v="1"/>
    <x v="7"/>
    <n v="1"/>
    <n v="0.1"/>
    <n v="1"/>
    <n v="0.1"/>
    <x v="0"/>
  </r>
  <r>
    <s v="2018-19"/>
    <x v="0"/>
    <x v="2"/>
    <s v="L2"/>
    <s v="Spatial Planning and Organization"/>
    <s v="Of Immediate and Afar"/>
    <n v="9"/>
    <x v="0"/>
    <x v="8"/>
    <n v="1"/>
    <n v="0.05"/>
    <n v="0.85"/>
    <n v="4.2500000000000003E-2"/>
    <x v="0"/>
  </r>
  <r>
    <s v="2018-19"/>
    <x v="0"/>
    <x v="2"/>
    <s v="L2"/>
    <s v="Spatial Planning and Organization"/>
    <s v="Of Immediate and Afar"/>
    <n v="9"/>
    <x v="1"/>
    <x v="8"/>
    <n v="1"/>
    <n v="0.05"/>
    <n v="0.85"/>
    <n v="4.2500000000000003E-2"/>
    <x v="0"/>
  </r>
  <r>
    <s v="2018-19"/>
    <x v="0"/>
    <x v="2"/>
    <s v="L2"/>
    <s v="Spatial Planning and Organization"/>
    <s v="Of Immediate and Afar"/>
    <n v="10"/>
    <x v="0"/>
    <x v="8"/>
    <n v="1"/>
    <n v="0.05"/>
    <n v="0.85"/>
    <n v="4.2500000000000003E-2"/>
    <x v="0"/>
  </r>
  <r>
    <s v="2018-19"/>
    <x v="0"/>
    <x v="2"/>
    <s v="L2"/>
    <s v="Spatial Planning and Organization"/>
    <s v="Of Immediate and Afar"/>
    <n v="10"/>
    <x v="1"/>
    <x v="8"/>
    <n v="1"/>
    <n v="0.05"/>
    <n v="0.85"/>
    <n v="4.2500000000000003E-2"/>
    <x v="0"/>
  </r>
  <r>
    <s v="2018-19"/>
    <x v="0"/>
    <x v="2"/>
    <s v="L2"/>
    <s v="Spatial Planning and Organization"/>
    <s v="Of Immediate and Afar"/>
    <n v="11"/>
    <x v="0"/>
    <x v="9"/>
    <n v="1"/>
    <n v="0.05"/>
    <n v="1"/>
    <n v="0.05"/>
    <x v="0"/>
  </r>
  <r>
    <s v="2018-19"/>
    <x v="0"/>
    <x v="2"/>
    <s v="L2"/>
    <s v="Spatial Planning and Organization"/>
    <s v="Of Immediate and Afar"/>
    <n v="11"/>
    <x v="1"/>
    <x v="9"/>
    <n v="0"/>
    <n v="0.05"/>
    <n v="1"/>
    <n v="0"/>
    <x v="0"/>
  </r>
  <r>
    <s v="2018-19"/>
    <x v="0"/>
    <x v="3"/>
    <s v="L2"/>
    <s v="Spatial Planning and Organization"/>
    <s v="D[e] ] Master [code]"/>
    <n v="1"/>
    <x v="0"/>
    <x v="0"/>
    <n v="0"/>
    <n v="0.12"/>
    <n v="1"/>
    <n v="0"/>
    <x v="0"/>
  </r>
  <r>
    <s v="2018-19"/>
    <x v="0"/>
    <x v="3"/>
    <s v="L2"/>
    <s v="Spatial Planning and Organization"/>
    <s v="D[e] ] Master [code]"/>
    <n v="1"/>
    <x v="1"/>
    <x v="0"/>
    <n v="1"/>
    <n v="0.12"/>
    <n v="1"/>
    <n v="0.12"/>
    <x v="0"/>
  </r>
  <r>
    <s v="2018-19"/>
    <x v="0"/>
    <x v="3"/>
    <s v="L2"/>
    <s v="Spatial Planning and Organization"/>
    <s v="D[e] ] Master [code]"/>
    <n v="2"/>
    <x v="0"/>
    <x v="1"/>
    <n v="0"/>
    <n v="0.08"/>
    <n v="0.8"/>
    <n v="0"/>
    <x v="0"/>
  </r>
  <r>
    <s v="2018-19"/>
    <x v="0"/>
    <x v="3"/>
    <s v="L2"/>
    <s v="Spatial Planning and Organization"/>
    <s v="D[e] ] Master [code]"/>
    <n v="2"/>
    <x v="1"/>
    <x v="1"/>
    <n v="1"/>
    <n v="0.08"/>
    <n v="0.8"/>
    <n v="6.4000000000000001E-2"/>
    <x v="0"/>
  </r>
  <r>
    <s v="2018-19"/>
    <x v="0"/>
    <x v="3"/>
    <s v="L2"/>
    <s v="Spatial Planning and Organization"/>
    <s v="D[e] ] Master [code]"/>
    <n v="3"/>
    <x v="0"/>
    <x v="2"/>
    <n v="1"/>
    <n v="0.05"/>
    <n v="1"/>
    <n v="0.05"/>
    <x v="0"/>
  </r>
  <r>
    <s v="2018-19"/>
    <x v="0"/>
    <x v="3"/>
    <s v="L2"/>
    <s v="Spatial Planning and Organization"/>
    <s v="D[e] ] Master [code]"/>
    <n v="3"/>
    <x v="1"/>
    <x v="2"/>
    <n v="0"/>
    <n v="0.05"/>
    <n v="1"/>
    <n v="0"/>
    <x v="0"/>
  </r>
  <r>
    <s v="2018-19"/>
    <x v="0"/>
    <x v="3"/>
    <s v="L2"/>
    <s v="Spatial Planning and Organization"/>
    <s v="D[e] ] Master [code]"/>
    <n v="4"/>
    <x v="0"/>
    <x v="3"/>
    <n v="0"/>
    <n v="0.14000000000000001"/>
    <n v="1"/>
    <n v="0"/>
    <x v="0"/>
  </r>
  <r>
    <s v="2018-19"/>
    <x v="0"/>
    <x v="3"/>
    <s v="L2"/>
    <s v="Spatial Planning and Organization"/>
    <s v="D[e] ] Master [code]"/>
    <n v="4"/>
    <x v="1"/>
    <x v="3"/>
    <n v="0"/>
    <n v="0.14000000000000001"/>
    <n v="1"/>
    <n v="0"/>
    <x v="0"/>
  </r>
  <r>
    <s v="2018-19"/>
    <x v="0"/>
    <x v="3"/>
    <s v="L2"/>
    <s v="Spatial Planning and Organization"/>
    <s v="D[e] ] Master [code]"/>
    <n v="5"/>
    <x v="0"/>
    <x v="4"/>
    <n v="-1"/>
    <n v="0.11"/>
    <n v="1"/>
    <n v="-0.11"/>
    <x v="0"/>
  </r>
  <r>
    <s v="2018-19"/>
    <x v="0"/>
    <x v="3"/>
    <s v="L2"/>
    <s v="Spatial Planning and Organization"/>
    <s v="D[e] ] Master [code]"/>
    <n v="5"/>
    <x v="1"/>
    <x v="4"/>
    <n v="0"/>
    <n v="0.11"/>
    <n v="1"/>
    <n v="0"/>
    <x v="0"/>
  </r>
  <r>
    <s v="2018-19"/>
    <x v="0"/>
    <x v="3"/>
    <s v="L2"/>
    <s v="Spatial Planning and Organization"/>
    <s v="D[e] ] Master [code]"/>
    <n v="6"/>
    <x v="0"/>
    <x v="5"/>
    <n v="-1"/>
    <n v="0.15"/>
    <n v="1"/>
    <n v="-0.15"/>
    <x v="0"/>
  </r>
  <r>
    <s v="2018-19"/>
    <x v="0"/>
    <x v="3"/>
    <s v="L2"/>
    <s v="Spatial Planning and Organization"/>
    <s v="D[e] ] Master [code]"/>
    <n v="6"/>
    <x v="1"/>
    <x v="5"/>
    <n v="1"/>
    <n v="0.15"/>
    <n v="1"/>
    <n v="0.15"/>
    <x v="0"/>
  </r>
  <r>
    <s v="2018-19"/>
    <x v="0"/>
    <x v="3"/>
    <s v="L2"/>
    <s v="Spatial Planning and Organization"/>
    <s v="D[e] ] Master [code]"/>
    <n v="7"/>
    <x v="0"/>
    <x v="6"/>
    <n v="0"/>
    <n v="0.1"/>
    <n v="1"/>
    <n v="0"/>
    <x v="0"/>
  </r>
  <r>
    <s v="2018-19"/>
    <x v="0"/>
    <x v="3"/>
    <s v="L2"/>
    <s v="Spatial Planning and Organization"/>
    <s v="D[e] ] Master [code]"/>
    <n v="7"/>
    <x v="1"/>
    <x v="6"/>
    <n v="0"/>
    <n v="0.1"/>
    <n v="1"/>
    <n v="0"/>
    <x v="0"/>
  </r>
  <r>
    <s v="2018-19"/>
    <x v="0"/>
    <x v="3"/>
    <s v="L2"/>
    <s v="Spatial Planning and Organization"/>
    <s v="D[e] ] Master [code]"/>
    <n v="8"/>
    <x v="0"/>
    <x v="7"/>
    <n v="0"/>
    <n v="0.1"/>
    <n v="1"/>
    <n v="0"/>
    <x v="0"/>
  </r>
  <r>
    <s v="2018-19"/>
    <x v="0"/>
    <x v="3"/>
    <s v="L2"/>
    <s v="Spatial Planning and Organization"/>
    <s v="D[e] ] Master [code]"/>
    <n v="8"/>
    <x v="1"/>
    <x v="7"/>
    <n v="0"/>
    <n v="0.1"/>
    <n v="1"/>
    <n v="0"/>
    <x v="0"/>
  </r>
  <r>
    <s v="2018-19"/>
    <x v="0"/>
    <x v="3"/>
    <s v="L2"/>
    <s v="Spatial Planning and Organization"/>
    <s v="D[e] ] Master [code]"/>
    <n v="9"/>
    <x v="0"/>
    <x v="8"/>
    <n v="1"/>
    <n v="0.05"/>
    <n v="0.85"/>
    <n v="4.2500000000000003E-2"/>
    <x v="0"/>
  </r>
  <r>
    <s v="2018-19"/>
    <x v="0"/>
    <x v="3"/>
    <s v="L2"/>
    <s v="Spatial Planning and Organization"/>
    <s v="D[e] ] Master [code]"/>
    <n v="9"/>
    <x v="1"/>
    <x v="8"/>
    <n v="1"/>
    <n v="0.05"/>
    <n v="0.85"/>
    <n v="4.2500000000000003E-2"/>
    <x v="0"/>
  </r>
  <r>
    <s v="2018-19"/>
    <x v="0"/>
    <x v="3"/>
    <s v="L2"/>
    <s v="Spatial Planning and Organization"/>
    <s v="D[e] ] Master [code]"/>
    <n v="10"/>
    <x v="0"/>
    <x v="8"/>
    <n v="1"/>
    <n v="0.05"/>
    <n v="0.85"/>
    <n v="4.2500000000000003E-2"/>
    <x v="0"/>
  </r>
  <r>
    <s v="2018-19"/>
    <x v="0"/>
    <x v="3"/>
    <s v="L2"/>
    <s v="Spatial Planning and Organization"/>
    <s v="D[e] ] Master [code]"/>
    <n v="10"/>
    <x v="1"/>
    <x v="8"/>
    <n v="1"/>
    <n v="0.05"/>
    <n v="0.85"/>
    <n v="4.2500000000000003E-2"/>
    <x v="0"/>
  </r>
  <r>
    <s v="2018-19"/>
    <x v="0"/>
    <x v="3"/>
    <s v="L2"/>
    <s v="Spatial Planning and Organization"/>
    <s v="D[e] ] Master [code]"/>
    <n v="11"/>
    <x v="0"/>
    <x v="9"/>
    <n v="0"/>
    <n v="0.05"/>
    <n v="1"/>
    <n v="0"/>
    <x v="0"/>
  </r>
  <r>
    <s v="2018-19"/>
    <x v="0"/>
    <x v="3"/>
    <s v="L2"/>
    <s v="Spatial Planning and Organization"/>
    <s v="D[e] ] Master [code]"/>
    <n v="11"/>
    <x v="1"/>
    <x v="9"/>
    <n v="-1"/>
    <n v="0.05"/>
    <n v="1"/>
    <n v="-0.05"/>
    <x v="0"/>
  </r>
  <r>
    <s v="2018-19"/>
    <x v="0"/>
    <x v="4"/>
    <s v="L2"/>
    <s v="Constructing and Specifying"/>
    <s v="From Drawing Board to Construction Sites"/>
    <n v="1"/>
    <x v="0"/>
    <x v="0"/>
    <n v="1"/>
    <n v="0.12"/>
    <n v="1"/>
    <n v="0.12"/>
    <x v="0"/>
  </r>
  <r>
    <s v="2018-19"/>
    <x v="0"/>
    <x v="4"/>
    <s v="L2"/>
    <s v="Constructing and Specifying"/>
    <s v="From Drawing Board to Construction Sites"/>
    <n v="1"/>
    <x v="1"/>
    <x v="0"/>
    <n v="1"/>
    <n v="0.12"/>
    <n v="1"/>
    <n v="0.12"/>
    <x v="0"/>
  </r>
  <r>
    <s v="2018-19"/>
    <x v="0"/>
    <x v="4"/>
    <s v="L2"/>
    <s v="Constructing and Specifying"/>
    <s v="From Drawing Board to Construction Sites"/>
    <n v="2"/>
    <x v="0"/>
    <x v="1"/>
    <n v="1"/>
    <n v="0.08"/>
    <n v="0.8"/>
    <n v="6.4000000000000001E-2"/>
    <x v="0"/>
  </r>
  <r>
    <s v="2018-19"/>
    <x v="0"/>
    <x v="4"/>
    <s v="L2"/>
    <s v="Constructing and Specifying"/>
    <s v="From Drawing Board to Construction Sites"/>
    <n v="2"/>
    <x v="1"/>
    <x v="1"/>
    <n v="1"/>
    <n v="0.08"/>
    <n v="0.8"/>
    <n v="6.4000000000000001E-2"/>
    <x v="0"/>
  </r>
  <r>
    <s v="2018-19"/>
    <x v="0"/>
    <x v="4"/>
    <s v="L2"/>
    <s v="Constructing and Specifying"/>
    <s v="From Drawing Board to Construction Sites"/>
    <n v="3"/>
    <x v="0"/>
    <x v="2"/>
    <n v="0"/>
    <n v="0.05"/>
    <n v="1"/>
    <n v="0"/>
    <x v="0"/>
  </r>
  <r>
    <s v="2018-19"/>
    <x v="0"/>
    <x v="4"/>
    <s v="L2"/>
    <s v="Constructing and Specifying"/>
    <s v="From Drawing Board to Construction Sites"/>
    <n v="3"/>
    <x v="1"/>
    <x v="2"/>
    <n v="1"/>
    <n v="0.05"/>
    <n v="1"/>
    <n v="0.05"/>
    <x v="0"/>
  </r>
  <r>
    <s v="2018-19"/>
    <x v="0"/>
    <x v="4"/>
    <s v="L2"/>
    <s v="Constructing and Specifying"/>
    <s v="From Drawing Board to Construction Sites"/>
    <n v="4"/>
    <x v="0"/>
    <x v="3"/>
    <n v="0"/>
    <n v="0.14000000000000001"/>
    <n v="1"/>
    <n v="0"/>
    <x v="0"/>
  </r>
  <r>
    <s v="2018-19"/>
    <x v="0"/>
    <x v="4"/>
    <s v="L2"/>
    <s v="Constructing and Specifying"/>
    <s v="From Drawing Board to Construction Sites"/>
    <n v="4"/>
    <x v="1"/>
    <x v="3"/>
    <n v="1"/>
    <n v="0.14000000000000001"/>
    <n v="1"/>
    <n v="0.14000000000000001"/>
    <x v="0"/>
  </r>
  <r>
    <s v="2018-19"/>
    <x v="0"/>
    <x v="4"/>
    <s v="L2"/>
    <s v="Constructing and Specifying"/>
    <s v="From Drawing Board to Construction Sites"/>
    <n v="5"/>
    <x v="0"/>
    <x v="4"/>
    <n v="1"/>
    <n v="0.11"/>
    <n v="1"/>
    <n v="0.11"/>
    <x v="0"/>
  </r>
  <r>
    <s v="2018-19"/>
    <x v="0"/>
    <x v="4"/>
    <s v="L2"/>
    <s v="Constructing and Specifying"/>
    <s v="From Drawing Board to Construction Sites"/>
    <n v="5"/>
    <x v="1"/>
    <x v="4"/>
    <n v="1"/>
    <n v="0.11"/>
    <n v="1"/>
    <n v="0.11"/>
    <x v="0"/>
  </r>
  <r>
    <s v="2018-19"/>
    <x v="0"/>
    <x v="4"/>
    <s v="L2"/>
    <s v="Constructing and Specifying"/>
    <s v="From Drawing Board to Construction Sites"/>
    <n v="6"/>
    <x v="0"/>
    <x v="5"/>
    <n v="1"/>
    <n v="0.15"/>
    <n v="1"/>
    <n v="0.15"/>
    <x v="0"/>
  </r>
  <r>
    <s v="2018-19"/>
    <x v="0"/>
    <x v="4"/>
    <s v="L2"/>
    <s v="Constructing and Specifying"/>
    <s v="From Drawing Board to Construction Sites"/>
    <n v="6"/>
    <x v="1"/>
    <x v="5"/>
    <n v="1"/>
    <n v="0.15"/>
    <n v="1"/>
    <n v="0.15"/>
    <x v="0"/>
  </r>
  <r>
    <s v="2018-19"/>
    <x v="0"/>
    <x v="4"/>
    <s v="L2"/>
    <s v="Constructing and Specifying"/>
    <s v="From Drawing Board to Construction Sites"/>
    <n v="7"/>
    <x v="0"/>
    <x v="6"/>
    <n v="1"/>
    <n v="0.1"/>
    <n v="1"/>
    <n v="0.1"/>
    <x v="0"/>
  </r>
  <r>
    <s v="2018-19"/>
    <x v="0"/>
    <x v="4"/>
    <s v="L2"/>
    <s v="Constructing and Specifying"/>
    <s v="From Drawing Board to Construction Sites"/>
    <n v="7"/>
    <x v="1"/>
    <x v="6"/>
    <n v="1"/>
    <n v="0.1"/>
    <n v="1"/>
    <n v="0.1"/>
    <x v="0"/>
  </r>
  <r>
    <s v="2018-19"/>
    <x v="0"/>
    <x v="4"/>
    <s v="L2"/>
    <s v="Constructing and Specifying"/>
    <s v="From Drawing Board to Construction Sites"/>
    <n v="8"/>
    <x v="0"/>
    <x v="7"/>
    <n v="1"/>
    <n v="0.1"/>
    <n v="1"/>
    <n v="0.1"/>
    <x v="0"/>
  </r>
  <r>
    <s v="2018-19"/>
    <x v="0"/>
    <x v="4"/>
    <s v="L2"/>
    <s v="Constructing and Specifying"/>
    <s v="From Drawing Board to Construction Sites"/>
    <n v="8"/>
    <x v="1"/>
    <x v="7"/>
    <n v="1"/>
    <n v="0.1"/>
    <n v="1"/>
    <n v="0.1"/>
    <x v="0"/>
  </r>
  <r>
    <s v="2018-19"/>
    <x v="0"/>
    <x v="4"/>
    <s v="L2"/>
    <s v="Constructing and Specifying"/>
    <s v="From Drawing Board to Construction Sites"/>
    <n v="9"/>
    <x v="0"/>
    <x v="8"/>
    <n v="1"/>
    <n v="0.05"/>
    <n v="0.85"/>
    <n v="4.2500000000000003E-2"/>
    <x v="0"/>
  </r>
  <r>
    <s v="2018-19"/>
    <x v="0"/>
    <x v="4"/>
    <s v="L2"/>
    <s v="Constructing and Specifying"/>
    <s v="From Drawing Board to Construction Sites"/>
    <n v="9"/>
    <x v="1"/>
    <x v="8"/>
    <n v="1"/>
    <n v="0.05"/>
    <n v="0.85"/>
    <n v="4.2500000000000003E-2"/>
    <x v="0"/>
  </r>
  <r>
    <s v="2018-19"/>
    <x v="0"/>
    <x v="4"/>
    <s v="L2"/>
    <s v="Constructing and Specifying"/>
    <s v="From Drawing Board to Construction Sites"/>
    <n v="10"/>
    <x v="0"/>
    <x v="8"/>
    <n v="1"/>
    <n v="0.05"/>
    <n v="0.85"/>
    <n v="4.2500000000000003E-2"/>
    <x v="0"/>
  </r>
  <r>
    <s v="2018-19"/>
    <x v="0"/>
    <x v="4"/>
    <s v="L2"/>
    <s v="Constructing and Specifying"/>
    <s v="From Drawing Board to Construction Sites"/>
    <n v="10"/>
    <x v="1"/>
    <x v="8"/>
    <n v="1"/>
    <n v="0.05"/>
    <n v="0.85"/>
    <n v="4.2500000000000003E-2"/>
    <x v="0"/>
  </r>
  <r>
    <s v="2018-19"/>
    <x v="0"/>
    <x v="4"/>
    <s v="L2"/>
    <s v="Constructing and Specifying"/>
    <s v="From Drawing Board to Construction Sites"/>
    <n v="11"/>
    <x v="0"/>
    <x v="9"/>
    <n v="1"/>
    <n v="0.05"/>
    <n v="1"/>
    <n v="0.05"/>
    <x v="0"/>
  </r>
  <r>
    <s v="2018-19"/>
    <x v="0"/>
    <x v="4"/>
    <s v="L2"/>
    <s v="Constructing and Specifying"/>
    <s v="From Drawing Board to Construction Sites"/>
    <n v="11"/>
    <x v="1"/>
    <x v="9"/>
    <n v="0"/>
    <n v="0.05"/>
    <n v="1"/>
    <n v="0"/>
    <x v="0"/>
  </r>
  <r>
    <s v="2018-19"/>
    <x v="0"/>
    <x v="5"/>
    <s v="L2"/>
    <s v="Visualization &amp; Communication, Spatial Planning &amp; Organisation"/>
    <s v="Land Building Relationships"/>
    <n v="1"/>
    <x v="0"/>
    <x v="0"/>
    <n v="1"/>
    <n v="0.12"/>
    <n v="1"/>
    <n v="0.12"/>
    <x v="0"/>
  </r>
  <r>
    <s v="2018-19"/>
    <x v="0"/>
    <x v="5"/>
    <s v="L2"/>
    <s v="Visualization &amp; Communication, Spatial Planning &amp; Organisation"/>
    <s v="Land Building Relationships"/>
    <n v="1"/>
    <x v="1"/>
    <x v="0"/>
    <n v="1"/>
    <n v="0.12"/>
    <n v="1"/>
    <n v="0.12"/>
    <x v="0"/>
  </r>
  <r>
    <s v="2018-19"/>
    <x v="0"/>
    <x v="5"/>
    <s v="L2"/>
    <s v="Visualization &amp; Communication, Spatial Planning &amp; Organisation"/>
    <s v="Land Building Relationships"/>
    <n v="2"/>
    <x v="0"/>
    <x v="1"/>
    <n v="1"/>
    <n v="0.08"/>
    <n v="0.8"/>
    <n v="6.4000000000000001E-2"/>
    <x v="0"/>
  </r>
  <r>
    <s v="2018-19"/>
    <x v="0"/>
    <x v="5"/>
    <s v="L2"/>
    <s v="Visualization &amp; Communication, Spatial Planning &amp; Organisation"/>
    <s v="Land Building Relationships"/>
    <n v="2"/>
    <x v="1"/>
    <x v="1"/>
    <n v="1"/>
    <n v="0.08"/>
    <n v="0.8"/>
    <n v="6.4000000000000001E-2"/>
    <x v="0"/>
  </r>
  <r>
    <s v="2018-19"/>
    <x v="0"/>
    <x v="5"/>
    <s v="L2"/>
    <s v="Visualization &amp; Communication, Spatial Planning &amp; Organisation"/>
    <s v="Land Building Relationships"/>
    <n v="3"/>
    <x v="0"/>
    <x v="2"/>
    <n v="1"/>
    <n v="0.05"/>
    <n v="1"/>
    <n v="0.05"/>
    <x v="0"/>
  </r>
  <r>
    <s v="2018-19"/>
    <x v="0"/>
    <x v="5"/>
    <s v="L2"/>
    <s v="Visualization &amp; Communication, Spatial Planning &amp; Organisation"/>
    <s v="Land Building Relationships"/>
    <n v="3"/>
    <x v="1"/>
    <x v="2"/>
    <n v="1"/>
    <n v="0.05"/>
    <n v="1"/>
    <n v="0.05"/>
    <x v="0"/>
  </r>
  <r>
    <s v="2018-19"/>
    <x v="0"/>
    <x v="5"/>
    <s v="L2"/>
    <s v="Visualization &amp; Communication, Spatial Planning &amp; Organisation"/>
    <s v="Land Building Relationships"/>
    <n v="4"/>
    <x v="0"/>
    <x v="3"/>
    <n v="1"/>
    <n v="0.14000000000000001"/>
    <n v="1"/>
    <n v="0.14000000000000001"/>
    <x v="0"/>
  </r>
  <r>
    <s v="2018-19"/>
    <x v="0"/>
    <x v="5"/>
    <s v="L2"/>
    <s v="Visualization &amp; Communication, Spatial Planning &amp; Organisation"/>
    <s v="Land Building Relationships"/>
    <n v="4"/>
    <x v="1"/>
    <x v="3"/>
    <n v="1"/>
    <n v="0.14000000000000001"/>
    <n v="1"/>
    <n v="0.14000000000000001"/>
    <x v="0"/>
  </r>
  <r>
    <s v="2018-19"/>
    <x v="0"/>
    <x v="5"/>
    <s v="L2"/>
    <s v="Visualization &amp; Communication, Spatial Planning &amp; Organisation"/>
    <s v="Land Building Relationships"/>
    <n v="5"/>
    <x v="0"/>
    <x v="4"/>
    <n v="1"/>
    <n v="0.11"/>
    <n v="1"/>
    <n v="0.11"/>
    <x v="0"/>
  </r>
  <r>
    <s v="2018-19"/>
    <x v="0"/>
    <x v="5"/>
    <s v="L2"/>
    <s v="Visualization &amp; Communication, Spatial Planning &amp; Organisation"/>
    <s v="Land Building Relationships"/>
    <n v="5"/>
    <x v="1"/>
    <x v="4"/>
    <n v="0"/>
    <n v="0.11"/>
    <n v="1"/>
    <n v="0"/>
    <x v="0"/>
  </r>
  <r>
    <s v="2018-19"/>
    <x v="0"/>
    <x v="5"/>
    <s v="L2"/>
    <s v="Visualization &amp; Communication, Spatial Planning &amp; Organisation"/>
    <s v="Land Building Relationships"/>
    <n v="6"/>
    <x v="0"/>
    <x v="5"/>
    <n v="1"/>
    <n v="0.15"/>
    <n v="1"/>
    <n v="0.15"/>
    <x v="0"/>
  </r>
  <r>
    <s v="2018-19"/>
    <x v="0"/>
    <x v="5"/>
    <s v="L2"/>
    <s v="Visualization &amp; Communication, Spatial Planning &amp; Organisation"/>
    <s v="Land Building Relationships"/>
    <n v="6"/>
    <x v="1"/>
    <x v="5"/>
    <n v="1"/>
    <n v="0.15"/>
    <n v="1"/>
    <n v="0.15"/>
    <x v="0"/>
  </r>
  <r>
    <s v="2018-19"/>
    <x v="0"/>
    <x v="5"/>
    <s v="L2"/>
    <s v="Visualization &amp; Communication, Spatial Planning &amp; Organisation"/>
    <s v="Land Building Relationships"/>
    <n v="7"/>
    <x v="0"/>
    <x v="6"/>
    <n v="1"/>
    <n v="0.1"/>
    <n v="1"/>
    <n v="0.1"/>
    <x v="0"/>
  </r>
  <r>
    <s v="2018-19"/>
    <x v="0"/>
    <x v="5"/>
    <s v="L2"/>
    <s v="Visualization &amp; Communication, Spatial Planning &amp; Organisation"/>
    <s v="Land Building Relationships"/>
    <n v="7"/>
    <x v="1"/>
    <x v="6"/>
    <n v="1"/>
    <n v="0.1"/>
    <n v="1"/>
    <n v="0.1"/>
    <x v="0"/>
  </r>
  <r>
    <s v="2018-19"/>
    <x v="0"/>
    <x v="5"/>
    <s v="L2"/>
    <s v="Visualization &amp; Communication, Spatial Planning &amp; Organisation"/>
    <s v="Land Building Relationships"/>
    <n v="8"/>
    <x v="0"/>
    <x v="7"/>
    <n v="1"/>
    <n v="0.1"/>
    <n v="1"/>
    <n v="0.1"/>
    <x v="0"/>
  </r>
  <r>
    <s v="2018-19"/>
    <x v="0"/>
    <x v="5"/>
    <s v="L2"/>
    <s v="Visualization &amp; Communication, Spatial Planning &amp; Organisation"/>
    <s v="Land Building Relationships"/>
    <n v="8"/>
    <x v="1"/>
    <x v="7"/>
    <n v="0"/>
    <n v="0.1"/>
    <n v="1"/>
    <n v="0"/>
    <x v="0"/>
  </r>
  <r>
    <s v="2018-19"/>
    <x v="0"/>
    <x v="5"/>
    <s v="L2"/>
    <s v="Visualization &amp; Communication, Spatial Planning &amp; Organisation"/>
    <s v="Land Building Relationships"/>
    <n v="9"/>
    <x v="0"/>
    <x v="8"/>
    <n v="1"/>
    <n v="0.05"/>
    <n v="0.85"/>
    <n v="4.2500000000000003E-2"/>
    <x v="0"/>
  </r>
  <r>
    <s v="2018-19"/>
    <x v="0"/>
    <x v="5"/>
    <s v="L2"/>
    <s v="Visualization &amp; Communication, Spatial Planning &amp; Organisation"/>
    <s v="Land Building Relationships"/>
    <n v="9"/>
    <x v="1"/>
    <x v="8"/>
    <n v="1"/>
    <n v="0.05"/>
    <n v="0.85"/>
    <n v="4.2500000000000003E-2"/>
    <x v="0"/>
  </r>
  <r>
    <s v="2018-19"/>
    <x v="0"/>
    <x v="5"/>
    <s v="L2"/>
    <s v="Visualization &amp; Communication, Spatial Planning &amp; Organisation"/>
    <s v="Land Building Relationships"/>
    <n v="10"/>
    <x v="0"/>
    <x v="8"/>
    <n v="1"/>
    <n v="0.05"/>
    <n v="0.85"/>
    <n v="4.2500000000000003E-2"/>
    <x v="0"/>
  </r>
  <r>
    <s v="2018-19"/>
    <x v="0"/>
    <x v="5"/>
    <s v="L2"/>
    <s v="Visualization &amp; Communication, Spatial Planning &amp; Organisation"/>
    <s v="Land Building Relationships"/>
    <n v="10"/>
    <x v="1"/>
    <x v="8"/>
    <n v="1"/>
    <n v="0.05"/>
    <n v="0.85"/>
    <n v="4.2500000000000003E-2"/>
    <x v="0"/>
  </r>
  <r>
    <s v="2018-19"/>
    <x v="0"/>
    <x v="5"/>
    <s v="L2"/>
    <s v="Visualization &amp; Communication, Spatial Planning &amp; Organisation"/>
    <s v="Land Building Relationships"/>
    <n v="11"/>
    <x v="0"/>
    <x v="9"/>
    <n v="1"/>
    <n v="0.05"/>
    <n v="1"/>
    <n v="0.05"/>
    <x v="0"/>
  </r>
  <r>
    <s v="2018-19"/>
    <x v="0"/>
    <x v="5"/>
    <s v="L2"/>
    <s v="Visualization &amp; Communication, Spatial Planning &amp; Organisation"/>
    <s v="Land Building Relationships"/>
    <n v="11"/>
    <x v="1"/>
    <x v="9"/>
    <n v="0"/>
    <n v="0.05"/>
    <n v="1"/>
    <n v="0"/>
    <x v="0"/>
  </r>
  <r>
    <s v="2018-19"/>
    <x v="0"/>
    <x v="6"/>
    <s v="L2"/>
    <s v="Spatial Planning and Organisation"/>
    <s v="From Drawing Board to Construction Sites"/>
    <n v="1"/>
    <x v="0"/>
    <x v="0"/>
    <n v="0"/>
    <n v="0.12"/>
    <n v="1"/>
    <n v="0"/>
    <x v="0"/>
  </r>
  <r>
    <s v="2018-19"/>
    <x v="0"/>
    <x v="6"/>
    <s v="L2"/>
    <s v="Spatial Planning and Organisation"/>
    <s v="From Drawing Board to Construction Sites"/>
    <n v="1"/>
    <x v="1"/>
    <x v="0"/>
    <n v="1"/>
    <n v="0.12"/>
    <n v="1"/>
    <n v="0.12"/>
    <x v="0"/>
  </r>
  <r>
    <s v="2018-19"/>
    <x v="0"/>
    <x v="6"/>
    <s v="L2"/>
    <s v="Spatial Planning and Organisation"/>
    <s v="From Drawing Board to Construction Sites"/>
    <n v="2"/>
    <x v="0"/>
    <x v="1"/>
    <n v="-1"/>
    <n v="0.08"/>
    <n v="0.8"/>
    <n v="-6.4000000000000001E-2"/>
    <x v="0"/>
  </r>
  <r>
    <s v="2018-19"/>
    <x v="0"/>
    <x v="6"/>
    <s v="L2"/>
    <s v="Spatial Planning and Organisation"/>
    <s v="From Drawing Board to Construction Sites"/>
    <n v="2"/>
    <x v="1"/>
    <x v="1"/>
    <n v="1"/>
    <n v="0.08"/>
    <n v="0.8"/>
    <n v="6.4000000000000001E-2"/>
    <x v="0"/>
  </r>
  <r>
    <s v="2018-19"/>
    <x v="0"/>
    <x v="6"/>
    <s v="L2"/>
    <s v="Spatial Planning and Organisation"/>
    <s v="From Drawing Board to Construction Sites"/>
    <n v="3"/>
    <x v="0"/>
    <x v="2"/>
    <n v="1"/>
    <n v="0.05"/>
    <n v="1"/>
    <n v="0.05"/>
    <x v="0"/>
  </r>
  <r>
    <s v="2018-19"/>
    <x v="0"/>
    <x v="6"/>
    <s v="L2"/>
    <s v="Spatial Planning and Organisation"/>
    <s v="From Drawing Board to Construction Sites"/>
    <n v="3"/>
    <x v="1"/>
    <x v="2"/>
    <n v="1"/>
    <n v="0.05"/>
    <n v="1"/>
    <n v="0.05"/>
    <x v="0"/>
  </r>
  <r>
    <s v="2018-19"/>
    <x v="0"/>
    <x v="6"/>
    <s v="L2"/>
    <s v="Spatial Planning and Organisation"/>
    <s v="From Drawing Board to Construction Sites"/>
    <n v="4"/>
    <x v="0"/>
    <x v="3"/>
    <n v="-1"/>
    <n v="0.14000000000000001"/>
    <n v="1"/>
    <n v="-0.14000000000000001"/>
    <x v="0"/>
  </r>
  <r>
    <s v="2018-19"/>
    <x v="0"/>
    <x v="6"/>
    <s v="L2"/>
    <s v="Spatial Planning and Organisation"/>
    <s v="From Drawing Board to Construction Sites"/>
    <n v="4"/>
    <x v="1"/>
    <x v="3"/>
    <n v="1"/>
    <n v="0.14000000000000001"/>
    <n v="1"/>
    <n v="0.14000000000000001"/>
    <x v="0"/>
  </r>
  <r>
    <s v="2018-19"/>
    <x v="0"/>
    <x v="6"/>
    <s v="L2"/>
    <s v="Spatial Planning and Organisation"/>
    <s v="From Drawing Board to Construction Sites"/>
    <n v="5"/>
    <x v="0"/>
    <x v="4"/>
    <n v="-1"/>
    <n v="0.11"/>
    <n v="1"/>
    <n v="-0.11"/>
    <x v="0"/>
  </r>
  <r>
    <s v="2018-19"/>
    <x v="0"/>
    <x v="6"/>
    <s v="L2"/>
    <s v="Spatial Planning and Organisation"/>
    <s v="From Drawing Board to Construction Sites"/>
    <n v="5"/>
    <x v="1"/>
    <x v="4"/>
    <n v="0"/>
    <n v="0.11"/>
    <n v="1"/>
    <n v="0"/>
    <x v="0"/>
  </r>
  <r>
    <s v="2018-19"/>
    <x v="0"/>
    <x v="6"/>
    <s v="L2"/>
    <s v="Spatial Planning and Organisation"/>
    <s v="From Drawing Board to Construction Sites"/>
    <n v="6"/>
    <x v="0"/>
    <x v="5"/>
    <n v="0"/>
    <n v="0.15"/>
    <n v="1"/>
    <n v="0"/>
    <x v="0"/>
  </r>
  <r>
    <s v="2018-19"/>
    <x v="0"/>
    <x v="6"/>
    <s v="L2"/>
    <s v="Spatial Planning and Organisation"/>
    <s v="From Drawing Board to Construction Sites"/>
    <n v="6"/>
    <x v="1"/>
    <x v="5"/>
    <n v="0"/>
    <n v="0.15"/>
    <n v="1"/>
    <n v="0"/>
    <x v="0"/>
  </r>
  <r>
    <s v="2018-19"/>
    <x v="0"/>
    <x v="6"/>
    <s v="L2"/>
    <s v="Spatial Planning and Organisation"/>
    <s v="From Drawing Board to Construction Sites"/>
    <n v="7"/>
    <x v="0"/>
    <x v="6"/>
    <n v="-1"/>
    <n v="0.1"/>
    <n v="1"/>
    <n v="-0.1"/>
    <x v="0"/>
  </r>
  <r>
    <s v="2018-19"/>
    <x v="0"/>
    <x v="6"/>
    <s v="L2"/>
    <s v="Spatial Planning and Organisation"/>
    <s v="From Drawing Board to Construction Sites"/>
    <n v="7"/>
    <x v="1"/>
    <x v="6"/>
    <n v="1"/>
    <n v="0.1"/>
    <n v="1"/>
    <n v="0.1"/>
    <x v="0"/>
  </r>
  <r>
    <s v="2018-19"/>
    <x v="0"/>
    <x v="6"/>
    <s v="L2"/>
    <s v="Spatial Planning and Organisation"/>
    <s v="From Drawing Board to Construction Sites"/>
    <n v="8"/>
    <x v="0"/>
    <x v="7"/>
    <n v="-1"/>
    <n v="0.1"/>
    <n v="1"/>
    <n v="-0.1"/>
    <x v="0"/>
  </r>
  <r>
    <s v="2018-19"/>
    <x v="0"/>
    <x v="6"/>
    <s v="L2"/>
    <s v="Spatial Planning and Organisation"/>
    <s v="From Drawing Board to Construction Sites"/>
    <n v="8"/>
    <x v="1"/>
    <x v="7"/>
    <n v="0"/>
    <n v="0.1"/>
    <n v="1"/>
    <n v="0"/>
    <x v="0"/>
  </r>
  <r>
    <s v="2018-19"/>
    <x v="0"/>
    <x v="6"/>
    <s v="L2"/>
    <s v="Spatial Planning and Organisation"/>
    <s v="From Drawing Board to Construction Sites"/>
    <n v="9"/>
    <x v="0"/>
    <x v="8"/>
    <n v="-1"/>
    <n v="0.05"/>
    <n v="0.85"/>
    <n v="-4.2500000000000003E-2"/>
    <x v="0"/>
  </r>
  <r>
    <s v="2018-19"/>
    <x v="0"/>
    <x v="6"/>
    <s v="L2"/>
    <s v="Spatial Planning and Organisation"/>
    <s v="From Drawing Board to Construction Sites"/>
    <n v="9"/>
    <x v="1"/>
    <x v="8"/>
    <n v="1"/>
    <n v="0.05"/>
    <n v="0.85"/>
    <n v="4.2500000000000003E-2"/>
    <x v="0"/>
  </r>
  <r>
    <s v="2018-19"/>
    <x v="0"/>
    <x v="6"/>
    <s v="L2"/>
    <s v="Spatial Planning and Organisation"/>
    <s v="From Drawing Board to Construction Sites"/>
    <n v="10"/>
    <x v="0"/>
    <x v="8"/>
    <n v="0"/>
    <n v="0.05"/>
    <n v="0.85"/>
    <n v="0"/>
    <x v="0"/>
  </r>
  <r>
    <s v="2018-19"/>
    <x v="0"/>
    <x v="6"/>
    <s v="L2"/>
    <s v="Spatial Planning and Organisation"/>
    <s v="From Drawing Board to Construction Sites"/>
    <n v="10"/>
    <x v="1"/>
    <x v="8"/>
    <n v="0"/>
    <n v="0.05"/>
    <n v="0.85"/>
    <n v="0"/>
    <x v="0"/>
  </r>
  <r>
    <s v="2018-19"/>
    <x v="0"/>
    <x v="6"/>
    <s v="L2"/>
    <s v="Spatial Planning and Organisation"/>
    <s v="From Drawing Board to Construction Sites"/>
    <n v="11"/>
    <x v="0"/>
    <x v="9"/>
    <n v="-1"/>
    <n v="0.05"/>
    <n v="1"/>
    <n v="-0.05"/>
    <x v="0"/>
  </r>
  <r>
    <s v="2018-19"/>
    <x v="0"/>
    <x v="6"/>
    <s v="L2"/>
    <s v="Spatial Planning and Organisation"/>
    <s v="From Drawing Board to Construction Sites"/>
    <n v="11"/>
    <x v="1"/>
    <x v="9"/>
    <n v="-1"/>
    <n v="0.05"/>
    <n v="1"/>
    <n v="-0.05"/>
    <x v="0"/>
  </r>
  <r>
    <s v="2018-19"/>
    <x v="0"/>
    <x v="7"/>
    <s v="L2"/>
    <s v="Visualization and Communication, Spatial Planning and Organisation"/>
    <s v="Master’s Stroke"/>
    <n v="1"/>
    <x v="0"/>
    <x v="0"/>
    <n v="1"/>
    <n v="0.12"/>
    <n v="1"/>
    <n v="0.12"/>
    <x v="0"/>
  </r>
  <r>
    <s v="2018-19"/>
    <x v="0"/>
    <x v="7"/>
    <s v="L2"/>
    <s v="Visualization and Communication, Spatial Planning and Organisation"/>
    <s v="Master’s Stroke"/>
    <n v="1"/>
    <x v="1"/>
    <x v="0"/>
    <n v="1"/>
    <n v="0.12"/>
    <n v="1"/>
    <n v="0.12"/>
    <x v="0"/>
  </r>
  <r>
    <s v="2018-19"/>
    <x v="0"/>
    <x v="7"/>
    <s v="L2"/>
    <s v="Visualization and Communication, Spatial Planning and Organisation"/>
    <s v="Master’s Stroke"/>
    <n v="2"/>
    <x v="0"/>
    <x v="1"/>
    <n v="1"/>
    <n v="0.08"/>
    <n v="0.8"/>
    <n v="6.4000000000000001E-2"/>
    <x v="0"/>
  </r>
  <r>
    <s v="2018-19"/>
    <x v="0"/>
    <x v="7"/>
    <s v="L2"/>
    <s v="Visualization and Communication, Spatial Planning and Organisation"/>
    <s v="Master’s Stroke"/>
    <n v="2"/>
    <x v="1"/>
    <x v="1"/>
    <n v="1"/>
    <n v="0.08"/>
    <n v="0.8"/>
    <n v="6.4000000000000001E-2"/>
    <x v="0"/>
  </r>
  <r>
    <s v="2018-19"/>
    <x v="0"/>
    <x v="7"/>
    <s v="L2"/>
    <s v="Visualization and Communication, Spatial Planning and Organisation"/>
    <s v="Master’s Stroke"/>
    <n v="3"/>
    <x v="0"/>
    <x v="2"/>
    <n v="1"/>
    <n v="0.05"/>
    <n v="1"/>
    <n v="0.05"/>
    <x v="0"/>
  </r>
  <r>
    <s v="2018-19"/>
    <x v="0"/>
    <x v="7"/>
    <s v="L2"/>
    <s v="Visualization and Communication, Spatial Planning and Organisation"/>
    <s v="Master’s Stroke"/>
    <n v="3"/>
    <x v="1"/>
    <x v="2"/>
    <n v="1"/>
    <n v="0.05"/>
    <n v="1"/>
    <n v="0.05"/>
    <x v="0"/>
  </r>
  <r>
    <s v="2018-19"/>
    <x v="0"/>
    <x v="7"/>
    <s v="L2"/>
    <s v="Visualization and Communication, Spatial Planning and Organisation"/>
    <s v="Master’s Stroke"/>
    <n v="4"/>
    <x v="0"/>
    <x v="3"/>
    <n v="1"/>
    <n v="0.14000000000000001"/>
    <n v="1"/>
    <n v="0.14000000000000001"/>
    <x v="0"/>
  </r>
  <r>
    <s v="2018-19"/>
    <x v="0"/>
    <x v="7"/>
    <s v="L2"/>
    <s v="Visualization and Communication, Spatial Planning and Organisation"/>
    <s v="Master’s Stroke"/>
    <n v="4"/>
    <x v="1"/>
    <x v="3"/>
    <n v="1"/>
    <n v="0.14000000000000001"/>
    <n v="1"/>
    <n v="0.14000000000000001"/>
    <x v="0"/>
  </r>
  <r>
    <s v="2018-19"/>
    <x v="0"/>
    <x v="7"/>
    <s v="L2"/>
    <s v="Visualization and Communication, Spatial Planning and Organisation"/>
    <s v="Master’s Stroke"/>
    <n v="5"/>
    <x v="0"/>
    <x v="4"/>
    <n v="1"/>
    <n v="0.11"/>
    <n v="1"/>
    <n v="0.11"/>
    <x v="0"/>
  </r>
  <r>
    <s v="2018-19"/>
    <x v="0"/>
    <x v="7"/>
    <s v="L2"/>
    <s v="Visualization and Communication, Spatial Planning and Organisation"/>
    <s v="Master’s Stroke"/>
    <n v="5"/>
    <x v="1"/>
    <x v="4"/>
    <n v="1"/>
    <n v="0.11"/>
    <n v="1"/>
    <n v="0.11"/>
    <x v="0"/>
  </r>
  <r>
    <s v="2018-19"/>
    <x v="0"/>
    <x v="7"/>
    <s v="L2"/>
    <s v="Visualization and Communication, Spatial Planning and Organisation"/>
    <s v="Master’s Stroke"/>
    <n v="6"/>
    <x v="0"/>
    <x v="5"/>
    <n v="1"/>
    <n v="0.15"/>
    <n v="1"/>
    <n v="0.15"/>
    <x v="0"/>
  </r>
  <r>
    <s v="2018-19"/>
    <x v="0"/>
    <x v="7"/>
    <s v="L2"/>
    <s v="Visualization and Communication, Spatial Planning and Organisation"/>
    <s v="Master’s Stroke"/>
    <n v="6"/>
    <x v="1"/>
    <x v="5"/>
    <n v="1"/>
    <n v="0.15"/>
    <n v="1"/>
    <n v="0.15"/>
    <x v="0"/>
  </r>
  <r>
    <s v="2018-19"/>
    <x v="0"/>
    <x v="7"/>
    <s v="L2"/>
    <s v="Visualization and Communication, Spatial Planning and Organisation"/>
    <s v="Master’s Stroke"/>
    <n v="7"/>
    <x v="0"/>
    <x v="6"/>
    <n v="1"/>
    <n v="0.1"/>
    <n v="1"/>
    <n v="0.1"/>
    <x v="0"/>
  </r>
  <r>
    <s v="2018-19"/>
    <x v="0"/>
    <x v="7"/>
    <s v="L2"/>
    <s v="Visualization and Communication, Spatial Planning and Organisation"/>
    <s v="Master’s Stroke"/>
    <n v="7"/>
    <x v="1"/>
    <x v="6"/>
    <n v="1"/>
    <n v="0.1"/>
    <n v="1"/>
    <n v="0.1"/>
    <x v="0"/>
  </r>
  <r>
    <s v="2018-19"/>
    <x v="0"/>
    <x v="7"/>
    <s v="L2"/>
    <s v="Visualization and Communication, Spatial Planning and Organisation"/>
    <s v="Master’s Stroke"/>
    <n v="8"/>
    <x v="0"/>
    <x v="7"/>
    <n v="1"/>
    <n v="0.1"/>
    <n v="1"/>
    <n v="0.1"/>
    <x v="0"/>
  </r>
  <r>
    <s v="2018-19"/>
    <x v="0"/>
    <x v="7"/>
    <s v="L2"/>
    <s v="Visualization and Communication, Spatial Planning and Organisation"/>
    <s v="Master’s Stroke"/>
    <n v="8"/>
    <x v="1"/>
    <x v="7"/>
    <n v="1"/>
    <n v="0.1"/>
    <n v="1"/>
    <n v="0.1"/>
    <x v="0"/>
  </r>
  <r>
    <s v="2018-19"/>
    <x v="0"/>
    <x v="7"/>
    <s v="L2"/>
    <s v="Visualization and Communication, Spatial Planning and Organisation"/>
    <s v="Master’s Stroke"/>
    <n v="9"/>
    <x v="0"/>
    <x v="8"/>
    <n v="1"/>
    <n v="0.05"/>
    <n v="0.85"/>
    <n v="4.2500000000000003E-2"/>
    <x v="0"/>
  </r>
  <r>
    <s v="2018-19"/>
    <x v="0"/>
    <x v="7"/>
    <s v="L2"/>
    <s v="Visualization and Communication, Spatial Planning and Organisation"/>
    <s v="Master’s Stroke"/>
    <n v="9"/>
    <x v="1"/>
    <x v="8"/>
    <n v="1"/>
    <n v="0.05"/>
    <n v="0.85"/>
    <n v="4.2500000000000003E-2"/>
    <x v="0"/>
  </r>
  <r>
    <s v="2018-19"/>
    <x v="0"/>
    <x v="7"/>
    <s v="L2"/>
    <s v="Visualization and Communication, Spatial Planning and Organisation"/>
    <s v="Master’s Stroke"/>
    <n v="10"/>
    <x v="0"/>
    <x v="8"/>
    <n v="1"/>
    <n v="0.05"/>
    <n v="0.85"/>
    <n v="4.2500000000000003E-2"/>
    <x v="0"/>
  </r>
  <r>
    <s v="2018-19"/>
    <x v="0"/>
    <x v="7"/>
    <s v="L2"/>
    <s v="Visualization and Communication, Spatial Planning and Organisation"/>
    <s v="Master’s Stroke"/>
    <n v="10"/>
    <x v="1"/>
    <x v="8"/>
    <n v="1"/>
    <n v="0.05"/>
    <n v="0.85"/>
    <n v="4.2500000000000003E-2"/>
    <x v="0"/>
  </r>
  <r>
    <s v="2018-19"/>
    <x v="0"/>
    <x v="7"/>
    <s v="L2"/>
    <s v="Visualization and Communication, Spatial Planning and Organisation"/>
    <s v="Master’s Stroke"/>
    <n v="11"/>
    <x v="0"/>
    <x v="9"/>
    <n v="1"/>
    <n v="0.05"/>
    <n v="1"/>
    <n v="0.05"/>
    <x v="0"/>
  </r>
  <r>
    <s v="2018-19"/>
    <x v="0"/>
    <x v="7"/>
    <s v="L2"/>
    <s v="Visualization and Communication, Spatial Planning and Organisation"/>
    <s v="Master’s Stroke"/>
    <n v="11"/>
    <x v="1"/>
    <x v="9"/>
    <n v="1"/>
    <n v="0.05"/>
    <n v="1"/>
    <n v="0.05"/>
    <x v="0"/>
  </r>
  <r>
    <s v="2018-19"/>
    <x v="0"/>
    <x v="8"/>
    <s v="L2"/>
    <s v="Visualization and Communication, Spatial Planning and Organisation"/>
    <s v="Exploring Building Typology"/>
    <n v="1"/>
    <x v="0"/>
    <x v="0"/>
    <n v="0"/>
    <n v="0.12"/>
    <n v="1"/>
    <n v="0"/>
    <x v="0"/>
  </r>
  <r>
    <s v="2018-19"/>
    <x v="0"/>
    <x v="8"/>
    <s v="L2"/>
    <s v="Visualization and Communication, Spatial Planning and Organisation"/>
    <s v="Exploring Building Typology"/>
    <n v="1"/>
    <x v="1"/>
    <x v="0"/>
    <n v="1"/>
    <n v="0.12"/>
    <n v="1"/>
    <n v="0.12"/>
    <x v="0"/>
  </r>
  <r>
    <s v="2018-19"/>
    <x v="0"/>
    <x v="8"/>
    <s v="L2"/>
    <s v="Visualization and Communication, Spatial Planning and Organisation"/>
    <s v="Exploring Building Typology"/>
    <n v="2"/>
    <x v="0"/>
    <x v="1"/>
    <n v="0"/>
    <n v="0.08"/>
    <n v="0.8"/>
    <n v="0"/>
    <x v="0"/>
  </r>
  <r>
    <s v="2018-19"/>
    <x v="0"/>
    <x v="8"/>
    <s v="L2"/>
    <s v="Visualization and Communication, Spatial Planning and Organisation"/>
    <s v="Exploring Building Typology"/>
    <n v="2"/>
    <x v="1"/>
    <x v="1"/>
    <n v="0"/>
    <n v="0.08"/>
    <n v="0.8"/>
    <n v="0"/>
    <x v="0"/>
  </r>
  <r>
    <s v="2018-19"/>
    <x v="0"/>
    <x v="8"/>
    <s v="L2"/>
    <s v="Visualization and Communication, Spatial Planning and Organisation"/>
    <s v="Exploring Building Typology"/>
    <n v="3"/>
    <x v="0"/>
    <x v="2"/>
    <n v="0"/>
    <n v="0.05"/>
    <n v="1"/>
    <n v="0"/>
    <x v="0"/>
  </r>
  <r>
    <s v="2018-19"/>
    <x v="0"/>
    <x v="8"/>
    <s v="L2"/>
    <s v="Visualization and Communication, Spatial Planning and Organisation"/>
    <s v="Exploring Building Typology"/>
    <n v="3"/>
    <x v="1"/>
    <x v="2"/>
    <n v="-1"/>
    <n v="0.05"/>
    <n v="1"/>
    <n v="-0.05"/>
    <x v="0"/>
  </r>
  <r>
    <s v="2018-19"/>
    <x v="0"/>
    <x v="8"/>
    <s v="L2"/>
    <s v="Visualization and Communication, Spatial Planning and Organisation"/>
    <s v="Exploring Building Typology"/>
    <n v="4"/>
    <x v="0"/>
    <x v="3"/>
    <n v="-1"/>
    <n v="0.14000000000000001"/>
    <n v="1"/>
    <n v="-0.14000000000000001"/>
    <x v="0"/>
  </r>
  <r>
    <s v="2018-19"/>
    <x v="0"/>
    <x v="8"/>
    <s v="L2"/>
    <s v="Visualization and Communication, Spatial Planning and Organisation"/>
    <s v="Exploring Building Typology"/>
    <n v="4"/>
    <x v="1"/>
    <x v="3"/>
    <n v="-1"/>
    <n v="0.14000000000000001"/>
    <n v="1"/>
    <n v="-0.14000000000000001"/>
    <x v="0"/>
  </r>
  <r>
    <s v="2018-19"/>
    <x v="0"/>
    <x v="8"/>
    <s v="L2"/>
    <s v="Visualization and Communication, Spatial Planning and Organisation"/>
    <s v="Exploring Building Typology"/>
    <n v="5"/>
    <x v="0"/>
    <x v="4"/>
    <n v="0"/>
    <n v="0.11"/>
    <n v="1"/>
    <n v="0"/>
    <x v="0"/>
  </r>
  <r>
    <s v="2018-19"/>
    <x v="0"/>
    <x v="8"/>
    <s v="L2"/>
    <s v="Visualization and Communication, Spatial Planning and Organisation"/>
    <s v="Exploring Building Typology"/>
    <n v="5"/>
    <x v="1"/>
    <x v="4"/>
    <n v="-1"/>
    <n v="0.11"/>
    <n v="1"/>
    <n v="-0.11"/>
    <x v="0"/>
  </r>
  <r>
    <s v="2018-19"/>
    <x v="0"/>
    <x v="8"/>
    <s v="L2"/>
    <s v="Visualization and Communication, Spatial Planning and Organisation"/>
    <s v="Exploring Building Typology"/>
    <n v="6"/>
    <x v="0"/>
    <x v="5"/>
    <n v="-1"/>
    <n v="0.15"/>
    <n v="1"/>
    <n v="-0.15"/>
    <x v="0"/>
  </r>
  <r>
    <s v="2018-19"/>
    <x v="0"/>
    <x v="8"/>
    <s v="L2"/>
    <s v="Visualization and Communication, Spatial Planning and Organisation"/>
    <s v="Exploring Building Typology"/>
    <n v="6"/>
    <x v="1"/>
    <x v="5"/>
    <n v="-1"/>
    <n v="0.15"/>
    <n v="1"/>
    <n v="-0.15"/>
    <x v="0"/>
  </r>
  <r>
    <s v="2018-19"/>
    <x v="0"/>
    <x v="8"/>
    <s v="L2"/>
    <s v="Visualization and Communication, Spatial Planning and Organisation"/>
    <s v="Exploring Building Typology"/>
    <n v="7"/>
    <x v="0"/>
    <x v="6"/>
    <n v="-1"/>
    <n v="0.1"/>
    <n v="1"/>
    <n v="-0.1"/>
    <x v="0"/>
  </r>
  <r>
    <s v="2018-19"/>
    <x v="0"/>
    <x v="8"/>
    <s v="L2"/>
    <s v="Visualization and Communication, Spatial Planning and Organisation"/>
    <s v="Exploring Building Typology"/>
    <n v="7"/>
    <x v="1"/>
    <x v="6"/>
    <n v="-1"/>
    <n v="0.1"/>
    <n v="1"/>
    <n v="-0.1"/>
    <x v="0"/>
  </r>
  <r>
    <s v="2018-19"/>
    <x v="0"/>
    <x v="8"/>
    <s v="L2"/>
    <s v="Visualization and Communication, Spatial Planning and Organisation"/>
    <s v="Exploring Building Typology"/>
    <n v="8"/>
    <x v="0"/>
    <x v="7"/>
    <n v="-1"/>
    <n v="0.1"/>
    <n v="1"/>
    <n v="-0.1"/>
    <x v="0"/>
  </r>
  <r>
    <s v="2018-19"/>
    <x v="0"/>
    <x v="8"/>
    <s v="L2"/>
    <s v="Visualization and Communication, Spatial Planning and Organisation"/>
    <s v="Exploring Building Typology"/>
    <n v="8"/>
    <x v="1"/>
    <x v="7"/>
    <n v="0"/>
    <n v="0.1"/>
    <n v="1"/>
    <n v="0"/>
    <x v="0"/>
  </r>
  <r>
    <s v="2018-19"/>
    <x v="0"/>
    <x v="8"/>
    <s v="L2"/>
    <s v="Visualization and Communication, Spatial Planning and Organisation"/>
    <s v="Exploring Building Typology"/>
    <n v="9"/>
    <x v="0"/>
    <x v="8"/>
    <n v="0"/>
    <n v="0.05"/>
    <n v="0.85"/>
    <n v="0"/>
    <x v="0"/>
  </r>
  <r>
    <s v="2018-19"/>
    <x v="0"/>
    <x v="8"/>
    <s v="L2"/>
    <s v="Visualization and Communication, Spatial Planning and Organisation"/>
    <s v="Exploring Building Typology"/>
    <n v="9"/>
    <x v="1"/>
    <x v="8"/>
    <n v="0"/>
    <n v="0.05"/>
    <n v="0.85"/>
    <n v="0"/>
    <x v="0"/>
  </r>
  <r>
    <s v="2018-19"/>
    <x v="0"/>
    <x v="8"/>
    <s v="L2"/>
    <s v="Visualization and Communication, Spatial Planning and Organisation"/>
    <s v="Exploring Building Typology"/>
    <n v="10"/>
    <x v="0"/>
    <x v="8"/>
    <n v="0"/>
    <n v="0.05"/>
    <n v="0.85"/>
    <n v="0"/>
    <x v="0"/>
  </r>
  <r>
    <s v="2018-19"/>
    <x v="0"/>
    <x v="8"/>
    <s v="L2"/>
    <s v="Visualization and Communication, Spatial Planning and Organisation"/>
    <s v="Exploring Building Typology"/>
    <n v="10"/>
    <x v="1"/>
    <x v="8"/>
    <n v="0"/>
    <n v="0.05"/>
    <n v="0.85"/>
    <n v="0"/>
    <x v="0"/>
  </r>
  <r>
    <s v="2018-19"/>
    <x v="0"/>
    <x v="8"/>
    <s v="L2"/>
    <s v="Visualization and Communication, Spatial Planning and Organisation"/>
    <s v="Exploring Building Typology"/>
    <n v="11"/>
    <x v="0"/>
    <x v="9"/>
    <n v="-1"/>
    <n v="0.05"/>
    <n v="1"/>
    <n v="-0.05"/>
    <x v="0"/>
  </r>
  <r>
    <s v="2018-19"/>
    <x v="0"/>
    <x v="8"/>
    <s v="L2"/>
    <s v="Visualization and Communication, Spatial Planning and Organisation"/>
    <s v="Exploring Building Typology"/>
    <n v="11"/>
    <x v="1"/>
    <x v="9"/>
    <n v="-1"/>
    <n v="0.05"/>
    <n v="1"/>
    <n v="-0.05"/>
    <x v="0"/>
  </r>
  <r>
    <s v="2018-19"/>
    <x v="0"/>
    <x v="9"/>
    <s v="L2"/>
    <s v="Constructing and Specifying"/>
    <s v="Tectonic Operations"/>
    <n v="1"/>
    <x v="0"/>
    <x v="0"/>
    <n v="1"/>
    <n v="0.12"/>
    <n v="1"/>
    <n v="0.12"/>
    <x v="0"/>
  </r>
  <r>
    <s v="2018-19"/>
    <x v="0"/>
    <x v="9"/>
    <s v="L2"/>
    <s v="Constructing and Specifying"/>
    <s v="Tectonic Operations"/>
    <n v="1"/>
    <x v="1"/>
    <x v="0"/>
    <n v="1"/>
    <n v="0.12"/>
    <n v="1"/>
    <n v="0.12"/>
    <x v="0"/>
  </r>
  <r>
    <s v="2018-19"/>
    <x v="0"/>
    <x v="9"/>
    <s v="L2"/>
    <s v="Constructing and Specifying"/>
    <s v="Tectonic Operations"/>
    <n v="2"/>
    <x v="0"/>
    <x v="1"/>
    <n v="1"/>
    <n v="0.08"/>
    <n v="0.8"/>
    <n v="6.4000000000000001E-2"/>
    <x v="0"/>
  </r>
  <r>
    <s v="2018-19"/>
    <x v="0"/>
    <x v="9"/>
    <s v="L2"/>
    <s v="Constructing and Specifying"/>
    <s v="Tectonic Operations"/>
    <n v="2"/>
    <x v="1"/>
    <x v="1"/>
    <n v="1"/>
    <n v="0.08"/>
    <n v="0.8"/>
    <n v="6.4000000000000001E-2"/>
    <x v="0"/>
  </r>
  <r>
    <s v="2018-19"/>
    <x v="0"/>
    <x v="9"/>
    <s v="L2"/>
    <s v="Constructing and Specifying"/>
    <s v="Tectonic Operations"/>
    <n v="3"/>
    <x v="0"/>
    <x v="2"/>
    <n v="1"/>
    <n v="0.05"/>
    <n v="1"/>
    <n v="0.05"/>
    <x v="0"/>
  </r>
  <r>
    <s v="2018-19"/>
    <x v="0"/>
    <x v="9"/>
    <s v="L2"/>
    <s v="Constructing and Specifying"/>
    <s v="Tectonic Operations"/>
    <n v="3"/>
    <x v="1"/>
    <x v="2"/>
    <n v="1"/>
    <n v="0.05"/>
    <n v="1"/>
    <n v="0.05"/>
    <x v="0"/>
  </r>
  <r>
    <s v="2018-19"/>
    <x v="0"/>
    <x v="9"/>
    <s v="L2"/>
    <s v="Constructing and Specifying"/>
    <s v="Tectonic Operations"/>
    <n v="4"/>
    <x v="0"/>
    <x v="3"/>
    <n v="1"/>
    <n v="0.14000000000000001"/>
    <n v="1"/>
    <n v="0.14000000000000001"/>
    <x v="0"/>
  </r>
  <r>
    <s v="2018-19"/>
    <x v="0"/>
    <x v="9"/>
    <s v="L2"/>
    <s v="Constructing and Specifying"/>
    <s v="Tectonic Operations"/>
    <n v="4"/>
    <x v="1"/>
    <x v="3"/>
    <n v="1"/>
    <n v="0.14000000000000001"/>
    <n v="1"/>
    <n v="0.14000000000000001"/>
    <x v="0"/>
  </r>
  <r>
    <s v="2018-19"/>
    <x v="0"/>
    <x v="9"/>
    <s v="L2"/>
    <s v="Constructing and Specifying"/>
    <s v="Tectonic Operations"/>
    <n v="5"/>
    <x v="0"/>
    <x v="4"/>
    <n v="1"/>
    <n v="0.11"/>
    <n v="1"/>
    <n v="0.11"/>
    <x v="0"/>
  </r>
  <r>
    <s v="2018-19"/>
    <x v="0"/>
    <x v="9"/>
    <s v="L2"/>
    <s v="Constructing and Specifying"/>
    <s v="Tectonic Operations"/>
    <n v="5"/>
    <x v="1"/>
    <x v="4"/>
    <n v="1"/>
    <n v="0.11"/>
    <n v="1"/>
    <n v="0.11"/>
    <x v="0"/>
  </r>
  <r>
    <s v="2018-19"/>
    <x v="0"/>
    <x v="9"/>
    <s v="L2"/>
    <s v="Constructing and Specifying"/>
    <s v="Tectonic Operations"/>
    <n v="6"/>
    <x v="0"/>
    <x v="5"/>
    <n v="1"/>
    <n v="0.15"/>
    <n v="1"/>
    <n v="0.15"/>
    <x v="0"/>
  </r>
  <r>
    <s v="2018-19"/>
    <x v="0"/>
    <x v="9"/>
    <s v="L2"/>
    <s v="Constructing and Specifying"/>
    <s v="Tectonic Operations"/>
    <n v="6"/>
    <x v="1"/>
    <x v="5"/>
    <n v="1"/>
    <n v="0.15"/>
    <n v="1"/>
    <n v="0.15"/>
    <x v="0"/>
  </r>
  <r>
    <s v="2018-19"/>
    <x v="0"/>
    <x v="9"/>
    <s v="L2"/>
    <s v="Constructing and Specifying"/>
    <s v="Tectonic Operations"/>
    <n v="7"/>
    <x v="0"/>
    <x v="6"/>
    <n v="1"/>
    <n v="0.1"/>
    <n v="1"/>
    <n v="0.1"/>
    <x v="0"/>
  </r>
  <r>
    <s v="2018-19"/>
    <x v="0"/>
    <x v="9"/>
    <s v="L2"/>
    <s v="Constructing and Specifying"/>
    <s v="Tectonic Operations"/>
    <n v="7"/>
    <x v="1"/>
    <x v="6"/>
    <n v="1"/>
    <n v="0.1"/>
    <n v="1"/>
    <n v="0.1"/>
    <x v="0"/>
  </r>
  <r>
    <s v="2018-19"/>
    <x v="0"/>
    <x v="9"/>
    <s v="L2"/>
    <s v="Constructing and Specifying"/>
    <s v="Tectonic Operations"/>
    <n v="8"/>
    <x v="0"/>
    <x v="7"/>
    <n v="1"/>
    <n v="0.1"/>
    <n v="1"/>
    <n v="0.1"/>
    <x v="0"/>
  </r>
  <r>
    <s v="2018-19"/>
    <x v="0"/>
    <x v="9"/>
    <s v="L2"/>
    <s v="Constructing and Specifying"/>
    <s v="Tectonic Operations"/>
    <n v="8"/>
    <x v="1"/>
    <x v="7"/>
    <n v="1"/>
    <n v="0.1"/>
    <n v="1"/>
    <n v="0.1"/>
    <x v="0"/>
  </r>
  <r>
    <s v="2018-19"/>
    <x v="0"/>
    <x v="9"/>
    <s v="L2"/>
    <s v="Constructing and Specifying"/>
    <s v="Tectonic Operations"/>
    <n v="9"/>
    <x v="0"/>
    <x v="8"/>
    <n v="1"/>
    <n v="0.05"/>
    <n v="0.85"/>
    <n v="4.2500000000000003E-2"/>
    <x v="0"/>
  </r>
  <r>
    <s v="2018-19"/>
    <x v="0"/>
    <x v="9"/>
    <s v="L2"/>
    <s v="Constructing and Specifying"/>
    <s v="Tectonic Operations"/>
    <n v="9"/>
    <x v="1"/>
    <x v="8"/>
    <n v="1"/>
    <n v="0.05"/>
    <n v="0.85"/>
    <n v="4.2500000000000003E-2"/>
    <x v="0"/>
  </r>
  <r>
    <s v="2018-19"/>
    <x v="0"/>
    <x v="9"/>
    <s v="L2"/>
    <s v="Constructing and Specifying"/>
    <s v="Tectonic Operations"/>
    <n v="10"/>
    <x v="0"/>
    <x v="8"/>
    <n v="1"/>
    <n v="0.05"/>
    <n v="0.85"/>
    <n v="4.2500000000000003E-2"/>
    <x v="0"/>
  </r>
  <r>
    <s v="2018-19"/>
    <x v="0"/>
    <x v="9"/>
    <s v="L2"/>
    <s v="Constructing and Specifying"/>
    <s v="Tectonic Operations"/>
    <n v="10"/>
    <x v="1"/>
    <x v="8"/>
    <n v="1"/>
    <n v="0.05"/>
    <n v="0.85"/>
    <n v="4.2500000000000003E-2"/>
    <x v="0"/>
  </r>
  <r>
    <s v="2018-19"/>
    <x v="0"/>
    <x v="9"/>
    <s v="L2"/>
    <s v="Constructing and Specifying"/>
    <s v="Tectonic Operations"/>
    <n v="11"/>
    <x v="0"/>
    <x v="9"/>
    <n v="1"/>
    <n v="0.05"/>
    <n v="1"/>
    <n v="0.05"/>
    <x v="0"/>
  </r>
  <r>
    <s v="2018-19"/>
    <x v="0"/>
    <x v="9"/>
    <s v="L2"/>
    <s v="Constructing and Specifying"/>
    <s v="Tectonic Operations"/>
    <n v="11"/>
    <x v="1"/>
    <x v="9"/>
    <n v="1"/>
    <n v="0.05"/>
    <n v="1"/>
    <n v="0.05"/>
    <x v="0"/>
  </r>
  <r>
    <s v="2018-19"/>
    <x v="0"/>
    <x v="10"/>
    <s v="L2"/>
    <s v="Visualization and Communication, Spatial Organization and Planning"/>
    <s v="Co production of Differential Spaces"/>
    <n v="1"/>
    <x v="0"/>
    <x v="0"/>
    <n v="0"/>
    <n v="0.12"/>
    <n v="1"/>
    <n v="0"/>
    <x v="0"/>
  </r>
  <r>
    <s v="2018-19"/>
    <x v="0"/>
    <x v="10"/>
    <s v="L2"/>
    <s v="Visualization and Communication, Spatial Organization and Planning"/>
    <s v="Co production of Differential Spaces"/>
    <n v="1"/>
    <x v="1"/>
    <x v="0"/>
    <n v="0"/>
    <n v="0.12"/>
    <n v="1"/>
    <n v="0"/>
    <x v="0"/>
  </r>
  <r>
    <s v="2018-19"/>
    <x v="0"/>
    <x v="10"/>
    <s v="L2"/>
    <s v="Visualization and Communication, Spatial Organization and Planning"/>
    <s v="Co production of Differential Spaces"/>
    <n v="2"/>
    <x v="0"/>
    <x v="1"/>
    <n v="0"/>
    <n v="0.08"/>
    <n v="0.8"/>
    <n v="0"/>
    <x v="0"/>
  </r>
  <r>
    <s v="2018-19"/>
    <x v="0"/>
    <x v="10"/>
    <s v="L2"/>
    <s v="Visualization and Communication, Spatial Organization and Planning"/>
    <s v="Co production of Differential Spaces"/>
    <n v="2"/>
    <x v="1"/>
    <x v="1"/>
    <n v="0"/>
    <n v="0.08"/>
    <n v="0.8"/>
    <n v="0"/>
    <x v="0"/>
  </r>
  <r>
    <s v="2018-19"/>
    <x v="0"/>
    <x v="10"/>
    <s v="L2"/>
    <s v="Visualization and Communication, Spatial Organization and Planning"/>
    <s v="Co production of Differential Spaces"/>
    <n v="3"/>
    <x v="0"/>
    <x v="2"/>
    <n v="0"/>
    <n v="0.05"/>
    <n v="1"/>
    <n v="0"/>
    <x v="0"/>
  </r>
  <r>
    <s v="2018-19"/>
    <x v="0"/>
    <x v="10"/>
    <s v="L2"/>
    <s v="Visualization and Communication, Spatial Organization and Planning"/>
    <s v="Co production of Differential Spaces"/>
    <n v="3"/>
    <x v="1"/>
    <x v="2"/>
    <n v="0"/>
    <n v="0.05"/>
    <n v="1"/>
    <n v="0"/>
    <x v="0"/>
  </r>
  <r>
    <s v="2018-19"/>
    <x v="0"/>
    <x v="10"/>
    <s v="L2"/>
    <s v="Visualization and Communication, Spatial Organization and Planning"/>
    <s v="Co production of Differential Spaces"/>
    <n v="4"/>
    <x v="0"/>
    <x v="3"/>
    <n v="1"/>
    <n v="0.14000000000000001"/>
    <n v="1"/>
    <n v="0.14000000000000001"/>
    <x v="0"/>
  </r>
  <r>
    <s v="2018-19"/>
    <x v="0"/>
    <x v="10"/>
    <s v="L2"/>
    <s v="Visualization and Communication, Spatial Organization and Planning"/>
    <s v="Co production of Differential Spaces"/>
    <n v="4"/>
    <x v="1"/>
    <x v="3"/>
    <n v="-1"/>
    <n v="0.14000000000000001"/>
    <n v="1"/>
    <n v="-0.14000000000000001"/>
    <x v="0"/>
  </r>
  <r>
    <s v="2018-19"/>
    <x v="0"/>
    <x v="10"/>
    <s v="L2"/>
    <s v="Visualization and Communication, Spatial Organization and Planning"/>
    <s v="Co production of Differential Spaces"/>
    <n v="5"/>
    <x v="0"/>
    <x v="4"/>
    <n v="1"/>
    <n v="0.11"/>
    <n v="1"/>
    <n v="0.11"/>
    <x v="0"/>
  </r>
  <r>
    <s v="2018-19"/>
    <x v="0"/>
    <x v="10"/>
    <s v="L2"/>
    <s v="Visualization and Communication, Spatial Organization and Planning"/>
    <s v="Co production of Differential Spaces"/>
    <n v="5"/>
    <x v="1"/>
    <x v="4"/>
    <n v="0"/>
    <n v="0.11"/>
    <n v="1"/>
    <n v="0"/>
    <x v="0"/>
  </r>
  <r>
    <s v="2018-19"/>
    <x v="0"/>
    <x v="10"/>
    <s v="L2"/>
    <s v="Visualization and Communication, Spatial Organization and Planning"/>
    <s v="Co production of Differential Spaces"/>
    <n v="6"/>
    <x v="0"/>
    <x v="5"/>
    <n v="1"/>
    <n v="0.15"/>
    <n v="1"/>
    <n v="0.15"/>
    <x v="0"/>
  </r>
  <r>
    <s v="2018-19"/>
    <x v="0"/>
    <x v="10"/>
    <s v="L2"/>
    <s v="Visualization and Communication, Spatial Organization and Planning"/>
    <s v="Co production of Differential Spaces"/>
    <n v="6"/>
    <x v="1"/>
    <x v="5"/>
    <n v="0"/>
    <n v="0.15"/>
    <n v="1"/>
    <n v="0"/>
    <x v="0"/>
  </r>
  <r>
    <s v="2018-19"/>
    <x v="0"/>
    <x v="10"/>
    <s v="L2"/>
    <s v="Visualization and Communication, Spatial Organization and Planning"/>
    <s v="Co production of Differential Spaces"/>
    <n v="7"/>
    <x v="0"/>
    <x v="6"/>
    <n v="-1"/>
    <n v="0.1"/>
    <n v="1"/>
    <n v="-0.1"/>
    <x v="0"/>
  </r>
  <r>
    <s v="2018-19"/>
    <x v="0"/>
    <x v="10"/>
    <s v="L2"/>
    <s v="Visualization and Communication, Spatial Organization and Planning"/>
    <s v="Co production of Differential Spaces"/>
    <n v="7"/>
    <x v="1"/>
    <x v="6"/>
    <n v="0"/>
    <n v="0.1"/>
    <n v="1"/>
    <n v="0"/>
    <x v="0"/>
  </r>
  <r>
    <s v="2018-19"/>
    <x v="0"/>
    <x v="10"/>
    <s v="L2"/>
    <s v="Visualization and Communication, Spatial Organization and Planning"/>
    <s v="Co production of Differential Spaces"/>
    <n v="8"/>
    <x v="0"/>
    <x v="7"/>
    <n v="-1"/>
    <n v="0.1"/>
    <n v="1"/>
    <n v="-0.1"/>
    <x v="0"/>
  </r>
  <r>
    <s v="2018-19"/>
    <x v="0"/>
    <x v="10"/>
    <s v="L2"/>
    <s v="Visualization and Communication, Spatial Organization and Planning"/>
    <s v="Co production of Differential Spaces"/>
    <n v="8"/>
    <x v="1"/>
    <x v="7"/>
    <n v="-1"/>
    <n v="0.1"/>
    <n v="1"/>
    <n v="-0.1"/>
    <x v="0"/>
  </r>
  <r>
    <s v="2018-19"/>
    <x v="0"/>
    <x v="10"/>
    <s v="L2"/>
    <s v="Visualization and Communication, Spatial Organization and Planning"/>
    <s v="Co production of Differential Spaces"/>
    <n v="9"/>
    <x v="0"/>
    <x v="8"/>
    <n v="-1"/>
    <n v="0.05"/>
    <n v="0.85"/>
    <n v="-4.2500000000000003E-2"/>
    <x v="0"/>
  </r>
  <r>
    <s v="2018-19"/>
    <x v="0"/>
    <x v="10"/>
    <s v="L2"/>
    <s v="Visualization and Communication, Spatial Organization and Planning"/>
    <s v="Co production of Differential Spaces"/>
    <n v="9"/>
    <x v="1"/>
    <x v="8"/>
    <n v="-1"/>
    <n v="0.05"/>
    <n v="0.85"/>
    <n v="-4.2500000000000003E-2"/>
    <x v="0"/>
  </r>
  <r>
    <s v="2018-19"/>
    <x v="0"/>
    <x v="10"/>
    <s v="L2"/>
    <s v="Visualization and Communication, Spatial Organization and Planning"/>
    <s v="Co production of Differential Spaces"/>
    <n v="10"/>
    <x v="0"/>
    <x v="8"/>
    <n v="0"/>
    <n v="0.05"/>
    <n v="0.85"/>
    <n v="0"/>
    <x v="0"/>
  </r>
  <r>
    <s v="2018-19"/>
    <x v="0"/>
    <x v="10"/>
    <s v="L2"/>
    <s v="Visualization and Communication, Spatial Organization and Planning"/>
    <s v="Co production of Differential Spaces"/>
    <n v="10"/>
    <x v="1"/>
    <x v="8"/>
    <n v="0"/>
    <n v="0.05"/>
    <n v="0.85"/>
    <n v="0"/>
    <x v="0"/>
  </r>
  <r>
    <s v="2018-19"/>
    <x v="0"/>
    <x v="10"/>
    <s v="L2"/>
    <s v="Visualization and Communication, Spatial Organization and Planning"/>
    <s v="Co production of Differential Spaces"/>
    <n v="11"/>
    <x v="0"/>
    <x v="9"/>
    <n v="0"/>
    <n v="0.05"/>
    <n v="1"/>
    <n v="0"/>
    <x v="0"/>
  </r>
  <r>
    <s v="2018-19"/>
    <x v="0"/>
    <x v="10"/>
    <s v="L2"/>
    <s v="Visualization and Communication, Spatial Organization and Planning"/>
    <s v="Co production of Differential Spaces"/>
    <n v="11"/>
    <x v="1"/>
    <x v="9"/>
    <n v="-1"/>
    <n v="0.05"/>
    <n v="1"/>
    <n v="-0.05"/>
    <x v="0"/>
  </r>
  <r>
    <s v="2018-19"/>
    <x v="0"/>
    <x v="11"/>
    <s v="L3"/>
    <m/>
    <s v="Maneuvering the New Landscape: Scale, Density and Sustainability"/>
    <n v="1"/>
    <x v="0"/>
    <x v="0"/>
    <n v="0"/>
    <n v="0.12"/>
    <n v="1"/>
    <n v="0"/>
    <x v="0"/>
  </r>
  <r>
    <s v="2018-19"/>
    <x v="0"/>
    <x v="11"/>
    <s v="L3"/>
    <m/>
    <s v="Maneuvering the New Landscape: Scale, Density and Sustainability"/>
    <n v="1"/>
    <x v="1"/>
    <x v="0"/>
    <m/>
    <n v="0.12"/>
    <n v="1"/>
    <n v="0"/>
    <x v="0"/>
  </r>
  <r>
    <s v="2018-19"/>
    <x v="0"/>
    <x v="11"/>
    <s v="L3"/>
    <m/>
    <s v="Maneuvering the New Landscape: Scale, Density and Sustainability"/>
    <n v="2"/>
    <x v="0"/>
    <x v="1"/>
    <m/>
    <n v="0.08"/>
    <n v="0.8"/>
    <n v="0"/>
    <x v="0"/>
  </r>
  <r>
    <s v="2018-19"/>
    <x v="0"/>
    <x v="11"/>
    <s v="L3"/>
    <m/>
    <s v="Maneuvering the New Landscape: Scale, Density and Sustainability"/>
    <n v="2"/>
    <x v="1"/>
    <x v="1"/>
    <m/>
    <n v="0.08"/>
    <n v="0.8"/>
    <n v="0"/>
    <x v="0"/>
  </r>
  <r>
    <s v="2018-19"/>
    <x v="0"/>
    <x v="11"/>
    <s v="L3"/>
    <m/>
    <s v="Maneuvering the New Landscape: Scale, Density and Sustainability"/>
    <n v="3"/>
    <x v="0"/>
    <x v="2"/>
    <n v="1"/>
    <n v="0.05"/>
    <n v="1"/>
    <n v="0.05"/>
    <x v="0"/>
  </r>
  <r>
    <s v="2018-19"/>
    <x v="0"/>
    <x v="11"/>
    <s v="L3"/>
    <m/>
    <s v="Maneuvering the New Landscape: Scale, Density and Sustainability"/>
    <n v="3"/>
    <x v="1"/>
    <x v="2"/>
    <m/>
    <n v="0.05"/>
    <n v="1"/>
    <n v="0"/>
    <x v="0"/>
  </r>
  <r>
    <s v="2018-19"/>
    <x v="0"/>
    <x v="11"/>
    <s v="L3"/>
    <m/>
    <s v="Maneuvering the New Landscape: Scale, Density and Sustainability"/>
    <n v="4"/>
    <x v="0"/>
    <x v="3"/>
    <n v="-1"/>
    <n v="0.14000000000000001"/>
    <n v="1"/>
    <n v="-0.14000000000000001"/>
    <x v="0"/>
  </r>
  <r>
    <s v="2018-19"/>
    <x v="0"/>
    <x v="11"/>
    <s v="L3"/>
    <m/>
    <s v="Maneuvering the New Landscape: Scale, Density and Sustainability"/>
    <n v="4"/>
    <x v="1"/>
    <x v="3"/>
    <n v="-1"/>
    <n v="0.14000000000000001"/>
    <n v="1"/>
    <n v="-0.14000000000000001"/>
    <x v="0"/>
  </r>
  <r>
    <s v="2018-19"/>
    <x v="0"/>
    <x v="11"/>
    <s v="L3"/>
    <m/>
    <s v="Maneuvering the New Landscape: Scale, Density and Sustainability"/>
    <n v="5"/>
    <x v="0"/>
    <x v="4"/>
    <n v="-1"/>
    <n v="0.11"/>
    <n v="1"/>
    <n v="-0.11"/>
    <x v="0"/>
  </r>
  <r>
    <s v="2018-19"/>
    <x v="0"/>
    <x v="11"/>
    <s v="L3"/>
    <m/>
    <s v="Maneuvering the New Landscape: Scale, Density and Sustainability"/>
    <n v="5"/>
    <x v="1"/>
    <x v="4"/>
    <n v="-1"/>
    <n v="0.11"/>
    <n v="1"/>
    <n v="-0.11"/>
    <x v="0"/>
  </r>
  <r>
    <s v="2018-19"/>
    <x v="0"/>
    <x v="11"/>
    <s v="L3"/>
    <m/>
    <s v="Maneuvering the New Landscape: Scale, Density and Sustainability"/>
    <n v="6"/>
    <x v="0"/>
    <x v="5"/>
    <n v="0"/>
    <n v="0.15"/>
    <n v="1"/>
    <n v="0"/>
    <x v="0"/>
  </r>
  <r>
    <s v="2018-19"/>
    <x v="0"/>
    <x v="11"/>
    <s v="L3"/>
    <m/>
    <s v="Maneuvering the New Landscape: Scale, Density and Sustainability"/>
    <n v="6"/>
    <x v="1"/>
    <x v="5"/>
    <n v="-1"/>
    <n v="0.15"/>
    <n v="1"/>
    <n v="-0.15"/>
    <x v="0"/>
  </r>
  <r>
    <s v="2018-19"/>
    <x v="0"/>
    <x v="11"/>
    <s v="L3"/>
    <m/>
    <s v="Maneuvering the New Landscape: Scale, Density and Sustainability"/>
    <n v="7"/>
    <x v="0"/>
    <x v="6"/>
    <n v="0"/>
    <n v="0.1"/>
    <n v="1"/>
    <n v="0"/>
    <x v="0"/>
  </r>
  <r>
    <s v="2018-19"/>
    <x v="0"/>
    <x v="11"/>
    <s v="L3"/>
    <m/>
    <s v="Maneuvering the New Landscape: Scale, Density and Sustainability"/>
    <n v="7"/>
    <x v="1"/>
    <x v="6"/>
    <n v="-1"/>
    <n v="0.1"/>
    <n v="1"/>
    <n v="-0.1"/>
    <x v="0"/>
  </r>
  <r>
    <s v="2018-19"/>
    <x v="0"/>
    <x v="11"/>
    <s v="L3"/>
    <m/>
    <s v="Maneuvering the New Landscape: Scale, Density and Sustainability"/>
    <n v="8"/>
    <x v="0"/>
    <x v="7"/>
    <n v="0"/>
    <n v="0.1"/>
    <n v="1"/>
    <n v="0"/>
    <x v="0"/>
  </r>
  <r>
    <s v="2018-19"/>
    <x v="0"/>
    <x v="11"/>
    <s v="L3"/>
    <m/>
    <s v="Maneuvering the New Landscape: Scale, Density and Sustainability"/>
    <n v="8"/>
    <x v="1"/>
    <x v="7"/>
    <n v="-1"/>
    <n v="0.1"/>
    <n v="1"/>
    <n v="-0.1"/>
    <x v="0"/>
  </r>
  <r>
    <s v="2018-19"/>
    <x v="0"/>
    <x v="11"/>
    <s v="L3"/>
    <m/>
    <s v="Maneuvering the New Landscape: Scale, Density and Sustainability"/>
    <n v="9"/>
    <x v="0"/>
    <x v="8"/>
    <n v="-1"/>
    <n v="0.05"/>
    <n v="0.85"/>
    <n v="-4.2500000000000003E-2"/>
    <x v="0"/>
  </r>
  <r>
    <s v="2018-19"/>
    <x v="0"/>
    <x v="11"/>
    <s v="L3"/>
    <m/>
    <s v="Maneuvering the New Landscape: Scale, Density and Sustainability"/>
    <n v="9"/>
    <x v="1"/>
    <x v="8"/>
    <n v="-1"/>
    <n v="0.05"/>
    <n v="0.85"/>
    <n v="-4.2500000000000003E-2"/>
    <x v="0"/>
  </r>
  <r>
    <s v="2018-19"/>
    <x v="0"/>
    <x v="11"/>
    <s v="L3"/>
    <m/>
    <s v="Maneuvering the New Landscape: Scale, Density and Sustainability"/>
    <n v="10"/>
    <x v="0"/>
    <x v="8"/>
    <n v="0"/>
    <n v="0.05"/>
    <n v="0.85"/>
    <n v="0"/>
    <x v="0"/>
  </r>
  <r>
    <s v="2018-19"/>
    <x v="0"/>
    <x v="11"/>
    <s v="L3"/>
    <m/>
    <s v="Maneuvering the New Landscape: Scale, Density and Sustainability"/>
    <n v="10"/>
    <x v="1"/>
    <x v="8"/>
    <n v="0"/>
    <n v="0.05"/>
    <n v="0.85"/>
    <n v="0"/>
    <x v="0"/>
  </r>
  <r>
    <s v="2018-19"/>
    <x v="0"/>
    <x v="11"/>
    <s v="L3"/>
    <m/>
    <s v="Maneuvering the New Landscape: Scale, Density and Sustainability"/>
    <n v="11"/>
    <x v="0"/>
    <x v="9"/>
    <n v="-1"/>
    <n v="0.05"/>
    <n v="1"/>
    <n v="-0.05"/>
    <x v="0"/>
  </r>
  <r>
    <s v="2018-19"/>
    <x v="0"/>
    <x v="11"/>
    <s v="L3"/>
    <m/>
    <s v="Maneuvering the New Landscape: Scale, Density and Sustainability"/>
    <n v="11"/>
    <x v="1"/>
    <x v="9"/>
    <n v="-1"/>
    <n v="0.05"/>
    <n v="1"/>
    <n v="-0.05"/>
    <x v="0"/>
  </r>
  <r>
    <s v="2018-19"/>
    <x v="0"/>
    <x v="12"/>
    <s v="L3"/>
    <m/>
    <s v="Decoding to code: Emergent Design"/>
    <n v="1"/>
    <x v="0"/>
    <x v="0"/>
    <n v="1"/>
    <n v="0.12"/>
    <n v="1"/>
    <n v="0.12"/>
    <x v="0"/>
  </r>
  <r>
    <s v="2018-19"/>
    <x v="0"/>
    <x v="12"/>
    <s v="L3"/>
    <m/>
    <s v="Decoding to code: Emergent Design"/>
    <n v="1"/>
    <x v="1"/>
    <x v="0"/>
    <n v="0"/>
    <n v="0.12"/>
    <n v="1"/>
    <n v="0"/>
    <x v="0"/>
  </r>
  <r>
    <s v="2018-19"/>
    <x v="0"/>
    <x v="12"/>
    <s v="L3"/>
    <m/>
    <s v="Decoding to code: Emergent Design"/>
    <n v="2"/>
    <x v="0"/>
    <x v="1"/>
    <m/>
    <n v="0.08"/>
    <n v="0.8"/>
    <n v="0"/>
    <x v="0"/>
  </r>
  <r>
    <s v="2018-19"/>
    <x v="0"/>
    <x v="12"/>
    <s v="L3"/>
    <m/>
    <s v="Decoding to code: Emergent Design"/>
    <n v="2"/>
    <x v="1"/>
    <x v="1"/>
    <n v="0"/>
    <n v="0.08"/>
    <n v="0.8"/>
    <n v="0"/>
    <x v="0"/>
  </r>
  <r>
    <s v="2018-19"/>
    <x v="0"/>
    <x v="12"/>
    <s v="L3"/>
    <m/>
    <s v="Decoding to code: Emergent Design"/>
    <n v="3"/>
    <x v="0"/>
    <x v="2"/>
    <n v="1"/>
    <n v="0.05"/>
    <n v="1"/>
    <n v="0.05"/>
    <x v="0"/>
  </r>
  <r>
    <s v="2018-19"/>
    <x v="0"/>
    <x v="12"/>
    <s v="L3"/>
    <m/>
    <s v="Decoding to code: Emergent Design"/>
    <n v="3"/>
    <x v="1"/>
    <x v="2"/>
    <n v="1"/>
    <n v="0.05"/>
    <n v="1"/>
    <n v="0.05"/>
    <x v="0"/>
  </r>
  <r>
    <s v="2018-19"/>
    <x v="0"/>
    <x v="12"/>
    <s v="L3"/>
    <m/>
    <s v="Decoding to code: Emergent Design"/>
    <n v="4"/>
    <x v="0"/>
    <x v="3"/>
    <n v="1"/>
    <n v="0.14000000000000001"/>
    <n v="1"/>
    <n v="0.14000000000000001"/>
    <x v="0"/>
  </r>
  <r>
    <s v="2018-19"/>
    <x v="0"/>
    <x v="12"/>
    <s v="L3"/>
    <m/>
    <s v="Decoding to code: Emergent Design"/>
    <n v="4"/>
    <x v="1"/>
    <x v="3"/>
    <n v="-1"/>
    <n v="0.14000000000000001"/>
    <n v="1"/>
    <n v="-0.14000000000000001"/>
    <x v="0"/>
  </r>
  <r>
    <s v="2018-19"/>
    <x v="0"/>
    <x v="12"/>
    <s v="L3"/>
    <m/>
    <s v="Decoding to code: Emergent Design"/>
    <n v="5"/>
    <x v="0"/>
    <x v="4"/>
    <n v="1"/>
    <n v="0.11"/>
    <n v="1"/>
    <n v="0.11"/>
    <x v="0"/>
  </r>
  <r>
    <s v="2018-19"/>
    <x v="0"/>
    <x v="12"/>
    <s v="L3"/>
    <m/>
    <s v="Decoding to code: Emergent Design"/>
    <n v="5"/>
    <x v="1"/>
    <x v="4"/>
    <n v="0"/>
    <n v="0.11"/>
    <n v="1"/>
    <n v="0"/>
    <x v="0"/>
  </r>
  <r>
    <s v="2018-19"/>
    <x v="0"/>
    <x v="12"/>
    <s v="L3"/>
    <m/>
    <s v="Decoding to code: Emergent Design"/>
    <n v="6"/>
    <x v="0"/>
    <x v="5"/>
    <n v="0"/>
    <n v="0.15"/>
    <n v="1"/>
    <n v="0"/>
    <x v="0"/>
  </r>
  <r>
    <s v="2018-19"/>
    <x v="0"/>
    <x v="12"/>
    <s v="L3"/>
    <m/>
    <s v="Decoding to code: Emergent Design"/>
    <n v="6"/>
    <x v="1"/>
    <x v="5"/>
    <n v="0"/>
    <n v="0.15"/>
    <n v="1"/>
    <n v="0"/>
    <x v="0"/>
  </r>
  <r>
    <s v="2018-19"/>
    <x v="0"/>
    <x v="12"/>
    <s v="L3"/>
    <m/>
    <s v="Decoding to code: Emergent Design"/>
    <n v="7"/>
    <x v="0"/>
    <x v="6"/>
    <n v="1"/>
    <n v="0.1"/>
    <n v="1"/>
    <n v="0.1"/>
    <x v="0"/>
  </r>
  <r>
    <s v="2018-19"/>
    <x v="0"/>
    <x v="12"/>
    <s v="L3"/>
    <m/>
    <s v="Decoding to code: Emergent Design"/>
    <n v="7"/>
    <x v="1"/>
    <x v="6"/>
    <n v="0"/>
    <n v="0.1"/>
    <n v="1"/>
    <n v="0"/>
    <x v="0"/>
  </r>
  <r>
    <s v="2018-19"/>
    <x v="0"/>
    <x v="12"/>
    <s v="L3"/>
    <m/>
    <s v="Decoding to code: Emergent Design"/>
    <n v="8"/>
    <x v="0"/>
    <x v="7"/>
    <n v="0"/>
    <n v="0.1"/>
    <n v="1"/>
    <n v="0"/>
    <x v="0"/>
  </r>
  <r>
    <s v="2018-19"/>
    <x v="0"/>
    <x v="12"/>
    <s v="L3"/>
    <m/>
    <s v="Decoding to code: Emergent Design"/>
    <n v="8"/>
    <x v="1"/>
    <x v="7"/>
    <n v="0"/>
    <n v="0.1"/>
    <n v="1"/>
    <n v="0"/>
    <x v="0"/>
  </r>
  <r>
    <s v="2018-19"/>
    <x v="0"/>
    <x v="12"/>
    <s v="L3"/>
    <m/>
    <s v="Decoding to code: Emergent Design"/>
    <n v="9"/>
    <x v="0"/>
    <x v="8"/>
    <n v="0"/>
    <n v="0.05"/>
    <n v="0.85"/>
    <n v="0"/>
    <x v="0"/>
  </r>
  <r>
    <s v="2018-19"/>
    <x v="0"/>
    <x v="12"/>
    <s v="L3"/>
    <m/>
    <s v="Decoding to code: Emergent Design"/>
    <n v="9"/>
    <x v="1"/>
    <x v="8"/>
    <n v="1"/>
    <n v="0.05"/>
    <n v="0.85"/>
    <n v="4.2500000000000003E-2"/>
    <x v="0"/>
  </r>
  <r>
    <s v="2018-19"/>
    <x v="0"/>
    <x v="12"/>
    <s v="L3"/>
    <m/>
    <s v="Decoding to code: Emergent Design"/>
    <n v="10"/>
    <x v="0"/>
    <x v="8"/>
    <n v="0"/>
    <n v="0.05"/>
    <n v="0.85"/>
    <n v="0"/>
    <x v="0"/>
  </r>
  <r>
    <s v="2018-19"/>
    <x v="0"/>
    <x v="12"/>
    <s v="L3"/>
    <m/>
    <s v="Decoding to code: Emergent Design"/>
    <n v="10"/>
    <x v="1"/>
    <x v="8"/>
    <n v="1"/>
    <n v="0.05"/>
    <n v="0.85"/>
    <n v="4.2500000000000003E-2"/>
    <x v="0"/>
  </r>
  <r>
    <s v="2018-19"/>
    <x v="0"/>
    <x v="12"/>
    <s v="L3"/>
    <m/>
    <s v="Decoding to code: Emergent Design"/>
    <n v="11"/>
    <x v="0"/>
    <x v="9"/>
    <n v="1"/>
    <n v="0.05"/>
    <n v="1"/>
    <n v="0.05"/>
    <x v="0"/>
  </r>
  <r>
    <s v="2018-19"/>
    <x v="0"/>
    <x v="12"/>
    <s v="L3"/>
    <m/>
    <s v="Decoding to code: Emergent Design"/>
    <n v="11"/>
    <x v="1"/>
    <x v="9"/>
    <n v="-1"/>
    <n v="0.05"/>
    <n v="1"/>
    <n v="-0.05"/>
    <x v="0"/>
  </r>
  <r>
    <s v="2018-19"/>
    <x v="0"/>
    <x v="13"/>
    <s v="L3"/>
    <m/>
    <s v="Contemporary Rootedness and Built Expression"/>
    <n v="1"/>
    <x v="0"/>
    <x v="0"/>
    <n v="-1"/>
    <n v="0.12"/>
    <n v="1"/>
    <n v="-0.12"/>
    <x v="0"/>
  </r>
  <r>
    <s v="2018-19"/>
    <x v="0"/>
    <x v="13"/>
    <s v="L3"/>
    <m/>
    <s v="Contemporary Rootedness and Built Expression"/>
    <n v="1"/>
    <x v="1"/>
    <x v="0"/>
    <m/>
    <n v="0.12"/>
    <n v="1"/>
    <n v="0"/>
    <x v="0"/>
  </r>
  <r>
    <s v="2018-19"/>
    <x v="0"/>
    <x v="13"/>
    <s v="L3"/>
    <m/>
    <s v="Contemporary Rootedness and Built Expression"/>
    <n v="2"/>
    <x v="0"/>
    <x v="1"/>
    <m/>
    <n v="0.08"/>
    <n v="0.8"/>
    <n v="0"/>
    <x v="0"/>
  </r>
  <r>
    <s v="2018-19"/>
    <x v="0"/>
    <x v="13"/>
    <s v="L3"/>
    <m/>
    <s v="Contemporary Rootedness and Built Expression"/>
    <n v="2"/>
    <x v="1"/>
    <x v="1"/>
    <m/>
    <n v="0.08"/>
    <n v="0.8"/>
    <n v="0"/>
    <x v="0"/>
  </r>
  <r>
    <s v="2018-19"/>
    <x v="0"/>
    <x v="13"/>
    <s v="L3"/>
    <m/>
    <s v="Contemporary Rootedness and Built Expression"/>
    <n v="3"/>
    <x v="0"/>
    <x v="2"/>
    <n v="0"/>
    <n v="0.05"/>
    <n v="1"/>
    <n v="0"/>
    <x v="0"/>
  </r>
  <r>
    <s v="2018-19"/>
    <x v="0"/>
    <x v="13"/>
    <s v="L3"/>
    <m/>
    <s v="Contemporary Rootedness and Built Expression"/>
    <n v="3"/>
    <x v="1"/>
    <x v="2"/>
    <m/>
    <n v="0.05"/>
    <n v="1"/>
    <n v="0"/>
    <x v="0"/>
  </r>
  <r>
    <s v="2018-19"/>
    <x v="0"/>
    <x v="13"/>
    <s v="L3"/>
    <m/>
    <s v="Contemporary Rootedness and Built Expression"/>
    <n v="4"/>
    <x v="0"/>
    <x v="3"/>
    <n v="-1"/>
    <n v="0.14000000000000001"/>
    <n v="1"/>
    <n v="-0.14000000000000001"/>
    <x v="0"/>
  </r>
  <r>
    <s v="2018-19"/>
    <x v="0"/>
    <x v="13"/>
    <s v="L3"/>
    <m/>
    <s v="Contemporary Rootedness and Built Expression"/>
    <n v="4"/>
    <x v="1"/>
    <x v="3"/>
    <n v="-1"/>
    <n v="0.14000000000000001"/>
    <n v="1"/>
    <n v="-0.14000000000000001"/>
    <x v="0"/>
  </r>
  <r>
    <s v="2018-19"/>
    <x v="0"/>
    <x v="13"/>
    <s v="L3"/>
    <m/>
    <s v="Contemporary Rootedness and Built Expression"/>
    <n v="5"/>
    <x v="0"/>
    <x v="4"/>
    <n v="-1"/>
    <n v="0.11"/>
    <n v="1"/>
    <n v="-0.11"/>
    <x v="0"/>
  </r>
  <r>
    <s v="2018-19"/>
    <x v="0"/>
    <x v="13"/>
    <s v="L3"/>
    <m/>
    <s v="Contemporary Rootedness and Built Expression"/>
    <n v="5"/>
    <x v="1"/>
    <x v="4"/>
    <n v="-1"/>
    <n v="0.11"/>
    <n v="1"/>
    <n v="-0.11"/>
    <x v="0"/>
  </r>
  <r>
    <s v="2018-19"/>
    <x v="0"/>
    <x v="13"/>
    <s v="L3"/>
    <m/>
    <s v="Contemporary Rootedness and Built Expression"/>
    <n v="6"/>
    <x v="0"/>
    <x v="5"/>
    <n v="-1"/>
    <n v="0.15"/>
    <n v="1"/>
    <n v="-0.15"/>
    <x v="0"/>
  </r>
  <r>
    <s v="2018-19"/>
    <x v="0"/>
    <x v="13"/>
    <s v="L3"/>
    <m/>
    <s v="Contemporary Rootedness and Built Expression"/>
    <n v="6"/>
    <x v="1"/>
    <x v="5"/>
    <n v="-1"/>
    <n v="0.15"/>
    <n v="1"/>
    <n v="-0.15"/>
    <x v="0"/>
  </r>
  <r>
    <s v="2018-19"/>
    <x v="0"/>
    <x v="13"/>
    <s v="L3"/>
    <m/>
    <s v="Contemporary Rootedness and Built Expression"/>
    <n v="7"/>
    <x v="0"/>
    <x v="6"/>
    <n v="0"/>
    <n v="0.1"/>
    <n v="1"/>
    <n v="0"/>
    <x v="0"/>
  </r>
  <r>
    <s v="2018-19"/>
    <x v="0"/>
    <x v="13"/>
    <s v="L3"/>
    <m/>
    <s v="Contemporary Rootedness and Built Expression"/>
    <n v="7"/>
    <x v="1"/>
    <x v="6"/>
    <n v="-1"/>
    <n v="0.1"/>
    <n v="1"/>
    <n v="-0.1"/>
    <x v="0"/>
  </r>
  <r>
    <s v="2018-19"/>
    <x v="0"/>
    <x v="13"/>
    <s v="L3"/>
    <m/>
    <s v="Contemporary Rootedness and Built Expression"/>
    <n v="8"/>
    <x v="0"/>
    <x v="7"/>
    <n v="0"/>
    <n v="0.1"/>
    <n v="1"/>
    <n v="0"/>
    <x v="0"/>
  </r>
  <r>
    <s v="2018-19"/>
    <x v="0"/>
    <x v="13"/>
    <s v="L3"/>
    <m/>
    <s v="Contemporary Rootedness and Built Expression"/>
    <n v="8"/>
    <x v="1"/>
    <x v="7"/>
    <n v="-1"/>
    <n v="0.1"/>
    <n v="1"/>
    <n v="-0.1"/>
    <x v="0"/>
  </r>
  <r>
    <s v="2018-19"/>
    <x v="0"/>
    <x v="13"/>
    <s v="L3"/>
    <m/>
    <s v="Contemporary Rootedness and Built Expression"/>
    <n v="9"/>
    <x v="0"/>
    <x v="8"/>
    <n v="0"/>
    <n v="0.05"/>
    <n v="0.85"/>
    <n v="0"/>
    <x v="0"/>
  </r>
  <r>
    <s v="2018-19"/>
    <x v="0"/>
    <x v="13"/>
    <s v="L3"/>
    <m/>
    <s v="Contemporary Rootedness and Built Expression"/>
    <n v="9"/>
    <x v="1"/>
    <x v="8"/>
    <n v="-1"/>
    <n v="0.05"/>
    <n v="0.85"/>
    <n v="-4.2500000000000003E-2"/>
    <x v="0"/>
  </r>
  <r>
    <s v="2018-19"/>
    <x v="0"/>
    <x v="13"/>
    <s v="L3"/>
    <m/>
    <s v="Contemporary Rootedness and Built Expression"/>
    <n v="10"/>
    <x v="0"/>
    <x v="8"/>
    <n v="0"/>
    <n v="0.05"/>
    <n v="0.85"/>
    <n v="0"/>
    <x v="0"/>
  </r>
  <r>
    <s v="2018-19"/>
    <x v="0"/>
    <x v="13"/>
    <s v="L3"/>
    <m/>
    <s v="Contemporary Rootedness and Built Expression"/>
    <n v="10"/>
    <x v="1"/>
    <x v="8"/>
    <n v="-1"/>
    <n v="0.05"/>
    <n v="0.85"/>
    <n v="-4.2500000000000003E-2"/>
    <x v="0"/>
  </r>
  <r>
    <s v="2018-19"/>
    <x v="0"/>
    <x v="13"/>
    <s v="L3"/>
    <m/>
    <s v="Contemporary Rootedness and Built Expression"/>
    <n v="11"/>
    <x v="0"/>
    <x v="9"/>
    <n v="0"/>
    <n v="0.05"/>
    <n v="1"/>
    <n v="0"/>
    <x v="0"/>
  </r>
  <r>
    <s v="2018-19"/>
    <x v="0"/>
    <x v="13"/>
    <s v="L3"/>
    <m/>
    <s v="Contemporary Rootedness and Built Expression"/>
    <n v="11"/>
    <x v="1"/>
    <x v="9"/>
    <n v="-1"/>
    <n v="0.05"/>
    <n v="1"/>
    <n v="-0.05"/>
    <x v="0"/>
  </r>
  <r>
    <s v="2018-19"/>
    <x v="0"/>
    <x v="14"/>
    <s v="L3"/>
    <m/>
    <s v="Oikopolis: at home in the city"/>
    <n v="1"/>
    <x v="0"/>
    <x v="0"/>
    <n v="0"/>
    <n v="0.12"/>
    <n v="1"/>
    <n v="0"/>
    <x v="0"/>
  </r>
  <r>
    <s v="2018-19"/>
    <x v="0"/>
    <x v="14"/>
    <s v="L3"/>
    <m/>
    <s v="Oikopolis: at home in the city"/>
    <n v="1"/>
    <x v="1"/>
    <x v="0"/>
    <n v="1"/>
    <n v="0.12"/>
    <n v="1"/>
    <n v="0.12"/>
    <x v="0"/>
  </r>
  <r>
    <s v="2018-19"/>
    <x v="0"/>
    <x v="14"/>
    <s v="L3"/>
    <m/>
    <s v="Oikopolis: at home in the city"/>
    <n v="2"/>
    <x v="0"/>
    <x v="1"/>
    <m/>
    <n v="0.08"/>
    <n v="0.8"/>
    <n v="0"/>
    <x v="0"/>
  </r>
  <r>
    <s v="2018-19"/>
    <x v="0"/>
    <x v="14"/>
    <s v="L3"/>
    <m/>
    <s v="Oikopolis: at home in the city"/>
    <n v="2"/>
    <x v="1"/>
    <x v="1"/>
    <n v="1"/>
    <n v="0.08"/>
    <n v="0.8"/>
    <n v="6.4000000000000001E-2"/>
    <x v="0"/>
  </r>
  <r>
    <s v="2018-19"/>
    <x v="0"/>
    <x v="14"/>
    <s v="L3"/>
    <m/>
    <s v="Oikopolis: at home in the city"/>
    <n v="3"/>
    <x v="0"/>
    <x v="2"/>
    <n v="1"/>
    <n v="0.05"/>
    <n v="1"/>
    <n v="0.05"/>
    <x v="0"/>
  </r>
  <r>
    <s v="2018-19"/>
    <x v="0"/>
    <x v="14"/>
    <s v="L3"/>
    <m/>
    <s v="Oikopolis: at home in the city"/>
    <n v="3"/>
    <x v="1"/>
    <x v="2"/>
    <n v="1"/>
    <n v="0.05"/>
    <n v="1"/>
    <n v="0.05"/>
    <x v="0"/>
  </r>
  <r>
    <s v="2018-19"/>
    <x v="0"/>
    <x v="14"/>
    <s v="L3"/>
    <m/>
    <s v="Oikopolis: at home in the city"/>
    <n v="4"/>
    <x v="0"/>
    <x v="3"/>
    <n v="0"/>
    <n v="0.14000000000000001"/>
    <n v="1"/>
    <n v="0"/>
    <x v="0"/>
  </r>
  <r>
    <s v="2018-19"/>
    <x v="0"/>
    <x v="14"/>
    <s v="L3"/>
    <m/>
    <s v="Oikopolis: at home in the city"/>
    <n v="4"/>
    <x v="1"/>
    <x v="3"/>
    <n v="1"/>
    <n v="0.14000000000000001"/>
    <n v="1"/>
    <n v="0.14000000000000001"/>
    <x v="0"/>
  </r>
  <r>
    <s v="2018-19"/>
    <x v="0"/>
    <x v="14"/>
    <s v="L3"/>
    <m/>
    <s v="Oikopolis: at home in the city"/>
    <n v="5"/>
    <x v="0"/>
    <x v="4"/>
    <n v="0"/>
    <n v="0.11"/>
    <n v="1"/>
    <n v="0"/>
    <x v="0"/>
  </r>
  <r>
    <s v="2018-19"/>
    <x v="0"/>
    <x v="14"/>
    <s v="L3"/>
    <m/>
    <s v="Oikopolis: at home in the city"/>
    <n v="5"/>
    <x v="1"/>
    <x v="4"/>
    <n v="1"/>
    <n v="0.11"/>
    <n v="1"/>
    <n v="0.11"/>
    <x v="0"/>
  </r>
  <r>
    <s v="2018-19"/>
    <x v="0"/>
    <x v="14"/>
    <s v="L3"/>
    <m/>
    <s v="Oikopolis: at home in the city"/>
    <n v="6"/>
    <x v="0"/>
    <x v="5"/>
    <n v="0"/>
    <n v="0.15"/>
    <n v="1"/>
    <n v="0"/>
    <x v="0"/>
  </r>
  <r>
    <s v="2018-19"/>
    <x v="0"/>
    <x v="14"/>
    <s v="L3"/>
    <m/>
    <s v="Oikopolis: at home in the city"/>
    <n v="6"/>
    <x v="1"/>
    <x v="5"/>
    <n v="1"/>
    <n v="0.15"/>
    <n v="1"/>
    <n v="0.15"/>
    <x v="0"/>
  </r>
  <r>
    <s v="2018-19"/>
    <x v="0"/>
    <x v="14"/>
    <s v="L3"/>
    <m/>
    <s v="Oikopolis: at home in the city"/>
    <n v="7"/>
    <x v="0"/>
    <x v="6"/>
    <n v="1"/>
    <n v="0.1"/>
    <n v="1"/>
    <n v="0.1"/>
    <x v="0"/>
  </r>
  <r>
    <s v="2018-19"/>
    <x v="0"/>
    <x v="14"/>
    <s v="L3"/>
    <m/>
    <s v="Oikopolis: at home in the city"/>
    <n v="7"/>
    <x v="1"/>
    <x v="6"/>
    <n v="0"/>
    <n v="0.1"/>
    <n v="1"/>
    <n v="0"/>
    <x v="0"/>
  </r>
  <r>
    <s v="2018-19"/>
    <x v="0"/>
    <x v="14"/>
    <s v="L3"/>
    <m/>
    <s v="Oikopolis: at home in the city"/>
    <n v="8"/>
    <x v="0"/>
    <x v="7"/>
    <n v="1"/>
    <n v="0.1"/>
    <n v="1"/>
    <n v="0.1"/>
    <x v="0"/>
  </r>
  <r>
    <s v="2018-19"/>
    <x v="0"/>
    <x v="14"/>
    <s v="L3"/>
    <m/>
    <s v="Oikopolis: at home in the city"/>
    <n v="8"/>
    <x v="1"/>
    <x v="7"/>
    <n v="0"/>
    <n v="0.1"/>
    <n v="1"/>
    <n v="0"/>
    <x v="0"/>
  </r>
  <r>
    <s v="2018-19"/>
    <x v="0"/>
    <x v="14"/>
    <s v="L3"/>
    <m/>
    <s v="Oikopolis: at home in the city"/>
    <n v="9"/>
    <x v="0"/>
    <x v="8"/>
    <n v="1"/>
    <n v="0.05"/>
    <n v="0.85"/>
    <n v="4.2500000000000003E-2"/>
    <x v="0"/>
  </r>
  <r>
    <s v="2018-19"/>
    <x v="0"/>
    <x v="14"/>
    <s v="L3"/>
    <m/>
    <s v="Oikopolis: at home in the city"/>
    <n v="9"/>
    <x v="1"/>
    <x v="8"/>
    <n v="1"/>
    <n v="0.05"/>
    <n v="0.85"/>
    <n v="4.2500000000000003E-2"/>
    <x v="0"/>
  </r>
  <r>
    <s v="2018-19"/>
    <x v="0"/>
    <x v="14"/>
    <s v="L3"/>
    <m/>
    <s v="Oikopolis: at home in the city"/>
    <n v="10"/>
    <x v="0"/>
    <x v="8"/>
    <n v="1"/>
    <n v="0.05"/>
    <n v="0.85"/>
    <n v="4.2500000000000003E-2"/>
    <x v="0"/>
  </r>
  <r>
    <s v="2018-19"/>
    <x v="0"/>
    <x v="14"/>
    <s v="L3"/>
    <m/>
    <s v="Oikopolis: at home in the city"/>
    <n v="10"/>
    <x v="1"/>
    <x v="8"/>
    <n v="1"/>
    <n v="0.05"/>
    <n v="0.85"/>
    <n v="4.2500000000000003E-2"/>
    <x v="0"/>
  </r>
  <r>
    <s v="2018-19"/>
    <x v="0"/>
    <x v="14"/>
    <s v="L3"/>
    <m/>
    <s v="Oikopolis: at home in the city"/>
    <n v="11"/>
    <x v="0"/>
    <x v="9"/>
    <n v="0"/>
    <n v="0.05"/>
    <n v="1"/>
    <n v="0"/>
    <x v="0"/>
  </r>
  <r>
    <s v="2018-19"/>
    <x v="0"/>
    <x v="14"/>
    <s v="L3"/>
    <m/>
    <s v="Oikopolis: at home in the city"/>
    <n v="11"/>
    <x v="1"/>
    <x v="9"/>
    <n v="-1"/>
    <n v="0.05"/>
    <n v="1"/>
    <n v="-0.05"/>
    <x v="0"/>
  </r>
  <r>
    <s v="2018-19"/>
    <x v="0"/>
    <x v="15"/>
    <s v="L3"/>
    <m/>
    <s v="Spaces for place, people and programme"/>
    <n v="1"/>
    <x v="0"/>
    <x v="0"/>
    <n v="1"/>
    <n v="0.12"/>
    <n v="1"/>
    <n v="0.12"/>
    <x v="0"/>
  </r>
  <r>
    <s v="2018-19"/>
    <x v="0"/>
    <x v="15"/>
    <s v="L3"/>
    <m/>
    <s v="Spaces for place, people and programme"/>
    <n v="1"/>
    <x v="1"/>
    <x v="0"/>
    <n v="1"/>
    <n v="0.12"/>
    <n v="1"/>
    <n v="0.12"/>
    <x v="0"/>
  </r>
  <r>
    <s v="2018-19"/>
    <x v="0"/>
    <x v="15"/>
    <s v="L3"/>
    <m/>
    <s v="Spaces for place, people and programme"/>
    <n v="2"/>
    <x v="0"/>
    <x v="1"/>
    <m/>
    <n v="0.08"/>
    <n v="0.8"/>
    <n v="0"/>
    <x v="0"/>
  </r>
  <r>
    <s v="2018-19"/>
    <x v="0"/>
    <x v="15"/>
    <s v="L3"/>
    <m/>
    <s v="Spaces for place, people and programme"/>
    <n v="2"/>
    <x v="1"/>
    <x v="1"/>
    <n v="1"/>
    <n v="0.08"/>
    <n v="0.8"/>
    <n v="6.4000000000000001E-2"/>
    <x v="0"/>
  </r>
  <r>
    <s v="2018-19"/>
    <x v="0"/>
    <x v="15"/>
    <s v="L3"/>
    <m/>
    <s v="Spaces for place, people and programme"/>
    <n v="3"/>
    <x v="0"/>
    <x v="2"/>
    <n v="1"/>
    <n v="0.05"/>
    <n v="1"/>
    <n v="0.05"/>
    <x v="0"/>
  </r>
  <r>
    <s v="2018-19"/>
    <x v="0"/>
    <x v="15"/>
    <s v="L3"/>
    <m/>
    <s v="Spaces for place, people and programme"/>
    <n v="3"/>
    <x v="1"/>
    <x v="2"/>
    <n v="0"/>
    <n v="0.05"/>
    <n v="1"/>
    <n v="0"/>
    <x v="0"/>
  </r>
  <r>
    <s v="2018-19"/>
    <x v="0"/>
    <x v="15"/>
    <s v="L3"/>
    <m/>
    <s v="Spaces for place, people and programme"/>
    <n v="4"/>
    <x v="0"/>
    <x v="3"/>
    <n v="-1"/>
    <n v="0.14000000000000001"/>
    <n v="1"/>
    <n v="-0.14000000000000001"/>
    <x v="0"/>
  </r>
  <r>
    <s v="2018-19"/>
    <x v="0"/>
    <x v="15"/>
    <s v="L3"/>
    <m/>
    <s v="Spaces for place, people and programme"/>
    <n v="4"/>
    <x v="1"/>
    <x v="3"/>
    <n v="0"/>
    <n v="0.14000000000000001"/>
    <n v="1"/>
    <n v="0"/>
    <x v="0"/>
  </r>
  <r>
    <s v="2018-19"/>
    <x v="0"/>
    <x v="15"/>
    <s v="L3"/>
    <m/>
    <s v="Spaces for place, people and programme"/>
    <n v="5"/>
    <x v="0"/>
    <x v="4"/>
    <n v="-1"/>
    <n v="0.11"/>
    <n v="1"/>
    <n v="-0.11"/>
    <x v="0"/>
  </r>
  <r>
    <s v="2018-19"/>
    <x v="0"/>
    <x v="15"/>
    <s v="L3"/>
    <m/>
    <s v="Spaces for place, people and programme"/>
    <n v="5"/>
    <x v="1"/>
    <x v="4"/>
    <n v="0"/>
    <n v="0.11"/>
    <n v="1"/>
    <n v="0"/>
    <x v="0"/>
  </r>
  <r>
    <s v="2018-19"/>
    <x v="0"/>
    <x v="15"/>
    <s v="L3"/>
    <m/>
    <s v="Spaces for place, people and programme"/>
    <n v="6"/>
    <x v="0"/>
    <x v="5"/>
    <n v="0"/>
    <n v="0.15"/>
    <n v="1"/>
    <n v="0"/>
    <x v="0"/>
  </r>
  <r>
    <s v="2018-19"/>
    <x v="0"/>
    <x v="15"/>
    <s v="L3"/>
    <m/>
    <s v="Spaces for place, people and programme"/>
    <n v="6"/>
    <x v="1"/>
    <x v="5"/>
    <n v="0"/>
    <n v="0.15"/>
    <n v="1"/>
    <n v="0"/>
    <x v="0"/>
  </r>
  <r>
    <s v="2018-19"/>
    <x v="0"/>
    <x v="15"/>
    <s v="L3"/>
    <m/>
    <s v="Spaces for place, people and programme"/>
    <n v="7"/>
    <x v="0"/>
    <x v="6"/>
    <n v="-1"/>
    <n v="0.1"/>
    <n v="1"/>
    <n v="-0.1"/>
    <x v="0"/>
  </r>
  <r>
    <s v="2018-19"/>
    <x v="0"/>
    <x v="15"/>
    <s v="L3"/>
    <m/>
    <s v="Spaces for place, people and programme"/>
    <n v="7"/>
    <x v="1"/>
    <x v="6"/>
    <n v="-1"/>
    <n v="0.1"/>
    <n v="1"/>
    <n v="-0.1"/>
    <x v="0"/>
  </r>
  <r>
    <s v="2018-19"/>
    <x v="0"/>
    <x v="15"/>
    <s v="L3"/>
    <m/>
    <s v="Spaces for place, people and programme"/>
    <n v="8"/>
    <x v="0"/>
    <x v="7"/>
    <n v="-1"/>
    <n v="0.1"/>
    <n v="1"/>
    <n v="-0.1"/>
    <x v="0"/>
  </r>
  <r>
    <s v="2018-19"/>
    <x v="0"/>
    <x v="15"/>
    <s v="L3"/>
    <m/>
    <s v="Spaces for place, people and programme"/>
    <n v="8"/>
    <x v="1"/>
    <x v="7"/>
    <n v="-1"/>
    <n v="0.1"/>
    <n v="1"/>
    <n v="-0.1"/>
    <x v="0"/>
  </r>
  <r>
    <s v="2018-19"/>
    <x v="0"/>
    <x v="15"/>
    <s v="L3"/>
    <m/>
    <s v="Spaces for place, people and programme"/>
    <n v="9"/>
    <x v="0"/>
    <x v="8"/>
    <n v="-1"/>
    <n v="0.05"/>
    <n v="0.85"/>
    <n v="-4.2500000000000003E-2"/>
    <x v="0"/>
  </r>
  <r>
    <s v="2018-19"/>
    <x v="0"/>
    <x v="15"/>
    <s v="L3"/>
    <m/>
    <s v="Spaces for place, people and programme"/>
    <n v="9"/>
    <x v="1"/>
    <x v="8"/>
    <n v="0"/>
    <n v="0.05"/>
    <n v="0.85"/>
    <n v="0"/>
    <x v="0"/>
  </r>
  <r>
    <s v="2018-19"/>
    <x v="0"/>
    <x v="15"/>
    <s v="L3"/>
    <m/>
    <s v="Spaces for place, people and programme"/>
    <n v="10"/>
    <x v="0"/>
    <x v="8"/>
    <n v="-1"/>
    <n v="0.05"/>
    <n v="0.85"/>
    <n v="-4.2500000000000003E-2"/>
    <x v="0"/>
  </r>
  <r>
    <s v="2018-19"/>
    <x v="0"/>
    <x v="15"/>
    <s v="L3"/>
    <m/>
    <s v="Spaces for place, people and programme"/>
    <n v="10"/>
    <x v="1"/>
    <x v="8"/>
    <n v="0"/>
    <n v="0.05"/>
    <n v="0.85"/>
    <n v="0"/>
    <x v="0"/>
  </r>
  <r>
    <s v="2018-19"/>
    <x v="0"/>
    <x v="15"/>
    <s v="L3"/>
    <m/>
    <s v="Spaces for place, people and programme"/>
    <n v="11"/>
    <x v="0"/>
    <x v="9"/>
    <n v="-1"/>
    <n v="0.05"/>
    <n v="1"/>
    <n v="-0.05"/>
    <x v="0"/>
  </r>
  <r>
    <s v="2018-19"/>
    <x v="0"/>
    <x v="15"/>
    <s v="L3"/>
    <m/>
    <s v="Spaces for place, people and programme"/>
    <n v="11"/>
    <x v="1"/>
    <x v="9"/>
    <n v="-1"/>
    <n v="0.05"/>
    <n v="1"/>
    <n v="-0.05"/>
    <x v="0"/>
  </r>
  <r>
    <s v="2018-19"/>
    <x v="1"/>
    <x v="0"/>
    <s v="L2"/>
    <s v="Visualization and Communication"/>
    <s v="The Purpose of Architecture : Exploring Design Interventions and Strategies"/>
    <n v="1"/>
    <x v="0"/>
    <x v="0"/>
    <n v="1"/>
    <n v="0.12"/>
    <n v="1"/>
    <n v="0.12"/>
    <x v="0"/>
  </r>
  <r>
    <s v="2018-19"/>
    <x v="1"/>
    <x v="0"/>
    <s v="L2"/>
    <s v="Visualization and Communication"/>
    <s v="The Purpose of Architecture : Exploring Design Interventions and Strategies"/>
    <n v="1"/>
    <x v="1"/>
    <x v="0"/>
    <n v="1"/>
    <n v="0.12"/>
    <n v="1"/>
    <n v="0.12"/>
    <x v="0"/>
  </r>
  <r>
    <s v="2018-19"/>
    <x v="1"/>
    <x v="0"/>
    <s v="L2"/>
    <s v="Visualization and Communication"/>
    <s v="The Purpose of Architecture : Exploring Design Interventions and Strategies"/>
    <n v="2"/>
    <x v="0"/>
    <x v="1"/>
    <n v="1"/>
    <n v="0.08"/>
    <n v="0.8"/>
    <n v="6.4000000000000001E-2"/>
    <x v="0"/>
  </r>
  <r>
    <s v="2018-19"/>
    <x v="1"/>
    <x v="0"/>
    <s v="L2"/>
    <s v="Visualization and Communication"/>
    <s v="The Purpose of Architecture : Exploring Design Interventions and Strategies"/>
    <n v="2"/>
    <x v="1"/>
    <x v="1"/>
    <n v="1"/>
    <n v="0.08"/>
    <n v="0.8"/>
    <n v="6.4000000000000001E-2"/>
    <x v="0"/>
  </r>
  <r>
    <s v="2018-19"/>
    <x v="1"/>
    <x v="0"/>
    <s v="L2"/>
    <s v="Visualization and Communication"/>
    <s v="The Purpose of Architecture : Exploring Design Interventions and Strategies"/>
    <n v="3"/>
    <x v="0"/>
    <x v="2"/>
    <n v="1"/>
    <n v="0.05"/>
    <n v="1"/>
    <n v="0.05"/>
    <x v="0"/>
  </r>
  <r>
    <s v="2018-19"/>
    <x v="1"/>
    <x v="0"/>
    <s v="L2"/>
    <s v="Visualization and Communication"/>
    <s v="The Purpose of Architecture : Exploring Design Interventions and Strategies"/>
    <n v="3"/>
    <x v="1"/>
    <x v="2"/>
    <n v="-1"/>
    <n v="0.05"/>
    <n v="1"/>
    <n v="-0.05"/>
    <x v="1"/>
  </r>
  <r>
    <s v="2018-19"/>
    <x v="1"/>
    <x v="0"/>
    <s v="L2"/>
    <s v="Visualization and Communication"/>
    <s v="The Purpose of Architecture : Exploring Design Interventions and Strategies"/>
    <n v="4"/>
    <x v="0"/>
    <x v="3"/>
    <n v="1"/>
    <n v="0.14000000000000001"/>
    <n v="1"/>
    <n v="0.14000000000000001"/>
    <x v="0"/>
  </r>
  <r>
    <s v="2018-19"/>
    <x v="1"/>
    <x v="0"/>
    <s v="L2"/>
    <s v="Visualization and Communication"/>
    <s v="The Purpose of Architecture : Exploring Design Interventions and Strategies"/>
    <n v="4"/>
    <x v="1"/>
    <x v="3"/>
    <n v="-1"/>
    <n v="0.14000000000000001"/>
    <n v="1"/>
    <n v="-0.14000000000000001"/>
    <x v="2"/>
  </r>
  <r>
    <s v="2018-19"/>
    <x v="1"/>
    <x v="0"/>
    <s v="L2"/>
    <s v="Visualization and Communication"/>
    <s v="The Purpose of Architecture : Exploring Design Interventions and Strategies"/>
    <n v="5"/>
    <x v="0"/>
    <x v="4"/>
    <n v="1"/>
    <n v="0.11"/>
    <n v="1"/>
    <n v="0.11"/>
    <x v="0"/>
  </r>
  <r>
    <s v="2018-19"/>
    <x v="1"/>
    <x v="0"/>
    <s v="L2"/>
    <s v="Visualization and Communication"/>
    <s v="The Purpose of Architecture : Exploring Design Interventions and Strategies"/>
    <n v="5"/>
    <x v="1"/>
    <x v="4"/>
    <n v="-1"/>
    <n v="0.11"/>
    <n v="1"/>
    <n v="-0.11"/>
    <x v="3"/>
  </r>
  <r>
    <s v="2018-19"/>
    <x v="1"/>
    <x v="0"/>
    <s v="L2"/>
    <s v="Visualization and Communication"/>
    <s v="The Purpose of Architecture : Exploring Design Interventions and Strategies"/>
    <n v="6"/>
    <x v="0"/>
    <x v="5"/>
    <n v="1"/>
    <n v="0.15"/>
    <n v="1"/>
    <n v="0.15"/>
    <x v="0"/>
  </r>
  <r>
    <s v="2018-19"/>
    <x v="1"/>
    <x v="0"/>
    <s v="L2"/>
    <s v="Visualization and Communication"/>
    <s v="The Purpose of Architecture : Exploring Design Interventions and Strategies"/>
    <n v="6"/>
    <x v="1"/>
    <x v="5"/>
    <n v="-1"/>
    <n v="0.15"/>
    <n v="1"/>
    <n v="-0.15"/>
    <x v="4"/>
  </r>
  <r>
    <s v="2018-19"/>
    <x v="1"/>
    <x v="0"/>
    <s v="L2"/>
    <s v="Visualization and Communication"/>
    <s v="The Purpose of Architecture : Exploring Design Interventions and Strategies"/>
    <n v="7"/>
    <x v="0"/>
    <x v="6"/>
    <n v="0"/>
    <n v="0.1"/>
    <n v="1"/>
    <n v="0"/>
    <x v="0"/>
  </r>
  <r>
    <s v="2018-19"/>
    <x v="1"/>
    <x v="0"/>
    <s v="L2"/>
    <s v="Visualization and Communication"/>
    <s v="The Purpose of Architecture : Exploring Design Interventions and Strategies"/>
    <n v="7"/>
    <x v="1"/>
    <x v="6"/>
    <n v="-1"/>
    <n v="0.1"/>
    <n v="1"/>
    <n v="-0.1"/>
    <x v="5"/>
  </r>
  <r>
    <s v="2018-19"/>
    <x v="1"/>
    <x v="0"/>
    <s v="L2"/>
    <s v="Visualization and Communication"/>
    <s v="The Purpose of Architecture : Exploring Design Interventions and Strategies"/>
    <n v="8"/>
    <x v="0"/>
    <x v="7"/>
    <n v="0"/>
    <n v="0.1"/>
    <n v="1"/>
    <n v="0"/>
    <x v="0"/>
  </r>
  <r>
    <s v="2018-19"/>
    <x v="1"/>
    <x v="0"/>
    <s v="L2"/>
    <s v="Visualization and Communication"/>
    <s v="The Purpose of Architecture : Exploring Design Interventions and Strategies"/>
    <n v="8"/>
    <x v="1"/>
    <x v="7"/>
    <n v="0"/>
    <n v="0.1"/>
    <n v="1"/>
    <n v="0"/>
    <x v="0"/>
  </r>
  <r>
    <s v="2018-19"/>
    <x v="1"/>
    <x v="0"/>
    <s v="L2"/>
    <s v="Visualization and Communication"/>
    <s v="The Purpose of Architecture : Exploring Design Interventions and Strategies"/>
    <n v="9"/>
    <x v="0"/>
    <x v="8"/>
    <n v="0"/>
    <n v="0.05"/>
    <n v="0.85"/>
    <n v="0"/>
    <x v="0"/>
  </r>
  <r>
    <s v="2018-19"/>
    <x v="1"/>
    <x v="0"/>
    <s v="L2"/>
    <s v="Visualization and Communication"/>
    <s v="The Purpose of Architecture : Exploring Design Interventions and Strategies"/>
    <n v="9"/>
    <x v="1"/>
    <x v="8"/>
    <n v="0"/>
    <n v="0.05"/>
    <n v="0.85"/>
    <n v="0"/>
    <x v="0"/>
  </r>
  <r>
    <s v="2018-19"/>
    <x v="1"/>
    <x v="0"/>
    <s v="L2"/>
    <s v="Visualization and Communication"/>
    <s v="The Purpose of Architecture : Exploring Design Interventions and Strategies"/>
    <n v="10"/>
    <x v="0"/>
    <x v="8"/>
    <n v="0"/>
    <n v="0.05"/>
    <n v="0.85"/>
    <n v="0"/>
    <x v="0"/>
  </r>
  <r>
    <s v="2018-19"/>
    <x v="1"/>
    <x v="0"/>
    <s v="L2"/>
    <s v="Visualization and Communication"/>
    <s v="The Purpose of Architecture : Exploring Design Interventions and Strategies"/>
    <n v="10"/>
    <x v="1"/>
    <x v="8"/>
    <n v="0"/>
    <n v="0.05"/>
    <n v="0.85"/>
    <n v="0"/>
    <x v="0"/>
  </r>
  <r>
    <s v="2018-19"/>
    <x v="1"/>
    <x v="0"/>
    <s v="L2"/>
    <s v="Visualization and Communication"/>
    <s v="The Purpose of Architecture : Exploring Design Interventions and Strategies"/>
    <n v="11"/>
    <x v="0"/>
    <x v="9"/>
    <n v="0"/>
    <n v="0.05"/>
    <n v="1"/>
    <n v="0"/>
    <x v="0"/>
  </r>
  <r>
    <s v="2018-19"/>
    <x v="1"/>
    <x v="0"/>
    <s v="L2"/>
    <s v="Visualization and Communication"/>
    <s v="The Purpose of Architecture : Exploring Design Interventions and Strategies"/>
    <n v="11"/>
    <x v="1"/>
    <x v="9"/>
    <n v="-1"/>
    <n v="0.05"/>
    <n v="1"/>
    <n v="-0.05"/>
    <x v="6"/>
  </r>
  <r>
    <s v="2018-19"/>
    <x v="1"/>
    <x v="1"/>
    <s v="L2"/>
    <s v="Constructing and Specifying"/>
    <s v="Strange Details"/>
    <n v="1"/>
    <x v="0"/>
    <x v="0"/>
    <n v="0"/>
    <n v="0.12"/>
    <n v="1"/>
    <n v="0"/>
    <x v="0"/>
  </r>
  <r>
    <s v="2018-19"/>
    <x v="1"/>
    <x v="1"/>
    <s v="L2"/>
    <s v="Constructing and Specifying"/>
    <s v="Strange Details"/>
    <n v="1"/>
    <x v="1"/>
    <x v="0"/>
    <n v="1"/>
    <n v="0.12"/>
    <n v="1"/>
    <n v="0.12"/>
    <x v="0"/>
  </r>
  <r>
    <s v="2018-19"/>
    <x v="1"/>
    <x v="1"/>
    <s v="L2"/>
    <s v="Constructing and Specifying"/>
    <s v="Strange Details"/>
    <n v="2"/>
    <x v="0"/>
    <x v="1"/>
    <n v="0"/>
    <n v="0.08"/>
    <n v="0.8"/>
    <n v="0"/>
    <x v="0"/>
  </r>
  <r>
    <s v="2018-19"/>
    <x v="1"/>
    <x v="1"/>
    <s v="L2"/>
    <s v="Constructing and Specifying"/>
    <s v="Strange Details"/>
    <n v="2"/>
    <x v="1"/>
    <x v="1"/>
    <n v="1"/>
    <n v="0.08"/>
    <n v="0.8"/>
    <n v="6.4000000000000001E-2"/>
    <x v="0"/>
  </r>
  <r>
    <s v="2018-19"/>
    <x v="1"/>
    <x v="1"/>
    <s v="L2"/>
    <s v="Constructing and Specifying"/>
    <s v="Strange Details"/>
    <n v="3"/>
    <x v="0"/>
    <x v="2"/>
    <n v="1"/>
    <n v="0.05"/>
    <n v="1"/>
    <n v="0.05"/>
    <x v="7"/>
  </r>
  <r>
    <s v="2018-19"/>
    <x v="1"/>
    <x v="1"/>
    <s v="L2"/>
    <s v="Constructing and Specifying"/>
    <s v="Strange Details"/>
    <n v="3"/>
    <x v="1"/>
    <x v="2"/>
    <n v="0"/>
    <n v="0.05"/>
    <n v="1"/>
    <n v="0"/>
    <x v="0"/>
  </r>
  <r>
    <s v="2018-19"/>
    <x v="1"/>
    <x v="1"/>
    <s v="L2"/>
    <s v="Constructing and Specifying"/>
    <s v="Strange Details"/>
    <n v="4"/>
    <x v="0"/>
    <x v="3"/>
    <n v="0"/>
    <n v="0.14000000000000001"/>
    <n v="1"/>
    <n v="0"/>
    <x v="8"/>
  </r>
  <r>
    <s v="2018-19"/>
    <x v="1"/>
    <x v="1"/>
    <s v="L2"/>
    <s v="Constructing and Specifying"/>
    <s v="Strange Details"/>
    <n v="4"/>
    <x v="1"/>
    <x v="3"/>
    <n v="0"/>
    <n v="0.14000000000000001"/>
    <n v="1"/>
    <n v="0"/>
    <x v="0"/>
  </r>
  <r>
    <s v="2018-19"/>
    <x v="1"/>
    <x v="1"/>
    <s v="L2"/>
    <s v="Constructing and Specifying"/>
    <s v="Strange Details"/>
    <n v="5"/>
    <x v="0"/>
    <x v="4"/>
    <n v="0"/>
    <n v="0.11"/>
    <n v="1"/>
    <n v="0"/>
    <x v="0"/>
  </r>
  <r>
    <s v="2018-19"/>
    <x v="1"/>
    <x v="1"/>
    <s v="L2"/>
    <s v="Constructing and Specifying"/>
    <s v="Strange Details"/>
    <n v="5"/>
    <x v="1"/>
    <x v="4"/>
    <n v="-1"/>
    <n v="0.11"/>
    <n v="1"/>
    <n v="-0.11"/>
    <x v="9"/>
  </r>
  <r>
    <s v="2018-19"/>
    <x v="1"/>
    <x v="1"/>
    <s v="L2"/>
    <s v="Constructing and Specifying"/>
    <s v="Strange Details"/>
    <n v="6"/>
    <x v="0"/>
    <x v="5"/>
    <n v="0"/>
    <n v="0.15"/>
    <n v="1"/>
    <n v="0"/>
    <x v="0"/>
  </r>
  <r>
    <s v="2018-19"/>
    <x v="1"/>
    <x v="1"/>
    <s v="L2"/>
    <s v="Constructing and Specifying"/>
    <s v="Strange Details"/>
    <n v="6"/>
    <x v="1"/>
    <x v="5"/>
    <n v="-1"/>
    <n v="0.15"/>
    <n v="1"/>
    <n v="-0.15"/>
    <x v="9"/>
  </r>
  <r>
    <s v="2018-19"/>
    <x v="1"/>
    <x v="1"/>
    <s v="L2"/>
    <s v="Constructing and Specifying"/>
    <s v="Strange Details"/>
    <n v="7"/>
    <x v="0"/>
    <x v="6"/>
    <n v="0"/>
    <n v="0.1"/>
    <n v="1"/>
    <n v="0"/>
    <x v="0"/>
  </r>
  <r>
    <s v="2018-19"/>
    <x v="1"/>
    <x v="1"/>
    <s v="L2"/>
    <s v="Constructing and Specifying"/>
    <s v="Strange Details"/>
    <n v="7"/>
    <x v="1"/>
    <x v="6"/>
    <n v="-1"/>
    <n v="0.1"/>
    <n v="1"/>
    <n v="-0.1"/>
    <x v="0"/>
  </r>
  <r>
    <s v="2018-19"/>
    <x v="1"/>
    <x v="1"/>
    <s v="L2"/>
    <s v="Constructing and Specifying"/>
    <s v="Strange Details"/>
    <n v="8"/>
    <x v="0"/>
    <x v="7"/>
    <n v="0"/>
    <n v="0.1"/>
    <n v="1"/>
    <n v="0"/>
    <x v="0"/>
  </r>
  <r>
    <s v="2018-19"/>
    <x v="1"/>
    <x v="1"/>
    <s v="L2"/>
    <s v="Constructing and Specifying"/>
    <s v="Strange Details"/>
    <n v="8"/>
    <x v="1"/>
    <x v="7"/>
    <n v="-1"/>
    <n v="0.1"/>
    <n v="1"/>
    <n v="-0.1"/>
    <x v="10"/>
  </r>
  <r>
    <s v="2018-19"/>
    <x v="1"/>
    <x v="1"/>
    <s v="L2"/>
    <s v="Constructing and Specifying"/>
    <s v="Strange Details"/>
    <n v="9"/>
    <x v="0"/>
    <x v="8"/>
    <n v="0"/>
    <n v="0.05"/>
    <n v="0.85"/>
    <n v="0"/>
    <x v="0"/>
  </r>
  <r>
    <s v="2018-19"/>
    <x v="1"/>
    <x v="1"/>
    <s v="L2"/>
    <s v="Constructing and Specifying"/>
    <s v="Strange Details"/>
    <n v="9"/>
    <x v="1"/>
    <x v="8"/>
    <n v="1"/>
    <n v="0.05"/>
    <n v="0.85"/>
    <n v="4.2500000000000003E-2"/>
    <x v="0"/>
  </r>
  <r>
    <s v="2018-19"/>
    <x v="1"/>
    <x v="1"/>
    <s v="L2"/>
    <s v="Constructing and Specifying"/>
    <s v="Strange Details"/>
    <n v="10"/>
    <x v="0"/>
    <x v="8"/>
    <n v="-1"/>
    <n v="0.05"/>
    <n v="0.85"/>
    <n v="-4.2500000000000003E-2"/>
    <x v="0"/>
  </r>
  <r>
    <s v="2018-19"/>
    <x v="1"/>
    <x v="1"/>
    <s v="L2"/>
    <s v="Constructing and Specifying"/>
    <s v="Strange Details"/>
    <n v="10"/>
    <x v="1"/>
    <x v="8"/>
    <n v="1"/>
    <n v="0.05"/>
    <n v="0.85"/>
    <n v="4.2500000000000003E-2"/>
    <x v="0"/>
  </r>
  <r>
    <s v="2018-19"/>
    <x v="1"/>
    <x v="1"/>
    <s v="L2"/>
    <s v="Constructing and Specifying"/>
    <s v="Strange Details"/>
    <n v="11"/>
    <x v="0"/>
    <x v="9"/>
    <n v="0"/>
    <n v="0.05"/>
    <n v="1"/>
    <n v="0"/>
    <x v="0"/>
  </r>
  <r>
    <s v="2018-19"/>
    <x v="1"/>
    <x v="1"/>
    <s v="L2"/>
    <s v="Constructing and Specifying"/>
    <s v="Strange Details"/>
    <n v="11"/>
    <x v="1"/>
    <x v="9"/>
    <n v="-1"/>
    <n v="0.05"/>
    <n v="1"/>
    <n v="-0.05"/>
    <x v="11"/>
  </r>
  <r>
    <s v="2018-19"/>
    <x v="1"/>
    <x v="2"/>
    <s v="L2"/>
    <s v="Spatial Planning and Organization"/>
    <s v="Of Immediate and Afar"/>
    <n v="1"/>
    <x v="0"/>
    <x v="0"/>
    <n v="-1"/>
    <n v="0.12"/>
    <n v="1"/>
    <n v="-0.12"/>
    <x v="0"/>
  </r>
  <r>
    <s v="2018-19"/>
    <x v="1"/>
    <x v="2"/>
    <s v="L2"/>
    <s v="Spatial Planning and Organization"/>
    <s v="Of Immediate and Afar"/>
    <n v="1"/>
    <x v="1"/>
    <x v="0"/>
    <n v="1"/>
    <n v="0.12"/>
    <n v="1"/>
    <n v="0.12"/>
    <x v="0"/>
  </r>
  <r>
    <s v="2018-19"/>
    <x v="1"/>
    <x v="2"/>
    <s v="L2"/>
    <s v="Spatial Planning and Organization"/>
    <s v="Of Immediate and Afar"/>
    <n v="2"/>
    <x v="0"/>
    <x v="1"/>
    <n v="0"/>
    <n v="0.08"/>
    <n v="0.8"/>
    <n v="0"/>
    <x v="0"/>
  </r>
  <r>
    <s v="2018-19"/>
    <x v="1"/>
    <x v="2"/>
    <s v="L2"/>
    <s v="Spatial Planning and Organization"/>
    <s v="Of Immediate and Afar"/>
    <n v="2"/>
    <x v="1"/>
    <x v="1"/>
    <n v="1"/>
    <n v="0.08"/>
    <n v="0.8"/>
    <n v="6.4000000000000001E-2"/>
    <x v="0"/>
  </r>
  <r>
    <s v="2018-19"/>
    <x v="1"/>
    <x v="2"/>
    <s v="L2"/>
    <s v="Spatial Planning and Organization"/>
    <s v="Of Immediate and Afar"/>
    <n v="3"/>
    <x v="0"/>
    <x v="2"/>
    <n v="0"/>
    <n v="0.05"/>
    <n v="1"/>
    <n v="0"/>
    <x v="0"/>
  </r>
  <r>
    <s v="2018-19"/>
    <x v="1"/>
    <x v="2"/>
    <s v="L2"/>
    <s v="Spatial Planning and Organization"/>
    <s v="Of Immediate and Afar"/>
    <n v="3"/>
    <x v="1"/>
    <x v="2"/>
    <n v="1"/>
    <n v="0.05"/>
    <n v="1"/>
    <n v="0.05"/>
    <x v="0"/>
  </r>
  <r>
    <s v="2018-19"/>
    <x v="1"/>
    <x v="2"/>
    <s v="L2"/>
    <s v="Spatial Planning and Organization"/>
    <s v="Of Immediate and Afar"/>
    <n v="4"/>
    <x v="0"/>
    <x v="3"/>
    <n v="0"/>
    <n v="0.14000000000000001"/>
    <n v="1"/>
    <n v="0"/>
    <x v="0"/>
  </r>
  <r>
    <s v="2018-19"/>
    <x v="1"/>
    <x v="2"/>
    <s v="L2"/>
    <s v="Spatial Planning and Organization"/>
    <s v="Of Immediate and Afar"/>
    <n v="4"/>
    <x v="1"/>
    <x v="3"/>
    <n v="1"/>
    <n v="0.14000000000000001"/>
    <n v="1"/>
    <n v="0.14000000000000001"/>
    <x v="0"/>
  </r>
  <r>
    <s v="2018-19"/>
    <x v="1"/>
    <x v="2"/>
    <s v="L2"/>
    <s v="Spatial Planning and Organization"/>
    <s v="Of Immediate and Afar"/>
    <n v="5"/>
    <x v="0"/>
    <x v="4"/>
    <n v="0"/>
    <n v="0.11"/>
    <n v="1"/>
    <n v="0"/>
    <x v="0"/>
  </r>
  <r>
    <s v="2018-19"/>
    <x v="1"/>
    <x v="2"/>
    <s v="L2"/>
    <s v="Spatial Planning and Organization"/>
    <s v="Of Immediate and Afar"/>
    <n v="5"/>
    <x v="1"/>
    <x v="4"/>
    <n v="1"/>
    <n v="0.11"/>
    <n v="1"/>
    <n v="0.11"/>
    <x v="0"/>
  </r>
  <r>
    <s v="2018-19"/>
    <x v="1"/>
    <x v="2"/>
    <s v="L2"/>
    <s v="Spatial Planning and Organization"/>
    <s v="Of Immediate and Afar"/>
    <n v="6"/>
    <x v="0"/>
    <x v="5"/>
    <n v="0"/>
    <n v="0.15"/>
    <n v="1"/>
    <n v="0"/>
    <x v="0"/>
  </r>
  <r>
    <s v="2018-19"/>
    <x v="1"/>
    <x v="2"/>
    <s v="L2"/>
    <s v="Spatial Planning and Organization"/>
    <s v="Of Immediate and Afar"/>
    <n v="6"/>
    <x v="1"/>
    <x v="5"/>
    <n v="1"/>
    <n v="0.15"/>
    <n v="1"/>
    <n v="0.15"/>
    <x v="12"/>
  </r>
  <r>
    <s v="2018-19"/>
    <x v="1"/>
    <x v="2"/>
    <s v="L2"/>
    <s v="Spatial Planning and Organization"/>
    <s v="Of Immediate and Afar"/>
    <n v="7"/>
    <x v="0"/>
    <x v="6"/>
    <n v="0"/>
    <n v="0.1"/>
    <n v="1"/>
    <n v="0"/>
    <x v="0"/>
  </r>
  <r>
    <s v="2018-19"/>
    <x v="1"/>
    <x v="2"/>
    <s v="L2"/>
    <s v="Spatial Planning and Organization"/>
    <s v="Of Immediate and Afar"/>
    <n v="7"/>
    <x v="1"/>
    <x v="6"/>
    <n v="0"/>
    <n v="0.1"/>
    <n v="1"/>
    <n v="0"/>
    <x v="13"/>
  </r>
  <r>
    <s v="2018-19"/>
    <x v="1"/>
    <x v="2"/>
    <s v="L2"/>
    <s v="Spatial Planning and Organization"/>
    <s v="Of Immediate and Afar"/>
    <n v="8"/>
    <x v="0"/>
    <x v="7"/>
    <n v="0"/>
    <n v="0.1"/>
    <n v="1"/>
    <n v="0"/>
    <x v="0"/>
  </r>
  <r>
    <s v="2018-19"/>
    <x v="1"/>
    <x v="2"/>
    <s v="L2"/>
    <s v="Spatial Planning and Organization"/>
    <s v="Of Immediate and Afar"/>
    <n v="8"/>
    <x v="1"/>
    <x v="7"/>
    <n v="0"/>
    <n v="0.1"/>
    <n v="1"/>
    <n v="0"/>
    <x v="14"/>
  </r>
  <r>
    <s v="2018-19"/>
    <x v="1"/>
    <x v="2"/>
    <s v="L2"/>
    <s v="Spatial Planning and Organization"/>
    <s v="Of Immediate and Afar"/>
    <n v="9"/>
    <x v="0"/>
    <x v="8"/>
    <n v="0"/>
    <n v="0.05"/>
    <n v="0.85"/>
    <n v="0"/>
    <x v="0"/>
  </r>
  <r>
    <s v="2018-19"/>
    <x v="1"/>
    <x v="2"/>
    <s v="L2"/>
    <s v="Spatial Planning and Organization"/>
    <s v="Of Immediate and Afar"/>
    <n v="9"/>
    <x v="1"/>
    <x v="8"/>
    <n v="1"/>
    <n v="0.05"/>
    <n v="0.85"/>
    <n v="4.2500000000000003E-2"/>
    <x v="0"/>
  </r>
  <r>
    <s v="2018-19"/>
    <x v="1"/>
    <x v="2"/>
    <s v="L2"/>
    <s v="Spatial Planning and Organization"/>
    <s v="Of Immediate and Afar"/>
    <n v="10"/>
    <x v="0"/>
    <x v="8"/>
    <n v="0"/>
    <n v="0.05"/>
    <n v="0.85"/>
    <n v="0"/>
    <x v="0"/>
  </r>
  <r>
    <s v="2018-19"/>
    <x v="1"/>
    <x v="2"/>
    <s v="L2"/>
    <s v="Spatial Planning and Organization"/>
    <s v="Of Immediate and Afar"/>
    <n v="10"/>
    <x v="1"/>
    <x v="8"/>
    <n v="1"/>
    <n v="0.05"/>
    <n v="0.85"/>
    <n v="4.2500000000000003E-2"/>
    <x v="0"/>
  </r>
  <r>
    <s v="2018-19"/>
    <x v="1"/>
    <x v="2"/>
    <s v="L2"/>
    <s v="Spatial Planning and Organization"/>
    <s v="Of Immediate and Afar"/>
    <n v="11"/>
    <x v="0"/>
    <x v="9"/>
    <n v="0"/>
    <n v="0.05"/>
    <n v="1"/>
    <n v="0"/>
    <x v="0"/>
  </r>
  <r>
    <s v="2018-19"/>
    <x v="1"/>
    <x v="2"/>
    <s v="L2"/>
    <s v="Spatial Planning and Organization"/>
    <s v="Of Immediate and Afar"/>
    <n v="11"/>
    <x v="1"/>
    <x v="9"/>
    <n v="0"/>
    <n v="0.05"/>
    <n v="1"/>
    <n v="0"/>
    <x v="9"/>
  </r>
  <r>
    <s v="2018-19"/>
    <x v="1"/>
    <x v="16"/>
    <s v="L2"/>
    <m/>
    <s v="Structure - Material - Space"/>
    <n v="1"/>
    <x v="0"/>
    <x v="0"/>
    <n v="1"/>
    <n v="0.12"/>
    <n v="1"/>
    <n v="0.12"/>
    <x v="0"/>
  </r>
  <r>
    <s v="2018-19"/>
    <x v="1"/>
    <x v="16"/>
    <s v="L2"/>
    <m/>
    <s v="Structure - Material - Space"/>
    <n v="1"/>
    <x v="1"/>
    <x v="0"/>
    <n v="1"/>
    <n v="0.12"/>
    <n v="1"/>
    <n v="0.12"/>
    <x v="0"/>
  </r>
  <r>
    <s v="2018-19"/>
    <x v="1"/>
    <x v="16"/>
    <s v="L2"/>
    <m/>
    <s v="Structure - Material - Space"/>
    <n v="2"/>
    <x v="0"/>
    <x v="1"/>
    <n v="1"/>
    <n v="0.08"/>
    <n v="0.8"/>
    <n v="6.4000000000000001E-2"/>
    <x v="0"/>
  </r>
  <r>
    <s v="2018-19"/>
    <x v="1"/>
    <x v="16"/>
    <s v="L2"/>
    <m/>
    <s v="Structure - Material - Space"/>
    <n v="2"/>
    <x v="1"/>
    <x v="1"/>
    <n v="1"/>
    <n v="0.08"/>
    <n v="0.8"/>
    <n v="6.4000000000000001E-2"/>
    <x v="0"/>
  </r>
  <r>
    <s v="2018-19"/>
    <x v="1"/>
    <x v="16"/>
    <s v="L2"/>
    <m/>
    <s v="Structure - Material - Space"/>
    <n v="3"/>
    <x v="0"/>
    <x v="2"/>
    <n v="1"/>
    <n v="0.05"/>
    <n v="1"/>
    <n v="0.05"/>
    <x v="0"/>
  </r>
  <r>
    <s v="2018-19"/>
    <x v="1"/>
    <x v="16"/>
    <s v="L2"/>
    <m/>
    <s v="Structure - Material - Space"/>
    <n v="3"/>
    <x v="1"/>
    <x v="2"/>
    <n v="1"/>
    <n v="0.05"/>
    <n v="1"/>
    <n v="0.05"/>
    <x v="15"/>
  </r>
  <r>
    <s v="2018-19"/>
    <x v="1"/>
    <x v="16"/>
    <s v="L2"/>
    <m/>
    <s v="Structure - Material - Space"/>
    <n v="4"/>
    <x v="0"/>
    <x v="3"/>
    <n v="0"/>
    <n v="0.14000000000000001"/>
    <n v="1"/>
    <n v="0"/>
    <x v="0"/>
  </r>
  <r>
    <s v="2018-19"/>
    <x v="1"/>
    <x v="16"/>
    <s v="L2"/>
    <m/>
    <s v="Structure - Material - Space"/>
    <n v="4"/>
    <x v="1"/>
    <x v="3"/>
    <n v="1"/>
    <n v="0.14000000000000001"/>
    <n v="1"/>
    <n v="0.14000000000000001"/>
    <x v="0"/>
  </r>
  <r>
    <s v="2018-19"/>
    <x v="1"/>
    <x v="16"/>
    <s v="L2"/>
    <m/>
    <s v="Structure - Material - Space"/>
    <n v="5"/>
    <x v="0"/>
    <x v="4"/>
    <n v="0"/>
    <n v="0.11"/>
    <n v="1"/>
    <n v="0"/>
    <x v="0"/>
  </r>
  <r>
    <s v="2018-19"/>
    <x v="1"/>
    <x v="16"/>
    <s v="L2"/>
    <m/>
    <s v="Structure - Material - Space"/>
    <n v="5"/>
    <x v="1"/>
    <x v="4"/>
    <n v="1"/>
    <n v="0.11"/>
    <n v="1"/>
    <n v="0.11"/>
    <x v="0"/>
  </r>
  <r>
    <s v="2018-19"/>
    <x v="1"/>
    <x v="16"/>
    <s v="L2"/>
    <m/>
    <s v="Structure - Material - Space"/>
    <n v="6"/>
    <x v="0"/>
    <x v="5"/>
    <n v="0"/>
    <n v="0.15"/>
    <n v="1"/>
    <n v="0"/>
    <x v="0"/>
  </r>
  <r>
    <s v="2018-19"/>
    <x v="1"/>
    <x v="16"/>
    <s v="L2"/>
    <m/>
    <s v="Structure - Material - Space"/>
    <n v="6"/>
    <x v="1"/>
    <x v="5"/>
    <n v="1"/>
    <n v="0.15"/>
    <n v="1"/>
    <n v="0.15"/>
    <x v="16"/>
  </r>
  <r>
    <s v="2018-19"/>
    <x v="1"/>
    <x v="16"/>
    <s v="L2"/>
    <m/>
    <s v="Structure - Material - Space"/>
    <n v="7"/>
    <x v="0"/>
    <x v="6"/>
    <n v="1"/>
    <n v="0.1"/>
    <n v="1"/>
    <n v="0.1"/>
    <x v="0"/>
  </r>
  <r>
    <s v="2018-19"/>
    <x v="1"/>
    <x v="16"/>
    <s v="L2"/>
    <m/>
    <s v="Structure - Material - Space"/>
    <n v="7"/>
    <x v="1"/>
    <x v="6"/>
    <n v="1"/>
    <n v="0.1"/>
    <n v="1"/>
    <n v="0.1"/>
    <x v="17"/>
  </r>
  <r>
    <s v="2018-19"/>
    <x v="1"/>
    <x v="16"/>
    <s v="L2"/>
    <m/>
    <s v="Structure - Material - Space"/>
    <n v="8"/>
    <x v="0"/>
    <x v="7"/>
    <n v="1"/>
    <n v="0.1"/>
    <n v="1"/>
    <n v="0.1"/>
    <x v="0"/>
  </r>
  <r>
    <s v="2018-19"/>
    <x v="1"/>
    <x v="16"/>
    <s v="L2"/>
    <m/>
    <s v="Structure - Material - Space"/>
    <n v="8"/>
    <x v="1"/>
    <x v="7"/>
    <n v="1"/>
    <n v="0.1"/>
    <n v="1"/>
    <n v="0.1"/>
    <x v="0"/>
  </r>
  <r>
    <s v="2018-19"/>
    <x v="1"/>
    <x v="16"/>
    <s v="L2"/>
    <m/>
    <s v="Structure - Material - Space"/>
    <n v="9"/>
    <x v="0"/>
    <x v="8"/>
    <n v="0"/>
    <n v="0.05"/>
    <n v="0.85"/>
    <n v="0"/>
    <x v="0"/>
  </r>
  <r>
    <s v="2018-19"/>
    <x v="1"/>
    <x v="16"/>
    <s v="L2"/>
    <m/>
    <s v="Structure - Material - Space"/>
    <n v="9"/>
    <x v="1"/>
    <x v="8"/>
    <n v="1"/>
    <n v="0.05"/>
    <n v="0.85"/>
    <n v="4.2500000000000003E-2"/>
    <x v="0"/>
  </r>
  <r>
    <s v="2018-19"/>
    <x v="1"/>
    <x v="16"/>
    <s v="L2"/>
    <m/>
    <s v="Structure - Material - Space"/>
    <n v="10"/>
    <x v="0"/>
    <x v="8"/>
    <n v="0"/>
    <n v="0.05"/>
    <n v="0.85"/>
    <n v="0"/>
    <x v="0"/>
  </r>
  <r>
    <s v="2018-19"/>
    <x v="1"/>
    <x v="16"/>
    <s v="L2"/>
    <m/>
    <s v="Structure - Material - Space"/>
    <n v="10"/>
    <x v="1"/>
    <x v="8"/>
    <n v="1"/>
    <n v="0.05"/>
    <n v="0.85"/>
    <n v="4.2500000000000003E-2"/>
    <x v="0"/>
  </r>
  <r>
    <s v="2018-19"/>
    <x v="1"/>
    <x v="16"/>
    <s v="L2"/>
    <m/>
    <s v="Structure - Material - Space"/>
    <n v="11"/>
    <x v="0"/>
    <x v="9"/>
    <n v="0"/>
    <n v="0.05"/>
    <n v="1"/>
    <n v="0"/>
    <x v="0"/>
  </r>
  <r>
    <s v="2018-19"/>
    <x v="1"/>
    <x v="16"/>
    <s v="L2"/>
    <m/>
    <s v="Structure - Material - Space"/>
    <n v="11"/>
    <x v="1"/>
    <x v="9"/>
    <n v="1"/>
    <n v="0.05"/>
    <n v="1"/>
    <n v="0.05"/>
    <x v="18"/>
  </r>
  <r>
    <s v="2018-19"/>
    <x v="1"/>
    <x v="3"/>
    <s v="L2"/>
    <s v="Spatial Planning and Organization"/>
    <s v="Re [De] code"/>
    <n v="1"/>
    <x v="0"/>
    <x v="0"/>
    <n v="0"/>
    <n v="0.12"/>
    <n v="1"/>
    <n v="0"/>
    <x v="0"/>
  </r>
  <r>
    <s v="2018-19"/>
    <x v="1"/>
    <x v="3"/>
    <s v="L2"/>
    <s v="Spatial Planning and Organization"/>
    <s v="Re [De] code"/>
    <n v="1"/>
    <x v="1"/>
    <x v="0"/>
    <n v="0"/>
    <n v="0.12"/>
    <n v="1"/>
    <n v="0"/>
    <x v="19"/>
  </r>
  <r>
    <s v="2018-19"/>
    <x v="1"/>
    <x v="3"/>
    <s v="L2"/>
    <s v="Spatial Planning and Organization"/>
    <s v="Re [De] code"/>
    <n v="2"/>
    <x v="0"/>
    <x v="1"/>
    <n v="0"/>
    <n v="0.08"/>
    <n v="0.8"/>
    <n v="0"/>
    <x v="0"/>
  </r>
  <r>
    <s v="2018-19"/>
    <x v="1"/>
    <x v="3"/>
    <s v="L2"/>
    <s v="Spatial Planning and Organization"/>
    <s v="Re [De] code"/>
    <n v="2"/>
    <x v="1"/>
    <x v="1"/>
    <n v="1"/>
    <n v="0.08"/>
    <n v="0.8"/>
    <n v="6.4000000000000001E-2"/>
    <x v="0"/>
  </r>
  <r>
    <s v="2018-19"/>
    <x v="1"/>
    <x v="3"/>
    <s v="L2"/>
    <s v="Spatial Planning and Organization"/>
    <s v="Re [De] code"/>
    <n v="3"/>
    <x v="0"/>
    <x v="2"/>
    <n v="1"/>
    <n v="0.05"/>
    <n v="1"/>
    <n v="0.05"/>
    <x v="0"/>
  </r>
  <r>
    <s v="2018-19"/>
    <x v="1"/>
    <x v="3"/>
    <s v="L2"/>
    <s v="Spatial Planning and Organization"/>
    <s v="Re [De] code"/>
    <n v="3"/>
    <x v="1"/>
    <x v="2"/>
    <n v="-1"/>
    <n v="0.05"/>
    <n v="1"/>
    <n v="-0.05"/>
    <x v="20"/>
  </r>
  <r>
    <s v="2018-19"/>
    <x v="1"/>
    <x v="3"/>
    <s v="L2"/>
    <s v="Spatial Planning and Organization"/>
    <s v="Re [De] code"/>
    <n v="4"/>
    <x v="0"/>
    <x v="3"/>
    <n v="0"/>
    <n v="0.14000000000000001"/>
    <n v="1"/>
    <n v="0"/>
    <x v="0"/>
  </r>
  <r>
    <s v="2018-19"/>
    <x v="1"/>
    <x v="3"/>
    <s v="L2"/>
    <s v="Spatial Planning and Organization"/>
    <s v="Re [De] code"/>
    <n v="4"/>
    <x v="1"/>
    <x v="3"/>
    <n v="0"/>
    <n v="0.14000000000000001"/>
    <n v="1"/>
    <n v="0"/>
    <x v="21"/>
  </r>
  <r>
    <s v="2018-19"/>
    <x v="1"/>
    <x v="3"/>
    <s v="L2"/>
    <s v="Spatial Planning and Organization"/>
    <s v="Re [De] code"/>
    <n v="5"/>
    <x v="0"/>
    <x v="4"/>
    <n v="-1"/>
    <n v="0.11"/>
    <n v="1"/>
    <n v="-0.11"/>
    <x v="0"/>
  </r>
  <r>
    <s v="2018-19"/>
    <x v="1"/>
    <x v="3"/>
    <s v="L2"/>
    <s v="Spatial Planning and Organization"/>
    <s v="Re [De] code"/>
    <n v="5"/>
    <x v="1"/>
    <x v="4"/>
    <n v="0"/>
    <n v="0.11"/>
    <n v="1"/>
    <n v="0"/>
    <x v="22"/>
  </r>
  <r>
    <s v="2018-19"/>
    <x v="1"/>
    <x v="3"/>
    <s v="L2"/>
    <s v="Spatial Planning and Organization"/>
    <s v="Re [De] code"/>
    <n v="6"/>
    <x v="0"/>
    <x v="5"/>
    <n v="0"/>
    <n v="0.15"/>
    <n v="1"/>
    <n v="0"/>
    <x v="0"/>
  </r>
  <r>
    <s v="2018-19"/>
    <x v="1"/>
    <x v="3"/>
    <s v="L2"/>
    <s v="Spatial Planning and Organization"/>
    <s v="Re [De] code"/>
    <n v="6"/>
    <x v="1"/>
    <x v="5"/>
    <n v="0"/>
    <n v="0.15"/>
    <n v="1"/>
    <n v="0"/>
    <x v="23"/>
  </r>
  <r>
    <s v="2018-19"/>
    <x v="1"/>
    <x v="3"/>
    <s v="L2"/>
    <s v="Spatial Planning and Organization"/>
    <s v="Re [De] code"/>
    <n v="7"/>
    <x v="0"/>
    <x v="6"/>
    <n v="0"/>
    <n v="0.1"/>
    <n v="1"/>
    <n v="0"/>
    <x v="0"/>
  </r>
  <r>
    <s v="2018-19"/>
    <x v="1"/>
    <x v="3"/>
    <s v="L2"/>
    <s v="Spatial Planning and Organization"/>
    <s v="Re [De] code"/>
    <n v="7"/>
    <x v="1"/>
    <x v="6"/>
    <n v="0"/>
    <n v="0.1"/>
    <n v="1"/>
    <n v="0"/>
    <x v="24"/>
  </r>
  <r>
    <s v="2018-19"/>
    <x v="1"/>
    <x v="3"/>
    <s v="L2"/>
    <s v="Spatial Planning and Organization"/>
    <s v="Re [De] code"/>
    <n v="8"/>
    <x v="0"/>
    <x v="7"/>
    <n v="0"/>
    <n v="0.1"/>
    <n v="1"/>
    <n v="0"/>
    <x v="0"/>
  </r>
  <r>
    <s v="2018-19"/>
    <x v="1"/>
    <x v="3"/>
    <s v="L2"/>
    <s v="Spatial Planning and Organization"/>
    <s v="Re [De] code"/>
    <n v="8"/>
    <x v="1"/>
    <x v="7"/>
    <n v="1"/>
    <n v="0.1"/>
    <n v="1"/>
    <n v="0.1"/>
    <x v="25"/>
  </r>
  <r>
    <s v="2018-19"/>
    <x v="1"/>
    <x v="3"/>
    <s v="L2"/>
    <s v="Spatial Planning and Organization"/>
    <s v="Re [De] code"/>
    <n v="9"/>
    <x v="0"/>
    <x v="8"/>
    <n v="0"/>
    <n v="0.05"/>
    <n v="0.85"/>
    <n v="0"/>
    <x v="0"/>
  </r>
  <r>
    <s v="2018-19"/>
    <x v="1"/>
    <x v="3"/>
    <s v="L2"/>
    <s v="Spatial Planning and Organization"/>
    <s v="Re [De] code"/>
    <n v="9"/>
    <x v="1"/>
    <x v="8"/>
    <n v="1"/>
    <n v="0.05"/>
    <n v="0.85"/>
    <n v="4.2500000000000003E-2"/>
    <x v="0"/>
  </r>
  <r>
    <s v="2018-19"/>
    <x v="1"/>
    <x v="3"/>
    <s v="L2"/>
    <s v="Spatial Planning and Organization"/>
    <s v="Re [De] code"/>
    <n v="10"/>
    <x v="0"/>
    <x v="8"/>
    <n v="0"/>
    <n v="0.05"/>
    <n v="0.85"/>
    <n v="0"/>
    <x v="0"/>
  </r>
  <r>
    <s v="2018-19"/>
    <x v="1"/>
    <x v="3"/>
    <s v="L2"/>
    <s v="Spatial Planning and Organization"/>
    <s v="Re [De] code"/>
    <n v="10"/>
    <x v="1"/>
    <x v="8"/>
    <n v="1"/>
    <n v="0.05"/>
    <n v="0.85"/>
    <n v="4.2500000000000003E-2"/>
    <x v="0"/>
  </r>
  <r>
    <s v="2018-19"/>
    <x v="1"/>
    <x v="3"/>
    <s v="L2"/>
    <s v="Spatial Planning and Organization"/>
    <s v="Re [De] code"/>
    <n v="11"/>
    <x v="0"/>
    <x v="9"/>
    <n v="0"/>
    <n v="0.05"/>
    <n v="1"/>
    <n v="0"/>
    <x v="0"/>
  </r>
  <r>
    <s v="2018-19"/>
    <x v="1"/>
    <x v="3"/>
    <s v="L2"/>
    <s v="Spatial Planning and Organization"/>
    <s v="Re [De] code"/>
    <n v="11"/>
    <x v="1"/>
    <x v="9"/>
    <n v="-1"/>
    <n v="0.05"/>
    <n v="1"/>
    <n v="-0.05"/>
    <x v="26"/>
  </r>
  <r>
    <s v="2018-19"/>
    <x v="1"/>
    <x v="4"/>
    <s v="L2"/>
    <s v="Constructing and Specifying"/>
    <s v="From Drawing Board to Construction Sites"/>
    <n v="1"/>
    <x v="0"/>
    <x v="0"/>
    <n v="1"/>
    <n v="0.12"/>
    <n v="1"/>
    <n v="0.12"/>
    <x v="0"/>
  </r>
  <r>
    <s v="2018-19"/>
    <x v="1"/>
    <x v="4"/>
    <s v="L2"/>
    <s v="Constructing and Specifying"/>
    <s v="From Drawing Board to Construction Sites"/>
    <n v="1"/>
    <x v="1"/>
    <x v="0"/>
    <n v="1"/>
    <n v="0.12"/>
    <n v="1"/>
    <n v="0.12"/>
    <x v="0"/>
  </r>
  <r>
    <s v="2018-19"/>
    <x v="1"/>
    <x v="4"/>
    <s v="L2"/>
    <s v="Constructing and Specifying"/>
    <s v="From Drawing Board to Construction Sites"/>
    <n v="2"/>
    <x v="0"/>
    <x v="1"/>
    <n v="0"/>
    <n v="0.08"/>
    <n v="0.8"/>
    <n v="0"/>
    <x v="0"/>
  </r>
  <r>
    <s v="2018-19"/>
    <x v="1"/>
    <x v="4"/>
    <s v="L2"/>
    <s v="Constructing and Specifying"/>
    <s v="From Drawing Board to Construction Sites"/>
    <n v="2"/>
    <x v="1"/>
    <x v="1"/>
    <n v="1"/>
    <n v="0.08"/>
    <n v="0.8"/>
    <n v="6.4000000000000001E-2"/>
    <x v="0"/>
  </r>
  <r>
    <s v="2018-19"/>
    <x v="1"/>
    <x v="4"/>
    <s v="L2"/>
    <s v="Constructing and Specifying"/>
    <s v="From Drawing Board to Construction Sites"/>
    <n v="3"/>
    <x v="0"/>
    <x v="2"/>
    <n v="1"/>
    <n v="0.05"/>
    <n v="1"/>
    <n v="0.05"/>
    <x v="0"/>
  </r>
  <r>
    <s v="2018-19"/>
    <x v="1"/>
    <x v="4"/>
    <s v="L2"/>
    <s v="Constructing and Specifying"/>
    <s v="From Drawing Board to Construction Sites"/>
    <n v="3"/>
    <x v="1"/>
    <x v="2"/>
    <n v="1"/>
    <n v="0.05"/>
    <n v="1"/>
    <n v="0.05"/>
    <x v="27"/>
  </r>
  <r>
    <s v="2018-19"/>
    <x v="1"/>
    <x v="4"/>
    <s v="L2"/>
    <s v="Constructing and Specifying"/>
    <s v="From Drawing Board to Construction Sites"/>
    <n v="4"/>
    <x v="0"/>
    <x v="3"/>
    <n v="0"/>
    <n v="0.14000000000000001"/>
    <n v="1"/>
    <n v="0"/>
    <x v="0"/>
  </r>
  <r>
    <s v="2018-19"/>
    <x v="1"/>
    <x v="4"/>
    <s v="L2"/>
    <s v="Constructing and Specifying"/>
    <s v="From Drawing Board to Construction Sites"/>
    <n v="4"/>
    <x v="1"/>
    <x v="3"/>
    <n v="1"/>
    <n v="0.14000000000000001"/>
    <n v="1"/>
    <n v="0.14000000000000001"/>
    <x v="0"/>
  </r>
  <r>
    <s v="2018-19"/>
    <x v="1"/>
    <x v="4"/>
    <s v="L2"/>
    <s v="Constructing and Specifying"/>
    <s v="From Drawing Board to Construction Sites"/>
    <n v="5"/>
    <x v="0"/>
    <x v="4"/>
    <n v="0"/>
    <n v="0.11"/>
    <n v="1"/>
    <n v="0"/>
    <x v="0"/>
  </r>
  <r>
    <s v="2018-19"/>
    <x v="1"/>
    <x v="4"/>
    <s v="L2"/>
    <s v="Constructing and Specifying"/>
    <s v="From Drawing Board to Construction Sites"/>
    <n v="5"/>
    <x v="1"/>
    <x v="4"/>
    <n v="1"/>
    <n v="0.11"/>
    <n v="1"/>
    <n v="0.11"/>
    <x v="0"/>
  </r>
  <r>
    <s v="2018-19"/>
    <x v="1"/>
    <x v="4"/>
    <s v="L2"/>
    <s v="Constructing and Specifying"/>
    <s v="From Drawing Board to Construction Sites"/>
    <n v="6"/>
    <x v="0"/>
    <x v="5"/>
    <n v="0"/>
    <n v="0.15"/>
    <n v="1"/>
    <n v="0"/>
    <x v="0"/>
  </r>
  <r>
    <s v="2018-19"/>
    <x v="1"/>
    <x v="4"/>
    <s v="L2"/>
    <s v="Constructing and Specifying"/>
    <s v="From Drawing Board to Construction Sites"/>
    <n v="6"/>
    <x v="1"/>
    <x v="5"/>
    <n v="1"/>
    <n v="0.15"/>
    <n v="1"/>
    <n v="0.15"/>
    <x v="0"/>
  </r>
  <r>
    <s v="2018-19"/>
    <x v="1"/>
    <x v="4"/>
    <s v="L2"/>
    <s v="Constructing and Specifying"/>
    <s v="From Drawing Board to Construction Sites"/>
    <n v="7"/>
    <x v="0"/>
    <x v="6"/>
    <n v="0"/>
    <n v="0.1"/>
    <n v="1"/>
    <n v="0"/>
    <x v="0"/>
  </r>
  <r>
    <s v="2018-19"/>
    <x v="1"/>
    <x v="4"/>
    <s v="L2"/>
    <s v="Constructing and Specifying"/>
    <s v="From Drawing Board to Construction Sites"/>
    <n v="7"/>
    <x v="1"/>
    <x v="6"/>
    <n v="1"/>
    <n v="0.1"/>
    <n v="1"/>
    <n v="0.1"/>
    <x v="0"/>
  </r>
  <r>
    <s v="2018-19"/>
    <x v="1"/>
    <x v="4"/>
    <s v="L2"/>
    <s v="Constructing and Specifying"/>
    <s v="From Drawing Board to Construction Sites"/>
    <n v="8"/>
    <x v="0"/>
    <x v="7"/>
    <n v="0"/>
    <n v="0.1"/>
    <n v="1"/>
    <n v="0"/>
    <x v="0"/>
  </r>
  <r>
    <s v="2018-19"/>
    <x v="1"/>
    <x v="4"/>
    <s v="L2"/>
    <s v="Constructing and Specifying"/>
    <s v="From Drawing Board to Construction Sites"/>
    <n v="8"/>
    <x v="1"/>
    <x v="7"/>
    <n v="1"/>
    <n v="0.1"/>
    <n v="1"/>
    <n v="0.1"/>
    <x v="0"/>
  </r>
  <r>
    <s v="2018-19"/>
    <x v="1"/>
    <x v="4"/>
    <s v="L2"/>
    <s v="Constructing and Specifying"/>
    <s v="From Drawing Board to Construction Sites"/>
    <n v="9"/>
    <x v="0"/>
    <x v="8"/>
    <n v="0"/>
    <n v="0.05"/>
    <n v="0.85"/>
    <n v="0"/>
    <x v="0"/>
  </r>
  <r>
    <s v="2018-19"/>
    <x v="1"/>
    <x v="4"/>
    <s v="L2"/>
    <s v="Constructing and Specifying"/>
    <s v="From Drawing Board to Construction Sites"/>
    <n v="9"/>
    <x v="1"/>
    <x v="8"/>
    <n v="1"/>
    <n v="0.05"/>
    <n v="0.85"/>
    <n v="4.2500000000000003E-2"/>
    <x v="0"/>
  </r>
  <r>
    <s v="2018-19"/>
    <x v="1"/>
    <x v="4"/>
    <s v="L2"/>
    <s v="Constructing and Specifying"/>
    <s v="From Drawing Board to Construction Sites"/>
    <n v="10"/>
    <x v="0"/>
    <x v="8"/>
    <n v="0"/>
    <n v="0.05"/>
    <n v="0.85"/>
    <n v="0"/>
    <x v="0"/>
  </r>
  <r>
    <s v="2018-19"/>
    <x v="1"/>
    <x v="4"/>
    <s v="L2"/>
    <s v="Constructing and Specifying"/>
    <s v="From Drawing Board to Construction Sites"/>
    <n v="10"/>
    <x v="1"/>
    <x v="8"/>
    <n v="1"/>
    <n v="0.05"/>
    <n v="0.85"/>
    <n v="4.2500000000000003E-2"/>
    <x v="0"/>
  </r>
  <r>
    <s v="2018-19"/>
    <x v="1"/>
    <x v="4"/>
    <s v="L2"/>
    <s v="Constructing and Specifying"/>
    <s v="From Drawing Board to Construction Sites"/>
    <n v="11"/>
    <x v="0"/>
    <x v="9"/>
    <n v="0"/>
    <n v="0.05"/>
    <n v="1"/>
    <n v="0"/>
    <x v="0"/>
  </r>
  <r>
    <s v="2018-19"/>
    <x v="1"/>
    <x v="4"/>
    <s v="L2"/>
    <s v="Constructing and Specifying"/>
    <s v="From Drawing Board to Construction Sites"/>
    <n v="11"/>
    <x v="1"/>
    <x v="9"/>
    <n v="1"/>
    <n v="0.05"/>
    <n v="1"/>
    <n v="0.05"/>
    <x v="0"/>
  </r>
  <r>
    <s v="2018-19"/>
    <x v="1"/>
    <x v="5"/>
    <s v="L2"/>
    <s v="Visualization &amp; Communication, Spatial Planning &amp; Organisation"/>
    <s v="Figuring Ground: Land Building Relationships"/>
    <n v="1"/>
    <x v="0"/>
    <x v="0"/>
    <n v="1"/>
    <n v="0.12"/>
    <n v="1"/>
    <n v="0.12"/>
    <x v="0"/>
  </r>
  <r>
    <s v="2018-19"/>
    <x v="1"/>
    <x v="5"/>
    <s v="L2"/>
    <s v="Visualization &amp; Communication, Spatial Planning &amp; Organisation"/>
    <s v="Figuring Ground: Land Building Relationships"/>
    <n v="1"/>
    <x v="1"/>
    <x v="0"/>
    <n v="1"/>
    <n v="0.12"/>
    <n v="1"/>
    <n v="0.12"/>
    <x v="0"/>
  </r>
  <r>
    <s v="2018-19"/>
    <x v="1"/>
    <x v="5"/>
    <s v="L2"/>
    <s v="Visualization &amp; Communication, Spatial Planning &amp; Organisation"/>
    <s v="Figuring Ground: Land Building Relationships"/>
    <n v="2"/>
    <x v="0"/>
    <x v="1"/>
    <n v="1"/>
    <n v="0.08"/>
    <n v="0.8"/>
    <n v="6.4000000000000001E-2"/>
    <x v="0"/>
  </r>
  <r>
    <s v="2018-19"/>
    <x v="1"/>
    <x v="5"/>
    <s v="L2"/>
    <s v="Visualization &amp; Communication, Spatial Planning &amp; Organisation"/>
    <s v="Figuring Ground: Land Building Relationships"/>
    <n v="2"/>
    <x v="1"/>
    <x v="1"/>
    <n v="1"/>
    <n v="0.08"/>
    <n v="0.8"/>
    <n v="6.4000000000000001E-2"/>
    <x v="0"/>
  </r>
  <r>
    <s v="2018-19"/>
    <x v="1"/>
    <x v="5"/>
    <s v="L2"/>
    <s v="Visualization &amp; Communication, Spatial Planning &amp; Organisation"/>
    <s v="Figuring Ground: Land Building Relationships"/>
    <n v="3"/>
    <x v="0"/>
    <x v="2"/>
    <n v="1"/>
    <n v="0.05"/>
    <n v="1"/>
    <n v="0.05"/>
    <x v="0"/>
  </r>
  <r>
    <s v="2018-19"/>
    <x v="1"/>
    <x v="5"/>
    <s v="L2"/>
    <s v="Visualization &amp; Communication, Spatial Planning &amp; Organisation"/>
    <s v="Figuring Ground: Land Building Relationships"/>
    <n v="3"/>
    <x v="1"/>
    <x v="2"/>
    <n v="1"/>
    <n v="0.05"/>
    <n v="1"/>
    <n v="0.05"/>
    <x v="0"/>
  </r>
  <r>
    <s v="2018-19"/>
    <x v="1"/>
    <x v="5"/>
    <s v="L2"/>
    <s v="Visualization &amp; Communication, Spatial Planning &amp; Organisation"/>
    <s v="Figuring Ground: Land Building Relationships"/>
    <n v="4"/>
    <x v="0"/>
    <x v="3"/>
    <n v="0"/>
    <n v="0.14000000000000001"/>
    <n v="1"/>
    <n v="0"/>
    <x v="0"/>
  </r>
  <r>
    <s v="2018-19"/>
    <x v="1"/>
    <x v="5"/>
    <s v="L2"/>
    <s v="Visualization &amp; Communication, Spatial Planning &amp; Organisation"/>
    <s v="Figuring Ground: Land Building Relationships"/>
    <n v="4"/>
    <x v="1"/>
    <x v="3"/>
    <n v="0"/>
    <n v="0.14000000000000001"/>
    <n v="1"/>
    <n v="0"/>
    <x v="28"/>
  </r>
  <r>
    <s v="2018-19"/>
    <x v="1"/>
    <x v="5"/>
    <s v="L2"/>
    <s v="Visualization &amp; Communication, Spatial Planning &amp; Organisation"/>
    <s v="Figuring Ground: Land Building Relationships"/>
    <n v="5"/>
    <x v="0"/>
    <x v="4"/>
    <n v="0"/>
    <n v="0.11"/>
    <n v="1"/>
    <n v="0"/>
    <x v="0"/>
  </r>
  <r>
    <s v="2018-19"/>
    <x v="1"/>
    <x v="5"/>
    <s v="L2"/>
    <s v="Visualization &amp; Communication, Spatial Planning &amp; Organisation"/>
    <s v="Figuring Ground: Land Building Relationships"/>
    <n v="5"/>
    <x v="1"/>
    <x v="4"/>
    <n v="1"/>
    <n v="0.11"/>
    <n v="1"/>
    <n v="0.11"/>
    <x v="0"/>
  </r>
  <r>
    <s v="2018-19"/>
    <x v="1"/>
    <x v="5"/>
    <s v="L2"/>
    <s v="Visualization &amp; Communication, Spatial Planning &amp; Organisation"/>
    <s v="Figuring Ground: Land Building Relationships"/>
    <n v="6"/>
    <x v="0"/>
    <x v="5"/>
    <n v="1"/>
    <n v="0.15"/>
    <n v="1"/>
    <n v="0.15"/>
    <x v="0"/>
  </r>
  <r>
    <s v="2018-19"/>
    <x v="1"/>
    <x v="5"/>
    <s v="L2"/>
    <s v="Visualization &amp; Communication, Spatial Planning &amp; Organisation"/>
    <s v="Figuring Ground: Land Building Relationships"/>
    <n v="6"/>
    <x v="1"/>
    <x v="5"/>
    <n v="1"/>
    <n v="0.15"/>
    <n v="1"/>
    <n v="0.15"/>
    <x v="29"/>
  </r>
  <r>
    <s v="2018-19"/>
    <x v="1"/>
    <x v="5"/>
    <s v="L2"/>
    <s v="Visualization &amp; Communication, Spatial Planning &amp; Organisation"/>
    <s v="Figuring Ground: Land Building Relationships"/>
    <n v="7"/>
    <x v="0"/>
    <x v="6"/>
    <n v="1"/>
    <n v="0.1"/>
    <n v="1"/>
    <n v="0.1"/>
    <x v="0"/>
  </r>
  <r>
    <s v="2018-19"/>
    <x v="1"/>
    <x v="5"/>
    <s v="L2"/>
    <s v="Visualization &amp; Communication, Spatial Planning &amp; Organisation"/>
    <s v="Figuring Ground: Land Building Relationships"/>
    <n v="7"/>
    <x v="1"/>
    <x v="6"/>
    <n v="1"/>
    <n v="0.1"/>
    <n v="1"/>
    <n v="0.1"/>
    <x v="0"/>
  </r>
  <r>
    <s v="2018-19"/>
    <x v="1"/>
    <x v="5"/>
    <s v="L2"/>
    <s v="Visualization &amp; Communication, Spatial Planning &amp; Organisation"/>
    <s v="Figuring Ground: Land Building Relationships"/>
    <n v="8"/>
    <x v="0"/>
    <x v="7"/>
    <n v="1"/>
    <n v="0.1"/>
    <n v="1"/>
    <n v="0.1"/>
    <x v="0"/>
  </r>
  <r>
    <s v="2018-19"/>
    <x v="1"/>
    <x v="5"/>
    <s v="L2"/>
    <s v="Visualization &amp; Communication, Spatial Planning &amp; Organisation"/>
    <s v="Figuring Ground: Land Building Relationships"/>
    <n v="8"/>
    <x v="1"/>
    <x v="7"/>
    <n v="0"/>
    <n v="0.1"/>
    <n v="1"/>
    <n v="0"/>
    <x v="30"/>
  </r>
  <r>
    <s v="2018-19"/>
    <x v="1"/>
    <x v="5"/>
    <s v="L2"/>
    <s v="Visualization &amp; Communication, Spatial Planning &amp; Organisation"/>
    <s v="Figuring Ground: Land Building Relationships"/>
    <n v="9"/>
    <x v="0"/>
    <x v="8"/>
    <n v="1"/>
    <n v="0.05"/>
    <n v="0.85"/>
    <n v="4.2500000000000003E-2"/>
    <x v="0"/>
  </r>
  <r>
    <s v="2018-19"/>
    <x v="1"/>
    <x v="5"/>
    <s v="L2"/>
    <s v="Visualization &amp; Communication, Spatial Planning &amp; Organisation"/>
    <s v="Figuring Ground: Land Building Relationships"/>
    <n v="9"/>
    <x v="1"/>
    <x v="8"/>
    <n v="1"/>
    <n v="0.05"/>
    <n v="0.85"/>
    <n v="4.2500000000000003E-2"/>
    <x v="0"/>
  </r>
  <r>
    <s v="2018-19"/>
    <x v="1"/>
    <x v="5"/>
    <s v="L2"/>
    <s v="Visualization &amp; Communication, Spatial Planning &amp; Organisation"/>
    <s v="Figuring Ground: Land Building Relationships"/>
    <n v="10"/>
    <x v="0"/>
    <x v="8"/>
    <n v="1"/>
    <n v="0.05"/>
    <n v="0.85"/>
    <n v="4.2500000000000003E-2"/>
    <x v="0"/>
  </r>
  <r>
    <s v="2018-19"/>
    <x v="1"/>
    <x v="5"/>
    <s v="L2"/>
    <s v="Visualization &amp; Communication, Spatial Planning &amp; Organisation"/>
    <s v="Figuring Ground: Land Building Relationships"/>
    <n v="10"/>
    <x v="1"/>
    <x v="8"/>
    <n v="1"/>
    <n v="0.05"/>
    <n v="0.85"/>
    <n v="4.2500000000000003E-2"/>
    <x v="0"/>
  </r>
  <r>
    <s v="2018-19"/>
    <x v="1"/>
    <x v="5"/>
    <s v="L2"/>
    <s v="Visualization &amp; Communication, Spatial Planning &amp; Organisation"/>
    <s v="Figuring Ground: Land Building Relationships"/>
    <n v="11"/>
    <x v="0"/>
    <x v="9"/>
    <n v="1"/>
    <n v="0.05"/>
    <n v="1"/>
    <n v="0.05"/>
    <x v="0"/>
  </r>
  <r>
    <s v="2018-19"/>
    <x v="1"/>
    <x v="5"/>
    <s v="L2"/>
    <s v="Visualization &amp; Communication, Spatial Planning &amp; Organisation"/>
    <s v="Figuring Ground: Land Building Relationships"/>
    <n v="11"/>
    <x v="1"/>
    <x v="9"/>
    <n v="-1"/>
    <n v="0.05"/>
    <n v="1"/>
    <n v="-0.05"/>
    <x v="31"/>
  </r>
  <r>
    <s v="2018-19"/>
    <x v="1"/>
    <x v="6"/>
    <s v="L2"/>
    <s v="Visualization &amp; Communication, Spatial Planning &amp; Organisation"/>
    <s v="Making Living Places : Craftsmanship, song and imagination"/>
    <n v="1"/>
    <x v="0"/>
    <x v="0"/>
    <n v="0"/>
    <n v="0.12"/>
    <n v="1"/>
    <n v="0"/>
    <x v="0"/>
  </r>
  <r>
    <s v="2018-19"/>
    <x v="1"/>
    <x v="6"/>
    <s v="L2"/>
    <s v="Visualization &amp; Communication, Spatial Planning &amp; Organisation"/>
    <s v="Making Living Places : Craftsmanship, song and imagination"/>
    <n v="1"/>
    <x v="1"/>
    <x v="0"/>
    <n v="1"/>
    <n v="0.12"/>
    <n v="1"/>
    <n v="0.12"/>
    <x v="0"/>
  </r>
  <r>
    <s v="2018-19"/>
    <x v="1"/>
    <x v="6"/>
    <s v="L2"/>
    <s v="Visualization &amp; Communication, Spatial Planning &amp; Organisation"/>
    <s v="Making Living Places : Craftsmanship, song and imagination"/>
    <n v="2"/>
    <x v="0"/>
    <x v="1"/>
    <n v="0"/>
    <n v="0.08"/>
    <n v="0.8"/>
    <n v="0"/>
    <x v="0"/>
  </r>
  <r>
    <s v="2018-19"/>
    <x v="1"/>
    <x v="6"/>
    <s v="L2"/>
    <s v="Visualization &amp; Communication, Spatial Planning &amp; Organisation"/>
    <s v="Making Living Places : Craftsmanship, song and imagination"/>
    <n v="2"/>
    <x v="1"/>
    <x v="1"/>
    <n v="1"/>
    <n v="0.08"/>
    <n v="0.8"/>
    <n v="6.4000000000000001E-2"/>
    <x v="0"/>
  </r>
  <r>
    <s v="2018-19"/>
    <x v="1"/>
    <x v="6"/>
    <s v="L2"/>
    <s v="Visualization &amp; Communication, Spatial Planning &amp; Organisation"/>
    <s v="Making Living Places : Craftsmanship, song and imagination"/>
    <n v="3"/>
    <x v="0"/>
    <x v="2"/>
    <n v="1"/>
    <n v="0.05"/>
    <n v="1"/>
    <n v="0.05"/>
    <x v="0"/>
  </r>
  <r>
    <s v="2018-19"/>
    <x v="1"/>
    <x v="6"/>
    <s v="L2"/>
    <s v="Visualization &amp; Communication, Spatial Planning &amp; Organisation"/>
    <s v="Making Living Places : Craftsmanship, song and imagination"/>
    <n v="3"/>
    <x v="1"/>
    <x v="2"/>
    <n v="0"/>
    <n v="0.05"/>
    <n v="1"/>
    <n v="0"/>
    <x v="32"/>
  </r>
  <r>
    <s v="2018-19"/>
    <x v="1"/>
    <x v="6"/>
    <s v="L2"/>
    <s v="Visualization &amp; Communication, Spatial Planning &amp; Organisation"/>
    <s v="Making Living Places : Craftsmanship, song and imagination"/>
    <n v="4"/>
    <x v="0"/>
    <x v="3"/>
    <n v="-1"/>
    <n v="0.14000000000000001"/>
    <n v="1"/>
    <n v="-0.14000000000000001"/>
    <x v="0"/>
  </r>
  <r>
    <s v="2018-19"/>
    <x v="1"/>
    <x v="6"/>
    <s v="L2"/>
    <s v="Visualization &amp; Communication, Spatial Planning &amp; Organisation"/>
    <s v="Making Living Places : Craftsmanship, song and imagination"/>
    <n v="4"/>
    <x v="1"/>
    <x v="3"/>
    <n v="1"/>
    <n v="0.14000000000000001"/>
    <n v="1"/>
    <n v="0.14000000000000001"/>
    <x v="0"/>
  </r>
  <r>
    <s v="2018-19"/>
    <x v="1"/>
    <x v="6"/>
    <s v="L2"/>
    <s v="Visualization &amp; Communication, Spatial Planning &amp; Organisation"/>
    <s v="Making Living Places : Craftsmanship, song and imagination"/>
    <n v="5"/>
    <x v="0"/>
    <x v="4"/>
    <n v="-1"/>
    <n v="0.11"/>
    <n v="1"/>
    <n v="-0.11"/>
    <x v="0"/>
  </r>
  <r>
    <s v="2018-19"/>
    <x v="1"/>
    <x v="6"/>
    <s v="L2"/>
    <s v="Visualization &amp; Communication, Spatial Planning &amp; Organisation"/>
    <s v="Making Living Places : Craftsmanship, song and imagination"/>
    <n v="5"/>
    <x v="1"/>
    <x v="4"/>
    <n v="1"/>
    <n v="0.11"/>
    <n v="1"/>
    <n v="0.11"/>
    <x v="0"/>
  </r>
  <r>
    <s v="2018-19"/>
    <x v="1"/>
    <x v="6"/>
    <s v="L2"/>
    <s v="Visualization &amp; Communication, Spatial Planning &amp; Organisation"/>
    <s v="Making Living Places : Craftsmanship, song and imagination"/>
    <n v="6"/>
    <x v="0"/>
    <x v="5"/>
    <n v="0"/>
    <n v="0.15"/>
    <n v="1"/>
    <n v="0"/>
    <x v="0"/>
  </r>
  <r>
    <s v="2018-19"/>
    <x v="1"/>
    <x v="6"/>
    <s v="L2"/>
    <s v="Visualization &amp; Communication, Spatial Planning &amp; Organisation"/>
    <s v="Making Living Places : Craftsmanship, song and imagination"/>
    <n v="6"/>
    <x v="1"/>
    <x v="5"/>
    <n v="1"/>
    <n v="0.15"/>
    <n v="1"/>
    <n v="0.15"/>
    <x v="0"/>
  </r>
  <r>
    <s v="2018-19"/>
    <x v="1"/>
    <x v="6"/>
    <s v="L2"/>
    <s v="Visualization &amp; Communication, Spatial Planning &amp; Organisation"/>
    <s v="Making Living Places : Craftsmanship, song and imagination"/>
    <n v="7"/>
    <x v="0"/>
    <x v="6"/>
    <n v="0"/>
    <n v="0.1"/>
    <n v="1"/>
    <n v="0"/>
    <x v="0"/>
  </r>
  <r>
    <s v="2018-19"/>
    <x v="1"/>
    <x v="6"/>
    <s v="L2"/>
    <s v="Visualization &amp; Communication, Spatial Planning &amp; Organisation"/>
    <s v="Making Living Places : Craftsmanship, song and imagination"/>
    <n v="7"/>
    <x v="1"/>
    <x v="6"/>
    <n v="1"/>
    <n v="0.1"/>
    <n v="1"/>
    <n v="0.1"/>
    <x v="0"/>
  </r>
  <r>
    <s v="2018-19"/>
    <x v="1"/>
    <x v="6"/>
    <s v="L2"/>
    <s v="Visualization &amp; Communication, Spatial Planning &amp; Organisation"/>
    <s v="Making Living Places : Craftsmanship, song and imagination"/>
    <n v="8"/>
    <x v="0"/>
    <x v="7"/>
    <n v="1"/>
    <n v="0.1"/>
    <n v="1"/>
    <n v="0.1"/>
    <x v="0"/>
  </r>
  <r>
    <s v="2018-19"/>
    <x v="1"/>
    <x v="6"/>
    <s v="L2"/>
    <s v="Visualization &amp; Communication, Spatial Planning &amp; Organisation"/>
    <s v="Making Living Places : Craftsmanship, song and imagination"/>
    <n v="8"/>
    <x v="1"/>
    <x v="7"/>
    <n v="1"/>
    <n v="0.1"/>
    <n v="1"/>
    <n v="0.1"/>
    <x v="0"/>
  </r>
  <r>
    <s v="2018-19"/>
    <x v="1"/>
    <x v="6"/>
    <s v="L2"/>
    <s v="Visualization &amp; Communication, Spatial Planning &amp; Organisation"/>
    <s v="Making Living Places : Craftsmanship, song and imagination"/>
    <n v="9"/>
    <x v="0"/>
    <x v="8"/>
    <n v="0"/>
    <n v="0.05"/>
    <n v="0.85"/>
    <n v="0"/>
    <x v="0"/>
  </r>
  <r>
    <s v="2018-19"/>
    <x v="1"/>
    <x v="6"/>
    <s v="L2"/>
    <s v="Visualization &amp; Communication, Spatial Planning &amp; Organisation"/>
    <s v="Making Living Places : Craftsmanship, song and imagination"/>
    <n v="9"/>
    <x v="1"/>
    <x v="8"/>
    <n v="1"/>
    <n v="0.05"/>
    <n v="0.85"/>
    <n v="4.2500000000000003E-2"/>
    <x v="0"/>
  </r>
  <r>
    <s v="2018-19"/>
    <x v="1"/>
    <x v="6"/>
    <s v="L2"/>
    <s v="Visualization &amp; Communication, Spatial Planning &amp; Organisation"/>
    <s v="Making Living Places : Craftsmanship, song and imagination"/>
    <n v="10"/>
    <x v="0"/>
    <x v="8"/>
    <n v="0"/>
    <n v="0.05"/>
    <n v="0.85"/>
    <n v="0"/>
    <x v="0"/>
  </r>
  <r>
    <s v="2018-19"/>
    <x v="1"/>
    <x v="6"/>
    <s v="L2"/>
    <s v="Visualization &amp; Communication, Spatial Planning &amp; Organisation"/>
    <s v="Making Living Places : Craftsmanship, song and imagination"/>
    <n v="10"/>
    <x v="1"/>
    <x v="8"/>
    <n v="1"/>
    <n v="0.05"/>
    <n v="0.85"/>
    <n v="4.2500000000000003E-2"/>
    <x v="0"/>
  </r>
  <r>
    <s v="2018-19"/>
    <x v="1"/>
    <x v="6"/>
    <s v="L2"/>
    <s v="Visualization &amp; Communication, Spatial Planning &amp; Organisation"/>
    <s v="Making Living Places : Craftsmanship, song and imagination"/>
    <n v="11"/>
    <x v="0"/>
    <x v="9"/>
    <n v="-1"/>
    <n v="0.05"/>
    <n v="1"/>
    <n v="-0.05"/>
    <x v="0"/>
  </r>
  <r>
    <s v="2018-19"/>
    <x v="1"/>
    <x v="6"/>
    <s v="L2"/>
    <s v="Visualization &amp; Communication, Spatial Planning &amp; Organisation"/>
    <s v="Making Living Places : Craftsmanship, song and imagination"/>
    <n v="11"/>
    <x v="1"/>
    <x v="9"/>
    <n v="1"/>
    <n v="0.05"/>
    <n v="1"/>
    <n v="0.05"/>
    <x v="18"/>
  </r>
  <r>
    <s v="2018-19"/>
    <x v="1"/>
    <x v="7"/>
    <s v="L2"/>
    <s v="Visualization and Communication, Spatial Planning and Organisation"/>
    <s v="Master’s Stroke: Matters of Architectural Language"/>
    <n v="1"/>
    <x v="0"/>
    <x v="0"/>
    <n v="1"/>
    <n v="0.12"/>
    <n v="1"/>
    <n v="0.12"/>
    <x v="0"/>
  </r>
  <r>
    <s v="2018-19"/>
    <x v="1"/>
    <x v="7"/>
    <s v="L2"/>
    <s v="Visualization and Communication, Spatial Planning and Organisation"/>
    <s v="Master’s Stroke: Matters of Architectural Language"/>
    <n v="1"/>
    <x v="1"/>
    <x v="0"/>
    <n v="1"/>
    <n v="0.12"/>
    <n v="1"/>
    <n v="0.12"/>
    <x v="0"/>
  </r>
  <r>
    <s v="2018-19"/>
    <x v="1"/>
    <x v="7"/>
    <s v="L2"/>
    <s v="Visualization and Communication, Spatial Planning and Organisation"/>
    <s v="Master’s Stroke: Matters of Architectural Language"/>
    <n v="2"/>
    <x v="0"/>
    <x v="1"/>
    <n v="1"/>
    <n v="0.08"/>
    <n v="0.8"/>
    <n v="6.4000000000000001E-2"/>
    <x v="0"/>
  </r>
  <r>
    <s v="2018-19"/>
    <x v="1"/>
    <x v="7"/>
    <s v="L2"/>
    <s v="Visualization and Communication, Spatial Planning and Organisation"/>
    <s v="Master’s Stroke: Matters of Architectural Language"/>
    <n v="2"/>
    <x v="1"/>
    <x v="1"/>
    <n v="1"/>
    <n v="0.08"/>
    <n v="0.8"/>
    <n v="6.4000000000000001E-2"/>
    <x v="0"/>
  </r>
  <r>
    <s v="2018-19"/>
    <x v="1"/>
    <x v="7"/>
    <s v="L2"/>
    <s v="Visualization and Communication, Spatial Planning and Organisation"/>
    <s v="Master’s Stroke: Matters of Architectural Language"/>
    <n v="3"/>
    <x v="0"/>
    <x v="2"/>
    <n v="1"/>
    <n v="0.05"/>
    <n v="1"/>
    <n v="0.05"/>
    <x v="0"/>
  </r>
  <r>
    <s v="2018-19"/>
    <x v="1"/>
    <x v="7"/>
    <s v="L2"/>
    <s v="Visualization and Communication, Spatial Planning and Organisation"/>
    <s v="Master’s Stroke: Matters of Architectural Language"/>
    <n v="3"/>
    <x v="1"/>
    <x v="2"/>
    <n v="1"/>
    <n v="0.05"/>
    <n v="1"/>
    <n v="0.05"/>
    <x v="0"/>
  </r>
  <r>
    <s v="2018-19"/>
    <x v="1"/>
    <x v="7"/>
    <s v="L2"/>
    <s v="Visualization and Communication, Spatial Planning and Organisation"/>
    <s v="Master’s Stroke: Matters of Architectural Language"/>
    <n v="4"/>
    <x v="0"/>
    <x v="3"/>
    <n v="1"/>
    <n v="0.14000000000000001"/>
    <n v="1"/>
    <n v="0.14000000000000001"/>
    <x v="0"/>
  </r>
  <r>
    <s v="2018-19"/>
    <x v="1"/>
    <x v="7"/>
    <s v="L2"/>
    <s v="Visualization and Communication, Spatial Planning and Organisation"/>
    <s v="Master’s Stroke: Matters of Architectural Language"/>
    <n v="4"/>
    <x v="1"/>
    <x v="3"/>
    <n v="1"/>
    <n v="0.14000000000000001"/>
    <n v="1"/>
    <n v="0.14000000000000001"/>
    <x v="0"/>
  </r>
  <r>
    <s v="2018-19"/>
    <x v="1"/>
    <x v="7"/>
    <s v="L2"/>
    <s v="Visualization and Communication, Spatial Planning and Organisation"/>
    <s v="Master’s Stroke: Matters of Architectural Language"/>
    <n v="5"/>
    <x v="0"/>
    <x v="4"/>
    <n v="1"/>
    <n v="0.11"/>
    <n v="1"/>
    <n v="0.11"/>
    <x v="0"/>
  </r>
  <r>
    <s v="2018-19"/>
    <x v="1"/>
    <x v="7"/>
    <s v="L2"/>
    <s v="Visualization and Communication, Spatial Planning and Organisation"/>
    <s v="Master’s Stroke: Matters of Architectural Language"/>
    <n v="5"/>
    <x v="1"/>
    <x v="4"/>
    <n v="1"/>
    <n v="0.11"/>
    <n v="1"/>
    <n v="0.11"/>
    <x v="33"/>
  </r>
  <r>
    <s v="2018-19"/>
    <x v="1"/>
    <x v="7"/>
    <s v="L2"/>
    <s v="Visualization and Communication, Spatial Planning and Organisation"/>
    <s v="Master’s Stroke: Matters of Architectural Language"/>
    <n v="6"/>
    <x v="0"/>
    <x v="5"/>
    <n v="1"/>
    <n v="0.15"/>
    <n v="1"/>
    <n v="0.15"/>
    <x v="0"/>
  </r>
  <r>
    <s v="2018-19"/>
    <x v="1"/>
    <x v="7"/>
    <s v="L2"/>
    <s v="Visualization and Communication, Spatial Planning and Organisation"/>
    <s v="Master’s Stroke: Matters of Architectural Language"/>
    <n v="6"/>
    <x v="1"/>
    <x v="5"/>
    <n v="0"/>
    <n v="0.15"/>
    <n v="1"/>
    <n v="0"/>
    <x v="34"/>
  </r>
  <r>
    <s v="2018-19"/>
    <x v="1"/>
    <x v="7"/>
    <s v="L2"/>
    <s v="Visualization and Communication, Spatial Planning and Organisation"/>
    <s v="Master’s Stroke: Matters of Architectural Language"/>
    <n v="7"/>
    <x v="0"/>
    <x v="6"/>
    <n v="1"/>
    <n v="0.1"/>
    <n v="1"/>
    <n v="0.1"/>
    <x v="0"/>
  </r>
  <r>
    <s v="2018-19"/>
    <x v="1"/>
    <x v="7"/>
    <s v="L2"/>
    <s v="Visualization and Communication, Spatial Planning and Organisation"/>
    <s v="Master’s Stroke: Matters of Architectural Language"/>
    <n v="7"/>
    <x v="1"/>
    <x v="6"/>
    <n v="1"/>
    <n v="0.1"/>
    <n v="1"/>
    <n v="0.1"/>
    <x v="35"/>
  </r>
  <r>
    <s v="2018-19"/>
    <x v="1"/>
    <x v="7"/>
    <s v="L2"/>
    <s v="Visualization and Communication, Spatial Planning and Organisation"/>
    <s v="Master’s Stroke: Matters of Architectural Language"/>
    <n v="8"/>
    <x v="0"/>
    <x v="7"/>
    <n v="0"/>
    <n v="0.1"/>
    <n v="1"/>
    <n v="0"/>
    <x v="0"/>
  </r>
  <r>
    <s v="2018-19"/>
    <x v="1"/>
    <x v="7"/>
    <s v="L2"/>
    <s v="Visualization and Communication, Spatial Planning and Organisation"/>
    <s v="Master’s Stroke: Matters of Architectural Language"/>
    <n v="8"/>
    <x v="1"/>
    <x v="7"/>
    <n v="1"/>
    <n v="0.1"/>
    <n v="1"/>
    <n v="0.1"/>
    <x v="0"/>
  </r>
  <r>
    <s v="2018-19"/>
    <x v="1"/>
    <x v="7"/>
    <s v="L2"/>
    <s v="Visualization and Communication, Spatial Planning and Organisation"/>
    <s v="Master’s Stroke: Matters of Architectural Language"/>
    <n v="9"/>
    <x v="0"/>
    <x v="8"/>
    <n v="1"/>
    <n v="0.05"/>
    <n v="0.85"/>
    <n v="4.2500000000000003E-2"/>
    <x v="0"/>
  </r>
  <r>
    <s v="2018-19"/>
    <x v="1"/>
    <x v="7"/>
    <s v="L2"/>
    <s v="Visualization and Communication, Spatial Planning and Organisation"/>
    <s v="Master’s Stroke: Matters of Architectural Language"/>
    <n v="9"/>
    <x v="1"/>
    <x v="8"/>
    <n v="1"/>
    <n v="0.05"/>
    <n v="0.85"/>
    <n v="4.2500000000000003E-2"/>
    <x v="0"/>
  </r>
  <r>
    <s v="2018-19"/>
    <x v="1"/>
    <x v="7"/>
    <s v="L2"/>
    <s v="Visualization and Communication, Spatial Planning and Organisation"/>
    <s v="Master’s Stroke: Matters of Architectural Language"/>
    <n v="10"/>
    <x v="0"/>
    <x v="8"/>
    <n v="0"/>
    <n v="0.05"/>
    <n v="0.85"/>
    <n v="0"/>
    <x v="0"/>
  </r>
  <r>
    <s v="2018-19"/>
    <x v="1"/>
    <x v="7"/>
    <s v="L2"/>
    <s v="Visualization and Communication, Spatial Planning and Organisation"/>
    <s v="Master’s Stroke: Matters of Architectural Language"/>
    <n v="10"/>
    <x v="1"/>
    <x v="8"/>
    <n v="1"/>
    <n v="0.05"/>
    <n v="0.85"/>
    <n v="4.2500000000000003E-2"/>
    <x v="0"/>
  </r>
  <r>
    <s v="2018-19"/>
    <x v="1"/>
    <x v="7"/>
    <s v="L2"/>
    <s v="Visualization and Communication, Spatial Planning and Organisation"/>
    <s v="Master’s Stroke: Matters of Architectural Language"/>
    <n v="11"/>
    <x v="0"/>
    <x v="9"/>
    <n v="1"/>
    <n v="0.05"/>
    <n v="1"/>
    <n v="0.05"/>
    <x v="0"/>
  </r>
  <r>
    <s v="2018-19"/>
    <x v="1"/>
    <x v="7"/>
    <s v="L2"/>
    <s v="Visualization and Communication, Spatial Planning and Organisation"/>
    <s v="Master’s Stroke: Matters of Architectural Language"/>
    <n v="11"/>
    <x v="1"/>
    <x v="9"/>
    <n v="0"/>
    <n v="0.05"/>
    <n v="1"/>
    <n v="0"/>
    <x v="36"/>
  </r>
  <r>
    <s v="2018-19"/>
    <x v="1"/>
    <x v="8"/>
    <s v="L2"/>
    <s v="Visualization and Communication, Spatial Planning and Organisation"/>
    <s v="Designing Types - Office Building"/>
    <n v="1"/>
    <x v="0"/>
    <x v="0"/>
    <n v="0"/>
    <n v="0.12"/>
    <n v="1"/>
    <n v="0"/>
    <x v="0"/>
  </r>
  <r>
    <s v="2018-19"/>
    <x v="1"/>
    <x v="8"/>
    <s v="L2"/>
    <s v="Visualization and Communication, Spatial Planning and Organisation"/>
    <s v="Designing Types - Office Building"/>
    <n v="1"/>
    <x v="1"/>
    <x v="0"/>
    <n v="-1"/>
    <n v="0.12"/>
    <n v="1"/>
    <n v="-0.12"/>
    <x v="0"/>
  </r>
  <r>
    <s v="2018-19"/>
    <x v="1"/>
    <x v="8"/>
    <s v="L2"/>
    <s v="Visualization and Communication, Spatial Planning and Organisation"/>
    <s v="Designing Types - Office Building"/>
    <n v="2"/>
    <x v="0"/>
    <x v="1"/>
    <n v="0"/>
    <n v="0.08"/>
    <n v="0.8"/>
    <n v="0"/>
    <x v="0"/>
  </r>
  <r>
    <s v="2018-19"/>
    <x v="1"/>
    <x v="8"/>
    <s v="L2"/>
    <s v="Visualization and Communication, Spatial Planning and Organisation"/>
    <s v="Designing Types - Office Building"/>
    <n v="2"/>
    <x v="1"/>
    <x v="1"/>
    <n v="-1"/>
    <n v="0.08"/>
    <n v="0.8"/>
    <n v="-6.4000000000000001E-2"/>
    <x v="0"/>
  </r>
  <r>
    <s v="2018-19"/>
    <x v="1"/>
    <x v="8"/>
    <s v="L2"/>
    <s v="Visualization and Communication, Spatial Planning and Organisation"/>
    <s v="Designing Types - Office Building"/>
    <n v="3"/>
    <x v="0"/>
    <x v="2"/>
    <n v="0"/>
    <n v="0.05"/>
    <n v="1"/>
    <n v="0"/>
    <x v="0"/>
  </r>
  <r>
    <s v="2018-19"/>
    <x v="1"/>
    <x v="8"/>
    <s v="L2"/>
    <s v="Visualization and Communication, Spatial Planning and Organisation"/>
    <s v="Designing Types - Office Building"/>
    <n v="3"/>
    <x v="1"/>
    <x v="2"/>
    <n v="-1"/>
    <n v="0.05"/>
    <n v="1"/>
    <n v="-0.05"/>
    <x v="1"/>
  </r>
  <r>
    <s v="2018-19"/>
    <x v="1"/>
    <x v="8"/>
    <s v="L2"/>
    <s v="Visualization and Communication, Spatial Planning and Organisation"/>
    <s v="Designing Types - Office Building"/>
    <n v="4"/>
    <x v="0"/>
    <x v="3"/>
    <n v="-1"/>
    <n v="0.14000000000000001"/>
    <n v="1"/>
    <n v="-0.14000000000000001"/>
    <x v="0"/>
  </r>
  <r>
    <s v="2018-19"/>
    <x v="1"/>
    <x v="8"/>
    <s v="L2"/>
    <s v="Visualization and Communication, Spatial Planning and Organisation"/>
    <s v="Designing Types - Office Building"/>
    <n v="4"/>
    <x v="1"/>
    <x v="3"/>
    <n v="-1"/>
    <n v="0.14000000000000001"/>
    <n v="1"/>
    <n v="-0.14000000000000001"/>
    <x v="9"/>
  </r>
  <r>
    <s v="2018-19"/>
    <x v="1"/>
    <x v="8"/>
    <s v="L2"/>
    <s v="Visualization and Communication, Spatial Planning and Organisation"/>
    <s v="Designing Types - Office Building"/>
    <n v="5"/>
    <x v="0"/>
    <x v="4"/>
    <n v="-1"/>
    <n v="0.11"/>
    <n v="1"/>
    <n v="-0.11"/>
    <x v="0"/>
  </r>
  <r>
    <s v="2018-19"/>
    <x v="1"/>
    <x v="8"/>
    <s v="L2"/>
    <s v="Visualization and Communication, Spatial Planning and Organisation"/>
    <s v="Designing Types - Office Building"/>
    <n v="5"/>
    <x v="1"/>
    <x v="4"/>
    <n v="-1"/>
    <n v="0.11"/>
    <n v="1"/>
    <n v="-0.11"/>
    <x v="0"/>
  </r>
  <r>
    <s v="2018-19"/>
    <x v="1"/>
    <x v="8"/>
    <s v="L2"/>
    <s v="Visualization and Communication, Spatial Planning and Organisation"/>
    <s v="Designing Types - Office Building"/>
    <n v="6"/>
    <x v="0"/>
    <x v="5"/>
    <n v="0"/>
    <n v="0.15"/>
    <n v="1"/>
    <n v="0"/>
    <x v="0"/>
  </r>
  <r>
    <s v="2018-19"/>
    <x v="1"/>
    <x v="8"/>
    <s v="L2"/>
    <s v="Visualization and Communication, Spatial Planning and Organisation"/>
    <s v="Designing Types - Office Building"/>
    <n v="6"/>
    <x v="1"/>
    <x v="5"/>
    <n v="-1"/>
    <n v="0.15"/>
    <n v="1"/>
    <n v="-0.15"/>
    <x v="37"/>
  </r>
  <r>
    <s v="2018-19"/>
    <x v="1"/>
    <x v="8"/>
    <s v="L2"/>
    <s v="Visualization and Communication, Spatial Planning and Organisation"/>
    <s v="Designing Types - Office Building"/>
    <n v="7"/>
    <x v="0"/>
    <x v="6"/>
    <n v="0"/>
    <n v="0.1"/>
    <n v="1"/>
    <n v="0"/>
    <x v="0"/>
  </r>
  <r>
    <s v="2018-19"/>
    <x v="1"/>
    <x v="8"/>
    <s v="L2"/>
    <s v="Visualization and Communication, Spatial Planning and Organisation"/>
    <s v="Designing Types - Office Building"/>
    <n v="7"/>
    <x v="1"/>
    <x v="6"/>
    <n v="-1"/>
    <n v="0.1"/>
    <n v="1"/>
    <n v="-0.1"/>
    <x v="38"/>
  </r>
  <r>
    <s v="2018-19"/>
    <x v="1"/>
    <x v="8"/>
    <s v="L2"/>
    <s v="Visualization and Communication, Spatial Planning and Organisation"/>
    <s v="Designing Types - Office Building"/>
    <n v="8"/>
    <x v="0"/>
    <x v="7"/>
    <n v="0"/>
    <n v="0.1"/>
    <n v="1"/>
    <n v="0"/>
    <x v="0"/>
  </r>
  <r>
    <s v="2018-19"/>
    <x v="1"/>
    <x v="8"/>
    <s v="L2"/>
    <s v="Visualization and Communication, Spatial Planning and Organisation"/>
    <s v="Designing Types - Office Building"/>
    <n v="8"/>
    <x v="1"/>
    <x v="7"/>
    <n v="-1"/>
    <n v="0.1"/>
    <n v="1"/>
    <n v="-0.1"/>
    <x v="0"/>
  </r>
  <r>
    <s v="2018-19"/>
    <x v="1"/>
    <x v="8"/>
    <s v="L2"/>
    <s v="Visualization and Communication, Spatial Planning and Organisation"/>
    <s v="Designing Types - Office Building"/>
    <n v="9"/>
    <x v="0"/>
    <x v="8"/>
    <n v="-1"/>
    <n v="0.05"/>
    <n v="0.85"/>
    <n v="-4.2500000000000003E-2"/>
    <x v="0"/>
  </r>
  <r>
    <s v="2018-19"/>
    <x v="1"/>
    <x v="8"/>
    <s v="L2"/>
    <s v="Visualization and Communication, Spatial Planning and Organisation"/>
    <s v="Designing Types - Office Building"/>
    <n v="9"/>
    <x v="1"/>
    <x v="8"/>
    <n v="0"/>
    <n v="0.05"/>
    <n v="0.85"/>
    <n v="0"/>
    <x v="0"/>
  </r>
  <r>
    <s v="2018-19"/>
    <x v="1"/>
    <x v="8"/>
    <s v="L2"/>
    <s v="Visualization and Communication, Spatial Planning and Organisation"/>
    <s v="Designing Types - Office Building"/>
    <n v="10"/>
    <x v="0"/>
    <x v="8"/>
    <n v="0"/>
    <n v="0.05"/>
    <n v="0.85"/>
    <n v="0"/>
    <x v="0"/>
  </r>
  <r>
    <s v="2018-19"/>
    <x v="1"/>
    <x v="8"/>
    <s v="L2"/>
    <s v="Visualization and Communication, Spatial Planning and Organisation"/>
    <s v="Designing Types - Office Building"/>
    <n v="10"/>
    <x v="1"/>
    <x v="8"/>
    <n v="0"/>
    <n v="0.05"/>
    <n v="0.85"/>
    <n v="0"/>
    <x v="0"/>
  </r>
  <r>
    <s v="2018-19"/>
    <x v="1"/>
    <x v="8"/>
    <s v="L2"/>
    <s v="Visualization and Communication, Spatial Planning and Organisation"/>
    <s v="Designing Types - Office Building"/>
    <n v="11"/>
    <x v="0"/>
    <x v="9"/>
    <n v="-1"/>
    <n v="0.05"/>
    <n v="1"/>
    <n v="-0.05"/>
    <x v="0"/>
  </r>
  <r>
    <s v="2018-19"/>
    <x v="1"/>
    <x v="8"/>
    <s v="L2"/>
    <s v="Visualization and Communication, Spatial Planning and Organisation"/>
    <s v="Designing Types - Office Building"/>
    <n v="11"/>
    <x v="1"/>
    <x v="9"/>
    <n v="-1"/>
    <n v="0.05"/>
    <n v="1"/>
    <n v="-0.05"/>
    <x v="39"/>
  </r>
  <r>
    <s v="2018-19"/>
    <x v="1"/>
    <x v="9"/>
    <s v="L2"/>
    <s v="Constructing and Specifying"/>
    <s v="Tectonic Operations"/>
    <n v="1"/>
    <x v="0"/>
    <x v="0"/>
    <n v="0"/>
    <n v="0.12"/>
    <n v="1"/>
    <n v="0"/>
    <x v="0"/>
  </r>
  <r>
    <s v="2018-19"/>
    <x v="1"/>
    <x v="9"/>
    <s v="L2"/>
    <s v="Constructing and Specifying"/>
    <s v="Tectonic Operations"/>
    <n v="1"/>
    <x v="1"/>
    <x v="0"/>
    <n v="1"/>
    <n v="0.12"/>
    <n v="1"/>
    <n v="0.12"/>
    <x v="0"/>
  </r>
  <r>
    <s v="2018-19"/>
    <x v="1"/>
    <x v="9"/>
    <s v="L2"/>
    <s v="Constructing and Specifying"/>
    <s v="Tectonic Operations"/>
    <n v="2"/>
    <x v="0"/>
    <x v="1"/>
    <n v="0"/>
    <n v="0.08"/>
    <n v="0.8"/>
    <n v="0"/>
    <x v="0"/>
  </r>
  <r>
    <s v="2018-19"/>
    <x v="1"/>
    <x v="9"/>
    <s v="L2"/>
    <s v="Constructing and Specifying"/>
    <s v="Tectonic Operations"/>
    <n v="2"/>
    <x v="1"/>
    <x v="1"/>
    <n v="1"/>
    <n v="0.08"/>
    <n v="0.8"/>
    <n v="6.4000000000000001E-2"/>
    <x v="0"/>
  </r>
  <r>
    <s v="2018-19"/>
    <x v="1"/>
    <x v="9"/>
    <s v="L2"/>
    <s v="Constructing and Specifying"/>
    <s v="Tectonic Operations"/>
    <n v="3"/>
    <x v="0"/>
    <x v="2"/>
    <n v="1"/>
    <n v="0.05"/>
    <n v="1"/>
    <n v="0.05"/>
    <x v="0"/>
  </r>
  <r>
    <s v="2018-19"/>
    <x v="1"/>
    <x v="9"/>
    <s v="L2"/>
    <s v="Constructing and Specifying"/>
    <s v="Tectonic Operations"/>
    <n v="3"/>
    <x v="1"/>
    <x v="2"/>
    <n v="1"/>
    <n v="0.05"/>
    <n v="1"/>
    <n v="0.05"/>
    <x v="0"/>
  </r>
  <r>
    <s v="2018-19"/>
    <x v="1"/>
    <x v="9"/>
    <s v="L2"/>
    <s v="Constructing and Specifying"/>
    <s v="Tectonic Operations"/>
    <n v="4"/>
    <x v="0"/>
    <x v="3"/>
    <n v="1"/>
    <n v="0.14000000000000001"/>
    <n v="1"/>
    <n v="0.14000000000000001"/>
    <x v="0"/>
  </r>
  <r>
    <s v="2018-19"/>
    <x v="1"/>
    <x v="9"/>
    <s v="L2"/>
    <s v="Constructing and Specifying"/>
    <s v="Tectonic Operations"/>
    <n v="4"/>
    <x v="1"/>
    <x v="3"/>
    <n v="1"/>
    <n v="0.14000000000000001"/>
    <n v="1"/>
    <n v="0.14000000000000001"/>
    <x v="0"/>
  </r>
  <r>
    <s v="2018-19"/>
    <x v="1"/>
    <x v="9"/>
    <s v="L2"/>
    <s v="Constructing and Specifying"/>
    <s v="Tectonic Operations"/>
    <n v="5"/>
    <x v="0"/>
    <x v="4"/>
    <n v="1"/>
    <n v="0.11"/>
    <n v="1"/>
    <n v="0.11"/>
    <x v="0"/>
  </r>
  <r>
    <s v="2018-19"/>
    <x v="1"/>
    <x v="9"/>
    <s v="L2"/>
    <s v="Constructing and Specifying"/>
    <s v="Tectonic Operations"/>
    <n v="5"/>
    <x v="1"/>
    <x v="4"/>
    <n v="1"/>
    <n v="0.11"/>
    <n v="1"/>
    <n v="0.11"/>
    <x v="0"/>
  </r>
  <r>
    <s v="2018-19"/>
    <x v="1"/>
    <x v="9"/>
    <s v="L2"/>
    <s v="Constructing and Specifying"/>
    <s v="Tectonic Operations"/>
    <n v="6"/>
    <x v="0"/>
    <x v="5"/>
    <n v="1"/>
    <n v="0.15"/>
    <n v="1"/>
    <n v="0.15"/>
    <x v="0"/>
  </r>
  <r>
    <s v="2018-19"/>
    <x v="1"/>
    <x v="9"/>
    <s v="L2"/>
    <s v="Constructing and Specifying"/>
    <s v="Tectonic Operations"/>
    <n v="6"/>
    <x v="1"/>
    <x v="5"/>
    <n v="1"/>
    <n v="0.15"/>
    <n v="1"/>
    <n v="0.15"/>
    <x v="0"/>
  </r>
  <r>
    <s v="2018-19"/>
    <x v="1"/>
    <x v="9"/>
    <s v="L2"/>
    <s v="Constructing and Specifying"/>
    <s v="Tectonic Operations"/>
    <n v="7"/>
    <x v="0"/>
    <x v="6"/>
    <n v="1"/>
    <n v="0.1"/>
    <n v="1"/>
    <n v="0.1"/>
    <x v="0"/>
  </r>
  <r>
    <s v="2018-19"/>
    <x v="1"/>
    <x v="9"/>
    <s v="L2"/>
    <s v="Constructing and Specifying"/>
    <s v="Tectonic Operations"/>
    <n v="7"/>
    <x v="1"/>
    <x v="6"/>
    <n v="1"/>
    <n v="0.1"/>
    <n v="1"/>
    <n v="0.1"/>
    <x v="0"/>
  </r>
  <r>
    <s v="2018-19"/>
    <x v="1"/>
    <x v="9"/>
    <s v="L2"/>
    <s v="Constructing and Specifying"/>
    <s v="Tectonic Operations"/>
    <n v="8"/>
    <x v="0"/>
    <x v="7"/>
    <n v="1"/>
    <n v="0.1"/>
    <n v="1"/>
    <n v="0.1"/>
    <x v="0"/>
  </r>
  <r>
    <s v="2018-19"/>
    <x v="1"/>
    <x v="9"/>
    <s v="L2"/>
    <s v="Constructing and Specifying"/>
    <s v="Tectonic Operations"/>
    <n v="8"/>
    <x v="1"/>
    <x v="7"/>
    <n v="1"/>
    <n v="0.1"/>
    <n v="1"/>
    <n v="0.1"/>
    <x v="0"/>
  </r>
  <r>
    <s v="2018-19"/>
    <x v="1"/>
    <x v="9"/>
    <s v="L2"/>
    <s v="Constructing and Specifying"/>
    <s v="Tectonic Operations"/>
    <n v="9"/>
    <x v="0"/>
    <x v="8"/>
    <n v="1"/>
    <n v="0.05"/>
    <n v="0.85"/>
    <n v="4.2500000000000003E-2"/>
    <x v="0"/>
  </r>
  <r>
    <s v="2018-19"/>
    <x v="1"/>
    <x v="9"/>
    <s v="L2"/>
    <s v="Constructing and Specifying"/>
    <s v="Tectonic Operations"/>
    <n v="9"/>
    <x v="1"/>
    <x v="8"/>
    <n v="1"/>
    <n v="0.05"/>
    <n v="0.85"/>
    <n v="4.2500000000000003E-2"/>
    <x v="0"/>
  </r>
  <r>
    <s v="2018-19"/>
    <x v="1"/>
    <x v="9"/>
    <s v="L2"/>
    <s v="Constructing and Specifying"/>
    <s v="Tectonic Operations"/>
    <n v="10"/>
    <x v="0"/>
    <x v="8"/>
    <n v="0"/>
    <n v="0.05"/>
    <n v="0.85"/>
    <n v="0"/>
    <x v="0"/>
  </r>
  <r>
    <s v="2018-19"/>
    <x v="1"/>
    <x v="9"/>
    <s v="L2"/>
    <s v="Constructing and Specifying"/>
    <s v="Tectonic Operations"/>
    <n v="10"/>
    <x v="1"/>
    <x v="8"/>
    <n v="1"/>
    <n v="0.05"/>
    <n v="0.85"/>
    <n v="4.2500000000000003E-2"/>
    <x v="0"/>
  </r>
  <r>
    <s v="2018-19"/>
    <x v="1"/>
    <x v="9"/>
    <s v="L2"/>
    <s v="Constructing and Specifying"/>
    <s v="Tectonic Operations"/>
    <n v="11"/>
    <x v="0"/>
    <x v="9"/>
    <n v="1"/>
    <n v="0.05"/>
    <n v="1"/>
    <n v="0.05"/>
    <x v="0"/>
  </r>
  <r>
    <s v="2018-19"/>
    <x v="1"/>
    <x v="9"/>
    <s v="L2"/>
    <s v="Constructing and Specifying"/>
    <s v="Tectonic Operations"/>
    <n v="11"/>
    <x v="1"/>
    <x v="9"/>
    <n v="1"/>
    <n v="0.05"/>
    <n v="1"/>
    <n v="0.05"/>
    <x v="18"/>
  </r>
  <r>
    <s v="2018-19"/>
    <x v="1"/>
    <x v="17"/>
    <s v="L2"/>
    <m/>
    <s v="Designing with People"/>
    <n v="1"/>
    <x v="0"/>
    <x v="0"/>
    <n v="1"/>
    <n v="0.12"/>
    <n v="1"/>
    <n v="0.12"/>
    <x v="0"/>
  </r>
  <r>
    <s v="2018-19"/>
    <x v="1"/>
    <x v="17"/>
    <s v="L2"/>
    <m/>
    <s v="Designing with People"/>
    <n v="1"/>
    <x v="1"/>
    <x v="0"/>
    <n v="1"/>
    <n v="0.12"/>
    <n v="1"/>
    <n v="0.12"/>
    <x v="0"/>
  </r>
  <r>
    <s v="2018-19"/>
    <x v="1"/>
    <x v="17"/>
    <s v="L2"/>
    <m/>
    <s v="Designing with People"/>
    <n v="2"/>
    <x v="0"/>
    <x v="1"/>
    <n v="1"/>
    <n v="0.08"/>
    <n v="0.8"/>
    <n v="6.4000000000000001E-2"/>
    <x v="0"/>
  </r>
  <r>
    <s v="2018-19"/>
    <x v="1"/>
    <x v="17"/>
    <s v="L2"/>
    <m/>
    <s v="Designing with People"/>
    <n v="2"/>
    <x v="1"/>
    <x v="1"/>
    <n v="1"/>
    <n v="0.08"/>
    <n v="0.8"/>
    <n v="6.4000000000000001E-2"/>
    <x v="0"/>
  </r>
  <r>
    <s v="2018-19"/>
    <x v="1"/>
    <x v="17"/>
    <s v="L2"/>
    <m/>
    <s v="Designing with People"/>
    <n v="3"/>
    <x v="0"/>
    <x v="2"/>
    <n v="1"/>
    <n v="0.05"/>
    <n v="1"/>
    <n v="0.05"/>
    <x v="0"/>
  </r>
  <r>
    <s v="2018-19"/>
    <x v="1"/>
    <x v="17"/>
    <s v="L2"/>
    <m/>
    <s v="Designing with People"/>
    <n v="3"/>
    <x v="1"/>
    <x v="2"/>
    <n v="1"/>
    <n v="0.05"/>
    <n v="1"/>
    <n v="0.05"/>
    <x v="40"/>
  </r>
  <r>
    <s v="2018-19"/>
    <x v="1"/>
    <x v="17"/>
    <s v="L2"/>
    <m/>
    <s v="Designing with People"/>
    <n v="4"/>
    <x v="0"/>
    <x v="3"/>
    <n v="1"/>
    <n v="0.14000000000000001"/>
    <n v="1"/>
    <n v="0.14000000000000001"/>
    <x v="0"/>
  </r>
  <r>
    <s v="2018-19"/>
    <x v="1"/>
    <x v="17"/>
    <s v="L2"/>
    <m/>
    <s v="Designing with People"/>
    <n v="4"/>
    <x v="1"/>
    <x v="3"/>
    <n v="1"/>
    <n v="0.14000000000000001"/>
    <n v="1"/>
    <n v="0.14000000000000001"/>
    <x v="0"/>
  </r>
  <r>
    <s v="2018-19"/>
    <x v="1"/>
    <x v="17"/>
    <s v="L2"/>
    <m/>
    <s v="Designing with People"/>
    <n v="5"/>
    <x v="0"/>
    <x v="4"/>
    <n v="1"/>
    <n v="0.11"/>
    <n v="1"/>
    <n v="0.11"/>
    <x v="0"/>
  </r>
  <r>
    <s v="2018-19"/>
    <x v="1"/>
    <x v="17"/>
    <s v="L2"/>
    <m/>
    <s v="Designing with People"/>
    <n v="5"/>
    <x v="1"/>
    <x v="4"/>
    <n v="1"/>
    <n v="0.11"/>
    <n v="1"/>
    <n v="0.11"/>
    <x v="0"/>
  </r>
  <r>
    <s v="2018-19"/>
    <x v="1"/>
    <x v="17"/>
    <s v="L2"/>
    <m/>
    <s v="Designing with People"/>
    <n v="6"/>
    <x v="0"/>
    <x v="5"/>
    <n v="1"/>
    <n v="0.15"/>
    <n v="1"/>
    <n v="0.15"/>
    <x v="0"/>
  </r>
  <r>
    <s v="2018-19"/>
    <x v="1"/>
    <x v="17"/>
    <s v="L2"/>
    <m/>
    <s v="Designing with People"/>
    <n v="6"/>
    <x v="1"/>
    <x v="5"/>
    <n v="0"/>
    <n v="0.15"/>
    <n v="1"/>
    <n v="0"/>
    <x v="41"/>
  </r>
  <r>
    <s v="2018-19"/>
    <x v="1"/>
    <x v="17"/>
    <s v="L2"/>
    <m/>
    <s v="Designing with People"/>
    <n v="7"/>
    <x v="0"/>
    <x v="6"/>
    <n v="1"/>
    <n v="0.1"/>
    <n v="1"/>
    <n v="0.1"/>
    <x v="0"/>
  </r>
  <r>
    <s v="2018-19"/>
    <x v="1"/>
    <x v="17"/>
    <s v="L2"/>
    <m/>
    <s v="Designing with People"/>
    <n v="7"/>
    <x v="1"/>
    <x v="6"/>
    <n v="1"/>
    <n v="0.1"/>
    <n v="1"/>
    <n v="0.1"/>
    <x v="0"/>
  </r>
  <r>
    <s v="2018-19"/>
    <x v="1"/>
    <x v="17"/>
    <s v="L2"/>
    <m/>
    <s v="Designing with People"/>
    <n v="8"/>
    <x v="0"/>
    <x v="7"/>
    <n v="0"/>
    <n v="0.1"/>
    <n v="1"/>
    <n v="0"/>
    <x v="0"/>
  </r>
  <r>
    <s v="2018-19"/>
    <x v="1"/>
    <x v="17"/>
    <s v="L2"/>
    <m/>
    <s v="Designing with People"/>
    <n v="8"/>
    <x v="1"/>
    <x v="7"/>
    <n v="1"/>
    <n v="0.1"/>
    <n v="1"/>
    <n v="0.1"/>
    <x v="0"/>
  </r>
  <r>
    <s v="2018-19"/>
    <x v="1"/>
    <x v="17"/>
    <s v="L2"/>
    <m/>
    <s v="Designing with People"/>
    <n v="9"/>
    <x v="0"/>
    <x v="8"/>
    <n v="0"/>
    <n v="0.05"/>
    <n v="0.85"/>
    <n v="0"/>
    <x v="0"/>
  </r>
  <r>
    <s v="2018-19"/>
    <x v="1"/>
    <x v="17"/>
    <s v="L2"/>
    <m/>
    <s v="Designing with People"/>
    <n v="9"/>
    <x v="1"/>
    <x v="8"/>
    <n v="1"/>
    <n v="0.05"/>
    <n v="0.85"/>
    <n v="4.2500000000000003E-2"/>
    <x v="0"/>
  </r>
  <r>
    <s v="2018-19"/>
    <x v="1"/>
    <x v="17"/>
    <s v="L2"/>
    <m/>
    <s v="Designing with People"/>
    <n v="10"/>
    <x v="0"/>
    <x v="8"/>
    <n v="0"/>
    <n v="0.05"/>
    <n v="0.85"/>
    <n v="0"/>
    <x v="0"/>
  </r>
  <r>
    <s v="2018-19"/>
    <x v="1"/>
    <x v="17"/>
    <s v="L2"/>
    <m/>
    <s v="Designing with People"/>
    <n v="10"/>
    <x v="1"/>
    <x v="8"/>
    <n v="1"/>
    <n v="0.05"/>
    <n v="0.85"/>
    <n v="4.2500000000000003E-2"/>
    <x v="0"/>
  </r>
  <r>
    <s v="2018-19"/>
    <x v="1"/>
    <x v="17"/>
    <s v="L2"/>
    <m/>
    <s v="Designing with People"/>
    <n v="11"/>
    <x v="0"/>
    <x v="9"/>
    <n v="0"/>
    <n v="0.05"/>
    <n v="1"/>
    <n v="0"/>
    <x v="0"/>
  </r>
  <r>
    <s v="2018-19"/>
    <x v="1"/>
    <x v="17"/>
    <s v="L2"/>
    <m/>
    <s v="Designing with People"/>
    <n v="11"/>
    <x v="1"/>
    <x v="9"/>
    <n v="0"/>
    <n v="0.05"/>
    <n v="1"/>
    <n v="0"/>
    <x v="42"/>
  </r>
  <r>
    <s v="2018-19"/>
    <x v="1"/>
    <x v="18"/>
    <s v="L2"/>
    <m/>
    <s v="Where Material Meets Design"/>
    <n v="1"/>
    <x v="0"/>
    <x v="0"/>
    <n v="0"/>
    <n v="0.12"/>
    <n v="1"/>
    <n v="0"/>
    <x v="0"/>
  </r>
  <r>
    <s v="2018-19"/>
    <x v="1"/>
    <x v="18"/>
    <s v="L2"/>
    <m/>
    <s v="Where Material Meets Design"/>
    <n v="1"/>
    <x v="1"/>
    <x v="0"/>
    <n v="1"/>
    <n v="0.12"/>
    <n v="1"/>
    <n v="0.12"/>
    <x v="0"/>
  </r>
  <r>
    <s v="2018-19"/>
    <x v="1"/>
    <x v="18"/>
    <s v="L2"/>
    <m/>
    <s v="Where Material Meets Design"/>
    <n v="2"/>
    <x v="0"/>
    <x v="1"/>
    <n v="0"/>
    <n v="0.08"/>
    <n v="0.8"/>
    <n v="0"/>
    <x v="0"/>
  </r>
  <r>
    <s v="2018-19"/>
    <x v="1"/>
    <x v="18"/>
    <s v="L2"/>
    <m/>
    <s v="Where Material Meets Design"/>
    <n v="2"/>
    <x v="1"/>
    <x v="1"/>
    <n v="1"/>
    <n v="0.08"/>
    <n v="0.8"/>
    <n v="6.4000000000000001E-2"/>
    <x v="0"/>
  </r>
  <r>
    <s v="2018-19"/>
    <x v="1"/>
    <x v="18"/>
    <s v="L2"/>
    <m/>
    <s v="Where Material Meets Design"/>
    <n v="3"/>
    <x v="0"/>
    <x v="2"/>
    <n v="1"/>
    <n v="0.05"/>
    <n v="1"/>
    <n v="0.05"/>
    <x v="0"/>
  </r>
  <r>
    <s v="2018-19"/>
    <x v="1"/>
    <x v="18"/>
    <s v="L2"/>
    <m/>
    <s v="Where Material Meets Design"/>
    <n v="3"/>
    <x v="1"/>
    <x v="2"/>
    <n v="1"/>
    <n v="0.05"/>
    <n v="1"/>
    <n v="0.05"/>
    <x v="0"/>
  </r>
  <r>
    <s v="2018-19"/>
    <x v="1"/>
    <x v="18"/>
    <s v="L2"/>
    <m/>
    <s v="Where Material Meets Design"/>
    <n v="4"/>
    <x v="0"/>
    <x v="3"/>
    <n v="0"/>
    <n v="0.14000000000000001"/>
    <n v="1"/>
    <n v="0"/>
    <x v="0"/>
  </r>
  <r>
    <s v="2018-19"/>
    <x v="1"/>
    <x v="18"/>
    <s v="L2"/>
    <m/>
    <s v="Where Material Meets Design"/>
    <n v="4"/>
    <x v="1"/>
    <x v="3"/>
    <n v="1"/>
    <n v="0.14000000000000001"/>
    <n v="1"/>
    <n v="0.14000000000000001"/>
    <x v="0"/>
  </r>
  <r>
    <s v="2018-19"/>
    <x v="1"/>
    <x v="18"/>
    <s v="L2"/>
    <m/>
    <s v="Where Material Meets Design"/>
    <n v="5"/>
    <x v="0"/>
    <x v="4"/>
    <n v="-1"/>
    <n v="0.11"/>
    <n v="1"/>
    <n v="-0.11"/>
    <x v="0"/>
  </r>
  <r>
    <s v="2018-19"/>
    <x v="1"/>
    <x v="18"/>
    <s v="L2"/>
    <m/>
    <s v="Where Material Meets Design"/>
    <n v="5"/>
    <x v="1"/>
    <x v="4"/>
    <n v="0"/>
    <n v="0.11"/>
    <n v="1"/>
    <n v="0"/>
    <x v="0"/>
  </r>
  <r>
    <s v="2018-19"/>
    <x v="1"/>
    <x v="18"/>
    <s v="L2"/>
    <m/>
    <s v="Where Material Meets Design"/>
    <n v="6"/>
    <x v="0"/>
    <x v="5"/>
    <n v="0"/>
    <n v="0.15"/>
    <n v="1"/>
    <n v="0"/>
    <x v="0"/>
  </r>
  <r>
    <s v="2018-19"/>
    <x v="1"/>
    <x v="18"/>
    <s v="L2"/>
    <m/>
    <s v="Where Material Meets Design"/>
    <n v="6"/>
    <x v="1"/>
    <x v="5"/>
    <n v="1"/>
    <n v="0.15"/>
    <n v="1"/>
    <n v="0.15"/>
    <x v="0"/>
  </r>
  <r>
    <s v="2018-19"/>
    <x v="1"/>
    <x v="18"/>
    <s v="L2"/>
    <m/>
    <s v="Where Material Meets Design"/>
    <n v="7"/>
    <x v="0"/>
    <x v="6"/>
    <n v="0"/>
    <n v="0.1"/>
    <n v="1"/>
    <n v="0"/>
    <x v="0"/>
  </r>
  <r>
    <s v="2018-19"/>
    <x v="1"/>
    <x v="18"/>
    <s v="L2"/>
    <m/>
    <s v="Where Material Meets Design"/>
    <n v="7"/>
    <x v="1"/>
    <x v="6"/>
    <n v="1"/>
    <n v="0.1"/>
    <n v="1"/>
    <n v="0.1"/>
    <x v="43"/>
  </r>
  <r>
    <s v="2018-19"/>
    <x v="1"/>
    <x v="18"/>
    <s v="L2"/>
    <m/>
    <s v="Where Material Meets Design"/>
    <n v="8"/>
    <x v="0"/>
    <x v="7"/>
    <n v="0"/>
    <n v="0.1"/>
    <n v="1"/>
    <n v="0"/>
    <x v="0"/>
  </r>
  <r>
    <s v="2018-19"/>
    <x v="1"/>
    <x v="18"/>
    <s v="L2"/>
    <m/>
    <s v="Where Material Meets Design"/>
    <n v="8"/>
    <x v="1"/>
    <x v="7"/>
    <n v="1"/>
    <n v="0.1"/>
    <n v="1"/>
    <n v="0.1"/>
    <x v="44"/>
  </r>
  <r>
    <s v="2018-19"/>
    <x v="1"/>
    <x v="18"/>
    <s v="L2"/>
    <m/>
    <s v="Where Material Meets Design"/>
    <n v="9"/>
    <x v="0"/>
    <x v="8"/>
    <n v="-1"/>
    <n v="0.05"/>
    <n v="0.85"/>
    <n v="-4.2500000000000003E-2"/>
    <x v="0"/>
  </r>
  <r>
    <s v="2018-19"/>
    <x v="1"/>
    <x v="18"/>
    <s v="L2"/>
    <m/>
    <s v="Where Material Meets Design"/>
    <n v="9"/>
    <x v="1"/>
    <x v="8"/>
    <n v="0"/>
    <n v="0.05"/>
    <n v="0.85"/>
    <n v="0"/>
    <x v="0"/>
  </r>
  <r>
    <s v="2018-19"/>
    <x v="1"/>
    <x v="18"/>
    <s v="L2"/>
    <m/>
    <s v="Where Material Meets Design"/>
    <n v="10"/>
    <x v="0"/>
    <x v="8"/>
    <n v="0"/>
    <n v="0.05"/>
    <n v="0.85"/>
    <n v="0"/>
    <x v="0"/>
  </r>
  <r>
    <s v="2018-19"/>
    <x v="1"/>
    <x v="18"/>
    <s v="L2"/>
    <m/>
    <s v="Where Material Meets Design"/>
    <n v="10"/>
    <x v="1"/>
    <x v="8"/>
    <n v="1"/>
    <n v="0.05"/>
    <n v="0.85"/>
    <n v="4.2500000000000003E-2"/>
    <x v="0"/>
  </r>
  <r>
    <s v="2018-19"/>
    <x v="1"/>
    <x v="18"/>
    <s v="L2"/>
    <m/>
    <s v="Where Material Meets Design"/>
    <n v="11"/>
    <x v="0"/>
    <x v="9"/>
    <n v="0"/>
    <n v="0.05"/>
    <n v="1"/>
    <n v="0"/>
    <x v="0"/>
  </r>
  <r>
    <s v="2018-19"/>
    <x v="1"/>
    <x v="18"/>
    <s v="L2"/>
    <m/>
    <s v="Where Material Meets Design"/>
    <n v="11"/>
    <x v="1"/>
    <x v="9"/>
    <n v="1"/>
    <n v="0.05"/>
    <n v="1"/>
    <n v="0.05"/>
    <x v="45"/>
  </r>
  <r>
    <s v="2018-19"/>
    <x v="1"/>
    <x v="19"/>
    <s v="L2"/>
    <m/>
    <s v="A Place for Water"/>
    <n v="1"/>
    <x v="0"/>
    <x v="0"/>
    <n v="1"/>
    <n v="0.12"/>
    <n v="1"/>
    <n v="0.12"/>
    <x v="0"/>
  </r>
  <r>
    <s v="2018-19"/>
    <x v="1"/>
    <x v="19"/>
    <s v="L2"/>
    <m/>
    <s v="A Place for Water"/>
    <n v="1"/>
    <x v="1"/>
    <x v="0"/>
    <n v="1"/>
    <n v="0.12"/>
    <n v="1"/>
    <n v="0.12"/>
    <x v="0"/>
  </r>
  <r>
    <s v="2018-19"/>
    <x v="1"/>
    <x v="19"/>
    <s v="L2"/>
    <m/>
    <s v="A Place for Water"/>
    <n v="2"/>
    <x v="0"/>
    <x v="1"/>
    <n v="1"/>
    <n v="0.08"/>
    <n v="0.8"/>
    <n v="6.4000000000000001E-2"/>
    <x v="0"/>
  </r>
  <r>
    <s v="2018-19"/>
    <x v="1"/>
    <x v="19"/>
    <s v="L2"/>
    <m/>
    <s v="A Place for Water"/>
    <n v="2"/>
    <x v="1"/>
    <x v="1"/>
    <n v="1"/>
    <n v="0.08"/>
    <n v="0.8"/>
    <n v="6.4000000000000001E-2"/>
    <x v="0"/>
  </r>
  <r>
    <s v="2018-19"/>
    <x v="1"/>
    <x v="19"/>
    <s v="L2"/>
    <m/>
    <s v="A Place for Water"/>
    <n v="3"/>
    <x v="0"/>
    <x v="2"/>
    <n v="1"/>
    <n v="0.05"/>
    <n v="1"/>
    <n v="0.05"/>
    <x v="0"/>
  </r>
  <r>
    <s v="2018-19"/>
    <x v="1"/>
    <x v="19"/>
    <s v="L2"/>
    <m/>
    <s v="A Place for Water"/>
    <n v="3"/>
    <x v="1"/>
    <x v="2"/>
    <n v="0"/>
    <n v="0.05"/>
    <n v="1"/>
    <n v="0"/>
    <x v="46"/>
  </r>
  <r>
    <s v="2018-19"/>
    <x v="1"/>
    <x v="19"/>
    <s v="L2"/>
    <m/>
    <s v="A Place for Water"/>
    <n v="4"/>
    <x v="0"/>
    <x v="3"/>
    <n v="1"/>
    <n v="0.14000000000000001"/>
    <n v="1"/>
    <n v="0.14000000000000001"/>
    <x v="0"/>
  </r>
  <r>
    <s v="2018-19"/>
    <x v="1"/>
    <x v="19"/>
    <s v="L2"/>
    <m/>
    <s v="A Place for Water"/>
    <n v="4"/>
    <x v="1"/>
    <x v="3"/>
    <n v="0"/>
    <n v="0.14000000000000001"/>
    <n v="1"/>
    <n v="0"/>
    <x v="47"/>
  </r>
  <r>
    <s v="2018-19"/>
    <x v="1"/>
    <x v="19"/>
    <s v="L2"/>
    <m/>
    <s v="A Place for Water"/>
    <n v="5"/>
    <x v="0"/>
    <x v="4"/>
    <n v="0"/>
    <n v="0.11"/>
    <n v="1"/>
    <n v="0"/>
    <x v="0"/>
  </r>
  <r>
    <s v="2018-19"/>
    <x v="1"/>
    <x v="19"/>
    <s v="L2"/>
    <m/>
    <s v="A Place for Water"/>
    <n v="5"/>
    <x v="1"/>
    <x v="4"/>
    <n v="0"/>
    <n v="0.11"/>
    <n v="1"/>
    <n v="0"/>
    <x v="48"/>
  </r>
  <r>
    <s v="2018-19"/>
    <x v="1"/>
    <x v="19"/>
    <s v="L2"/>
    <m/>
    <s v="A Place for Water"/>
    <n v="6"/>
    <x v="0"/>
    <x v="5"/>
    <n v="1"/>
    <n v="0.15"/>
    <n v="1"/>
    <n v="0.15"/>
    <x v="0"/>
  </r>
  <r>
    <s v="2018-19"/>
    <x v="1"/>
    <x v="19"/>
    <s v="L2"/>
    <m/>
    <s v="A Place for Water"/>
    <n v="6"/>
    <x v="1"/>
    <x v="5"/>
    <n v="0"/>
    <n v="0.15"/>
    <n v="1"/>
    <n v="0"/>
    <x v="49"/>
  </r>
  <r>
    <s v="2018-19"/>
    <x v="1"/>
    <x v="19"/>
    <s v="L2"/>
    <m/>
    <s v="A Place for Water"/>
    <n v="7"/>
    <x v="0"/>
    <x v="6"/>
    <n v="0"/>
    <n v="0.1"/>
    <n v="1"/>
    <n v="0"/>
    <x v="0"/>
  </r>
  <r>
    <s v="2018-19"/>
    <x v="1"/>
    <x v="19"/>
    <s v="L2"/>
    <m/>
    <s v="A Place for Water"/>
    <n v="7"/>
    <x v="1"/>
    <x v="6"/>
    <n v="0"/>
    <n v="0.1"/>
    <n v="1"/>
    <n v="0"/>
    <x v="50"/>
  </r>
  <r>
    <s v="2018-19"/>
    <x v="1"/>
    <x v="19"/>
    <s v="L2"/>
    <m/>
    <s v="A Place for Water"/>
    <n v="8"/>
    <x v="0"/>
    <x v="7"/>
    <n v="0"/>
    <n v="0.1"/>
    <n v="1"/>
    <n v="0"/>
    <x v="0"/>
  </r>
  <r>
    <s v="2018-19"/>
    <x v="1"/>
    <x v="19"/>
    <s v="L2"/>
    <m/>
    <s v="A Place for Water"/>
    <n v="8"/>
    <x v="1"/>
    <x v="7"/>
    <n v="0"/>
    <n v="0.1"/>
    <n v="1"/>
    <n v="0"/>
    <x v="35"/>
  </r>
  <r>
    <s v="2018-19"/>
    <x v="1"/>
    <x v="19"/>
    <s v="L2"/>
    <m/>
    <s v="A Place for Water"/>
    <n v="9"/>
    <x v="0"/>
    <x v="8"/>
    <n v="1"/>
    <n v="0.05"/>
    <n v="0.85"/>
    <n v="4.2500000000000003E-2"/>
    <x v="0"/>
  </r>
  <r>
    <s v="2018-19"/>
    <x v="1"/>
    <x v="19"/>
    <s v="L2"/>
    <m/>
    <s v="A Place for Water"/>
    <n v="9"/>
    <x v="1"/>
    <x v="8"/>
    <n v="0"/>
    <n v="0.05"/>
    <n v="0.85"/>
    <n v="0"/>
    <x v="35"/>
  </r>
  <r>
    <s v="2018-19"/>
    <x v="1"/>
    <x v="19"/>
    <s v="L2"/>
    <m/>
    <s v="A Place for Water"/>
    <n v="10"/>
    <x v="0"/>
    <x v="8"/>
    <n v="0"/>
    <n v="0.05"/>
    <n v="0.85"/>
    <n v="0"/>
    <x v="0"/>
  </r>
  <r>
    <s v="2018-19"/>
    <x v="1"/>
    <x v="19"/>
    <s v="L2"/>
    <m/>
    <s v="A Place for Water"/>
    <n v="10"/>
    <x v="1"/>
    <x v="8"/>
    <n v="0"/>
    <n v="0.05"/>
    <n v="0.85"/>
    <n v="0"/>
    <x v="51"/>
  </r>
  <r>
    <s v="2018-19"/>
    <x v="1"/>
    <x v="19"/>
    <s v="L2"/>
    <m/>
    <s v="A Place for Water"/>
    <n v="11"/>
    <x v="0"/>
    <x v="9"/>
    <n v="0"/>
    <n v="0.05"/>
    <n v="1"/>
    <n v="0"/>
    <x v="0"/>
  </r>
  <r>
    <s v="2018-19"/>
    <x v="1"/>
    <x v="19"/>
    <s v="L2"/>
    <m/>
    <s v="A Place for Water"/>
    <n v="11"/>
    <x v="1"/>
    <x v="9"/>
    <n v="-1"/>
    <n v="0.05"/>
    <n v="1"/>
    <n v="-0.05"/>
    <x v="52"/>
  </r>
  <r>
    <s v="2018-19"/>
    <x v="1"/>
    <x v="20"/>
    <s v="L3"/>
    <m/>
    <s v="Terrain-Vague Bricolage | Herbarium in an abandoned quarry at Champaner"/>
    <n v="1"/>
    <x v="0"/>
    <x v="0"/>
    <n v="1"/>
    <n v="0.12"/>
    <n v="1"/>
    <n v="0.12"/>
    <x v="0"/>
  </r>
  <r>
    <s v="2018-19"/>
    <x v="1"/>
    <x v="20"/>
    <s v="L3"/>
    <m/>
    <s v="Terrain-Vague Bricolage | Herbarium in an abandoned quarry at Champaner"/>
    <n v="1"/>
    <x v="1"/>
    <x v="0"/>
    <n v="1"/>
    <n v="0.12"/>
    <n v="1"/>
    <n v="0.12"/>
    <x v="0"/>
  </r>
  <r>
    <s v="2018-19"/>
    <x v="1"/>
    <x v="20"/>
    <s v="L3"/>
    <m/>
    <s v="Terrain-Vague Bricolage | Herbarium in an abandoned quarry at Champaner"/>
    <n v="2"/>
    <x v="0"/>
    <x v="1"/>
    <n v="1"/>
    <n v="0.08"/>
    <n v="0.8"/>
    <n v="6.4000000000000001E-2"/>
    <x v="0"/>
  </r>
  <r>
    <s v="2018-19"/>
    <x v="1"/>
    <x v="20"/>
    <s v="L3"/>
    <m/>
    <s v="Terrain-Vague Bricolage | Herbarium in an abandoned quarry at Champaner"/>
    <n v="2"/>
    <x v="1"/>
    <x v="1"/>
    <n v="0"/>
    <n v="0.08"/>
    <n v="0.8"/>
    <n v="0"/>
    <x v="0"/>
  </r>
  <r>
    <s v="2018-19"/>
    <x v="1"/>
    <x v="20"/>
    <s v="L3"/>
    <m/>
    <s v="Terrain-Vague Bricolage | Herbarium in an abandoned quarry at Champaner"/>
    <n v="3"/>
    <x v="0"/>
    <x v="2"/>
    <n v="1"/>
    <n v="0.05"/>
    <n v="1"/>
    <n v="0.05"/>
    <x v="0"/>
  </r>
  <r>
    <s v="2018-19"/>
    <x v="1"/>
    <x v="20"/>
    <s v="L3"/>
    <m/>
    <s v="Terrain-Vague Bricolage | Herbarium in an abandoned quarry at Champaner"/>
    <n v="3"/>
    <x v="1"/>
    <x v="2"/>
    <n v="0"/>
    <n v="0.05"/>
    <n v="1"/>
    <n v="0"/>
    <x v="0"/>
  </r>
  <r>
    <s v="2018-19"/>
    <x v="1"/>
    <x v="20"/>
    <s v="L3"/>
    <m/>
    <s v="Terrain-Vague Bricolage | Herbarium in an abandoned quarry at Champaner"/>
    <n v="4"/>
    <x v="0"/>
    <x v="3"/>
    <n v="0"/>
    <n v="0.14000000000000001"/>
    <n v="1"/>
    <n v="0"/>
    <x v="0"/>
  </r>
  <r>
    <s v="2018-19"/>
    <x v="1"/>
    <x v="20"/>
    <s v="L3"/>
    <m/>
    <s v="Terrain-Vague Bricolage | Herbarium in an abandoned quarry at Champaner"/>
    <n v="4"/>
    <x v="1"/>
    <x v="3"/>
    <n v="-1"/>
    <n v="0.14000000000000001"/>
    <n v="1"/>
    <n v="-0.14000000000000001"/>
    <x v="0"/>
  </r>
  <r>
    <s v="2018-19"/>
    <x v="1"/>
    <x v="20"/>
    <s v="L3"/>
    <m/>
    <s v="Terrain-Vague Bricolage | Herbarium in an abandoned quarry at Champaner"/>
    <n v="5"/>
    <x v="0"/>
    <x v="4"/>
    <n v="0"/>
    <n v="0.11"/>
    <n v="1"/>
    <n v="0"/>
    <x v="0"/>
  </r>
  <r>
    <s v="2018-19"/>
    <x v="1"/>
    <x v="20"/>
    <s v="L3"/>
    <m/>
    <s v="Terrain-Vague Bricolage | Herbarium in an abandoned quarry at Champaner"/>
    <n v="5"/>
    <x v="1"/>
    <x v="4"/>
    <n v="-1"/>
    <n v="0.11"/>
    <n v="1"/>
    <n v="-0.11"/>
    <x v="0"/>
  </r>
  <r>
    <s v="2018-19"/>
    <x v="1"/>
    <x v="20"/>
    <s v="L3"/>
    <m/>
    <s v="Terrain-Vague Bricolage | Herbarium in an abandoned quarry at Champaner"/>
    <n v="6"/>
    <x v="0"/>
    <x v="5"/>
    <n v="1"/>
    <n v="0.15"/>
    <n v="1"/>
    <n v="0.15"/>
    <x v="0"/>
  </r>
  <r>
    <s v="2018-19"/>
    <x v="1"/>
    <x v="20"/>
    <s v="L3"/>
    <m/>
    <s v="Terrain-Vague Bricolage | Herbarium in an abandoned quarry at Champaner"/>
    <n v="6"/>
    <x v="1"/>
    <x v="5"/>
    <n v="-1"/>
    <n v="0.15"/>
    <n v="1"/>
    <n v="-0.15"/>
    <x v="0"/>
  </r>
  <r>
    <s v="2018-19"/>
    <x v="1"/>
    <x v="20"/>
    <s v="L3"/>
    <m/>
    <s v="Terrain-Vague Bricolage | Herbarium in an abandoned quarry at Champaner"/>
    <n v="7"/>
    <x v="0"/>
    <x v="6"/>
    <n v="0"/>
    <n v="0.1"/>
    <n v="1"/>
    <n v="0"/>
    <x v="0"/>
  </r>
  <r>
    <s v="2018-19"/>
    <x v="1"/>
    <x v="20"/>
    <s v="L3"/>
    <m/>
    <s v="Terrain-Vague Bricolage | Herbarium in an abandoned quarry at Champaner"/>
    <n v="7"/>
    <x v="1"/>
    <x v="6"/>
    <n v="-1"/>
    <n v="0.1"/>
    <n v="1"/>
    <n v="-0.1"/>
    <x v="0"/>
  </r>
  <r>
    <s v="2018-19"/>
    <x v="1"/>
    <x v="20"/>
    <s v="L3"/>
    <m/>
    <s v="Terrain-Vague Bricolage | Herbarium in an abandoned quarry at Champaner"/>
    <n v="8"/>
    <x v="0"/>
    <x v="7"/>
    <n v="1"/>
    <n v="0.1"/>
    <n v="1"/>
    <n v="0.1"/>
    <x v="0"/>
  </r>
  <r>
    <s v="2018-19"/>
    <x v="1"/>
    <x v="20"/>
    <s v="L3"/>
    <m/>
    <s v="Terrain-Vague Bricolage | Herbarium in an abandoned quarry at Champaner"/>
    <n v="8"/>
    <x v="1"/>
    <x v="7"/>
    <n v="-1"/>
    <n v="0.1"/>
    <n v="1"/>
    <n v="-0.1"/>
    <x v="0"/>
  </r>
  <r>
    <s v="2018-19"/>
    <x v="1"/>
    <x v="20"/>
    <s v="L3"/>
    <m/>
    <s v="Terrain-Vague Bricolage | Herbarium in an abandoned quarry at Champaner"/>
    <n v="9"/>
    <x v="0"/>
    <x v="8"/>
    <n v="1"/>
    <n v="0.05"/>
    <n v="0.85"/>
    <n v="4.2500000000000003E-2"/>
    <x v="0"/>
  </r>
  <r>
    <s v="2018-19"/>
    <x v="1"/>
    <x v="20"/>
    <s v="L3"/>
    <m/>
    <s v="Terrain-Vague Bricolage | Herbarium in an abandoned quarry at Champaner"/>
    <n v="9"/>
    <x v="1"/>
    <x v="8"/>
    <n v="0"/>
    <n v="0.05"/>
    <n v="0.85"/>
    <n v="0"/>
    <x v="0"/>
  </r>
  <r>
    <s v="2018-19"/>
    <x v="1"/>
    <x v="20"/>
    <s v="L3"/>
    <m/>
    <s v="Terrain-Vague Bricolage | Herbarium in an abandoned quarry at Champaner"/>
    <n v="10"/>
    <x v="0"/>
    <x v="8"/>
    <n v="1"/>
    <n v="0.05"/>
    <n v="0.85"/>
    <n v="4.2500000000000003E-2"/>
    <x v="0"/>
  </r>
  <r>
    <s v="2018-19"/>
    <x v="1"/>
    <x v="20"/>
    <s v="L3"/>
    <m/>
    <s v="Terrain-Vague Bricolage | Herbarium in an abandoned quarry at Champaner"/>
    <n v="10"/>
    <x v="1"/>
    <x v="8"/>
    <n v="-1"/>
    <n v="0.05"/>
    <n v="0.85"/>
    <n v="-4.2500000000000003E-2"/>
    <x v="0"/>
  </r>
  <r>
    <s v="2018-19"/>
    <x v="1"/>
    <x v="20"/>
    <s v="L3"/>
    <m/>
    <s v="Terrain-Vague Bricolage | Herbarium in an abandoned quarry at Champaner"/>
    <n v="11"/>
    <x v="0"/>
    <x v="9"/>
    <n v="1"/>
    <n v="0.05"/>
    <n v="1"/>
    <n v="0.05"/>
    <x v="0"/>
  </r>
  <r>
    <s v="2018-19"/>
    <x v="1"/>
    <x v="20"/>
    <s v="L3"/>
    <m/>
    <s v="Terrain-Vague Bricolage | Herbarium in an abandoned quarry at Champaner"/>
    <n v="11"/>
    <x v="1"/>
    <x v="9"/>
    <n v="-1"/>
    <n v="0.05"/>
    <n v="1"/>
    <n v="-0.05"/>
    <x v="52"/>
  </r>
  <r>
    <s v="2018-19"/>
    <x v="1"/>
    <x v="21"/>
    <s v="L3"/>
    <m/>
    <s v="Urban Insert – Reimaging Community &amp; Awareness Center"/>
    <n v="1"/>
    <x v="0"/>
    <x v="0"/>
    <n v="0"/>
    <n v="0.12"/>
    <n v="1"/>
    <n v="0"/>
    <x v="0"/>
  </r>
  <r>
    <s v="2018-19"/>
    <x v="1"/>
    <x v="21"/>
    <s v="L3"/>
    <m/>
    <s v="Urban Insert – Reimaging Community &amp; Awareness Center"/>
    <n v="1"/>
    <x v="1"/>
    <x v="0"/>
    <n v="0"/>
    <n v="0.12"/>
    <n v="1"/>
    <n v="0"/>
    <x v="53"/>
  </r>
  <r>
    <s v="2018-19"/>
    <x v="1"/>
    <x v="21"/>
    <s v="L3"/>
    <m/>
    <s v="Urban Insert – Reimaging Community &amp; Awareness Center"/>
    <n v="2"/>
    <x v="0"/>
    <x v="1"/>
    <n v="-1"/>
    <n v="0.08"/>
    <n v="0.8"/>
    <n v="-6.4000000000000001E-2"/>
    <x v="0"/>
  </r>
  <r>
    <s v="2018-19"/>
    <x v="1"/>
    <x v="21"/>
    <s v="L3"/>
    <m/>
    <s v="Urban Insert – Reimaging Community &amp; Awareness Center"/>
    <n v="2"/>
    <x v="1"/>
    <x v="1"/>
    <n v="0"/>
    <n v="0.08"/>
    <n v="0.8"/>
    <n v="0"/>
    <x v="0"/>
  </r>
  <r>
    <s v="2018-19"/>
    <x v="1"/>
    <x v="21"/>
    <s v="L3"/>
    <m/>
    <s v="Urban Insert – Reimaging Community &amp; Awareness Center"/>
    <n v="3"/>
    <x v="0"/>
    <x v="2"/>
    <n v="0"/>
    <n v="0.05"/>
    <n v="1"/>
    <n v="0"/>
    <x v="0"/>
  </r>
  <r>
    <s v="2018-19"/>
    <x v="1"/>
    <x v="21"/>
    <s v="L3"/>
    <m/>
    <s v="Urban Insert – Reimaging Community &amp; Awareness Center"/>
    <n v="3"/>
    <x v="1"/>
    <x v="2"/>
    <n v="0"/>
    <n v="0.05"/>
    <n v="1"/>
    <n v="0"/>
    <x v="0"/>
  </r>
  <r>
    <s v="2018-19"/>
    <x v="1"/>
    <x v="21"/>
    <s v="L3"/>
    <m/>
    <s v="Urban Insert – Reimaging Community &amp; Awareness Center"/>
    <n v="4"/>
    <x v="0"/>
    <x v="3"/>
    <n v="-1"/>
    <n v="0.14000000000000001"/>
    <n v="1"/>
    <n v="-0.14000000000000001"/>
    <x v="0"/>
  </r>
  <r>
    <s v="2018-19"/>
    <x v="1"/>
    <x v="21"/>
    <s v="L3"/>
    <m/>
    <s v="Urban Insert – Reimaging Community &amp; Awareness Center"/>
    <n v="4"/>
    <x v="1"/>
    <x v="3"/>
    <n v="-1"/>
    <n v="0.14000000000000001"/>
    <n v="1"/>
    <n v="-0.14000000000000001"/>
    <x v="0"/>
  </r>
  <r>
    <s v="2018-19"/>
    <x v="1"/>
    <x v="21"/>
    <s v="L3"/>
    <m/>
    <s v="Urban Insert – Reimaging Community &amp; Awareness Center"/>
    <n v="5"/>
    <x v="0"/>
    <x v="4"/>
    <n v="-1"/>
    <n v="0.11"/>
    <n v="1"/>
    <n v="-0.11"/>
    <x v="0"/>
  </r>
  <r>
    <s v="2018-19"/>
    <x v="1"/>
    <x v="21"/>
    <s v="L3"/>
    <m/>
    <s v="Urban Insert – Reimaging Community &amp; Awareness Center"/>
    <n v="5"/>
    <x v="1"/>
    <x v="4"/>
    <n v="-1"/>
    <n v="0.11"/>
    <n v="1"/>
    <n v="-0.11"/>
    <x v="0"/>
  </r>
  <r>
    <s v="2018-19"/>
    <x v="1"/>
    <x v="21"/>
    <s v="L3"/>
    <m/>
    <s v="Urban Insert – Reimaging Community &amp; Awareness Center"/>
    <n v="6"/>
    <x v="0"/>
    <x v="5"/>
    <n v="-1"/>
    <n v="0.15"/>
    <n v="1"/>
    <n v="-0.15"/>
    <x v="0"/>
  </r>
  <r>
    <s v="2018-19"/>
    <x v="1"/>
    <x v="21"/>
    <s v="L3"/>
    <m/>
    <s v="Urban Insert – Reimaging Community &amp; Awareness Center"/>
    <n v="6"/>
    <x v="1"/>
    <x v="5"/>
    <n v="-1"/>
    <n v="0.15"/>
    <n v="1"/>
    <n v="-0.15"/>
    <x v="0"/>
  </r>
  <r>
    <s v="2018-19"/>
    <x v="1"/>
    <x v="21"/>
    <s v="L3"/>
    <m/>
    <s v="Urban Insert – Reimaging Community &amp; Awareness Center"/>
    <n v="7"/>
    <x v="0"/>
    <x v="6"/>
    <n v="-1"/>
    <n v="0.1"/>
    <n v="1"/>
    <n v="-0.1"/>
    <x v="0"/>
  </r>
  <r>
    <s v="2018-19"/>
    <x v="1"/>
    <x v="21"/>
    <s v="L3"/>
    <m/>
    <s v="Urban Insert – Reimaging Community &amp; Awareness Center"/>
    <n v="7"/>
    <x v="1"/>
    <x v="6"/>
    <n v="-1"/>
    <n v="0.1"/>
    <n v="1"/>
    <n v="-0.1"/>
    <x v="0"/>
  </r>
  <r>
    <s v="2018-19"/>
    <x v="1"/>
    <x v="21"/>
    <s v="L3"/>
    <m/>
    <s v="Urban Insert – Reimaging Community &amp; Awareness Center"/>
    <n v="8"/>
    <x v="0"/>
    <x v="7"/>
    <n v="-1"/>
    <n v="0.1"/>
    <n v="1"/>
    <n v="-0.1"/>
    <x v="0"/>
  </r>
  <r>
    <s v="2018-19"/>
    <x v="1"/>
    <x v="21"/>
    <s v="L3"/>
    <m/>
    <s v="Urban Insert – Reimaging Community &amp; Awareness Center"/>
    <n v="8"/>
    <x v="1"/>
    <x v="7"/>
    <n v="-1"/>
    <n v="0.1"/>
    <n v="1"/>
    <n v="-0.1"/>
    <x v="0"/>
  </r>
  <r>
    <s v="2018-19"/>
    <x v="1"/>
    <x v="21"/>
    <s v="L3"/>
    <m/>
    <s v="Urban Insert – Reimaging Community &amp; Awareness Center"/>
    <n v="9"/>
    <x v="0"/>
    <x v="8"/>
    <n v="-1"/>
    <n v="0.05"/>
    <n v="0.85"/>
    <n v="-4.2500000000000003E-2"/>
    <x v="0"/>
  </r>
  <r>
    <s v="2018-19"/>
    <x v="1"/>
    <x v="21"/>
    <s v="L3"/>
    <m/>
    <s v="Urban Insert – Reimaging Community &amp; Awareness Center"/>
    <n v="9"/>
    <x v="1"/>
    <x v="8"/>
    <n v="-1"/>
    <n v="0.05"/>
    <n v="0.85"/>
    <n v="-4.2500000000000003E-2"/>
    <x v="0"/>
  </r>
  <r>
    <s v="2018-19"/>
    <x v="1"/>
    <x v="21"/>
    <s v="L3"/>
    <m/>
    <s v="Urban Insert – Reimaging Community &amp; Awareness Center"/>
    <n v="10"/>
    <x v="0"/>
    <x v="8"/>
    <n v="-1"/>
    <n v="0.05"/>
    <n v="0.85"/>
    <n v="-4.2500000000000003E-2"/>
    <x v="0"/>
  </r>
  <r>
    <s v="2018-19"/>
    <x v="1"/>
    <x v="21"/>
    <s v="L3"/>
    <m/>
    <s v="Urban Insert – Reimaging Community &amp; Awareness Center"/>
    <n v="10"/>
    <x v="1"/>
    <x v="8"/>
    <n v="0"/>
    <n v="0.05"/>
    <n v="0.85"/>
    <n v="0"/>
    <x v="0"/>
  </r>
  <r>
    <s v="2018-19"/>
    <x v="1"/>
    <x v="21"/>
    <s v="L3"/>
    <m/>
    <s v="Urban Insert – Reimaging Community &amp; Awareness Center"/>
    <n v="11"/>
    <x v="0"/>
    <x v="9"/>
    <n v="-1"/>
    <n v="0.05"/>
    <n v="1"/>
    <n v="-0.05"/>
    <x v="0"/>
  </r>
  <r>
    <s v="2018-19"/>
    <x v="1"/>
    <x v="21"/>
    <s v="L3"/>
    <m/>
    <s v="Urban Insert – Reimaging Community &amp; Awareness Center"/>
    <n v="11"/>
    <x v="1"/>
    <x v="9"/>
    <n v="-1"/>
    <n v="0.05"/>
    <n v="1"/>
    <n v="-0.05"/>
    <x v="54"/>
  </r>
  <r>
    <s v="2018-19"/>
    <x v="1"/>
    <x v="22"/>
    <s v="L3"/>
    <m/>
    <s v="Massing the houses for housing the masses: Sustainable, Plural and Humane Habitats"/>
    <n v="1"/>
    <x v="0"/>
    <x v="0"/>
    <n v="0"/>
    <n v="0.12"/>
    <n v="1"/>
    <n v="0"/>
    <x v="0"/>
  </r>
  <r>
    <s v="2018-19"/>
    <x v="1"/>
    <x v="22"/>
    <s v="L3"/>
    <m/>
    <s v="Massing the houses for housing the masses: Sustainable, Plural and Humane Habitats"/>
    <n v="1"/>
    <x v="1"/>
    <x v="0"/>
    <n v="0"/>
    <n v="0.12"/>
    <n v="1"/>
    <n v="0"/>
    <x v="0"/>
  </r>
  <r>
    <s v="2018-19"/>
    <x v="1"/>
    <x v="22"/>
    <s v="L3"/>
    <m/>
    <s v="Massing the houses for housing the masses: Sustainable, Plural and Humane Habitats"/>
    <n v="2"/>
    <x v="0"/>
    <x v="1"/>
    <n v="0"/>
    <n v="0.08"/>
    <n v="0.8"/>
    <n v="0"/>
    <x v="0"/>
  </r>
  <r>
    <s v="2018-19"/>
    <x v="1"/>
    <x v="22"/>
    <s v="L3"/>
    <m/>
    <s v="Massing the houses for housing the masses: Sustainable, Plural and Humane Habitats"/>
    <n v="2"/>
    <x v="1"/>
    <x v="1"/>
    <n v="-1"/>
    <n v="0.08"/>
    <n v="0.8"/>
    <n v="-6.4000000000000001E-2"/>
    <x v="0"/>
  </r>
  <r>
    <s v="2018-19"/>
    <x v="1"/>
    <x v="22"/>
    <s v="L3"/>
    <m/>
    <s v="Massing the houses for housing the masses: Sustainable, Plural and Humane Habitats"/>
    <n v="3"/>
    <x v="0"/>
    <x v="2"/>
    <n v="1"/>
    <n v="0.05"/>
    <n v="1"/>
    <n v="0.05"/>
    <x v="0"/>
  </r>
  <r>
    <s v="2018-19"/>
    <x v="1"/>
    <x v="22"/>
    <s v="L3"/>
    <m/>
    <s v="Massing the houses for housing the masses: Sustainable, Plural and Humane Habitats"/>
    <n v="3"/>
    <x v="1"/>
    <x v="2"/>
    <n v="-1"/>
    <n v="0.05"/>
    <n v="1"/>
    <n v="-0.05"/>
    <x v="55"/>
  </r>
  <r>
    <s v="2018-19"/>
    <x v="1"/>
    <x v="22"/>
    <s v="L3"/>
    <m/>
    <s v="Massing the houses for housing the masses: Sustainable, Plural and Humane Habitats"/>
    <n v="4"/>
    <x v="0"/>
    <x v="3"/>
    <n v="-1"/>
    <n v="0.14000000000000001"/>
    <n v="1"/>
    <n v="-0.14000000000000001"/>
    <x v="0"/>
  </r>
  <r>
    <s v="2018-19"/>
    <x v="1"/>
    <x v="22"/>
    <s v="L3"/>
    <m/>
    <s v="Massing the houses for housing the masses: Sustainable, Plural and Humane Habitats"/>
    <n v="4"/>
    <x v="1"/>
    <x v="3"/>
    <n v="-1"/>
    <n v="0.14000000000000001"/>
    <n v="1"/>
    <n v="-0.14000000000000001"/>
    <x v="56"/>
  </r>
  <r>
    <s v="2018-19"/>
    <x v="1"/>
    <x v="22"/>
    <s v="L3"/>
    <m/>
    <s v="Massing the houses for housing the masses: Sustainable, Plural and Humane Habitats"/>
    <n v="5"/>
    <x v="0"/>
    <x v="4"/>
    <n v="-1"/>
    <n v="0.11"/>
    <n v="1"/>
    <n v="-0.11"/>
    <x v="0"/>
  </r>
  <r>
    <s v="2018-19"/>
    <x v="1"/>
    <x v="22"/>
    <s v="L3"/>
    <m/>
    <s v="Massing the houses for housing the masses: Sustainable, Plural and Humane Habitats"/>
    <n v="5"/>
    <x v="1"/>
    <x v="4"/>
    <n v="-1"/>
    <n v="0.11"/>
    <n v="1"/>
    <n v="-0.11"/>
    <x v="37"/>
  </r>
  <r>
    <s v="2018-19"/>
    <x v="1"/>
    <x v="22"/>
    <s v="L3"/>
    <m/>
    <s v="Massing the houses for housing the masses: Sustainable, Plural and Humane Habitats"/>
    <n v="6"/>
    <x v="0"/>
    <x v="5"/>
    <n v="-1"/>
    <n v="0.15"/>
    <n v="1"/>
    <n v="-0.15"/>
    <x v="0"/>
  </r>
  <r>
    <s v="2018-19"/>
    <x v="1"/>
    <x v="22"/>
    <s v="L3"/>
    <m/>
    <s v="Massing the houses for housing the masses: Sustainable, Plural and Humane Habitats"/>
    <n v="6"/>
    <x v="1"/>
    <x v="5"/>
    <n v="-1"/>
    <n v="0.15"/>
    <n v="1"/>
    <n v="-0.15"/>
    <x v="57"/>
  </r>
  <r>
    <s v="2018-19"/>
    <x v="1"/>
    <x v="22"/>
    <s v="L3"/>
    <m/>
    <s v="Massing the houses for housing the masses: Sustainable, Plural and Humane Habitats"/>
    <n v="7"/>
    <x v="0"/>
    <x v="6"/>
    <n v="-1"/>
    <n v="0.1"/>
    <n v="1"/>
    <n v="-0.1"/>
    <x v="0"/>
  </r>
  <r>
    <s v="2018-19"/>
    <x v="1"/>
    <x v="22"/>
    <s v="L3"/>
    <m/>
    <s v="Massing the houses for housing the masses: Sustainable, Plural and Humane Habitats"/>
    <n v="7"/>
    <x v="1"/>
    <x v="6"/>
    <n v="-1"/>
    <n v="0.1"/>
    <n v="1"/>
    <n v="-0.1"/>
    <x v="0"/>
  </r>
  <r>
    <s v="2018-19"/>
    <x v="1"/>
    <x v="22"/>
    <s v="L3"/>
    <m/>
    <s v="Massing the houses for housing the masses: Sustainable, Plural and Humane Habitats"/>
    <n v="8"/>
    <x v="0"/>
    <x v="7"/>
    <n v="-1"/>
    <n v="0.1"/>
    <n v="1"/>
    <n v="-0.1"/>
    <x v="0"/>
  </r>
  <r>
    <s v="2018-19"/>
    <x v="1"/>
    <x v="22"/>
    <s v="L3"/>
    <m/>
    <s v="Massing the houses for housing the masses: Sustainable, Plural and Humane Habitats"/>
    <n v="8"/>
    <x v="1"/>
    <x v="7"/>
    <n v="-1"/>
    <n v="0.1"/>
    <n v="1"/>
    <n v="-0.1"/>
    <x v="0"/>
  </r>
  <r>
    <s v="2018-19"/>
    <x v="1"/>
    <x v="22"/>
    <s v="L3"/>
    <m/>
    <s v="Massing the houses for housing the masses: Sustainable, Plural and Humane Habitats"/>
    <n v="9"/>
    <x v="0"/>
    <x v="8"/>
    <n v="-1"/>
    <n v="0.05"/>
    <n v="0.85"/>
    <n v="-4.2500000000000003E-2"/>
    <x v="0"/>
  </r>
  <r>
    <s v="2018-19"/>
    <x v="1"/>
    <x v="22"/>
    <s v="L3"/>
    <m/>
    <s v="Massing the houses for housing the masses: Sustainable, Plural and Humane Habitats"/>
    <n v="9"/>
    <x v="1"/>
    <x v="8"/>
    <n v="0"/>
    <n v="0.05"/>
    <n v="0.85"/>
    <n v="0"/>
    <x v="0"/>
  </r>
  <r>
    <s v="2018-19"/>
    <x v="1"/>
    <x v="22"/>
    <s v="L3"/>
    <m/>
    <s v="Massing the houses for housing the masses: Sustainable, Plural and Humane Habitats"/>
    <n v="10"/>
    <x v="0"/>
    <x v="8"/>
    <n v="0"/>
    <n v="0.05"/>
    <n v="0.85"/>
    <n v="0"/>
    <x v="0"/>
  </r>
  <r>
    <s v="2018-19"/>
    <x v="1"/>
    <x v="22"/>
    <s v="L3"/>
    <m/>
    <s v="Massing the houses for housing the masses: Sustainable, Plural and Humane Habitats"/>
    <n v="10"/>
    <x v="1"/>
    <x v="8"/>
    <n v="0"/>
    <n v="0.05"/>
    <n v="0.85"/>
    <n v="0"/>
    <x v="0"/>
  </r>
  <r>
    <s v="2018-19"/>
    <x v="1"/>
    <x v="22"/>
    <s v="L3"/>
    <m/>
    <s v="Massing the houses for housing the masses: Sustainable, Plural and Humane Habitats"/>
    <n v="11"/>
    <x v="0"/>
    <x v="9"/>
    <n v="-1"/>
    <n v="0.05"/>
    <n v="1"/>
    <n v="-0.05"/>
    <x v="0"/>
  </r>
  <r>
    <s v="2018-19"/>
    <x v="1"/>
    <x v="22"/>
    <s v="L3"/>
    <m/>
    <s v="Massing the houses for housing the masses: Sustainable, Plural and Humane Habitats"/>
    <n v="11"/>
    <x v="1"/>
    <x v="9"/>
    <n v="-1"/>
    <n v="0.05"/>
    <n v="1"/>
    <n v="-0.05"/>
    <x v="58"/>
  </r>
  <r>
    <s v="2018-19"/>
    <x v="1"/>
    <x v="23"/>
    <s v="L3"/>
    <m/>
    <s v="Urban Assemblies: drawing on vacant lands"/>
    <n v="1"/>
    <x v="0"/>
    <x v="0"/>
    <n v="0"/>
    <n v="0.12"/>
    <n v="1"/>
    <n v="0"/>
    <x v="0"/>
  </r>
  <r>
    <s v="2018-19"/>
    <x v="1"/>
    <x v="23"/>
    <s v="L3"/>
    <m/>
    <s v="Urban Assemblies: drawing on vacant lands"/>
    <n v="1"/>
    <x v="1"/>
    <x v="0"/>
    <n v="0"/>
    <n v="0.12"/>
    <n v="1"/>
    <n v="0"/>
    <x v="59"/>
  </r>
  <r>
    <s v="2018-19"/>
    <x v="1"/>
    <x v="23"/>
    <s v="L3"/>
    <m/>
    <s v="Urban Assemblies: drawing on vacant lands"/>
    <n v="2"/>
    <x v="0"/>
    <x v="1"/>
    <n v="0"/>
    <n v="0.08"/>
    <n v="0.8"/>
    <n v="0"/>
    <x v="0"/>
  </r>
  <r>
    <s v="2018-19"/>
    <x v="1"/>
    <x v="23"/>
    <s v="L3"/>
    <m/>
    <s v="Urban Assemblies: drawing on vacant lands"/>
    <n v="2"/>
    <x v="1"/>
    <x v="1"/>
    <n v="0"/>
    <n v="0.08"/>
    <n v="0.8"/>
    <n v="0"/>
    <x v="0"/>
  </r>
  <r>
    <s v="2018-19"/>
    <x v="1"/>
    <x v="23"/>
    <s v="L3"/>
    <m/>
    <s v="Urban Assemblies: drawing on vacant lands"/>
    <n v="3"/>
    <x v="0"/>
    <x v="2"/>
    <n v="1"/>
    <n v="0.05"/>
    <n v="1"/>
    <n v="0.05"/>
    <x v="0"/>
  </r>
  <r>
    <s v="2018-19"/>
    <x v="1"/>
    <x v="23"/>
    <s v="L3"/>
    <m/>
    <s v="Urban Assemblies: drawing on vacant lands"/>
    <n v="3"/>
    <x v="1"/>
    <x v="2"/>
    <n v="0"/>
    <n v="0.05"/>
    <n v="1"/>
    <n v="0"/>
    <x v="0"/>
  </r>
  <r>
    <s v="2018-19"/>
    <x v="1"/>
    <x v="23"/>
    <s v="L3"/>
    <m/>
    <s v="Urban Assemblies: drawing on vacant lands"/>
    <n v="4"/>
    <x v="0"/>
    <x v="3"/>
    <n v="-1"/>
    <n v="0.14000000000000001"/>
    <n v="1"/>
    <n v="-0.14000000000000001"/>
    <x v="0"/>
  </r>
  <r>
    <s v="2018-19"/>
    <x v="1"/>
    <x v="23"/>
    <s v="L3"/>
    <m/>
    <s v="Urban Assemblies: drawing on vacant lands"/>
    <n v="4"/>
    <x v="1"/>
    <x v="3"/>
    <n v="-1"/>
    <n v="0.14000000000000001"/>
    <n v="1"/>
    <n v="-0.14000000000000001"/>
    <x v="0"/>
  </r>
  <r>
    <s v="2018-19"/>
    <x v="1"/>
    <x v="23"/>
    <s v="L3"/>
    <m/>
    <s v="Urban Assemblies: drawing on vacant lands"/>
    <n v="5"/>
    <x v="0"/>
    <x v="4"/>
    <n v="-1"/>
    <n v="0.11"/>
    <n v="1"/>
    <n v="-0.11"/>
    <x v="0"/>
  </r>
  <r>
    <s v="2018-19"/>
    <x v="1"/>
    <x v="23"/>
    <s v="L3"/>
    <m/>
    <s v="Urban Assemblies: drawing on vacant lands"/>
    <n v="5"/>
    <x v="1"/>
    <x v="4"/>
    <n v="-1"/>
    <n v="0.11"/>
    <n v="1"/>
    <n v="-0.11"/>
    <x v="0"/>
  </r>
  <r>
    <s v="2018-19"/>
    <x v="1"/>
    <x v="23"/>
    <s v="L3"/>
    <m/>
    <s v="Urban Assemblies: drawing on vacant lands"/>
    <n v="6"/>
    <x v="0"/>
    <x v="5"/>
    <n v="-1"/>
    <n v="0.15"/>
    <n v="1"/>
    <n v="-0.15"/>
    <x v="0"/>
  </r>
  <r>
    <s v="2018-19"/>
    <x v="1"/>
    <x v="23"/>
    <s v="L3"/>
    <m/>
    <s v="Urban Assemblies: drawing on vacant lands"/>
    <n v="6"/>
    <x v="1"/>
    <x v="5"/>
    <n v="-1"/>
    <n v="0.15"/>
    <n v="1"/>
    <n v="-0.15"/>
    <x v="60"/>
  </r>
  <r>
    <s v="2018-19"/>
    <x v="1"/>
    <x v="23"/>
    <s v="L3"/>
    <m/>
    <s v="Urban Assemblies: drawing on vacant lands"/>
    <n v="7"/>
    <x v="0"/>
    <x v="6"/>
    <n v="0"/>
    <n v="0.1"/>
    <n v="1"/>
    <n v="0"/>
    <x v="0"/>
  </r>
  <r>
    <s v="2018-19"/>
    <x v="1"/>
    <x v="23"/>
    <s v="L3"/>
    <m/>
    <s v="Urban Assemblies: drawing on vacant lands"/>
    <n v="7"/>
    <x v="1"/>
    <x v="6"/>
    <n v="-1"/>
    <n v="0.1"/>
    <n v="1"/>
    <n v="-0.1"/>
    <x v="0"/>
  </r>
  <r>
    <s v="2018-19"/>
    <x v="1"/>
    <x v="23"/>
    <s v="L3"/>
    <m/>
    <s v="Urban Assemblies: drawing on vacant lands"/>
    <n v="8"/>
    <x v="0"/>
    <x v="7"/>
    <n v="0"/>
    <n v="0.1"/>
    <n v="1"/>
    <n v="0"/>
    <x v="0"/>
  </r>
  <r>
    <s v="2018-19"/>
    <x v="1"/>
    <x v="23"/>
    <s v="L3"/>
    <m/>
    <s v="Urban Assemblies: drawing on vacant lands"/>
    <n v="8"/>
    <x v="1"/>
    <x v="7"/>
    <n v="0"/>
    <n v="0.1"/>
    <n v="1"/>
    <n v="0"/>
    <x v="0"/>
  </r>
  <r>
    <s v="2018-19"/>
    <x v="1"/>
    <x v="23"/>
    <s v="L3"/>
    <m/>
    <s v="Urban Assemblies: drawing on vacant lands"/>
    <n v="9"/>
    <x v="0"/>
    <x v="8"/>
    <n v="-1"/>
    <n v="0.05"/>
    <n v="0.85"/>
    <n v="-4.2500000000000003E-2"/>
    <x v="0"/>
  </r>
  <r>
    <s v="2018-19"/>
    <x v="1"/>
    <x v="23"/>
    <s v="L3"/>
    <m/>
    <s v="Urban Assemblies: drawing on vacant lands"/>
    <n v="9"/>
    <x v="1"/>
    <x v="8"/>
    <n v="1"/>
    <n v="0.05"/>
    <n v="0.85"/>
    <n v="4.2500000000000003E-2"/>
    <x v="0"/>
  </r>
  <r>
    <s v="2018-19"/>
    <x v="1"/>
    <x v="23"/>
    <s v="L3"/>
    <m/>
    <s v="Urban Assemblies: drawing on vacant lands"/>
    <n v="10"/>
    <x v="0"/>
    <x v="8"/>
    <n v="-1"/>
    <n v="0.05"/>
    <n v="0.85"/>
    <n v="-4.2500000000000003E-2"/>
    <x v="0"/>
  </r>
  <r>
    <s v="2018-19"/>
    <x v="1"/>
    <x v="23"/>
    <s v="L3"/>
    <m/>
    <s v="Urban Assemblies: drawing on vacant lands"/>
    <n v="10"/>
    <x v="1"/>
    <x v="8"/>
    <n v="1"/>
    <n v="0.05"/>
    <n v="0.85"/>
    <n v="4.2500000000000003E-2"/>
    <x v="0"/>
  </r>
  <r>
    <s v="2018-19"/>
    <x v="1"/>
    <x v="23"/>
    <s v="L3"/>
    <m/>
    <s v="Urban Assemblies: drawing on vacant lands"/>
    <n v="11"/>
    <x v="0"/>
    <x v="9"/>
    <n v="-1"/>
    <n v="0.05"/>
    <n v="1"/>
    <n v="-0.05"/>
    <x v="0"/>
  </r>
  <r>
    <s v="2018-19"/>
    <x v="1"/>
    <x v="23"/>
    <s v="L3"/>
    <m/>
    <s v="Urban Assemblies: drawing on vacant lands"/>
    <n v="11"/>
    <x v="1"/>
    <x v="9"/>
    <n v="-1"/>
    <n v="0.05"/>
    <n v="1"/>
    <n v="-0.05"/>
    <x v="61"/>
  </r>
  <r>
    <s v="2019-20"/>
    <x v="2"/>
    <x v="1"/>
    <s v="L2"/>
    <s v="Constructing and Specifying"/>
    <s v="Strange Details"/>
    <n v="1"/>
    <x v="0"/>
    <x v="0"/>
    <n v="0"/>
    <n v="0.12"/>
    <n v="1"/>
    <n v="0"/>
    <x v="0"/>
  </r>
  <r>
    <s v="2019-20"/>
    <x v="2"/>
    <x v="1"/>
    <s v="L2"/>
    <s v="Constructing and Specifying"/>
    <s v="Strange Details"/>
    <n v="1"/>
    <x v="1"/>
    <x v="0"/>
    <n v="1"/>
    <n v="0.12"/>
    <n v="1"/>
    <n v="0.12"/>
    <x v="0"/>
  </r>
  <r>
    <s v="2019-20"/>
    <x v="2"/>
    <x v="1"/>
    <s v="L2"/>
    <s v="Constructing and Specifying"/>
    <s v="Strange Details"/>
    <n v="2"/>
    <x v="0"/>
    <x v="1"/>
    <n v="0"/>
    <n v="0.08"/>
    <n v="0.8"/>
    <n v="0"/>
    <x v="0"/>
  </r>
  <r>
    <s v="2019-20"/>
    <x v="2"/>
    <x v="1"/>
    <s v="L2"/>
    <s v="Constructing and Specifying"/>
    <s v="Strange Details"/>
    <n v="2"/>
    <x v="1"/>
    <x v="1"/>
    <n v="1"/>
    <n v="0.08"/>
    <n v="0.8"/>
    <n v="6.4000000000000001E-2"/>
    <x v="62"/>
  </r>
  <r>
    <s v="2019-20"/>
    <x v="2"/>
    <x v="1"/>
    <s v="L2"/>
    <s v="Constructing and Specifying"/>
    <s v="Strange Details"/>
    <n v="3"/>
    <x v="0"/>
    <x v="2"/>
    <n v="1"/>
    <n v="0.05"/>
    <n v="1"/>
    <n v="0.05"/>
    <x v="0"/>
  </r>
  <r>
    <s v="2019-20"/>
    <x v="2"/>
    <x v="1"/>
    <s v="L2"/>
    <s v="Constructing and Specifying"/>
    <s v="Strange Details"/>
    <n v="3"/>
    <x v="1"/>
    <x v="2"/>
    <n v="1"/>
    <n v="0.05"/>
    <n v="1"/>
    <n v="0.05"/>
    <x v="0"/>
  </r>
  <r>
    <s v="2019-20"/>
    <x v="2"/>
    <x v="1"/>
    <s v="L2"/>
    <s v="Constructing and Specifying"/>
    <s v="Strange Details"/>
    <n v="4"/>
    <x v="0"/>
    <x v="3"/>
    <n v="-1"/>
    <n v="0.14000000000000001"/>
    <n v="1"/>
    <n v="-0.14000000000000001"/>
    <x v="0"/>
  </r>
  <r>
    <s v="2019-20"/>
    <x v="2"/>
    <x v="1"/>
    <s v="L2"/>
    <s v="Constructing and Specifying"/>
    <s v="Strange Details"/>
    <n v="4"/>
    <x v="1"/>
    <x v="3"/>
    <n v="0"/>
    <n v="0.14000000000000001"/>
    <n v="1"/>
    <n v="0"/>
    <x v="63"/>
  </r>
  <r>
    <s v="2019-20"/>
    <x v="2"/>
    <x v="1"/>
    <s v="L2"/>
    <s v="Constructing and Specifying"/>
    <s v="Strange Details"/>
    <n v="5"/>
    <x v="0"/>
    <x v="4"/>
    <n v="0"/>
    <n v="0.11"/>
    <n v="1"/>
    <n v="0"/>
    <x v="0"/>
  </r>
  <r>
    <s v="2019-20"/>
    <x v="2"/>
    <x v="1"/>
    <s v="L2"/>
    <s v="Constructing and Specifying"/>
    <s v="Strange Details"/>
    <n v="5"/>
    <x v="1"/>
    <x v="4"/>
    <n v="0"/>
    <n v="0.11"/>
    <n v="1"/>
    <n v="0"/>
    <x v="64"/>
  </r>
  <r>
    <s v="2019-20"/>
    <x v="2"/>
    <x v="1"/>
    <s v="L2"/>
    <s v="Constructing and Specifying"/>
    <s v="Strange Details"/>
    <n v="6"/>
    <x v="0"/>
    <x v="5"/>
    <n v="-1"/>
    <n v="0.15"/>
    <n v="1"/>
    <n v="-0.15"/>
    <x v="0"/>
  </r>
  <r>
    <s v="2019-20"/>
    <x v="2"/>
    <x v="1"/>
    <s v="L2"/>
    <s v="Constructing and Specifying"/>
    <s v="Strange Details"/>
    <n v="6"/>
    <x v="1"/>
    <x v="5"/>
    <n v="0"/>
    <n v="0.15"/>
    <n v="1"/>
    <n v="0"/>
    <x v="65"/>
  </r>
  <r>
    <s v="2019-20"/>
    <x v="2"/>
    <x v="1"/>
    <s v="L2"/>
    <s v="Constructing and Specifying"/>
    <s v="Strange Details"/>
    <n v="7"/>
    <x v="0"/>
    <x v="6"/>
    <n v="0"/>
    <n v="0.1"/>
    <n v="1"/>
    <n v="0"/>
    <x v="0"/>
  </r>
  <r>
    <s v="2019-20"/>
    <x v="2"/>
    <x v="1"/>
    <s v="L2"/>
    <s v="Constructing and Specifying"/>
    <s v="Strange Details"/>
    <n v="7"/>
    <x v="1"/>
    <x v="6"/>
    <n v="0"/>
    <n v="0.1"/>
    <n v="1"/>
    <n v="0"/>
    <x v="66"/>
  </r>
  <r>
    <s v="2019-20"/>
    <x v="2"/>
    <x v="1"/>
    <s v="L2"/>
    <s v="Constructing and Specifying"/>
    <s v="Strange Details"/>
    <n v="8"/>
    <x v="0"/>
    <x v="7"/>
    <n v="0"/>
    <n v="0.1"/>
    <n v="1"/>
    <n v="0"/>
    <x v="0"/>
  </r>
  <r>
    <s v="2019-20"/>
    <x v="2"/>
    <x v="1"/>
    <s v="L2"/>
    <s v="Constructing and Specifying"/>
    <s v="Strange Details"/>
    <n v="8"/>
    <x v="1"/>
    <x v="7"/>
    <n v="0"/>
    <n v="0.1"/>
    <n v="1"/>
    <n v="0"/>
    <x v="67"/>
  </r>
  <r>
    <s v="2019-20"/>
    <x v="2"/>
    <x v="1"/>
    <s v="L2"/>
    <s v="Constructing and Specifying"/>
    <s v="Strange Details"/>
    <n v="9"/>
    <x v="0"/>
    <x v="8"/>
    <n v="0"/>
    <n v="0.05"/>
    <n v="0.85"/>
    <n v="0"/>
    <x v="0"/>
  </r>
  <r>
    <s v="2019-20"/>
    <x v="2"/>
    <x v="1"/>
    <s v="L2"/>
    <s v="Constructing and Specifying"/>
    <s v="Strange Details"/>
    <n v="9"/>
    <x v="1"/>
    <x v="8"/>
    <n v="1"/>
    <n v="0.05"/>
    <n v="0.85"/>
    <n v="4.2500000000000003E-2"/>
    <x v="0"/>
  </r>
  <r>
    <s v="2019-20"/>
    <x v="2"/>
    <x v="1"/>
    <s v="L2"/>
    <s v="Constructing and Specifying"/>
    <s v="Strange Details"/>
    <n v="10"/>
    <x v="0"/>
    <x v="8"/>
    <n v="0"/>
    <n v="0.05"/>
    <n v="0.85"/>
    <n v="0"/>
    <x v="0"/>
  </r>
  <r>
    <s v="2019-20"/>
    <x v="2"/>
    <x v="1"/>
    <s v="L2"/>
    <s v="Constructing and Specifying"/>
    <s v="Strange Details"/>
    <n v="10"/>
    <x v="1"/>
    <x v="8"/>
    <n v="1"/>
    <n v="0.05"/>
    <n v="0.85"/>
    <n v="4.2500000000000003E-2"/>
    <x v="0"/>
  </r>
  <r>
    <s v="2019-20"/>
    <x v="2"/>
    <x v="1"/>
    <s v="L2"/>
    <s v="Constructing and Specifying"/>
    <s v="Strange Details"/>
    <n v="11"/>
    <x v="0"/>
    <x v="9"/>
    <n v="-1"/>
    <n v="0.05"/>
    <n v="1"/>
    <n v="-0.05"/>
    <x v="0"/>
  </r>
  <r>
    <s v="2019-20"/>
    <x v="2"/>
    <x v="1"/>
    <s v="L2"/>
    <s v="Constructing and Specifying"/>
    <s v="Strange Details"/>
    <n v="11"/>
    <x v="1"/>
    <x v="9"/>
    <n v="0"/>
    <n v="0.05"/>
    <n v="1"/>
    <n v="0"/>
    <x v="68"/>
  </r>
  <r>
    <s v="2019-20"/>
    <x v="2"/>
    <x v="24"/>
    <s v="L2"/>
    <m/>
    <s v="The fiction of landscape"/>
    <n v="1"/>
    <x v="0"/>
    <x v="0"/>
    <n v="0"/>
    <n v="0.12"/>
    <n v="1"/>
    <n v="0"/>
    <x v="0"/>
  </r>
  <r>
    <s v="2019-20"/>
    <x v="2"/>
    <x v="24"/>
    <s v="L2"/>
    <m/>
    <s v="The fiction of landscape"/>
    <n v="1"/>
    <x v="1"/>
    <x v="0"/>
    <n v="1"/>
    <n v="0.12"/>
    <n v="1"/>
    <n v="0.12"/>
    <x v="69"/>
  </r>
  <r>
    <s v="2019-20"/>
    <x v="2"/>
    <x v="24"/>
    <s v="L2"/>
    <m/>
    <s v="The fiction of landscape"/>
    <n v="2"/>
    <x v="0"/>
    <x v="1"/>
    <n v="0"/>
    <n v="0.08"/>
    <n v="0.8"/>
    <n v="0"/>
    <x v="0"/>
  </r>
  <r>
    <s v="2019-20"/>
    <x v="2"/>
    <x v="24"/>
    <s v="L2"/>
    <m/>
    <s v="The fiction of landscape"/>
    <n v="2"/>
    <x v="1"/>
    <x v="1"/>
    <n v="1"/>
    <n v="0.08"/>
    <n v="0.8"/>
    <n v="6.4000000000000001E-2"/>
    <x v="70"/>
  </r>
  <r>
    <s v="2019-20"/>
    <x v="2"/>
    <x v="24"/>
    <s v="L2"/>
    <m/>
    <s v="The fiction of landscape"/>
    <n v="3"/>
    <x v="0"/>
    <x v="2"/>
    <n v="0"/>
    <n v="0.05"/>
    <n v="1"/>
    <n v="0"/>
    <x v="0"/>
  </r>
  <r>
    <s v="2019-20"/>
    <x v="2"/>
    <x v="24"/>
    <s v="L2"/>
    <m/>
    <s v="The fiction of landscape"/>
    <n v="3"/>
    <x v="1"/>
    <x v="2"/>
    <n v="0"/>
    <n v="0.05"/>
    <n v="1"/>
    <n v="0"/>
    <x v="71"/>
  </r>
  <r>
    <s v="2019-20"/>
    <x v="2"/>
    <x v="24"/>
    <s v="L2"/>
    <m/>
    <s v="The fiction of landscape"/>
    <n v="4"/>
    <x v="0"/>
    <x v="3"/>
    <n v="-1"/>
    <n v="0.14000000000000001"/>
    <n v="1"/>
    <n v="-0.14000000000000001"/>
    <x v="0"/>
  </r>
  <r>
    <s v="2019-20"/>
    <x v="2"/>
    <x v="24"/>
    <s v="L2"/>
    <m/>
    <s v="The fiction of landscape"/>
    <n v="4"/>
    <x v="1"/>
    <x v="3"/>
    <n v="1"/>
    <n v="0.14000000000000001"/>
    <n v="1"/>
    <n v="0.14000000000000001"/>
    <x v="72"/>
  </r>
  <r>
    <s v="2019-20"/>
    <x v="2"/>
    <x v="24"/>
    <s v="L2"/>
    <m/>
    <s v="The fiction of landscape"/>
    <n v="5"/>
    <x v="0"/>
    <x v="4"/>
    <n v="-1"/>
    <n v="0.11"/>
    <n v="1"/>
    <n v="-0.11"/>
    <x v="0"/>
  </r>
  <r>
    <s v="2019-20"/>
    <x v="2"/>
    <x v="24"/>
    <s v="L2"/>
    <m/>
    <s v="The fiction of landscape"/>
    <n v="5"/>
    <x v="1"/>
    <x v="4"/>
    <n v="0"/>
    <n v="0.11"/>
    <n v="1"/>
    <n v="0"/>
    <x v="73"/>
  </r>
  <r>
    <s v="2019-20"/>
    <x v="2"/>
    <x v="24"/>
    <s v="L2"/>
    <m/>
    <s v="The fiction of landscape"/>
    <n v="6"/>
    <x v="0"/>
    <x v="5"/>
    <n v="-1"/>
    <n v="0.15"/>
    <n v="1"/>
    <n v="-0.15"/>
    <x v="0"/>
  </r>
  <r>
    <s v="2019-20"/>
    <x v="2"/>
    <x v="24"/>
    <s v="L2"/>
    <m/>
    <s v="The fiction of landscape"/>
    <n v="6"/>
    <x v="1"/>
    <x v="5"/>
    <n v="0"/>
    <n v="0.15"/>
    <n v="1"/>
    <n v="0"/>
    <x v="74"/>
  </r>
  <r>
    <s v="2019-20"/>
    <x v="2"/>
    <x v="24"/>
    <s v="L2"/>
    <m/>
    <s v="The fiction of landscape"/>
    <n v="7"/>
    <x v="0"/>
    <x v="6"/>
    <n v="-1"/>
    <n v="0.1"/>
    <n v="1"/>
    <n v="-0.1"/>
    <x v="0"/>
  </r>
  <r>
    <s v="2019-20"/>
    <x v="2"/>
    <x v="24"/>
    <s v="L2"/>
    <m/>
    <s v="The fiction of landscape"/>
    <n v="7"/>
    <x v="1"/>
    <x v="6"/>
    <n v="0"/>
    <n v="0.1"/>
    <n v="1"/>
    <n v="0"/>
    <x v="75"/>
  </r>
  <r>
    <s v="2019-20"/>
    <x v="2"/>
    <x v="24"/>
    <s v="L2"/>
    <m/>
    <s v="The fiction of landscape"/>
    <n v="8"/>
    <x v="0"/>
    <x v="7"/>
    <n v="0"/>
    <n v="0.1"/>
    <n v="1"/>
    <n v="0"/>
    <x v="0"/>
  </r>
  <r>
    <s v="2019-20"/>
    <x v="2"/>
    <x v="24"/>
    <s v="L2"/>
    <m/>
    <s v="The fiction of landscape"/>
    <n v="8"/>
    <x v="1"/>
    <x v="7"/>
    <n v="0"/>
    <n v="0.1"/>
    <n v="1"/>
    <n v="0"/>
    <x v="0"/>
  </r>
  <r>
    <s v="2019-20"/>
    <x v="2"/>
    <x v="24"/>
    <s v="L2"/>
    <m/>
    <s v="The fiction of landscape"/>
    <n v="9"/>
    <x v="0"/>
    <x v="8"/>
    <n v="0"/>
    <n v="0.05"/>
    <n v="0.85"/>
    <n v="0"/>
    <x v="0"/>
  </r>
  <r>
    <s v="2019-20"/>
    <x v="2"/>
    <x v="24"/>
    <s v="L2"/>
    <m/>
    <s v="The fiction of landscape"/>
    <n v="9"/>
    <x v="1"/>
    <x v="8"/>
    <n v="1"/>
    <n v="0.05"/>
    <n v="0.85"/>
    <n v="4.2500000000000003E-2"/>
    <x v="76"/>
  </r>
  <r>
    <s v="2019-20"/>
    <x v="2"/>
    <x v="24"/>
    <s v="L2"/>
    <m/>
    <s v="The fiction of landscape"/>
    <n v="10"/>
    <x v="0"/>
    <x v="8"/>
    <n v="-1"/>
    <n v="0.05"/>
    <n v="0.85"/>
    <n v="-4.2500000000000003E-2"/>
    <x v="0"/>
  </r>
  <r>
    <s v="2019-20"/>
    <x v="2"/>
    <x v="24"/>
    <s v="L2"/>
    <m/>
    <s v="The fiction of landscape"/>
    <n v="10"/>
    <x v="1"/>
    <x v="8"/>
    <n v="1"/>
    <n v="0.05"/>
    <n v="0.85"/>
    <n v="4.2500000000000003E-2"/>
    <x v="0"/>
  </r>
  <r>
    <s v="2019-20"/>
    <x v="2"/>
    <x v="24"/>
    <s v="L2"/>
    <m/>
    <s v="The fiction of landscape"/>
    <n v="11"/>
    <x v="0"/>
    <x v="9"/>
    <n v="-1"/>
    <n v="0.05"/>
    <n v="1"/>
    <n v="-0.05"/>
    <x v="0"/>
  </r>
  <r>
    <s v="2019-20"/>
    <x v="2"/>
    <x v="24"/>
    <s v="L2"/>
    <m/>
    <s v="The fiction of landscape"/>
    <n v="11"/>
    <x v="1"/>
    <x v="9"/>
    <n v="0"/>
    <n v="0.05"/>
    <n v="1"/>
    <n v="0"/>
    <x v="77"/>
  </r>
  <r>
    <s v="2019-20"/>
    <x v="2"/>
    <x v="4"/>
    <s v="L2"/>
    <s v="Constructing and Specifying"/>
    <s v="From Drawing Board to Construction Sites"/>
    <n v="1"/>
    <x v="0"/>
    <x v="0"/>
    <n v="1"/>
    <n v="0.12"/>
    <n v="1"/>
    <n v="0.12"/>
    <x v="0"/>
  </r>
  <r>
    <s v="2019-20"/>
    <x v="2"/>
    <x v="4"/>
    <s v="L2"/>
    <s v="Constructing and Specifying"/>
    <s v="From Drawing Board to Construction Sites"/>
    <n v="1"/>
    <x v="1"/>
    <x v="0"/>
    <n v="1"/>
    <n v="0.12"/>
    <n v="1"/>
    <n v="0.12"/>
    <x v="0"/>
  </r>
  <r>
    <s v="2019-20"/>
    <x v="2"/>
    <x v="4"/>
    <s v="L2"/>
    <s v="Constructing and Specifying"/>
    <s v="From Drawing Board to Construction Sites"/>
    <n v="2"/>
    <x v="0"/>
    <x v="1"/>
    <n v="1"/>
    <n v="0.08"/>
    <n v="0.8"/>
    <n v="6.4000000000000001E-2"/>
    <x v="0"/>
  </r>
  <r>
    <s v="2019-20"/>
    <x v="2"/>
    <x v="4"/>
    <s v="L2"/>
    <s v="Constructing and Specifying"/>
    <s v="From Drawing Board to Construction Sites"/>
    <n v="2"/>
    <x v="1"/>
    <x v="1"/>
    <n v="1"/>
    <n v="0.08"/>
    <n v="0.8"/>
    <n v="6.4000000000000001E-2"/>
    <x v="0"/>
  </r>
  <r>
    <s v="2019-20"/>
    <x v="2"/>
    <x v="4"/>
    <s v="L2"/>
    <s v="Constructing and Specifying"/>
    <s v="From Drawing Board to Construction Sites"/>
    <n v="3"/>
    <x v="0"/>
    <x v="2"/>
    <n v="1"/>
    <n v="0.05"/>
    <n v="1"/>
    <n v="0.05"/>
    <x v="0"/>
  </r>
  <r>
    <s v="2019-20"/>
    <x v="2"/>
    <x v="4"/>
    <s v="L2"/>
    <s v="Constructing and Specifying"/>
    <s v="From Drawing Board to Construction Sites"/>
    <n v="3"/>
    <x v="1"/>
    <x v="2"/>
    <n v="1"/>
    <n v="0.05"/>
    <n v="1"/>
    <n v="0.05"/>
    <x v="0"/>
  </r>
  <r>
    <s v="2019-20"/>
    <x v="2"/>
    <x v="4"/>
    <s v="L2"/>
    <s v="Constructing and Specifying"/>
    <s v="From Drawing Board to Construction Sites"/>
    <n v="4"/>
    <x v="0"/>
    <x v="3"/>
    <n v="1"/>
    <n v="0.14000000000000001"/>
    <n v="1"/>
    <n v="0.14000000000000001"/>
    <x v="0"/>
  </r>
  <r>
    <s v="2019-20"/>
    <x v="2"/>
    <x v="4"/>
    <s v="L2"/>
    <s v="Constructing and Specifying"/>
    <s v="From Drawing Board to Construction Sites"/>
    <n v="4"/>
    <x v="1"/>
    <x v="3"/>
    <n v="1"/>
    <n v="0.14000000000000001"/>
    <n v="1"/>
    <n v="0.14000000000000001"/>
    <x v="78"/>
  </r>
  <r>
    <s v="2019-20"/>
    <x v="2"/>
    <x v="4"/>
    <s v="L2"/>
    <s v="Constructing and Specifying"/>
    <s v="From Drawing Board to Construction Sites"/>
    <n v="5"/>
    <x v="0"/>
    <x v="4"/>
    <n v="1"/>
    <n v="0.11"/>
    <n v="1"/>
    <n v="0.11"/>
    <x v="0"/>
  </r>
  <r>
    <s v="2019-20"/>
    <x v="2"/>
    <x v="4"/>
    <s v="L2"/>
    <s v="Constructing and Specifying"/>
    <s v="From Drawing Board to Construction Sites"/>
    <n v="5"/>
    <x v="1"/>
    <x v="4"/>
    <n v="1"/>
    <n v="0.11"/>
    <n v="1"/>
    <n v="0.11"/>
    <x v="79"/>
  </r>
  <r>
    <s v="2019-20"/>
    <x v="2"/>
    <x v="4"/>
    <s v="L2"/>
    <s v="Constructing and Specifying"/>
    <s v="From Drawing Board to Construction Sites"/>
    <n v="6"/>
    <x v="0"/>
    <x v="5"/>
    <n v="1"/>
    <n v="0.15"/>
    <n v="1"/>
    <n v="0.15"/>
    <x v="0"/>
  </r>
  <r>
    <s v="2019-20"/>
    <x v="2"/>
    <x v="4"/>
    <s v="L2"/>
    <s v="Constructing and Specifying"/>
    <s v="From Drawing Board to Construction Sites"/>
    <n v="6"/>
    <x v="1"/>
    <x v="5"/>
    <n v="1"/>
    <n v="0.15"/>
    <n v="1"/>
    <n v="0.15"/>
    <x v="0"/>
  </r>
  <r>
    <s v="2019-20"/>
    <x v="2"/>
    <x v="4"/>
    <s v="L2"/>
    <s v="Constructing and Specifying"/>
    <s v="From Drawing Board to Construction Sites"/>
    <n v="7"/>
    <x v="0"/>
    <x v="6"/>
    <n v="1"/>
    <n v="0.1"/>
    <n v="1"/>
    <n v="0.1"/>
    <x v="0"/>
  </r>
  <r>
    <s v="2019-20"/>
    <x v="2"/>
    <x v="4"/>
    <s v="L2"/>
    <s v="Constructing and Specifying"/>
    <s v="From Drawing Board to Construction Sites"/>
    <n v="7"/>
    <x v="1"/>
    <x v="6"/>
    <n v="1"/>
    <n v="0.1"/>
    <n v="1"/>
    <n v="0.1"/>
    <x v="0"/>
  </r>
  <r>
    <s v="2019-20"/>
    <x v="2"/>
    <x v="4"/>
    <s v="L2"/>
    <s v="Constructing and Specifying"/>
    <s v="From Drawing Board to Construction Sites"/>
    <n v="8"/>
    <x v="0"/>
    <x v="7"/>
    <n v="1"/>
    <n v="0.1"/>
    <n v="1"/>
    <n v="0.1"/>
    <x v="0"/>
  </r>
  <r>
    <s v="2019-20"/>
    <x v="2"/>
    <x v="4"/>
    <s v="L2"/>
    <s v="Constructing and Specifying"/>
    <s v="From Drawing Board to Construction Sites"/>
    <n v="8"/>
    <x v="1"/>
    <x v="7"/>
    <n v="1"/>
    <n v="0.1"/>
    <n v="1"/>
    <n v="0.1"/>
    <x v="0"/>
  </r>
  <r>
    <s v="2019-20"/>
    <x v="2"/>
    <x v="4"/>
    <s v="L2"/>
    <s v="Constructing and Specifying"/>
    <s v="From Drawing Board to Construction Sites"/>
    <n v="9"/>
    <x v="0"/>
    <x v="8"/>
    <n v="1"/>
    <n v="0.05"/>
    <n v="0.85"/>
    <n v="4.2500000000000003E-2"/>
    <x v="0"/>
  </r>
  <r>
    <s v="2019-20"/>
    <x v="2"/>
    <x v="4"/>
    <s v="L2"/>
    <s v="Constructing and Specifying"/>
    <s v="From Drawing Board to Construction Sites"/>
    <n v="9"/>
    <x v="1"/>
    <x v="8"/>
    <n v="1"/>
    <n v="0.05"/>
    <n v="0.85"/>
    <n v="4.2500000000000003E-2"/>
    <x v="0"/>
  </r>
  <r>
    <s v="2019-20"/>
    <x v="2"/>
    <x v="4"/>
    <s v="L2"/>
    <s v="Constructing and Specifying"/>
    <s v="From Drawing Board to Construction Sites"/>
    <n v="10"/>
    <x v="0"/>
    <x v="8"/>
    <n v="1"/>
    <n v="0.05"/>
    <n v="0.85"/>
    <n v="4.2500000000000003E-2"/>
    <x v="0"/>
  </r>
  <r>
    <s v="2019-20"/>
    <x v="2"/>
    <x v="4"/>
    <s v="L2"/>
    <s v="Constructing and Specifying"/>
    <s v="From Drawing Board to Construction Sites"/>
    <n v="10"/>
    <x v="1"/>
    <x v="8"/>
    <n v="1"/>
    <n v="0.05"/>
    <n v="0.85"/>
    <n v="4.2500000000000003E-2"/>
    <x v="0"/>
  </r>
  <r>
    <s v="2019-20"/>
    <x v="2"/>
    <x v="4"/>
    <s v="L2"/>
    <s v="Constructing and Specifying"/>
    <s v="From Drawing Board to Construction Sites"/>
    <n v="11"/>
    <x v="0"/>
    <x v="9"/>
    <n v="0"/>
    <n v="0.05"/>
    <n v="1"/>
    <n v="0"/>
    <x v="0"/>
  </r>
  <r>
    <s v="2019-20"/>
    <x v="2"/>
    <x v="4"/>
    <s v="L2"/>
    <s v="Constructing and Specifying"/>
    <s v="From Drawing Board to Construction Sites"/>
    <n v="11"/>
    <x v="1"/>
    <x v="9"/>
    <n v="1"/>
    <n v="0.05"/>
    <n v="1"/>
    <n v="0.05"/>
    <x v="80"/>
  </r>
  <r>
    <s v="2019-20"/>
    <x v="2"/>
    <x v="5"/>
    <s v="L2"/>
    <s v="Visualization &amp; Communication, Spatial Planning &amp; Organisation"/>
    <s v="Figuring Ground: Land Building Relationships"/>
    <n v="1"/>
    <x v="0"/>
    <x v="0"/>
    <n v="1"/>
    <n v="0.12"/>
    <n v="1"/>
    <n v="0.12"/>
    <x v="0"/>
  </r>
  <r>
    <s v="2019-20"/>
    <x v="2"/>
    <x v="5"/>
    <s v="L2"/>
    <s v="Visualization &amp; Communication, Spatial Planning &amp; Organisation"/>
    <s v="Figuring Ground: Land Building Relationships"/>
    <n v="1"/>
    <x v="1"/>
    <x v="0"/>
    <n v="1"/>
    <n v="0.12"/>
    <n v="1"/>
    <n v="0.12"/>
    <x v="0"/>
  </r>
  <r>
    <s v="2019-20"/>
    <x v="2"/>
    <x v="5"/>
    <s v="L2"/>
    <s v="Visualization &amp; Communication, Spatial Planning &amp; Organisation"/>
    <s v="Figuring Ground: Land Building Relationships"/>
    <n v="2"/>
    <x v="0"/>
    <x v="1"/>
    <n v="0"/>
    <n v="0.08"/>
    <n v="0.8"/>
    <n v="0"/>
    <x v="0"/>
  </r>
  <r>
    <s v="2019-20"/>
    <x v="2"/>
    <x v="5"/>
    <s v="L2"/>
    <s v="Visualization &amp; Communication, Spatial Planning &amp; Organisation"/>
    <s v="Figuring Ground: Land Building Relationships"/>
    <n v="2"/>
    <x v="1"/>
    <x v="1"/>
    <n v="0"/>
    <n v="0.08"/>
    <n v="0.8"/>
    <n v="0"/>
    <x v="81"/>
  </r>
  <r>
    <s v="2019-20"/>
    <x v="2"/>
    <x v="5"/>
    <s v="L2"/>
    <s v="Visualization &amp; Communication, Spatial Planning &amp; Organisation"/>
    <s v="Figuring Ground: Land Building Relationships"/>
    <n v="3"/>
    <x v="0"/>
    <x v="2"/>
    <n v="1"/>
    <n v="0.05"/>
    <n v="1"/>
    <n v="0.05"/>
    <x v="0"/>
  </r>
  <r>
    <s v="2019-20"/>
    <x v="2"/>
    <x v="5"/>
    <s v="L2"/>
    <s v="Visualization &amp; Communication, Spatial Planning &amp; Organisation"/>
    <s v="Figuring Ground: Land Building Relationships"/>
    <n v="3"/>
    <x v="1"/>
    <x v="2"/>
    <n v="1"/>
    <n v="0.05"/>
    <n v="1"/>
    <n v="0.05"/>
    <x v="82"/>
  </r>
  <r>
    <s v="2019-20"/>
    <x v="2"/>
    <x v="5"/>
    <s v="L2"/>
    <s v="Visualization &amp; Communication, Spatial Planning &amp; Organisation"/>
    <s v="Figuring Ground: Land Building Relationships"/>
    <n v="4"/>
    <x v="0"/>
    <x v="3"/>
    <n v="-1"/>
    <n v="0.14000000000000001"/>
    <n v="1"/>
    <n v="-0.14000000000000001"/>
    <x v="0"/>
  </r>
  <r>
    <s v="2019-20"/>
    <x v="2"/>
    <x v="5"/>
    <s v="L2"/>
    <s v="Visualization &amp; Communication, Spatial Planning &amp; Organisation"/>
    <s v="Figuring Ground: Land Building Relationships"/>
    <n v="4"/>
    <x v="1"/>
    <x v="3"/>
    <n v="0"/>
    <n v="0.14000000000000001"/>
    <n v="1"/>
    <n v="0"/>
    <x v="83"/>
  </r>
  <r>
    <s v="2019-20"/>
    <x v="2"/>
    <x v="5"/>
    <s v="L2"/>
    <s v="Visualization &amp; Communication, Spatial Planning &amp; Organisation"/>
    <s v="Figuring Ground: Land Building Relationships"/>
    <n v="5"/>
    <x v="0"/>
    <x v="4"/>
    <n v="-1"/>
    <n v="0.11"/>
    <n v="1"/>
    <n v="-0.11"/>
    <x v="0"/>
  </r>
  <r>
    <s v="2019-20"/>
    <x v="2"/>
    <x v="5"/>
    <s v="L2"/>
    <s v="Visualization &amp; Communication, Spatial Planning &amp; Organisation"/>
    <s v="Figuring Ground: Land Building Relationships"/>
    <n v="5"/>
    <x v="1"/>
    <x v="4"/>
    <n v="0"/>
    <n v="0.11"/>
    <n v="1"/>
    <n v="0"/>
    <x v="84"/>
  </r>
  <r>
    <s v="2019-20"/>
    <x v="2"/>
    <x v="5"/>
    <s v="L2"/>
    <s v="Visualization &amp; Communication, Spatial Planning &amp; Organisation"/>
    <s v="Figuring Ground: Land Building Relationships"/>
    <n v="6"/>
    <x v="0"/>
    <x v="5"/>
    <n v="-1"/>
    <n v="0.15"/>
    <n v="1"/>
    <n v="-0.15"/>
    <x v="0"/>
  </r>
  <r>
    <s v="2019-20"/>
    <x v="2"/>
    <x v="5"/>
    <s v="L2"/>
    <s v="Visualization &amp; Communication, Spatial Planning &amp; Organisation"/>
    <s v="Figuring Ground: Land Building Relationships"/>
    <n v="6"/>
    <x v="1"/>
    <x v="5"/>
    <n v="0"/>
    <n v="0.15"/>
    <n v="1"/>
    <n v="0"/>
    <x v="84"/>
  </r>
  <r>
    <s v="2019-20"/>
    <x v="2"/>
    <x v="5"/>
    <s v="L2"/>
    <s v="Visualization &amp; Communication, Spatial Planning &amp; Organisation"/>
    <s v="Figuring Ground: Land Building Relationships"/>
    <n v="7"/>
    <x v="0"/>
    <x v="6"/>
    <n v="0"/>
    <n v="0.1"/>
    <n v="1"/>
    <n v="0"/>
    <x v="0"/>
  </r>
  <r>
    <s v="2019-20"/>
    <x v="2"/>
    <x v="5"/>
    <s v="L2"/>
    <s v="Visualization &amp; Communication, Spatial Planning &amp; Organisation"/>
    <s v="Figuring Ground: Land Building Relationships"/>
    <n v="7"/>
    <x v="1"/>
    <x v="6"/>
    <n v="0"/>
    <n v="0.1"/>
    <n v="1"/>
    <n v="0"/>
    <x v="85"/>
  </r>
  <r>
    <s v="2019-20"/>
    <x v="2"/>
    <x v="5"/>
    <s v="L2"/>
    <s v="Visualization &amp; Communication, Spatial Planning &amp; Organisation"/>
    <s v="Figuring Ground: Land Building Relationships"/>
    <n v="8"/>
    <x v="0"/>
    <x v="7"/>
    <n v="0"/>
    <n v="0.1"/>
    <n v="1"/>
    <n v="0"/>
    <x v="0"/>
  </r>
  <r>
    <s v="2019-20"/>
    <x v="2"/>
    <x v="5"/>
    <s v="L2"/>
    <s v="Visualization &amp; Communication, Spatial Planning &amp; Organisation"/>
    <s v="Figuring Ground: Land Building Relationships"/>
    <n v="8"/>
    <x v="1"/>
    <x v="7"/>
    <n v="0"/>
    <n v="0.1"/>
    <n v="1"/>
    <n v="0"/>
    <x v="86"/>
  </r>
  <r>
    <s v="2019-20"/>
    <x v="2"/>
    <x v="5"/>
    <s v="L2"/>
    <s v="Visualization &amp; Communication, Spatial Planning &amp; Organisation"/>
    <s v="Figuring Ground: Land Building Relationships"/>
    <n v="9"/>
    <x v="0"/>
    <x v="8"/>
    <n v="0"/>
    <n v="0.05"/>
    <n v="0.85"/>
    <n v="0"/>
    <x v="0"/>
  </r>
  <r>
    <s v="2019-20"/>
    <x v="2"/>
    <x v="5"/>
    <s v="L2"/>
    <s v="Visualization &amp; Communication, Spatial Planning &amp; Organisation"/>
    <s v="Figuring Ground: Land Building Relationships"/>
    <n v="9"/>
    <x v="1"/>
    <x v="8"/>
    <n v="1"/>
    <n v="0.05"/>
    <n v="0.85"/>
    <n v="4.2500000000000003E-2"/>
    <x v="0"/>
  </r>
  <r>
    <s v="2019-20"/>
    <x v="2"/>
    <x v="5"/>
    <s v="L2"/>
    <s v="Visualization &amp; Communication, Spatial Planning &amp; Organisation"/>
    <s v="Figuring Ground: Land Building Relationships"/>
    <n v="10"/>
    <x v="0"/>
    <x v="8"/>
    <n v="0"/>
    <n v="0.05"/>
    <n v="0.85"/>
    <n v="0"/>
    <x v="0"/>
  </r>
  <r>
    <s v="2019-20"/>
    <x v="2"/>
    <x v="5"/>
    <s v="L2"/>
    <s v="Visualization &amp; Communication, Spatial Planning &amp; Organisation"/>
    <s v="Figuring Ground: Land Building Relationships"/>
    <n v="10"/>
    <x v="1"/>
    <x v="8"/>
    <n v="1"/>
    <n v="0.05"/>
    <n v="0.85"/>
    <n v="4.2500000000000003E-2"/>
    <x v="0"/>
  </r>
  <r>
    <s v="2019-20"/>
    <x v="2"/>
    <x v="5"/>
    <s v="L2"/>
    <s v="Visualization &amp; Communication, Spatial Planning &amp; Organisation"/>
    <s v="Figuring Ground: Land Building Relationships"/>
    <n v="11"/>
    <x v="0"/>
    <x v="9"/>
    <n v="-1"/>
    <n v="0.05"/>
    <n v="1"/>
    <n v="-0.05"/>
    <x v="0"/>
  </r>
  <r>
    <s v="2019-20"/>
    <x v="2"/>
    <x v="5"/>
    <s v="L2"/>
    <s v="Visualization &amp; Communication, Spatial Planning &amp; Organisation"/>
    <s v="Figuring Ground: Land Building Relationships"/>
    <n v="11"/>
    <x v="1"/>
    <x v="9"/>
    <n v="0"/>
    <n v="0.05"/>
    <n v="1"/>
    <n v="0"/>
    <x v="0"/>
  </r>
  <r>
    <s v="2019-20"/>
    <x v="2"/>
    <x v="6"/>
    <s v="L2"/>
    <s v="Visualization &amp; Communication, Spatial Planning &amp; Organisation"/>
    <s v="Making Living Places : Craftsmanship, song and imagination"/>
    <n v="1"/>
    <x v="0"/>
    <x v="0"/>
    <n v="0"/>
    <n v="0.12"/>
    <n v="1"/>
    <n v="0"/>
    <x v="0"/>
  </r>
  <r>
    <s v="2019-20"/>
    <x v="2"/>
    <x v="6"/>
    <s v="L2"/>
    <s v="Visualization &amp; Communication, Spatial Planning &amp; Organisation"/>
    <s v="Making Living Places : Craftsmanship, song and imagination"/>
    <n v="1"/>
    <x v="1"/>
    <x v="0"/>
    <n v="1"/>
    <n v="0.12"/>
    <n v="1"/>
    <n v="0.12"/>
    <x v="87"/>
  </r>
  <r>
    <s v="2019-20"/>
    <x v="2"/>
    <x v="6"/>
    <s v="L2"/>
    <s v="Visualization &amp; Communication, Spatial Planning &amp; Organisation"/>
    <s v="Making Living Places : Craftsmanship, song and imagination"/>
    <n v="2"/>
    <x v="0"/>
    <x v="1"/>
    <n v="0"/>
    <n v="0.08"/>
    <n v="0.8"/>
    <n v="0"/>
    <x v="0"/>
  </r>
  <r>
    <s v="2019-20"/>
    <x v="2"/>
    <x v="6"/>
    <s v="L2"/>
    <s v="Visualization &amp; Communication, Spatial Planning &amp; Organisation"/>
    <s v="Making Living Places : Craftsmanship, song and imagination"/>
    <n v="2"/>
    <x v="1"/>
    <x v="1"/>
    <n v="1"/>
    <n v="0.08"/>
    <n v="0.8"/>
    <n v="6.4000000000000001E-2"/>
    <x v="0"/>
  </r>
  <r>
    <s v="2019-20"/>
    <x v="2"/>
    <x v="6"/>
    <s v="L2"/>
    <s v="Visualization &amp; Communication, Spatial Planning &amp; Organisation"/>
    <s v="Making Living Places : Craftsmanship, song and imagination"/>
    <n v="3"/>
    <x v="0"/>
    <x v="2"/>
    <n v="1"/>
    <n v="0.05"/>
    <n v="1"/>
    <n v="0.05"/>
    <x v="0"/>
  </r>
  <r>
    <s v="2019-20"/>
    <x v="2"/>
    <x v="6"/>
    <s v="L2"/>
    <s v="Visualization &amp; Communication, Spatial Planning &amp; Organisation"/>
    <s v="Making Living Places : Craftsmanship, song and imagination"/>
    <n v="3"/>
    <x v="1"/>
    <x v="2"/>
    <n v="1"/>
    <n v="0.05"/>
    <n v="1"/>
    <n v="0.05"/>
    <x v="0"/>
  </r>
  <r>
    <s v="2019-20"/>
    <x v="2"/>
    <x v="6"/>
    <s v="L2"/>
    <s v="Visualization &amp; Communication, Spatial Planning &amp; Organisation"/>
    <s v="Making Living Places : Craftsmanship, song and imagination"/>
    <n v="4"/>
    <x v="0"/>
    <x v="3"/>
    <n v="0"/>
    <n v="0.14000000000000001"/>
    <n v="1"/>
    <n v="0"/>
    <x v="0"/>
  </r>
  <r>
    <s v="2019-20"/>
    <x v="2"/>
    <x v="6"/>
    <s v="L2"/>
    <s v="Visualization &amp; Communication, Spatial Planning &amp; Organisation"/>
    <s v="Making Living Places : Craftsmanship, song and imagination"/>
    <n v="4"/>
    <x v="1"/>
    <x v="3"/>
    <n v="1"/>
    <n v="0.14000000000000001"/>
    <n v="1"/>
    <n v="0.14000000000000001"/>
    <x v="0"/>
  </r>
  <r>
    <s v="2019-20"/>
    <x v="2"/>
    <x v="6"/>
    <s v="L2"/>
    <s v="Visualization &amp; Communication, Spatial Planning &amp; Organisation"/>
    <s v="Making Living Places : Craftsmanship, song and imagination"/>
    <n v="5"/>
    <x v="0"/>
    <x v="4"/>
    <n v="-1"/>
    <n v="0.11"/>
    <n v="1"/>
    <n v="-0.11"/>
    <x v="0"/>
  </r>
  <r>
    <s v="2019-20"/>
    <x v="2"/>
    <x v="6"/>
    <s v="L2"/>
    <s v="Visualization &amp; Communication, Spatial Planning &amp; Organisation"/>
    <s v="Making Living Places : Craftsmanship, song and imagination"/>
    <n v="5"/>
    <x v="1"/>
    <x v="4"/>
    <n v="1"/>
    <n v="0.11"/>
    <n v="1"/>
    <n v="0.11"/>
    <x v="88"/>
  </r>
  <r>
    <s v="2019-20"/>
    <x v="2"/>
    <x v="6"/>
    <s v="L2"/>
    <s v="Visualization &amp; Communication, Spatial Planning &amp; Organisation"/>
    <s v="Making Living Places : Craftsmanship, song and imagination"/>
    <n v="6"/>
    <x v="0"/>
    <x v="5"/>
    <n v="0"/>
    <n v="0.15"/>
    <n v="1"/>
    <n v="0"/>
    <x v="0"/>
  </r>
  <r>
    <s v="2019-20"/>
    <x v="2"/>
    <x v="6"/>
    <s v="L2"/>
    <s v="Visualization &amp; Communication, Spatial Planning &amp; Organisation"/>
    <s v="Making Living Places : Craftsmanship, song and imagination"/>
    <n v="6"/>
    <x v="1"/>
    <x v="5"/>
    <n v="1"/>
    <n v="0.15"/>
    <n v="1"/>
    <n v="0.15"/>
    <x v="89"/>
  </r>
  <r>
    <s v="2019-20"/>
    <x v="2"/>
    <x v="6"/>
    <s v="L2"/>
    <s v="Visualization &amp; Communication, Spatial Planning &amp; Organisation"/>
    <s v="Making Living Places : Craftsmanship, song and imagination"/>
    <n v="7"/>
    <x v="0"/>
    <x v="6"/>
    <n v="-1"/>
    <n v="0.1"/>
    <n v="1"/>
    <n v="-0.1"/>
    <x v="0"/>
  </r>
  <r>
    <s v="2019-20"/>
    <x v="2"/>
    <x v="6"/>
    <s v="L2"/>
    <s v="Visualization &amp; Communication, Spatial Planning &amp; Organisation"/>
    <s v="Making Living Places : Craftsmanship, song and imagination"/>
    <n v="7"/>
    <x v="1"/>
    <x v="6"/>
    <n v="1"/>
    <n v="0.1"/>
    <n v="1"/>
    <n v="0.1"/>
    <x v="0"/>
  </r>
  <r>
    <s v="2019-20"/>
    <x v="2"/>
    <x v="6"/>
    <s v="L2"/>
    <s v="Visualization &amp; Communication, Spatial Planning &amp; Organisation"/>
    <s v="Making Living Places : Craftsmanship, song and imagination"/>
    <n v="8"/>
    <x v="0"/>
    <x v="7"/>
    <n v="0"/>
    <n v="0.1"/>
    <n v="1"/>
    <n v="0"/>
    <x v="0"/>
  </r>
  <r>
    <s v="2019-20"/>
    <x v="2"/>
    <x v="6"/>
    <s v="L2"/>
    <s v="Visualization &amp; Communication, Spatial Planning &amp; Organisation"/>
    <s v="Making Living Places : Craftsmanship, song and imagination"/>
    <n v="8"/>
    <x v="1"/>
    <x v="7"/>
    <n v="1"/>
    <n v="0.1"/>
    <n v="1"/>
    <n v="0.1"/>
    <x v="0"/>
  </r>
  <r>
    <s v="2019-20"/>
    <x v="2"/>
    <x v="6"/>
    <s v="L2"/>
    <s v="Visualization &amp; Communication, Spatial Planning &amp; Organisation"/>
    <s v="Making Living Places : Craftsmanship, song and imagination"/>
    <n v="9"/>
    <x v="0"/>
    <x v="8"/>
    <n v="-1"/>
    <n v="0.05"/>
    <n v="0.85"/>
    <n v="-4.2500000000000003E-2"/>
    <x v="0"/>
  </r>
  <r>
    <s v="2019-20"/>
    <x v="2"/>
    <x v="6"/>
    <s v="L2"/>
    <s v="Visualization &amp; Communication, Spatial Planning &amp; Organisation"/>
    <s v="Making Living Places : Craftsmanship, song and imagination"/>
    <n v="9"/>
    <x v="1"/>
    <x v="8"/>
    <n v="1"/>
    <n v="0.05"/>
    <n v="0.85"/>
    <n v="4.2500000000000003E-2"/>
    <x v="90"/>
  </r>
  <r>
    <s v="2019-20"/>
    <x v="2"/>
    <x v="6"/>
    <s v="L2"/>
    <s v="Visualization &amp; Communication, Spatial Planning &amp; Organisation"/>
    <s v="Making Living Places : Craftsmanship, song and imagination"/>
    <n v="10"/>
    <x v="0"/>
    <x v="8"/>
    <n v="0"/>
    <n v="0.05"/>
    <n v="0.85"/>
    <n v="0"/>
    <x v="0"/>
  </r>
  <r>
    <s v="2019-20"/>
    <x v="2"/>
    <x v="6"/>
    <s v="L2"/>
    <s v="Visualization &amp; Communication, Spatial Planning &amp; Organisation"/>
    <s v="Making Living Places : Craftsmanship, song and imagination"/>
    <n v="10"/>
    <x v="1"/>
    <x v="8"/>
    <n v="1"/>
    <n v="0.05"/>
    <n v="0.85"/>
    <n v="4.2500000000000003E-2"/>
    <x v="0"/>
  </r>
  <r>
    <s v="2019-20"/>
    <x v="2"/>
    <x v="6"/>
    <s v="L2"/>
    <s v="Visualization &amp; Communication, Spatial Planning &amp; Organisation"/>
    <s v="Making Living Places : Craftsmanship, song and imagination"/>
    <n v="11"/>
    <x v="0"/>
    <x v="9"/>
    <n v="-1"/>
    <n v="0.05"/>
    <n v="1"/>
    <n v="-0.05"/>
    <x v="0"/>
  </r>
  <r>
    <s v="2019-20"/>
    <x v="2"/>
    <x v="6"/>
    <s v="L2"/>
    <s v="Visualization &amp; Communication, Spatial Planning &amp; Organisation"/>
    <s v="Making Living Places : Craftsmanship, song and imagination"/>
    <n v="11"/>
    <x v="1"/>
    <x v="9"/>
    <n v="0"/>
    <n v="0.05"/>
    <n v="1"/>
    <n v="0"/>
    <x v="91"/>
  </r>
  <r>
    <s v="2019-20"/>
    <x v="2"/>
    <x v="7"/>
    <s v="L2"/>
    <s v="Visualization and Communication, Spatial Planning and Organisation"/>
    <s v="Master’s Stroke"/>
    <n v="1"/>
    <x v="0"/>
    <x v="0"/>
    <n v="1"/>
    <n v="0.12"/>
    <n v="1"/>
    <n v="0.12"/>
    <x v="0"/>
  </r>
  <r>
    <s v="2019-20"/>
    <x v="2"/>
    <x v="7"/>
    <s v="L2"/>
    <s v="Visualization and Communication, Spatial Planning and Organisation"/>
    <s v="Master’s Stroke"/>
    <n v="1"/>
    <x v="1"/>
    <x v="0"/>
    <n v="1"/>
    <n v="0.12"/>
    <n v="1"/>
    <n v="0.12"/>
    <x v="92"/>
  </r>
  <r>
    <s v="2019-20"/>
    <x v="2"/>
    <x v="7"/>
    <s v="L2"/>
    <s v="Visualization and Communication, Spatial Planning and Organisation"/>
    <s v="Master’s Stroke"/>
    <n v="2"/>
    <x v="0"/>
    <x v="1"/>
    <n v="1"/>
    <n v="0.08"/>
    <n v="0.8"/>
    <n v="6.4000000000000001E-2"/>
    <x v="0"/>
  </r>
  <r>
    <s v="2019-20"/>
    <x v="2"/>
    <x v="7"/>
    <s v="L2"/>
    <s v="Visualization and Communication, Spatial Planning and Organisation"/>
    <s v="Master’s Stroke"/>
    <n v="2"/>
    <x v="1"/>
    <x v="1"/>
    <n v="1"/>
    <n v="0.08"/>
    <n v="0.8"/>
    <n v="6.4000000000000001E-2"/>
    <x v="0"/>
  </r>
  <r>
    <s v="2019-20"/>
    <x v="2"/>
    <x v="7"/>
    <s v="L2"/>
    <s v="Visualization and Communication, Spatial Planning and Organisation"/>
    <s v="Master’s Stroke"/>
    <n v="3"/>
    <x v="0"/>
    <x v="2"/>
    <n v="1"/>
    <n v="0.05"/>
    <n v="1"/>
    <n v="0.05"/>
    <x v="0"/>
  </r>
  <r>
    <s v="2019-20"/>
    <x v="2"/>
    <x v="7"/>
    <s v="L2"/>
    <s v="Visualization and Communication, Spatial Planning and Organisation"/>
    <s v="Master’s Stroke"/>
    <n v="3"/>
    <x v="1"/>
    <x v="2"/>
    <n v="1"/>
    <n v="0.05"/>
    <n v="1"/>
    <n v="0.05"/>
    <x v="93"/>
  </r>
  <r>
    <s v="2019-20"/>
    <x v="2"/>
    <x v="7"/>
    <s v="L2"/>
    <s v="Visualization and Communication, Spatial Planning and Organisation"/>
    <s v="Master’s Stroke"/>
    <n v="4"/>
    <x v="0"/>
    <x v="3"/>
    <n v="1"/>
    <n v="0.14000000000000001"/>
    <n v="1"/>
    <n v="0.14000000000000001"/>
    <x v="0"/>
  </r>
  <r>
    <s v="2019-20"/>
    <x v="2"/>
    <x v="7"/>
    <s v="L2"/>
    <s v="Visualization and Communication, Spatial Planning and Organisation"/>
    <s v="Master’s Stroke"/>
    <n v="4"/>
    <x v="1"/>
    <x v="3"/>
    <n v="1"/>
    <n v="0.14000000000000001"/>
    <n v="1"/>
    <n v="0.14000000000000001"/>
    <x v="0"/>
  </r>
  <r>
    <s v="2019-20"/>
    <x v="2"/>
    <x v="7"/>
    <s v="L2"/>
    <s v="Visualization and Communication, Spatial Planning and Organisation"/>
    <s v="Master’s Stroke"/>
    <n v="5"/>
    <x v="0"/>
    <x v="4"/>
    <n v="0"/>
    <n v="0.11"/>
    <n v="1"/>
    <n v="0"/>
    <x v="0"/>
  </r>
  <r>
    <s v="2019-20"/>
    <x v="2"/>
    <x v="7"/>
    <s v="L2"/>
    <s v="Visualization and Communication, Spatial Planning and Organisation"/>
    <s v="Master’s Stroke"/>
    <n v="5"/>
    <x v="1"/>
    <x v="4"/>
    <n v="1"/>
    <n v="0.11"/>
    <n v="1"/>
    <n v="0.11"/>
    <x v="0"/>
  </r>
  <r>
    <s v="2019-20"/>
    <x v="2"/>
    <x v="7"/>
    <s v="L2"/>
    <s v="Visualization and Communication, Spatial Planning and Organisation"/>
    <s v="Master’s Stroke"/>
    <n v="6"/>
    <x v="0"/>
    <x v="5"/>
    <n v="0"/>
    <n v="0.15"/>
    <n v="1"/>
    <n v="0"/>
    <x v="0"/>
  </r>
  <r>
    <s v="2019-20"/>
    <x v="2"/>
    <x v="7"/>
    <s v="L2"/>
    <s v="Visualization and Communication, Spatial Planning and Organisation"/>
    <s v="Master’s Stroke"/>
    <n v="6"/>
    <x v="1"/>
    <x v="5"/>
    <n v="1"/>
    <n v="0.15"/>
    <n v="1"/>
    <n v="0.15"/>
    <x v="94"/>
  </r>
  <r>
    <s v="2019-20"/>
    <x v="2"/>
    <x v="7"/>
    <s v="L2"/>
    <s v="Visualization and Communication, Spatial Planning and Organisation"/>
    <s v="Master’s Stroke"/>
    <n v="7"/>
    <x v="0"/>
    <x v="6"/>
    <n v="0"/>
    <n v="0.1"/>
    <n v="1"/>
    <n v="0"/>
    <x v="0"/>
  </r>
  <r>
    <s v="2019-20"/>
    <x v="2"/>
    <x v="7"/>
    <s v="L2"/>
    <s v="Visualization and Communication, Spatial Planning and Organisation"/>
    <s v="Master’s Stroke"/>
    <n v="7"/>
    <x v="1"/>
    <x v="6"/>
    <n v="1"/>
    <n v="0.1"/>
    <n v="1"/>
    <n v="0.1"/>
    <x v="0"/>
  </r>
  <r>
    <s v="2019-20"/>
    <x v="2"/>
    <x v="7"/>
    <s v="L2"/>
    <s v="Visualization and Communication, Spatial Planning and Organisation"/>
    <s v="Master’s Stroke"/>
    <n v="8"/>
    <x v="0"/>
    <x v="7"/>
    <n v="1"/>
    <n v="0.1"/>
    <n v="1"/>
    <n v="0.1"/>
    <x v="0"/>
  </r>
  <r>
    <s v="2019-20"/>
    <x v="2"/>
    <x v="7"/>
    <s v="L2"/>
    <s v="Visualization and Communication, Spatial Planning and Organisation"/>
    <s v="Master’s Stroke"/>
    <n v="8"/>
    <x v="1"/>
    <x v="7"/>
    <n v="1"/>
    <n v="0.1"/>
    <n v="1"/>
    <n v="0.1"/>
    <x v="95"/>
  </r>
  <r>
    <s v="2019-20"/>
    <x v="2"/>
    <x v="7"/>
    <s v="L2"/>
    <s v="Visualization and Communication, Spatial Planning and Organisation"/>
    <s v="Master’s Stroke"/>
    <n v="9"/>
    <x v="0"/>
    <x v="8"/>
    <n v="1"/>
    <n v="0.05"/>
    <n v="0.85"/>
    <n v="4.2500000000000003E-2"/>
    <x v="0"/>
  </r>
  <r>
    <s v="2019-20"/>
    <x v="2"/>
    <x v="7"/>
    <s v="L2"/>
    <s v="Visualization and Communication, Spatial Planning and Organisation"/>
    <s v="Master’s Stroke"/>
    <n v="9"/>
    <x v="1"/>
    <x v="8"/>
    <n v="1"/>
    <n v="0.05"/>
    <n v="0.85"/>
    <n v="4.2500000000000003E-2"/>
    <x v="0"/>
  </r>
  <r>
    <s v="2019-20"/>
    <x v="2"/>
    <x v="7"/>
    <s v="L2"/>
    <s v="Visualization and Communication, Spatial Planning and Organisation"/>
    <s v="Master’s Stroke"/>
    <n v="10"/>
    <x v="0"/>
    <x v="8"/>
    <n v="0"/>
    <n v="0.05"/>
    <n v="0.85"/>
    <n v="0"/>
    <x v="0"/>
  </r>
  <r>
    <s v="2019-20"/>
    <x v="2"/>
    <x v="7"/>
    <s v="L2"/>
    <s v="Visualization and Communication, Spatial Planning and Organisation"/>
    <s v="Master’s Stroke"/>
    <n v="10"/>
    <x v="1"/>
    <x v="8"/>
    <n v="1"/>
    <n v="0.05"/>
    <n v="0.85"/>
    <n v="4.2500000000000003E-2"/>
    <x v="0"/>
  </r>
  <r>
    <s v="2019-20"/>
    <x v="2"/>
    <x v="7"/>
    <s v="L2"/>
    <s v="Visualization and Communication, Spatial Planning and Organisation"/>
    <s v="Master’s Stroke"/>
    <n v="11"/>
    <x v="0"/>
    <x v="9"/>
    <n v="0"/>
    <n v="0.05"/>
    <n v="1"/>
    <n v="0"/>
    <x v="0"/>
  </r>
  <r>
    <s v="2019-20"/>
    <x v="2"/>
    <x v="7"/>
    <s v="L2"/>
    <s v="Visualization and Communication, Spatial Planning and Organisation"/>
    <s v="Master’s Stroke"/>
    <n v="11"/>
    <x v="1"/>
    <x v="9"/>
    <n v="1"/>
    <n v="0.05"/>
    <n v="1"/>
    <n v="0.05"/>
    <x v="96"/>
  </r>
  <r>
    <s v="2019-20"/>
    <x v="2"/>
    <x v="9"/>
    <s v="L2"/>
    <s v="Constructing and Specifying"/>
    <s v="Tectonic Operations"/>
    <n v="1"/>
    <x v="0"/>
    <x v="0"/>
    <n v="1"/>
    <n v="0.12"/>
    <n v="1"/>
    <n v="0.12"/>
    <x v="0"/>
  </r>
  <r>
    <s v="2019-20"/>
    <x v="2"/>
    <x v="9"/>
    <s v="L2"/>
    <s v="Constructing and Specifying"/>
    <s v="Tectonic Operations"/>
    <n v="1"/>
    <x v="1"/>
    <x v="0"/>
    <n v="1"/>
    <n v="0.12"/>
    <n v="1"/>
    <n v="0.12"/>
    <x v="97"/>
  </r>
  <r>
    <s v="2019-20"/>
    <x v="2"/>
    <x v="9"/>
    <s v="L2"/>
    <s v="Constructing and Specifying"/>
    <s v="Tectonic Operations"/>
    <n v="2"/>
    <x v="0"/>
    <x v="1"/>
    <n v="1"/>
    <n v="0.08"/>
    <n v="0.8"/>
    <n v="6.4000000000000001E-2"/>
    <x v="0"/>
  </r>
  <r>
    <s v="2019-20"/>
    <x v="2"/>
    <x v="9"/>
    <s v="L2"/>
    <s v="Constructing and Specifying"/>
    <s v="Tectonic Operations"/>
    <n v="2"/>
    <x v="1"/>
    <x v="1"/>
    <n v="1"/>
    <n v="0.08"/>
    <n v="0.8"/>
    <n v="6.4000000000000001E-2"/>
    <x v="0"/>
  </r>
  <r>
    <s v="2019-20"/>
    <x v="2"/>
    <x v="9"/>
    <s v="L2"/>
    <s v="Constructing and Specifying"/>
    <s v="Tectonic Operations"/>
    <n v="3"/>
    <x v="0"/>
    <x v="2"/>
    <n v="1"/>
    <n v="0.05"/>
    <n v="1"/>
    <n v="0.05"/>
    <x v="0"/>
  </r>
  <r>
    <s v="2019-20"/>
    <x v="2"/>
    <x v="9"/>
    <s v="L2"/>
    <s v="Constructing and Specifying"/>
    <s v="Tectonic Operations"/>
    <n v="3"/>
    <x v="1"/>
    <x v="2"/>
    <n v="1"/>
    <n v="0.05"/>
    <n v="1"/>
    <n v="0.05"/>
    <x v="0"/>
  </r>
  <r>
    <s v="2019-20"/>
    <x v="2"/>
    <x v="9"/>
    <s v="L2"/>
    <s v="Constructing and Specifying"/>
    <s v="Tectonic Operations"/>
    <n v="4"/>
    <x v="0"/>
    <x v="3"/>
    <n v="1"/>
    <n v="0.14000000000000001"/>
    <n v="1"/>
    <n v="0.14000000000000001"/>
    <x v="0"/>
  </r>
  <r>
    <s v="2019-20"/>
    <x v="2"/>
    <x v="9"/>
    <s v="L2"/>
    <s v="Constructing and Specifying"/>
    <s v="Tectonic Operations"/>
    <n v="4"/>
    <x v="1"/>
    <x v="3"/>
    <n v="1"/>
    <n v="0.14000000000000001"/>
    <n v="1"/>
    <n v="0.14000000000000001"/>
    <x v="98"/>
  </r>
  <r>
    <s v="2019-20"/>
    <x v="2"/>
    <x v="9"/>
    <s v="L2"/>
    <s v="Constructing and Specifying"/>
    <s v="Tectonic Operations"/>
    <n v="5"/>
    <x v="0"/>
    <x v="4"/>
    <n v="1"/>
    <n v="0.11"/>
    <n v="1"/>
    <n v="0.11"/>
    <x v="0"/>
  </r>
  <r>
    <s v="2019-20"/>
    <x v="2"/>
    <x v="9"/>
    <s v="L2"/>
    <s v="Constructing and Specifying"/>
    <s v="Tectonic Operations"/>
    <n v="5"/>
    <x v="1"/>
    <x v="4"/>
    <n v="1"/>
    <n v="0.11"/>
    <n v="1"/>
    <n v="0.11"/>
    <x v="99"/>
  </r>
  <r>
    <s v="2019-20"/>
    <x v="2"/>
    <x v="9"/>
    <s v="L2"/>
    <s v="Constructing and Specifying"/>
    <s v="Tectonic Operations"/>
    <n v="6"/>
    <x v="0"/>
    <x v="5"/>
    <n v="1"/>
    <n v="0.15"/>
    <n v="1"/>
    <n v="0.15"/>
    <x v="0"/>
  </r>
  <r>
    <s v="2019-20"/>
    <x v="2"/>
    <x v="9"/>
    <s v="L2"/>
    <s v="Constructing and Specifying"/>
    <s v="Tectonic Operations"/>
    <n v="6"/>
    <x v="1"/>
    <x v="5"/>
    <n v="1"/>
    <n v="0.15"/>
    <n v="1"/>
    <n v="0.15"/>
    <x v="0"/>
  </r>
  <r>
    <s v="2019-20"/>
    <x v="2"/>
    <x v="9"/>
    <s v="L2"/>
    <s v="Constructing and Specifying"/>
    <s v="Tectonic Operations"/>
    <n v="7"/>
    <x v="0"/>
    <x v="6"/>
    <n v="1"/>
    <n v="0.1"/>
    <n v="1"/>
    <n v="0.1"/>
    <x v="0"/>
  </r>
  <r>
    <s v="2019-20"/>
    <x v="2"/>
    <x v="9"/>
    <s v="L2"/>
    <s v="Constructing and Specifying"/>
    <s v="Tectonic Operations"/>
    <n v="7"/>
    <x v="1"/>
    <x v="6"/>
    <n v="1"/>
    <n v="0.1"/>
    <n v="1"/>
    <n v="0.1"/>
    <x v="0"/>
  </r>
  <r>
    <s v="2019-20"/>
    <x v="2"/>
    <x v="9"/>
    <s v="L2"/>
    <s v="Constructing and Specifying"/>
    <s v="Tectonic Operations"/>
    <n v="8"/>
    <x v="0"/>
    <x v="7"/>
    <n v="1"/>
    <n v="0.1"/>
    <n v="1"/>
    <n v="0.1"/>
    <x v="0"/>
  </r>
  <r>
    <s v="2019-20"/>
    <x v="2"/>
    <x v="9"/>
    <s v="L2"/>
    <s v="Constructing and Specifying"/>
    <s v="Tectonic Operations"/>
    <n v="8"/>
    <x v="1"/>
    <x v="7"/>
    <n v="1"/>
    <n v="0.1"/>
    <n v="1"/>
    <n v="0.1"/>
    <x v="0"/>
  </r>
  <r>
    <s v="2019-20"/>
    <x v="2"/>
    <x v="9"/>
    <s v="L2"/>
    <s v="Constructing and Specifying"/>
    <s v="Tectonic Operations"/>
    <n v="9"/>
    <x v="0"/>
    <x v="8"/>
    <n v="0"/>
    <n v="0.05"/>
    <n v="0.85"/>
    <n v="0"/>
    <x v="0"/>
  </r>
  <r>
    <s v="2019-20"/>
    <x v="2"/>
    <x v="9"/>
    <s v="L2"/>
    <s v="Constructing and Specifying"/>
    <s v="Tectonic Operations"/>
    <n v="9"/>
    <x v="1"/>
    <x v="8"/>
    <n v="1"/>
    <n v="0.05"/>
    <n v="0.85"/>
    <n v="4.2500000000000003E-2"/>
    <x v="0"/>
  </r>
  <r>
    <s v="2019-20"/>
    <x v="2"/>
    <x v="9"/>
    <s v="L2"/>
    <s v="Constructing and Specifying"/>
    <s v="Tectonic Operations"/>
    <n v="10"/>
    <x v="0"/>
    <x v="8"/>
    <n v="0"/>
    <n v="0.05"/>
    <n v="0.85"/>
    <n v="0"/>
    <x v="0"/>
  </r>
  <r>
    <s v="2019-20"/>
    <x v="2"/>
    <x v="9"/>
    <s v="L2"/>
    <s v="Constructing and Specifying"/>
    <s v="Tectonic Operations"/>
    <n v="10"/>
    <x v="1"/>
    <x v="8"/>
    <n v="1"/>
    <n v="0.05"/>
    <n v="0.85"/>
    <n v="4.2500000000000003E-2"/>
    <x v="0"/>
  </r>
  <r>
    <s v="2019-20"/>
    <x v="2"/>
    <x v="9"/>
    <s v="L2"/>
    <s v="Constructing and Specifying"/>
    <s v="Tectonic Operations"/>
    <n v="11"/>
    <x v="0"/>
    <x v="9"/>
    <n v="1"/>
    <n v="0.05"/>
    <n v="1"/>
    <n v="0.05"/>
    <x v="0"/>
  </r>
  <r>
    <s v="2019-20"/>
    <x v="2"/>
    <x v="9"/>
    <s v="L2"/>
    <s v="Constructing and Specifying"/>
    <s v="Tectonic Operations"/>
    <n v="11"/>
    <x v="1"/>
    <x v="9"/>
    <n v="0"/>
    <n v="0.05"/>
    <n v="1"/>
    <n v="0"/>
    <x v="100"/>
  </r>
  <r>
    <s v="2019-20"/>
    <x v="2"/>
    <x v="18"/>
    <s v="L2"/>
    <m/>
    <s v="Where Material Meets Design"/>
    <n v="1"/>
    <x v="0"/>
    <x v="0"/>
    <n v="1"/>
    <n v="0.12"/>
    <n v="1"/>
    <n v="0.12"/>
    <x v="0"/>
  </r>
  <r>
    <s v="2019-20"/>
    <x v="2"/>
    <x v="18"/>
    <s v="L2"/>
    <m/>
    <s v="Where Material Meets Design"/>
    <n v="1"/>
    <x v="1"/>
    <x v="0"/>
    <n v="1"/>
    <n v="0.12"/>
    <n v="1"/>
    <n v="0.12"/>
    <x v="101"/>
  </r>
  <r>
    <s v="2019-20"/>
    <x v="2"/>
    <x v="18"/>
    <s v="L2"/>
    <m/>
    <s v="Where Material Meets Design"/>
    <n v="2"/>
    <x v="0"/>
    <x v="1"/>
    <n v="1"/>
    <n v="0.08"/>
    <n v="0.8"/>
    <n v="6.4000000000000001E-2"/>
    <x v="0"/>
  </r>
  <r>
    <s v="2019-20"/>
    <x v="2"/>
    <x v="18"/>
    <s v="L2"/>
    <m/>
    <s v="Where Material Meets Design"/>
    <n v="2"/>
    <x v="1"/>
    <x v="1"/>
    <n v="1"/>
    <n v="0.08"/>
    <n v="0.8"/>
    <n v="6.4000000000000001E-2"/>
    <x v="102"/>
  </r>
  <r>
    <s v="2019-20"/>
    <x v="2"/>
    <x v="18"/>
    <s v="L2"/>
    <m/>
    <s v="Where Material Meets Design"/>
    <n v="3"/>
    <x v="0"/>
    <x v="2"/>
    <n v="1"/>
    <n v="0.05"/>
    <n v="1"/>
    <n v="0.05"/>
    <x v="0"/>
  </r>
  <r>
    <s v="2019-20"/>
    <x v="2"/>
    <x v="18"/>
    <s v="L2"/>
    <m/>
    <s v="Where Material Meets Design"/>
    <n v="3"/>
    <x v="1"/>
    <x v="2"/>
    <n v="1"/>
    <n v="0.05"/>
    <n v="1"/>
    <n v="0.05"/>
    <x v="0"/>
  </r>
  <r>
    <s v="2019-20"/>
    <x v="2"/>
    <x v="18"/>
    <s v="L2"/>
    <m/>
    <s v="Where Material Meets Design"/>
    <n v="4"/>
    <x v="0"/>
    <x v="3"/>
    <n v="1"/>
    <n v="0.14000000000000001"/>
    <n v="1"/>
    <n v="0.14000000000000001"/>
    <x v="0"/>
  </r>
  <r>
    <s v="2019-20"/>
    <x v="2"/>
    <x v="18"/>
    <s v="L2"/>
    <m/>
    <s v="Where Material Meets Design"/>
    <n v="4"/>
    <x v="1"/>
    <x v="3"/>
    <n v="1"/>
    <n v="0.14000000000000001"/>
    <n v="1"/>
    <n v="0.14000000000000001"/>
    <x v="103"/>
  </r>
  <r>
    <s v="2019-20"/>
    <x v="2"/>
    <x v="18"/>
    <s v="L2"/>
    <m/>
    <s v="Where Material Meets Design"/>
    <n v="5"/>
    <x v="0"/>
    <x v="4"/>
    <n v="1"/>
    <n v="0.11"/>
    <n v="1"/>
    <n v="0.11"/>
    <x v="0"/>
  </r>
  <r>
    <s v="2019-20"/>
    <x v="2"/>
    <x v="18"/>
    <s v="L2"/>
    <m/>
    <s v="Where Material Meets Design"/>
    <n v="5"/>
    <x v="1"/>
    <x v="4"/>
    <n v="1"/>
    <n v="0.11"/>
    <n v="1"/>
    <n v="0.11"/>
    <x v="104"/>
  </r>
  <r>
    <s v="2019-20"/>
    <x v="2"/>
    <x v="18"/>
    <s v="L2"/>
    <m/>
    <s v="Where Material Meets Design"/>
    <n v="6"/>
    <x v="0"/>
    <x v="5"/>
    <n v="0"/>
    <n v="0.15"/>
    <n v="1"/>
    <n v="0"/>
    <x v="0"/>
  </r>
  <r>
    <s v="2019-20"/>
    <x v="2"/>
    <x v="18"/>
    <s v="L2"/>
    <m/>
    <s v="Where Material Meets Design"/>
    <n v="6"/>
    <x v="1"/>
    <x v="5"/>
    <n v="1"/>
    <n v="0.15"/>
    <n v="1"/>
    <n v="0.15"/>
    <x v="0"/>
  </r>
  <r>
    <s v="2019-20"/>
    <x v="2"/>
    <x v="18"/>
    <s v="L2"/>
    <m/>
    <s v="Where Material Meets Design"/>
    <n v="7"/>
    <x v="0"/>
    <x v="6"/>
    <n v="0"/>
    <n v="0.1"/>
    <n v="1"/>
    <n v="0"/>
    <x v="0"/>
  </r>
  <r>
    <s v="2019-20"/>
    <x v="2"/>
    <x v="18"/>
    <s v="L2"/>
    <m/>
    <s v="Where Material Meets Design"/>
    <n v="7"/>
    <x v="1"/>
    <x v="6"/>
    <n v="1"/>
    <n v="0.1"/>
    <n v="1"/>
    <n v="0.1"/>
    <x v="0"/>
  </r>
  <r>
    <s v="2019-20"/>
    <x v="2"/>
    <x v="18"/>
    <s v="L2"/>
    <m/>
    <s v="Where Material Meets Design"/>
    <n v="8"/>
    <x v="0"/>
    <x v="7"/>
    <n v="0"/>
    <n v="0.1"/>
    <n v="1"/>
    <n v="0"/>
    <x v="0"/>
  </r>
  <r>
    <s v="2019-20"/>
    <x v="2"/>
    <x v="18"/>
    <s v="L2"/>
    <m/>
    <s v="Where Material Meets Design"/>
    <n v="8"/>
    <x v="1"/>
    <x v="7"/>
    <n v="1"/>
    <n v="0.1"/>
    <n v="1"/>
    <n v="0.1"/>
    <x v="105"/>
  </r>
  <r>
    <s v="2019-20"/>
    <x v="2"/>
    <x v="18"/>
    <s v="L2"/>
    <m/>
    <s v="Where Material Meets Design"/>
    <n v="9"/>
    <x v="0"/>
    <x v="8"/>
    <n v="1"/>
    <n v="0.05"/>
    <n v="0.85"/>
    <n v="4.2500000000000003E-2"/>
    <x v="0"/>
  </r>
  <r>
    <s v="2019-20"/>
    <x v="2"/>
    <x v="18"/>
    <s v="L2"/>
    <m/>
    <s v="Where Material Meets Design"/>
    <n v="9"/>
    <x v="1"/>
    <x v="8"/>
    <n v="1"/>
    <n v="0.05"/>
    <n v="0.85"/>
    <n v="4.2500000000000003E-2"/>
    <x v="0"/>
  </r>
  <r>
    <s v="2019-20"/>
    <x v="2"/>
    <x v="18"/>
    <s v="L2"/>
    <m/>
    <s v="Where Material Meets Design"/>
    <n v="10"/>
    <x v="0"/>
    <x v="8"/>
    <n v="1"/>
    <n v="0.05"/>
    <n v="0.85"/>
    <n v="4.2500000000000003E-2"/>
    <x v="0"/>
  </r>
  <r>
    <s v="2019-20"/>
    <x v="2"/>
    <x v="18"/>
    <s v="L2"/>
    <m/>
    <s v="Where Material Meets Design"/>
    <n v="10"/>
    <x v="1"/>
    <x v="8"/>
    <n v="1"/>
    <n v="0.05"/>
    <n v="0.85"/>
    <n v="4.2500000000000003E-2"/>
    <x v="0"/>
  </r>
  <r>
    <s v="2019-20"/>
    <x v="2"/>
    <x v="18"/>
    <s v="L2"/>
    <m/>
    <s v="Where Material Meets Design"/>
    <n v="11"/>
    <x v="0"/>
    <x v="9"/>
    <n v="-1"/>
    <n v="0.05"/>
    <n v="1"/>
    <n v="-0.05"/>
    <x v="0"/>
  </r>
  <r>
    <s v="2019-20"/>
    <x v="2"/>
    <x v="18"/>
    <s v="L2"/>
    <m/>
    <s v="Where Material Meets Design"/>
    <n v="11"/>
    <x v="1"/>
    <x v="9"/>
    <n v="0"/>
    <n v="0.05"/>
    <n v="1"/>
    <n v="0"/>
    <x v="106"/>
  </r>
  <r>
    <s v="2019-20"/>
    <x v="2"/>
    <x v="25"/>
    <s v="L2"/>
    <m/>
    <s v="Space Kinematics"/>
    <n v="1"/>
    <x v="0"/>
    <x v="0"/>
    <n v="0"/>
    <n v="0.12"/>
    <n v="1"/>
    <n v="0"/>
    <x v="0"/>
  </r>
  <r>
    <s v="2019-20"/>
    <x v="2"/>
    <x v="25"/>
    <s v="L2"/>
    <m/>
    <s v="Space Kinematics"/>
    <n v="1"/>
    <x v="1"/>
    <x v="0"/>
    <n v="1"/>
    <n v="0.12"/>
    <n v="1"/>
    <n v="0.12"/>
    <x v="107"/>
  </r>
  <r>
    <s v="2019-20"/>
    <x v="2"/>
    <x v="25"/>
    <s v="L2"/>
    <m/>
    <s v="Space Kinematics"/>
    <n v="2"/>
    <x v="0"/>
    <x v="1"/>
    <n v="0"/>
    <n v="0.08"/>
    <n v="0.8"/>
    <n v="0"/>
    <x v="0"/>
  </r>
  <r>
    <s v="2019-20"/>
    <x v="2"/>
    <x v="25"/>
    <s v="L2"/>
    <m/>
    <s v="Space Kinematics"/>
    <n v="2"/>
    <x v="1"/>
    <x v="1"/>
    <n v="1"/>
    <n v="0.08"/>
    <n v="0.8"/>
    <n v="6.4000000000000001E-2"/>
    <x v="0"/>
  </r>
  <r>
    <s v="2019-20"/>
    <x v="2"/>
    <x v="25"/>
    <s v="L2"/>
    <m/>
    <s v="Space Kinematics"/>
    <n v="3"/>
    <x v="0"/>
    <x v="2"/>
    <n v="1"/>
    <n v="0.05"/>
    <n v="1"/>
    <n v="0.05"/>
    <x v="0"/>
  </r>
  <r>
    <s v="2019-20"/>
    <x v="2"/>
    <x v="25"/>
    <s v="L2"/>
    <m/>
    <s v="Space Kinematics"/>
    <n v="3"/>
    <x v="1"/>
    <x v="2"/>
    <n v="1"/>
    <n v="0.05"/>
    <n v="1"/>
    <n v="0.05"/>
    <x v="0"/>
  </r>
  <r>
    <s v="2019-20"/>
    <x v="2"/>
    <x v="25"/>
    <s v="L2"/>
    <m/>
    <s v="Space Kinematics"/>
    <n v="4"/>
    <x v="0"/>
    <x v="3"/>
    <n v="0"/>
    <n v="0.14000000000000001"/>
    <n v="1"/>
    <n v="0"/>
    <x v="0"/>
  </r>
  <r>
    <s v="2019-20"/>
    <x v="2"/>
    <x v="25"/>
    <s v="L2"/>
    <m/>
    <s v="Space Kinematics"/>
    <n v="4"/>
    <x v="1"/>
    <x v="3"/>
    <n v="1"/>
    <n v="0.14000000000000001"/>
    <n v="1"/>
    <n v="0.14000000000000001"/>
    <x v="108"/>
  </r>
  <r>
    <s v="2019-20"/>
    <x v="2"/>
    <x v="25"/>
    <s v="L2"/>
    <m/>
    <s v="Space Kinematics"/>
    <n v="5"/>
    <x v="0"/>
    <x v="4"/>
    <n v="-1"/>
    <n v="0.11"/>
    <n v="1"/>
    <n v="-0.11"/>
    <x v="0"/>
  </r>
  <r>
    <s v="2019-20"/>
    <x v="2"/>
    <x v="25"/>
    <s v="L2"/>
    <m/>
    <s v="Space Kinematics"/>
    <n v="5"/>
    <x v="1"/>
    <x v="4"/>
    <n v="0"/>
    <n v="0.11"/>
    <n v="1"/>
    <n v="0"/>
    <x v="109"/>
  </r>
  <r>
    <s v="2019-20"/>
    <x v="2"/>
    <x v="25"/>
    <s v="L2"/>
    <m/>
    <s v="Space Kinematics"/>
    <n v="6"/>
    <x v="0"/>
    <x v="5"/>
    <n v="-1"/>
    <n v="0.15"/>
    <n v="1"/>
    <n v="-0.15"/>
    <x v="0"/>
  </r>
  <r>
    <s v="2019-20"/>
    <x v="2"/>
    <x v="25"/>
    <s v="L2"/>
    <m/>
    <s v="Space Kinematics"/>
    <n v="6"/>
    <x v="1"/>
    <x v="5"/>
    <n v="1"/>
    <n v="0.15"/>
    <n v="1"/>
    <n v="0.15"/>
    <x v="110"/>
  </r>
  <r>
    <s v="2019-20"/>
    <x v="2"/>
    <x v="25"/>
    <s v="L2"/>
    <m/>
    <s v="Space Kinematics"/>
    <n v="7"/>
    <x v="0"/>
    <x v="6"/>
    <n v="-1"/>
    <n v="0.1"/>
    <n v="1"/>
    <n v="-0.1"/>
    <x v="0"/>
  </r>
  <r>
    <s v="2019-20"/>
    <x v="2"/>
    <x v="25"/>
    <s v="L2"/>
    <m/>
    <s v="Space Kinematics"/>
    <n v="7"/>
    <x v="1"/>
    <x v="6"/>
    <n v="1"/>
    <n v="0.1"/>
    <n v="1"/>
    <n v="0.1"/>
    <x v="111"/>
  </r>
  <r>
    <s v="2019-20"/>
    <x v="2"/>
    <x v="25"/>
    <s v="L2"/>
    <m/>
    <s v="Space Kinematics"/>
    <n v="8"/>
    <x v="0"/>
    <x v="7"/>
    <n v="0"/>
    <n v="0.1"/>
    <n v="1"/>
    <n v="0"/>
    <x v="0"/>
  </r>
  <r>
    <s v="2019-20"/>
    <x v="2"/>
    <x v="25"/>
    <s v="L2"/>
    <m/>
    <s v="Space Kinematics"/>
    <n v="8"/>
    <x v="1"/>
    <x v="7"/>
    <n v="1"/>
    <n v="0.1"/>
    <n v="1"/>
    <n v="0.1"/>
    <x v="112"/>
  </r>
  <r>
    <s v="2019-20"/>
    <x v="2"/>
    <x v="25"/>
    <s v="L2"/>
    <m/>
    <s v="Space Kinematics"/>
    <n v="9"/>
    <x v="0"/>
    <x v="8"/>
    <n v="1"/>
    <n v="0.05"/>
    <n v="0.85"/>
    <n v="4.2500000000000003E-2"/>
    <x v="0"/>
  </r>
  <r>
    <s v="2019-20"/>
    <x v="2"/>
    <x v="25"/>
    <s v="L2"/>
    <m/>
    <s v="Space Kinematics"/>
    <n v="9"/>
    <x v="1"/>
    <x v="8"/>
    <n v="1"/>
    <n v="0.05"/>
    <n v="0.85"/>
    <n v="4.2500000000000003E-2"/>
    <x v="0"/>
  </r>
  <r>
    <s v="2019-20"/>
    <x v="2"/>
    <x v="25"/>
    <s v="L2"/>
    <m/>
    <s v="Space Kinematics"/>
    <n v="10"/>
    <x v="0"/>
    <x v="8"/>
    <n v="0"/>
    <n v="0.05"/>
    <n v="0.85"/>
    <n v="0"/>
    <x v="0"/>
  </r>
  <r>
    <s v="2019-20"/>
    <x v="2"/>
    <x v="25"/>
    <s v="L2"/>
    <m/>
    <s v="Space Kinematics"/>
    <n v="10"/>
    <x v="1"/>
    <x v="8"/>
    <n v="1"/>
    <n v="0.05"/>
    <n v="0.85"/>
    <n v="4.2500000000000003E-2"/>
    <x v="0"/>
  </r>
  <r>
    <s v="2019-20"/>
    <x v="2"/>
    <x v="25"/>
    <s v="L2"/>
    <m/>
    <s v="Space Kinematics"/>
    <n v="11"/>
    <x v="0"/>
    <x v="9"/>
    <n v="-1"/>
    <n v="0.05"/>
    <n v="1"/>
    <n v="-0.05"/>
    <x v="0"/>
  </r>
  <r>
    <s v="2019-20"/>
    <x v="2"/>
    <x v="25"/>
    <s v="L2"/>
    <m/>
    <s v="Space Kinematics"/>
    <n v="11"/>
    <x v="1"/>
    <x v="9"/>
    <n v="0"/>
    <n v="0.05"/>
    <n v="1"/>
    <n v="0"/>
    <x v="113"/>
  </r>
  <r>
    <s v="2019-20"/>
    <x v="2"/>
    <x v="26"/>
    <s v="L2"/>
    <m/>
    <s v="Spatial Narratives: Timeless and Experientially Engaging Architecture"/>
    <n v="1"/>
    <x v="0"/>
    <x v="0"/>
    <n v="0"/>
    <n v="0.12"/>
    <n v="1"/>
    <n v="0"/>
    <x v="0"/>
  </r>
  <r>
    <s v="2019-20"/>
    <x v="2"/>
    <x v="26"/>
    <s v="L2"/>
    <m/>
    <s v="Spatial Narratives: Timeless and Experientially Engaging Architecture"/>
    <n v="1"/>
    <x v="1"/>
    <x v="0"/>
    <n v="1"/>
    <n v="0.12"/>
    <n v="1"/>
    <n v="0.12"/>
    <x v="0"/>
  </r>
  <r>
    <s v="2019-20"/>
    <x v="2"/>
    <x v="26"/>
    <s v="L2"/>
    <m/>
    <s v="Spatial Narratives: Timeless and Experientially Engaging Architecture"/>
    <n v="2"/>
    <x v="0"/>
    <x v="1"/>
    <n v="-1"/>
    <n v="0.08"/>
    <n v="0.8"/>
    <n v="-6.4000000000000001E-2"/>
    <x v="0"/>
  </r>
  <r>
    <s v="2019-20"/>
    <x v="2"/>
    <x v="26"/>
    <s v="L2"/>
    <m/>
    <s v="Spatial Narratives: Timeless and Experientially Engaging Architecture"/>
    <n v="2"/>
    <x v="1"/>
    <x v="1"/>
    <n v="1"/>
    <n v="0.08"/>
    <n v="0.8"/>
    <n v="6.4000000000000001E-2"/>
    <x v="114"/>
  </r>
  <r>
    <s v="2019-20"/>
    <x v="2"/>
    <x v="26"/>
    <s v="L2"/>
    <m/>
    <s v="Spatial Narratives: Timeless and Experientially Engaging Architecture"/>
    <n v="3"/>
    <x v="0"/>
    <x v="2"/>
    <n v="1"/>
    <n v="0.05"/>
    <n v="1"/>
    <n v="0.05"/>
    <x v="0"/>
  </r>
  <r>
    <s v="2019-20"/>
    <x v="2"/>
    <x v="26"/>
    <s v="L2"/>
    <m/>
    <s v="Spatial Narratives: Timeless and Experientially Engaging Architecture"/>
    <n v="3"/>
    <x v="1"/>
    <x v="2"/>
    <n v="1"/>
    <n v="0.05"/>
    <n v="1"/>
    <n v="0.05"/>
    <x v="0"/>
  </r>
  <r>
    <s v="2019-20"/>
    <x v="2"/>
    <x v="26"/>
    <s v="L2"/>
    <m/>
    <s v="Spatial Narratives: Timeless and Experientially Engaging Architecture"/>
    <n v="4"/>
    <x v="0"/>
    <x v="3"/>
    <n v="-1"/>
    <n v="0.14000000000000001"/>
    <n v="1"/>
    <n v="-0.14000000000000001"/>
    <x v="0"/>
  </r>
  <r>
    <s v="2019-20"/>
    <x v="2"/>
    <x v="26"/>
    <s v="L2"/>
    <m/>
    <s v="Spatial Narratives: Timeless and Experientially Engaging Architecture"/>
    <n v="4"/>
    <x v="1"/>
    <x v="3"/>
    <n v="1"/>
    <n v="0.14000000000000001"/>
    <n v="1"/>
    <n v="0.14000000000000001"/>
    <x v="0"/>
  </r>
  <r>
    <s v="2019-20"/>
    <x v="2"/>
    <x v="26"/>
    <s v="L2"/>
    <m/>
    <s v="Spatial Narratives: Timeless and Experientially Engaging Architecture"/>
    <n v="5"/>
    <x v="0"/>
    <x v="4"/>
    <n v="-1"/>
    <n v="0.11"/>
    <n v="1"/>
    <n v="-0.11"/>
    <x v="0"/>
  </r>
  <r>
    <s v="2019-20"/>
    <x v="2"/>
    <x v="26"/>
    <s v="L2"/>
    <m/>
    <s v="Spatial Narratives: Timeless and Experientially Engaging Architecture"/>
    <n v="5"/>
    <x v="1"/>
    <x v="4"/>
    <n v="1"/>
    <n v="0.11"/>
    <n v="1"/>
    <n v="0.11"/>
    <x v="0"/>
  </r>
  <r>
    <s v="2019-20"/>
    <x v="2"/>
    <x v="26"/>
    <s v="L2"/>
    <m/>
    <s v="Spatial Narratives: Timeless and Experientially Engaging Architecture"/>
    <n v="6"/>
    <x v="0"/>
    <x v="5"/>
    <n v="-1"/>
    <n v="0.15"/>
    <n v="1"/>
    <n v="-0.15"/>
    <x v="0"/>
  </r>
  <r>
    <s v="2019-20"/>
    <x v="2"/>
    <x v="26"/>
    <s v="L2"/>
    <m/>
    <s v="Spatial Narratives: Timeless and Experientially Engaging Architecture"/>
    <n v="6"/>
    <x v="1"/>
    <x v="5"/>
    <n v="0"/>
    <n v="0.15"/>
    <n v="1"/>
    <n v="0"/>
    <x v="115"/>
  </r>
  <r>
    <s v="2019-20"/>
    <x v="2"/>
    <x v="26"/>
    <s v="L2"/>
    <m/>
    <s v="Spatial Narratives: Timeless and Experientially Engaging Architecture"/>
    <n v="7"/>
    <x v="0"/>
    <x v="6"/>
    <n v="-1"/>
    <n v="0.1"/>
    <n v="1"/>
    <n v="-0.1"/>
    <x v="0"/>
  </r>
  <r>
    <s v="2019-20"/>
    <x v="2"/>
    <x v="26"/>
    <s v="L2"/>
    <m/>
    <s v="Spatial Narratives: Timeless and Experientially Engaging Architecture"/>
    <n v="7"/>
    <x v="1"/>
    <x v="6"/>
    <n v="1"/>
    <n v="0.1"/>
    <n v="1"/>
    <n v="0.1"/>
    <x v="116"/>
  </r>
  <r>
    <s v="2019-20"/>
    <x v="2"/>
    <x v="26"/>
    <s v="L2"/>
    <m/>
    <s v="Spatial Narratives: Timeless and Experientially Engaging Architecture"/>
    <n v="8"/>
    <x v="0"/>
    <x v="7"/>
    <n v="0"/>
    <n v="0.1"/>
    <n v="1"/>
    <n v="0"/>
    <x v="0"/>
  </r>
  <r>
    <s v="2019-20"/>
    <x v="2"/>
    <x v="26"/>
    <s v="L2"/>
    <m/>
    <s v="Spatial Narratives: Timeless and Experientially Engaging Architecture"/>
    <n v="8"/>
    <x v="1"/>
    <x v="7"/>
    <n v="0"/>
    <n v="0.1"/>
    <n v="1"/>
    <n v="0"/>
    <x v="117"/>
  </r>
  <r>
    <s v="2019-20"/>
    <x v="2"/>
    <x v="26"/>
    <s v="L2"/>
    <m/>
    <s v="Spatial Narratives: Timeless and Experientially Engaging Architecture"/>
    <n v="9"/>
    <x v="0"/>
    <x v="8"/>
    <n v="0"/>
    <n v="0.05"/>
    <n v="0.85"/>
    <n v="0"/>
    <x v="0"/>
  </r>
  <r>
    <s v="2019-20"/>
    <x v="2"/>
    <x v="26"/>
    <s v="L2"/>
    <m/>
    <s v="Spatial Narratives: Timeless and Experientially Engaging Architecture"/>
    <n v="9"/>
    <x v="1"/>
    <x v="8"/>
    <n v="1"/>
    <n v="0.05"/>
    <n v="0.85"/>
    <n v="4.2500000000000003E-2"/>
    <x v="118"/>
  </r>
  <r>
    <s v="2019-20"/>
    <x v="2"/>
    <x v="26"/>
    <s v="L2"/>
    <m/>
    <s v="Spatial Narratives: Timeless and Experientially Engaging Architecture"/>
    <n v="10"/>
    <x v="0"/>
    <x v="8"/>
    <n v="0"/>
    <n v="0.05"/>
    <n v="0.85"/>
    <n v="0"/>
    <x v="0"/>
  </r>
  <r>
    <s v="2019-20"/>
    <x v="2"/>
    <x v="26"/>
    <s v="L2"/>
    <m/>
    <s v="Spatial Narratives: Timeless and Experientially Engaging Architecture"/>
    <n v="10"/>
    <x v="1"/>
    <x v="8"/>
    <n v="1"/>
    <n v="0.05"/>
    <n v="0.85"/>
    <n v="4.2500000000000003E-2"/>
    <x v="119"/>
  </r>
  <r>
    <s v="2019-20"/>
    <x v="2"/>
    <x v="26"/>
    <s v="L2"/>
    <m/>
    <s v="Spatial Narratives: Timeless and Experientially Engaging Architecture"/>
    <n v="11"/>
    <x v="0"/>
    <x v="9"/>
    <n v="-1"/>
    <n v="0.05"/>
    <n v="1"/>
    <n v="-0.05"/>
    <x v="0"/>
  </r>
  <r>
    <s v="2019-20"/>
    <x v="2"/>
    <x v="26"/>
    <s v="L2"/>
    <m/>
    <s v="Spatial Narratives: Timeless and Experientially Engaging Architecture"/>
    <n v="11"/>
    <x v="1"/>
    <x v="9"/>
    <n v="0"/>
    <n v="0.05"/>
    <n v="1"/>
    <n v="0"/>
    <x v="120"/>
  </r>
  <r>
    <s v="2019-20"/>
    <x v="2"/>
    <x v="27"/>
    <s v="L2"/>
    <s v="Planning and Orgnizing"/>
    <s v="The Joy of Architecture"/>
    <n v="1"/>
    <x v="0"/>
    <x v="0"/>
    <n v="1"/>
    <n v="0.12"/>
    <n v="1"/>
    <n v="0.12"/>
    <x v="0"/>
  </r>
  <r>
    <s v="2019-20"/>
    <x v="2"/>
    <x v="27"/>
    <s v="L2"/>
    <s v="Planning and Orgnizing"/>
    <s v="The Joy of Architecture"/>
    <n v="1"/>
    <x v="1"/>
    <x v="0"/>
    <n v="1"/>
    <n v="0.12"/>
    <n v="1"/>
    <n v="0.12"/>
    <x v="121"/>
  </r>
  <r>
    <s v="2019-20"/>
    <x v="2"/>
    <x v="27"/>
    <s v="L2"/>
    <s v="Planning and Orgnizing"/>
    <s v="The Joy of Architecture"/>
    <n v="2"/>
    <x v="0"/>
    <x v="1"/>
    <n v="0"/>
    <n v="0.08"/>
    <n v="0.8"/>
    <n v="0"/>
    <x v="0"/>
  </r>
  <r>
    <s v="2019-20"/>
    <x v="2"/>
    <x v="27"/>
    <s v="L2"/>
    <s v="Planning and Orgnizing"/>
    <s v="The Joy of Architecture"/>
    <n v="2"/>
    <x v="1"/>
    <x v="1"/>
    <n v="0"/>
    <n v="0.08"/>
    <n v="0.8"/>
    <n v="0"/>
    <x v="122"/>
  </r>
  <r>
    <s v="2019-20"/>
    <x v="2"/>
    <x v="27"/>
    <s v="L2"/>
    <s v="Planning and Orgnizing"/>
    <s v="The Joy of Architecture"/>
    <n v="3"/>
    <x v="0"/>
    <x v="2"/>
    <n v="1"/>
    <n v="0.05"/>
    <n v="1"/>
    <n v="0.05"/>
    <x v="0"/>
  </r>
  <r>
    <s v="2019-20"/>
    <x v="2"/>
    <x v="27"/>
    <s v="L2"/>
    <s v="Planning and Orgnizing"/>
    <s v="The Joy of Architecture"/>
    <n v="3"/>
    <x v="1"/>
    <x v="2"/>
    <n v="1"/>
    <n v="0.05"/>
    <n v="1"/>
    <n v="0.05"/>
    <x v="123"/>
  </r>
  <r>
    <s v="2019-20"/>
    <x v="2"/>
    <x v="27"/>
    <s v="L2"/>
    <s v="Planning and Orgnizing"/>
    <s v="The Joy of Architecture"/>
    <n v="4"/>
    <x v="0"/>
    <x v="3"/>
    <n v="0"/>
    <n v="0.14000000000000001"/>
    <n v="1"/>
    <n v="0"/>
    <x v="0"/>
  </r>
  <r>
    <s v="2019-20"/>
    <x v="2"/>
    <x v="27"/>
    <s v="L2"/>
    <s v="Planning and Orgnizing"/>
    <s v="The Joy of Architecture"/>
    <n v="4"/>
    <x v="1"/>
    <x v="3"/>
    <n v="1"/>
    <n v="0.14000000000000001"/>
    <n v="1"/>
    <n v="0.14000000000000001"/>
    <x v="124"/>
  </r>
  <r>
    <s v="2019-20"/>
    <x v="2"/>
    <x v="27"/>
    <s v="L2"/>
    <s v="Planning and Orgnizing"/>
    <s v="The Joy of Architecture"/>
    <n v="5"/>
    <x v="0"/>
    <x v="4"/>
    <n v="-1"/>
    <n v="0.11"/>
    <n v="1"/>
    <n v="-0.11"/>
    <x v="0"/>
  </r>
  <r>
    <s v="2019-20"/>
    <x v="2"/>
    <x v="27"/>
    <s v="L2"/>
    <s v="Planning and Orgnizing"/>
    <s v="The Joy of Architecture"/>
    <n v="5"/>
    <x v="1"/>
    <x v="4"/>
    <n v="0"/>
    <n v="0.11"/>
    <n v="1"/>
    <n v="0"/>
    <x v="125"/>
  </r>
  <r>
    <s v="2019-20"/>
    <x v="2"/>
    <x v="27"/>
    <s v="L2"/>
    <s v="Planning and Orgnizing"/>
    <s v="The Joy of Architecture"/>
    <n v="6"/>
    <x v="0"/>
    <x v="5"/>
    <n v="0"/>
    <n v="0.15"/>
    <n v="1"/>
    <n v="0"/>
    <x v="0"/>
  </r>
  <r>
    <s v="2019-20"/>
    <x v="2"/>
    <x v="27"/>
    <s v="L2"/>
    <s v="Planning and Orgnizing"/>
    <s v="The Joy of Architecture"/>
    <n v="6"/>
    <x v="1"/>
    <x v="5"/>
    <n v="0"/>
    <n v="0.15"/>
    <n v="1"/>
    <n v="0"/>
    <x v="126"/>
  </r>
  <r>
    <s v="2019-20"/>
    <x v="2"/>
    <x v="27"/>
    <s v="L2"/>
    <s v="Planning and Orgnizing"/>
    <s v="The Joy of Architecture"/>
    <n v="7"/>
    <x v="0"/>
    <x v="6"/>
    <n v="0"/>
    <n v="0.1"/>
    <n v="1"/>
    <n v="0"/>
    <x v="0"/>
  </r>
  <r>
    <s v="2019-20"/>
    <x v="2"/>
    <x v="27"/>
    <s v="L2"/>
    <s v="Planning and Orgnizing"/>
    <s v="The Joy of Architecture"/>
    <n v="7"/>
    <x v="1"/>
    <x v="6"/>
    <n v="0"/>
    <n v="0.1"/>
    <n v="1"/>
    <n v="0"/>
    <x v="127"/>
  </r>
  <r>
    <s v="2019-20"/>
    <x v="2"/>
    <x v="27"/>
    <s v="L2"/>
    <s v="Planning and Orgnizing"/>
    <s v="The Joy of Architecture"/>
    <n v="8"/>
    <x v="0"/>
    <x v="7"/>
    <n v="0"/>
    <n v="0.1"/>
    <n v="1"/>
    <n v="0"/>
    <x v="0"/>
  </r>
  <r>
    <s v="2019-20"/>
    <x v="2"/>
    <x v="27"/>
    <s v="L2"/>
    <s v="Planning and Orgnizing"/>
    <s v="The Joy of Architecture"/>
    <n v="8"/>
    <x v="1"/>
    <x v="7"/>
    <n v="0"/>
    <n v="0.1"/>
    <n v="1"/>
    <n v="0"/>
    <x v="128"/>
  </r>
  <r>
    <s v="2019-20"/>
    <x v="2"/>
    <x v="27"/>
    <s v="L2"/>
    <s v="Planning and Orgnizing"/>
    <s v="The Joy of Architecture"/>
    <n v="9"/>
    <x v="0"/>
    <x v="8"/>
    <n v="0"/>
    <n v="0.05"/>
    <n v="0.85"/>
    <n v="0"/>
    <x v="0"/>
  </r>
  <r>
    <s v="2019-20"/>
    <x v="2"/>
    <x v="27"/>
    <s v="L2"/>
    <s v="Planning and Orgnizing"/>
    <s v="The Joy of Architecture"/>
    <n v="9"/>
    <x v="1"/>
    <x v="8"/>
    <n v="0"/>
    <n v="0.05"/>
    <n v="0.85"/>
    <n v="0"/>
    <x v="0"/>
  </r>
  <r>
    <s v="2019-20"/>
    <x v="2"/>
    <x v="27"/>
    <s v="L2"/>
    <s v="Planning and Orgnizing"/>
    <s v="The Joy of Architecture"/>
    <n v="10"/>
    <x v="0"/>
    <x v="8"/>
    <n v="0"/>
    <n v="0.05"/>
    <n v="0.85"/>
    <n v="0"/>
    <x v="0"/>
  </r>
  <r>
    <s v="2019-20"/>
    <x v="2"/>
    <x v="27"/>
    <s v="L2"/>
    <s v="Planning and Orgnizing"/>
    <s v="The Joy of Architecture"/>
    <n v="10"/>
    <x v="1"/>
    <x v="8"/>
    <n v="0"/>
    <n v="0.05"/>
    <n v="0.85"/>
    <n v="0"/>
    <x v="129"/>
  </r>
  <r>
    <s v="2019-20"/>
    <x v="2"/>
    <x v="27"/>
    <s v="L2"/>
    <s v="Planning and Orgnizing"/>
    <s v="The Joy of Architecture"/>
    <n v="11"/>
    <x v="0"/>
    <x v="9"/>
    <n v="-1"/>
    <n v="0.05"/>
    <n v="1"/>
    <n v="-0.05"/>
    <x v="0"/>
  </r>
  <r>
    <s v="2019-20"/>
    <x v="2"/>
    <x v="27"/>
    <s v="L2"/>
    <s v="Planning and Orgnizing"/>
    <s v="The Joy of Architecture"/>
    <n v="11"/>
    <x v="1"/>
    <x v="9"/>
    <n v="-1"/>
    <n v="0.05"/>
    <n v="1"/>
    <n v="-0.05"/>
    <x v="130"/>
  </r>
  <r>
    <s v="2019-20"/>
    <x v="2"/>
    <x v="28"/>
    <s v="L2"/>
    <m/>
    <s v="Climate Responsive Architecture"/>
    <n v="1"/>
    <x v="0"/>
    <x v="0"/>
    <n v="1"/>
    <n v="0.12"/>
    <n v="1"/>
    <n v="0.12"/>
    <x v="0"/>
  </r>
  <r>
    <s v="2019-20"/>
    <x v="2"/>
    <x v="28"/>
    <s v="L2"/>
    <m/>
    <s v="Climate Responsive Architecture"/>
    <n v="1"/>
    <x v="1"/>
    <x v="0"/>
    <n v="1"/>
    <n v="0.12"/>
    <n v="1"/>
    <n v="0.12"/>
    <x v="0"/>
  </r>
  <r>
    <s v="2019-20"/>
    <x v="2"/>
    <x v="28"/>
    <s v="L2"/>
    <m/>
    <s v="Climate Responsive Architecture"/>
    <n v="2"/>
    <x v="0"/>
    <x v="1"/>
    <n v="1"/>
    <n v="0.08"/>
    <n v="0.8"/>
    <n v="6.4000000000000001E-2"/>
    <x v="0"/>
  </r>
  <r>
    <s v="2019-20"/>
    <x v="2"/>
    <x v="28"/>
    <s v="L2"/>
    <m/>
    <s v="Climate Responsive Architecture"/>
    <n v="2"/>
    <x v="1"/>
    <x v="1"/>
    <n v="1"/>
    <n v="0.08"/>
    <n v="0.8"/>
    <n v="6.4000000000000001E-2"/>
    <x v="131"/>
  </r>
  <r>
    <s v="2019-20"/>
    <x v="2"/>
    <x v="28"/>
    <s v="L2"/>
    <m/>
    <s v="Climate Responsive Architecture"/>
    <n v="3"/>
    <x v="0"/>
    <x v="2"/>
    <n v="1"/>
    <n v="0.05"/>
    <n v="1"/>
    <n v="0.05"/>
    <x v="0"/>
  </r>
  <r>
    <s v="2019-20"/>
    <x v="2"/>
    <x v="28"/>
    <s v="L2"/>
    <m/>
    <s v="Climate Responsive Architecture"/>
    <n v="3"/>
    <x v="1"/>
    <x v="2"/>
    <n v="1"/>
    <n v="0.05"/>
    <n v="1"/>
    <n v="0.05"/>
    <x v="0"/>
  </r>
  <r>
    <s v="2019-20"/>
    <x v="2"/>
    <x v="28"/>
    <s v="L2"/>
    <m/>
    <s v="Climate Responsive Architecture"/>
    <n v="4"/>
    <x v="0"/>
    <x v="3"/>
    <n v="1"/>
    <n v="0.14000000000000001"/>
    <n v="1"/>
    <n v="0.14000000000000001"/>
    <x v="0"/>
  </r>
  <r>
    <s v="2019-20"/>
    <x v="2"/>
    <x v="28"/>
    <s v="L2"/>
    <m/>
    <s v="Climate Responsive Architecture"/>
    <n v="4"/>
    <x v="1"/>
    <x v="3"/>
    <n v="1"/>
    <n v="0.14000000000000001"/>
    <n v="1"/>
    <n v="0.14000000000000001"/>
    <x v="132"/>
  </r>
  <r>
    <s v="2019-20"/>
    <x v="2"/>
    <x v="28"/>
    <s v="L2"/>
    <m/>
    <s v="Climate Responsive Architecture"/>
    <n v="5"/>
    <x v="0"/>
    <x v="4"/>
    <n v="0"/>
    <n v="0.11"/>
    <n v="1"/>
    <n v="0"/>
    <x v="0"/>
  </r>
  <r>
    <s v="2019-20"/>
    <x v="2"/>
    <x v="28"/>
    <s v="L2"/>
    <m/>
    <s v="Climate Responsive Architecture"/>
    <n v="5"/>
    <x v="1"/>
    <x v="4"/>
    <n v="1"/>
    <n v="0.11"/>
    <n v="1"/>
    <n v="0.11"/>
    <x v="133"/>
  </r>
  <r>
    <s v="2019-20"/>
    <x v="2"/>
    <x v="28"/>
    <s v="L2"/>
    <m/>
    <s v="Climate Responsive Architecture"/>
    <n v="6"/>
    <x v="0"/>
    <x v="5"/>
    <n v="0"/>
    <n v="0.15"/>
    <n v="1"/>
    <n v="0"/>
    <x v="0"/>
  </r>
  <r>
    <s v="2019-20"/>
    <x v="2"/>
    <x v="28"/>
    <s v="L2"/>
    <m/>
    <s v="Climate Responsive Architecture"/>
    <n v="6"/>
    <x v="1"/>
    <x v="5"/>
    <n v="0"/>
    <n v="0.15"/>
    <n v="1"/>
    <n v="0"/>
    <x v="134"/>
  </r>
  <r>
    <s v="2019-20"/>
    <x v="2"/>
    <x v="28"/>
    <s v="L2"/>
    <m/>
    <s v="Climate Responsive Architecture"/>
    <n v="7"/>
    <x v="0"/>
    <x v="6"/>
    <n v="0"/>
    <n v="0.1"/>
    <n v="1"/>
    <n v="0"/>
    <x v="0"/>
  </r>
  <r>
    <s v="2019-20"/>
    <x v="2"/>
    <x v="28"/>
    <s v="L2"/>
    <m/>
    <s v="Climate Responsive Architecture"/>
    <n v="7"/>
    <x v="1"/>
    <x v="6"/>
    <n v="1"/>
    <n v="0.1"/>
    <n v="1"/>
    <n v="0.1"/>
    <x v="135"/>
  </r>
  <r>
    <s v="2019-20"/>
    <x v="2"/>
    <x v="28"/>
    <s v="L2"/>
    <m/>
    <s v="Climate Responsive Architecture"/>
    <n v="8"/>
    <x v="0"/>
    <x v="7"/>
    <n v="1"/>
    <n v="0.1"/>
    <n v="1"/>
    <n v="0.1"/>
    <x v="0"/>
  </r>
  <r>
    <s v="2019-20"/>
    <x v="2"/>
    <x v="28"/>
    <s v="L2"/>
    <m/>
    <s v="Climate Responsive Architecture"/>
    <n v="8"/>
    <x v="1"/>
    <x v="7"/>
    <n v="1"/>
    <n v="0.1"/>
    <n v="1"/>
    <n v="0.1"/>
    <x v="136"/>
  </r>
  <r>
    <s v="2019-20"/>
    <x v="2"/>
    <x v="28"/>
    <s v="L2"/>
    <m/>
    <s v="Climate Responsive Architecture"/>
    <n v="9"/>
    <x v="0"/>
    <x v="8"/>
    <n v="0"/>
    <n v="0.05"/>
    <n v="0.85"/>
    <n v="0"/>
    <x v="0"/>
  </r>
  <r>
    <s v="2019-20"/>
    <x v="2"/>
    <x v="28"/>
    <s v="L2"/>
    <m/>
    <s v="Climate Responsive Architecture"/>
    <n v="9"/>
    <x v="1"/>
    <x v="8"/>
    <n v="1"/>
    <n v="0.05"/>
    <n v="0.85"/>
    <n v="4.2500000000000003E-2"/>
    <x v="137"/>
  </r>
  <r>
    <s v="2019-20"/>
    <x v="2"/>
    <x v="28"/>
    <s v="L2"/>
    <m/>
    <s v="Climate Responsive Architecture"/>
    <n v="10"/>
    <x v="0"/>
    <x v="8"/>
    <n v="1"/>
    <n v="0.05"/>
    <n v="0.85"/>
    <n v="4.2500000000000003E-2"/>
    <x v="0"/>
  </r>
  <r>
    <s v="2019-20"/>
    <x v="2"/>
    <x v="28"/>
    <s v="L2"/>
    <m/>
    <s v="Climate Responsive Architecture"/>
    <n v="10"/>
    <x v="1"/>
    <x v="8"/>
    <n v="1"/>
    <n v="0.05"/>
    <n v="0.85"/>
    <n v="4.2500000000000003E-2"/>
    <x v="137"/>
  </r>
  <r>
    <s v="2019-20"/>
    <x v="2"/>
    <x v="28"/>
    <s v="L2"/>
    <m/>
    <s v="Climate Responsive Architecture"/>
    <n v="11"/>
    <x v="0"/>
    <x v="9"/>
    <n v="-1"/>
    <n v="0.05"/>
    <n v="1"/>
    <n v="-0.05"/>
    <x v="0"/>
  </r>
  <r>
    <s v="2019-20"/>
    <x v="2"/>
    <x v="28"/>
    <s v="L2"/>
    <m/>
    <s v="Climate Responsive Architecture"/>
    <n v="11"/>
    <x v="1"/>
    <x v="9"/>
    <n v="1"/>
    <n v="0.05"/>
    <n v="1"/>
    <n v="0.05"/>
    <x v="138"/>
  </r>
  <r>
    <s v="2019-20"/>
    <x v="2"/>
    <x v="14"/>
    <s v="L3"/>
    <m/>
    <s v="Oikopolis: Attack of the Clones"/>
    <n v="1"/>
    <x v="0"/>
    <x v="0"/>
    <n v="0"/>
    <n v="0.12"/>
    <n v="1"/>
    <n v="0"/>
    <x v="0"/>
  </r>
  <r>
    <s v="2019-20"/>
    <x v="2"/>
    <x v="14"/>
    <s v="L3"/>
    <m/>
    <s v="Oikopolis: Attack of the Clones"/>
    <n v="1"/>
    <x v="1"/>
    <x v="0"/>
    <n v="1"/>
    <n v="0.12"/>
    <n v="1"/>
    <n v="0.12"/>
    <x v="139"/>
  </r>
  <r>
    <s v="2019-20"/>
    <x v="2"/>
    <x v="14"/>
    <s v="L3"/>
    <m/>
    <s v="Oikopolis: Attack of the Clones"/>
    <n v="2"/>
    <x v="0"/>
    <x v="1"/>
    <n v="0"/>
    <n v="0.08"/>
    <n v="0.8"/>
    <n v="0"/>
    <x v="0"/>
  </r>
  <r>
    <s v="2019-20"/>
    <x v="2"/>
    <x v="14"/>
    <s v="L3"/>
    <m/>
    <s v="Oikopolis: Attack of the Clones"/>
    <n v="2"/>
    <x v="1"/>
    <x v="1"/>
    <n v="1"/>
    <n v="0.08"/>
    <n v="0.8"/>
    <n v="6.4000000000000001E-2"/>
    <x v="140"/>
  </r>
  <r>
    <s v="2019-20"/>
    <x v="2"/>
    <x v="14"/>
    <s v="L3"/>
    <m/>
    <s v="Oikopolis: Attack of the Clones"/>
    <n v="3"/>
    <x v="0"/>
    <x v="2"/>
    <n v="1"/>
    <n v="0.05"/>
    <n v="1"/>
    <n v="0.05"/>
    <x v="0"/>
  </r>
  <r>
    <s v="2019-20"/>
    <x v="2"/>
    <x v="14"/>
    <s v="L3"/>
    <m/>
    <s v="Oikopolis: Attack of the Clones"/>
    <n v="3"/>
    <x v="1"/>
    <x v="2"/>
    <n v="1"/>
    <n v="0.05"/>
    <n v="1"/>
    <n v="0.05"/>
    <x v="0"/>
  </r>
  <r>
    <s v="2019-20"/>
    <x v="2"/>
    <x v="14"/>
    <s v="L3"/>
    <m/>
    <s v="Oikopolis: Attack of the Clones"/>
    <n v="4"/>
    <x v="0"/>
    <x v="3"/>
    <n v="0"/>
    <n v="0.14000000000000001"/>
    <n v="1"/>
    <n v="0"/>
    <x v="0"/>
  </r>
  <r>
    <s v="2019-20"/>
    <x v="2"/>
    <x v="14"/>
    <s v="L3"/>
    <m/>
    <s v="Oikopolis: Attack of the Clones"/>
    <n v="4"/>
    <x v="1"/>
    <x v="3"/>
    <n v="1"/>
    <n v="0.14000000000000001"/>
    <n v="1"/>
    <n v="0.14000000000000001"/>
    <x v="141"/>
  </r>
  <r>
    <s v="2019-20"/>
    <x v="2"/>
    <x v="14"/>
    <s v="L3"/>
    <m/>
    <s v="Oikopolis: Attack of the Clones"/>
    <n v="5"/>
    <x v="0"/>
    <x v="4"/>
    <n v="-1"/>
    <n v="0.11"/>
    <n v="1"/>
    <n v="-0.11"/>
    <x v="0"/>
  </r>
  <r>
    <s v="2019-20"/>
    <x v="2"/>
    <x v="14"/>
    <s v="L3"/>
    <m/>
    <s v="Oikopolis: Attack of the Clones"/>
    <n v="5"/>
    <x v="1"/>
    <x v="4"/>
    <n v="0"/>
    <n v="0.11"/>
    <n v="1"/>
    <n v="0"/>
    <x v="142"/>
  </r>
  <r>
    <s v="2019-20"/>
    <x v="2"/>
    <x v="14"/>
    <s v="L3"/>
    <m/>
    <s v="Oikopolis: Attack of the Clones"/>
    <n v="6"/>
    <x v="0"/>
    <x v="5"/>
    <n v="-1"/>
    <n v="0.15"/>
    <n v="1"/>
    <n v="-0.15"/>
    <x v="0"/>
  </r>
  <r>
    <s v="2019-20"/>
    <x v="2"/>
    <x v="14"/>
    <s v="L3"/>
    <m/>
    <s v="Oikopolis: Attack of the Clones"/>
    <n v="6"/>
    <x v="1"/>
    <x v="5"/>
    <n v="0"/>
    <n v="0.15"/>
    <n v="1"/>
    <n v="0"/>
    <x v="143"/>
  </r>
  <r>
    <s v="2019-20"/>
    <x v="2"/>
    <x v="14"/>
    <s v="L3"/>
    <m/>
    <s v="Oikopolis: Attack of the Clones"/>
    <n v="7"/>
    <x v="0"/>
    <x v="6"/>
    <n v="0"/>
    <n v="0.1"/>
    <n v="1"/>
    <n v="0"/>
    <x v="0"/>
  </r>
  <r>
    <s v="2019-20"/>
    <x v="2"/>
    <x v="14"/>
    <s v="L3"/>
    <m/>
    <s v="Oikopolis: Attack of the Clones"/>
    <n v="7"/>
    <x v="1"/>
    <x v="6"/>
    <n v="0"/>
    <n v="0.1"/>
    <n v="1"/>
    <n v="0"/>
    <x v="0"/>
  </r>
  <r>
    <s v="2019-20"/>
    <x v="2"/>
    <x v="14"/>
    <s v="L3"/>
    <m/>
    <s v="Oikopolis: Attack of the Clones"/>
    <n v="8"/>
    <x v="0"/>
    <x v="7"/>
    <n v="0"/>
    <n v="0.1"/>
    <n v="1"/>
    <n v="0"/>
    <x v="0"/>
  </r>
  <r>
    <s v="2019-20"/>
    <x v="2"/>
    <x v="14"/>
    <s v="L3"/>
    <m/>
    <s v="Oikopolis: Attack of the Clones"/>
    <n v="8"/>
    <x v="1"/>
    <x v="7"/>
    <n v="0"/>
    <n v="0.1"/>
    <n v="1"/>
    <n v="0"/>
    <x v="0"/>
  </r>
  <r>
    <s v="2019-20"/>
    <x v="2"/>
    <x v="14"/>
    <s v="L3"/>
    <m/>
    <s v="Oikopolis: Attack of the Clones"/>
    <n v="9"/>
    <x v="0"/>
    <x v="8"/>
    <n v="-1"/>
    <n v="0.05"/>
    <n v="0.85"/>
    <n v="-4.2500000000000003E-2"/>
    <x v="0"/>
  </r>
  <r>
    <s v="2019-20"/>
    <x v="2"/>
    <x v="14"/>
    <s v="L3"/>
    <m/>
    <s v="Oikopolis: Attack of the Clones"/>
    <n v="9"/>
    <x v="1"/>
    <x v="8"/>
    <n v="1"/>
    <n v="0.05"/>
    <n v="0.85"/>
    <n v="4.2500000000000003E-2"/>
    <x v="0"/>
  </r>
  <r>
    <s v="2019-20"/>
    <x v="2"/>
    <x v="14"/>
    <s v="L3"/>
    <m/>
    <s v="Oikopolis: Attack of the Clones"/>
    <n v="10"/>
    <x v="0"/>
    <x v="8"/>
    <n v="-1"/>
    <n v="0.05"/>
    <n v="0.85"/>
    <n v="-4.2500000000000003E-2"/>
    <x v="0"/>
  </r>
  <r>
    <s v="2019-20"/>
    <x v="2"/>
    <x v="14"/>
    <s v="L3"/>
    <m/>
    <s v="Oikopolis: Attack of the Clones"/>
    <n v="10"/>
    <x v="1"/>
    <x v="8"/>
    <n v="1"/>
    <n v="0.05"/>
    <n v="0.85"/>
    <n v="4.2500000000000003E-2"/>
    <x v="0"/>
  </r>
  <r>
    <s v="2019-20"/>
    <x v="2"/>
    <x v="14"/>
    <s v="L3"/>
    <m/>
    <s v="Oikopolis: Attack of the Clones"/>
    <n v="11"/>
    <x v="0"/>
    <x v="9"/>
    <n v="-1"/>
    <n v="0.05"/>
    <n v="1"/>
    <n v="-0.05"/>
    <x v="0"/>
  </r>
  <r>
    <s v="2019-20"/>
    <x v="2"/>
    <x v="14"/>
    <s v="L3"/>
    <m/>
    <s v="Oikopolis: Attack of the Clones"/>
    <n v="11"/>
    <x v="1"/>
    <x v="9"/>
    <n v="0"/>
    <n v="0.05"/>
    <n v="1"/>
    <n v="0"/>
    <x v="0"/>
  </r>
  <r>
    <s v="2019-20"/>
    <x v="2"/>
    <x v="20"/>
    <s v="L3"/>
    <m/>
    <s v="Terrain-Vague Bricolage | Herbarium in an abandoned quarry at Champaner"/>
    <n v="1"/>
    <x v="0"/>
    <x v="0"/>
    <n v="1"/>
    <n v="0.12"/>
    <n v="1"/>
    <n v="0.12"/>
    <x v="0"/>
  </r>
  <r>
    <s v="2019-20"/>
    <x v="2"/>
    <x v="20"/>
    <s v="L3"/>
    <m/>
    <s v="Terrain-Vague Bricolage | Herbarium in an abandoned quarry at Champaner"/>
    <n v="1"/>
    <x v="1"/>
    <x v="0"/>
    <n v="-1"/>
    <n v="0.12"/>
    <n v="1"/>
    <n v="-0.12"/>
    <x v="0"/>
  </r>
  <r>
    <s v="2019-20"/>
    <x v="2"/>
    <x v="20"/>
    <s v="L3"/>
    <m/>
    <s v="Terrain-Vague Bricolage | Herbarium in an abandoned quarry at Champaner"/>
    <n v="2"/>
    <x v="0"/>
    <x v="1"/>
    <n v="1"/>
    <n v="0.08"/>
    <n v="0.8"/>
    <n v="6.4000000000000001E-2"/>
    <x v="0"/>
  </r>
  <r>
    <s v="2019-20"/>
    <x v="2"/>
    <x v="20"/>
    <s v="L3"/>
    <m/>
    <s v="Terrain-Vague Bricolage | Herbarium in an abandoned quarry at Champaner"/>
    <n v="2"/>
    <x v="1"/>
    <x v="1"/>
    <n v="-1"/>
    <n v="0.08"/>
    <n v="0.8"/>
    <n v="-6.4000000000000001E-2"/>
    <x v="144"/>
  </r>
  <r>
    <s v="2019-20"/>
    <x v="2"/>
    <x v="20"/>
    <s v="L3"/>
    <m/>
    <s v="Terrain-Vague Bricolage | Herbarium in an abandoned quarry at Champaner"/>
    <n v="3"/>
    <x v="0"/>
    <x v="2"/>
    <n v="1"/>
    <n v="0.05"/>
    <n v="1"/>
    <n v="0.05"/>
    <x v="0"/>
  </r>
  <r>
    <s v="2019-20"/>
    <x v="2"/>
    <x v="20"/>
    <s v="L3"/>
    <m/>
    <s v="Terrain-Vague Bricolage | Herbarium in an abandoned quarry at Champaner"/>
    <n v="3"/>
    <x v="1"/>
    <x v="2"/>
    <n v="0"/>
    <n v="0.05"/>
    <n v="1"/>
    <n v="0"/>
    <x v="0"/>
  </r>
  <r>
    <s v="2019-20"/>
    <x v="2"/>
    <x v="20"/>
    <s v="L3"/>
    <m/>
    <s v="Terrain-Vague Bricolage | Herbarium in an abandoned quarry at Champaner"/>
    <n v="4"/>
    <x v="0"/>
    <x v="3"/>
    <n v="0"/>
    <n v="0.14000000000000001"/>
    <n v="1"/>
    <n v="0"/>
    <x v="0"/>
  </r>
  <r>
    <s v="2019-20"/>
    <x v="2"/>
    <x v="20"/>
    <s v="L3"/>
    <m/>
    <s v="Terrain-Vague Bricolage | Herbarium in an abandoned quarry at Champaner"/>
    <n v="4"/>
    <x v="1"/>
    <x v="3"/>
    <n v="0"/>
    <n v="0.14000000000000001"/>
    <n v="1"/>
    <n v="0"/>
    <x v="145"/>
  </r>
  <r>
    <s v="2019-20"/>
    <x v="2"/>
    <x v="20"/>
    <s v="L3"/>
    <m/>
    <s v="Terrain-Vague Bricolage | Herbarium in an abandoned quarry at Champaner"/>
    <n v="5"/>
    <x v="0"/>
    <x v="4"/>
    <n v="0"/>
    <n v="0.11"/>
    <n v="1"/>
    <n v="0"/>
    <x v="0"/>
  </r>
  <r>
    <s v="2019-20"/>
    <x v="2"/>
    <x v="20"/>
    <s v="L3"/>
    <m/>
    <s v="Terrain-Vague Bricolage | Herbarium in an abandoned quarry at Champaner"/>
    <n v="5"/>
    <x v="1"/>
    <x v="4"/>
    <n v="-1"/>
    <n v="0.11"/>
    <n v="1"/>
    <n v="-0.11"/>
    <x v="0"/>
  </r>
  <r>
    <s v="2019-20"/>
    <x v="2"/>
    <x v="20"/>
    <s v="L3"/>
    <m/>
    <s v="Terrain-Vague Bricolage | Herbarium in an abandoned quarry at Champaner"/>
    <n v="6"/>
    <x v="0"/>
    <x v="5"/>
    <n v="0"/>
    <n v="0.15"/>
    <n v="1"/>
    <n v="0"/>
    <x v="0"/>
  </r>
  <r>
    <s v="2019-20"/>
    <x v="2"/>
    <x v="20"/>
    <s v="L3"/>
    <m/>
    <s v="Terrain-Vague Bricolage | Herbarium in an abandoned quarry at Champaner"/>
    <n v="6"/>
    <x v="1"/>
    <x v="5"/>
    <n v="0"/>
    <n v="0.15"/>
    <n v="1"/>
    <n v="0"/>
    <x v="0"/>
  </r>
  <r>
    <s v="2019-20"/>
    <x v="2"/>
    <x v="20"/>
    <s v="L3"/>
    <m/>
    <s v="Terrain-Vague Bricolage | Herbarium in an abandoned quarry at Champaner"/>
    <n v="7"/>
    <x v="0"/>
    <x v="6"/>
    <n v="0"/>
    <n v="0.1"/>
    <n v="1"/>
    <n v="0"/>
    <x v="0"/>
  </r>
  <r>
    <s v="2019-20"/>
    <x v="2"/>
    <x v="20"/>
    <s v="L3"/>
    <m/>
    <s v="Terrain-Vague Bricolage | Herbarium in an abandoned quarry at Champaner"/>
    <n v="7"/>
    <x v="1"/>
    <x v="6"/>
    <n v="0"/>
    <n v="0.1"/>
    <n v="1"/>
    <n v="0"/>
    <x v="0"/>
  </r>
  <r>
    <s v="2019-20"/>
    <x v="2"/>
    <x v="20"/>
    <s v="L3"/>
    <m/>
    <s v="Terrain-Vague Bricolage | Herbarium in an abandoned quarry at Champaner"/>
    <n v="8"/>
    <x v="0"/>
    <x v="7"/>
    <n v="0"/>
    <n v="0.1"/>
    <n v="1"/>
    <n v="0"/>
    <x v="0"/>
  </r>
  <r>
    <s v="2019-20"/>
    <x v="2"/>
    <x v="20"/>
    <s v="L3"/>
    <m/>
    <s v="Terrain-Vague Bricolage | Herbarium in an abandoned quarry at Champaner"/>
    <n v="8"/>
    <x v="1"/>
    <x v="7"/>
    <n v="0"/>
    <n v="0.1"/>
    <n v="1"/>
    <n v="0"/>
    <x v="0"/>
  </r>
  <r>
    <s v="2019-20"/>
    <x v="2"/>
    <x v="20"/>
    <s v="L3"/>
    <m/>
    <s v="Terrain-Vague Bricolage | Herbarium in an abandoned quarry at Champaner"/>
    <n v="9"/>
    <x v="0"/>
    <x v="8"/>
    <n v="0"/>
    <n v="0.05"/>
    <n v="0.85"/>
    <n v="0"/>
    <x v="0"/>
  </r>
  <r>
    <s v="2019-20"/>
    <x v="2"/>
    <x v="20"/>
    <s v="L3"/>
    <m/>
    <s v="Terrain-Vague Bricolage | Herbarium in an abandoned quarry at Champaner"/>
    <n v="9"/>
    <x v="1"/>
    <x v="8"/>
    <n v="0"/>
    <n v="0.05"/>
    <n v="0.85"/>
    <n v="0"/>
    <x v="0"/>
  </r>
  <r>
    <s v="2019-20"/>
    <x v="2"/>
    <x v="20"/>
    <s v="L3"/>
    <m/>
    <s v="Terrain-Vague Bricolage | Herbarium in an abandoned quarry at Champaner"/>
    <n v="10"/>
    <x v="0"/>
    <x v="8"/>
    <n v="0"/>
    <n v="0.05"/>
    <n v="0.85"/>
    <n v="0"/>
    <x v="0"/>
  </r>
  <r>
    <s v="2019-20"/>
    <x v="2"/>
    <x v="20"/>
    <s v="L3"/>
    <m/>
    <s v="Terrain-Vague Bricolage | Herbarium in an abandoned quarry at Champaner"/>
    <n v="10"/>
    <x v="1"/>
    <x v="8"/>
    <n v="0"/>
    <n v="0.05"/>
    <n v="0.85"/>
    <n v="0"/>
    <x v="0"/>
  </r>
  <r>
    <s v="2019-20"/>
    <x v="2"/>
    <x v="20"/>
    <s v="L3"/>
    <m/>
    <s v="Terrain-Vague Bricolage | Herbarium in an abandoned quarry at Champaner"/>
    <n v="11"/>
    <x v="0"/>
    <x v="9"/>
    <n v="-1"/>
    <n v="0.05"/>
    <n v="1"/>
    <n v="-0.05"/>
    <x v="0"/>
  </r>
  <r>
    <s v="2019-20"/>
    <x v="2"/>
    <x v="20"/>
    <s v="L3"/>
    <m/>
    <s v="Terrain-Vague Bricolage | Herbarium in an abandoned quarry at Champaner"/>
    <n v="11"/>
    <x v="1"/>
    <x v="9"/>
    <n v="-1"/>
    <n v="0.05"/>
    <n v="1"/>
    <n v="-0.05"/>
    <x v="146"/>
  </r>
  <r>
    <s v="2019-20"/>
    <x v="2"/>
    <x v="29"/>
    <s v="L3"/>
    <m/>
    <s v="Narratives in Architecture"/>
    <n v="1"/>
    <x v="0"/>
    <x v="0"/>
    <n v="1"/>
    <n v="0.12"/>
    <n v="1"/>
    <n v="0.12"/>
    <x v="0"/>
  </r>
  <r>
    <s v="2019-20"/>
    <x v="2"/>
    <x v="29"/>
    <s v="L3"/>
    <m/>
    <s v="Narratives in Architecture"/>
    <n v="1"/>
    <x v="1"/>
    <x v="0"/>
    <n v="1"/>
    <n v="0.12"/>
    <n v="1"/>
    <n v="0.12"/>
    <x v="0"/>
  </r>
  <r>
    <s v="2019-20"/>
    <x v="2"/>
    <x v="29"/>
    <s v="L3"/>
    <m/>
    <s v="Narratives in Architecture"/>
    <n v="2"/>
    <x v="0"/>
    <x v="1"/>
    <n v="1"/>
    <n v="0.08"/>
    <n v="0.8"/>
    <n v="6.4000000000000001E-2"/>
    <x v="0"/>
  </r>
  <r>
    <s v="2019-20"/>
    <x v="2"/>
    <x v="29"/>
    <s v="L3"/>
    <m/>
    <s v="Narratives in Architecture"/>
    <n v="2"/>
    <x v="1"/>
    <x v="1"/>
    <n v="1"/>
    <n v="0.08"/>
    <n v="0.8"/>
    <n v="6.4000000000000001E-2"/>
    <x v="0"/>
  </r>
  <r>
    <s v="2019-20"/>
    <x v="2"/>
    <x v="29"/>
    <s v="L3"/>
    <m/>
    <s v="Narratives in Architecture"/>
    <n v="3"/>
    <x v="0"/>
    <x v="2"/>
    <n v="1"/>
    <n v="0.05"/>
    <n v="1"/>
    <n v="0.05"/>
    <x v="0"/>
  </r>
  <r>
    <s v="2019-20"/>
    <x v="2"/>
    <x v="29"/>
    <s v="L3"/>
    <m/>
    <s v="Narratives in Architecture"/>
    <n v="3"/>
    <x v="1"/>
    <x v="2"/>
    <n v="1"/>
    <n v="0.05"/>
    <n v="1"/>
    <n v="0.05"/>
    <x v="0"/>
  </r>
  <r>
    <s v="2019-20"/>
    <x v="2"/>
    <x v="29"/>
    <s v="L3"/>
    <m/>
    <s v="Narratives in Architecture"/>
    <n v="4"/>
    <x v="0"/>
    <x v="3"/>
    <n v="0"/>
    <n v="0.14000000000000001"/>
    <n v="1"/>
    <n v="0"/>
    <x v="0"/>
  </r>
  <r>
    <s v="2019-20"/>
    <x v="2"/>
    <x v="29"/>
    <s v="L3"/>
    <m/>
    <s v="Narratives in Architecture"/>
    <n v="4"/>
    <x v="1"/>
    <x v="3"/>
    <n v="0"/>
    <n v="0.14000000000000001"/>
    <n v="1"/>
    <n v="0"/>
    <x v="147"/>
  </r>
  <r>
    <s v="2019-20"/>
    <x v="2"/>
    <x v="29"/>
    <s v="L3"/>
    <m/>
    <s v="Narratives in Architecture"/>
    <n v="5"/>
    <x v="0"/>
    <x v="4"/>
    <n v="0"/>
    <n v="0.11"/>
    <n v="1"/>
    <n v="0"/>
    <x v="0"/>
  </r>
  <r>
    <s v="2019-20"/>
    <x v="2"/>
    <x v="29"/>
    <s v="L3"/>
    <m/>
    <s v="Narratives in Architecture"/>
    <n v="5"/>
    <x v="1"/>
    <x v="4"/>
    <n v="1"/>
    <n v="0.11"/>
    <n v="1"/>
    <n v="0.11"/>
    <x v="0"/>
  </r>
  <r>
    <s v="2019-20"/>
    <x v="2"/>
    <x v="29"/>
    <s v="L3"/>
    <m/>
    <s v="Narratives in Architecture"/>
    <n v="6"/>
    <x v="0"/>
    <x v="5"/>
    <n v="1"/>
    <n v="0.15"/>
    <n v="1"/>
    <n v="0.15"/>
    <x v="0"/>
  </r>
  <r>
    <s v="2019-20"/>
    <x v="2"/>
    <x v="29"/>
    <s v="L3"/>
    <m/>
    <s v="Narratives in Architecture"/>
    <n v="6"/>
    <x v="1"/>
    <x v="5"/>
    <n v="1"/>
    <n v="0.15"/>
    <n v="1"/>
    <n v="0.15"/>
    <x v="0"/>
  </r>
  <r>
    <s v="2019-20"/>
    <x v="2"/>
    <x v="29"/>
    <s v="L3"/>
    <m/>
    <s v="Narratives in Architecture"/>
    <n v="7"/>
    <x v="0"/>
    <x v="6"/>
    <n v="0"/>
    <n v="0.1"/>
    <n v="1"/>
    <n v="0"/>
    <x v="0"/>
  </r>
  <r>
    <s v="2019-20"/>
    <x v="2"/>
    <x v="29"/>
    <s v="L3"/>
    <m/>
    <s v="Narratives in Architecture"/>
    <n v="7"/>
    <x v="1"/>
    <x v="6"/>
    <n v="1"/>
    <n v="0.1"/>
    <n v="1"/>
    <n v="0.1"/>
    <x v="0"/>
  </r>
  <r>
    <s v="2019-20"/>
    <x v="2"/>
    <x v="29"/>
    <s v="L3"/>
    <m/>
    <s v="Narratives in Architecture"/>
    <n v="8"/>
    <x v="0"/>
    <x v="7"/>
    <n v="0"/>
    <n v="0.1"/>
    <n v="1"/>
    <n v="0"/>
    <x v="0"/>
  </r>
  <r>
    <s v="2019-20"/>
    <x v="2"/>
    <x v="29"/>
    <s v="L3"/>
    <m/>
    <s v="Narratives in Architecture"/>
    <n v="8"/>
    <x v="1"/>
    <x v="7"/>
    <n v="1"/>
    <n v="0.1"/>
    <n v="1"/>
    <n v="0.1"/>
    <x v="0"/>
  </r>
  <r>
    <s v="2019-20"/>
    <x v="2"/>
    <x v="29"/>
    <s v="L3"/>
    <m/>
    <s v="Narratives in Architecture"/>
    <n v="9"/>
    <x v="0"/>
    <x v="8"/>
    <n v="1"/>
    <n v="0.05"/>
    <n v="0.85"/>
    <n v="4.2500000000000003E-2"/>
    <x v="0"/>
  </r>
  <r>
    <s v="2019-20"/>
    <x v="2"/>
    <x v="29"/>
    <s v="L3"/>
    <m/>
    <s v="Narratives in Architecture"/>
    <n v="9"/>
    <x v="1"/>
    <x v="8"/>
    <n v="1"/>
    <n v="0.05"/>
    <n v="0.85"/>
    <n v="4.2500000000000003E-2"/>
    <x v="148"/>
  </r>
  <r>
    <s v="2019-20"/>
    <x v="2"/>
    <x v="29"/>
    <s v="L3"/>
    <m/>
    <s v="Narratives in Architecture"/>
    <n v="10"/>
    <x v="0"/>
    <x v="8"/>
    <n v="0"/>
    <n v="0.05"/>
    <n v="0.85"/>
    <n v="0"/>
    <x v="0"/>
  </r>
  <r>
    <s v="2019-20"/>
    <x v="2"/>
    <x v="29"/>
    <s v="L3"/>
    <m/>
    <s v="Narratives in Architecture"/>
    <n v="10"/>
    <x v="1"/>
    <x v="8"/>
    <n v="1"/>
    <n v="0.05"/>
    <n v="0.85"/>
    <n v="4.2500000000000003E-2"/>
    <x v="0"/>
  </r>
  <r>
    <s v="2019-20"/>
    <x v="2"/>
    <x v="29"/>
    <s v="L3"/>
    <m/>
    <s v="Narratives in Architecture"/>
    <n v="11"/>
    <x v="0"/>
    <x v="9"/>
    <n v="0"/>
    <n v="0.05"/>
    <n v="1"/>
    <n v="0"/>
    <x v="0"/>
  </r>
  <r>
    <s v="2019-20"/>
    <x v="2"/>
    <x v="29"/>
    <s v="L3"/>
    <m/>
    <s v="Narratives in Architecture"/>
    <n v="11"/>
    <x v="1"/>
    <x v="9"/>
    <n v="0"/>
    <n v="0.05"/>
    <n v="1"/>
    <n v="0"/>
    <x v="149"/>
  </r>
  <r>
    <s v="2019-20"/>
    <x v="2"/>
    <x v="30"/>
    <s v="L3"/>
    <m/>
    <s v="At the cusp of land and water"/>
    <n v="1"/>
    <x v="0"/>
    <x v="0"/>
    <n v="0"/>
    <n v="0.12"/>
    <n v="1"/>
    <n v="0"/>
    <x v="0"/>
  </r>
  <r>
    <s v="2019-20"/>
    <x v="2"/>
    <x v="30"/>
    <s v="L3"/>
    <m/>
    <s v="At the cusp of land and water"/>
    <n v="1"/>
    <x v="1"/>
    <x v="0"/>
    <n v="-1"/>
    <n v="0.12"/>
    <n v="1"/>
    <n v="-0.12"/>
    <x v="150"/>
  </r>
  <r>
    <s v="2019-20"/>
    <x v="2"/>
    <x v="30"/>
    <s v="L3"/>
    <m/>
    <s v="At the cusp of land and water"/>
    <n v="2"/>
    <x v="0"/>
    <x v="1"/>
    <n v="-1"/>
    <n v="0.08"/>
    <n v="0.8"/>
    <n v="-6.4000000000000001E-2"/>
    <x v="0"/>
  </r>
  <r>
    <s v="2019-20"/>
    <x v="2"/>
    <x v="30"/>
    <s v="L3"/>
    <m/>
    <s v="At the cusp of land and water"/>
    <n v="2"/>
    <x v="1"/>
    <x v="1"/>
    <n v="-1"/>
    <n v="0.08"/>
    <n v="0.8"/>
    <n v="-6.4000000000000001E-2"/>
    <x v="0"/>
  </r>
  <r>
    <s v="2019-20"/>
    <x v="2"/>
    <x v="30"/>
    <s v="L3"/>
    <m/>
    <s v="At the cusp of land and water"/>
    <n v="3"/>
    <x v="0"/>
    <x v="2"/>
    <n v="1"/>
    <n v="0.05"/>
    <n v="1"/>
    <n v="0.05"/>
    <x v="0"/>
  </r>
  <r>
    <s v="2019-20"/>
    <x v="2"/>
    <x v="30"/>
    <s v="L3"/>
    <m/>
    <s v="At the cusp of land and water"/>
    <n v="3"/>
    <x v="1"/>
    <x v="2"/>
    <n v="-1"/>
    <n v="0.05"/>
    <n v="1"/>
    <n v="-0.05"/>
    <x v="0"/>
  </r>
  <r>
    <s v="2019-20"/>
    <x v="2"/>
    <x v="30"/>
    <s v="L3"/>
    <m/>
    <s v="At the cusp of land and water"/>
    <n v="4"/>
    <x v="0"/>
    <x v="3"/>
    <n v="-1"/>
    <n v="0.14000000000000001"/>
    <n v="1"/>
    <n v="-0.14000000000000001"/>
    <x v="0"/>
  </r>
  <r>
    <s v="2019-20"/>
    <x v="2"/>
    <x v="30"/>
    <s v="L3"/>
    <m/>
    <s v="At the cusp of land and water"/>
    <n v="4"/>
    <x v="1"/>
    <x v="3"/>
    <n v="0"/>
    <n v="0.14000000000000001"/>
    <n v="1"/>
    <n v="0"/>
    <x v="151"/>
  </r>
  <r>
    <s v="2019-20"/>
    <x v="2"/>
    <x v="30"/>
    <s v="L3"/>
    <m/>
    <s v="At the cusp of land and water"/>
    <n v="5"/>
    <x v="0"/>
    <x v="4"/>
    <n v="-1"/>
    <n v="0.11"/>
    <n v="1"/>
    <n v="-0.11"/>
    <x v="0"/>
  </r>
  <r>
    <s v="2019-20"/>
    <x v="2"/>
    <x v="30"/>
    <s v="L3"/>
    <m/>
    <s v="At the cusp of land and water"/>
    <n v="5"/>
    <x v="1"/>
    <x v="4"/>
    <n v="-1"/>
    <n v="0.11"/>
    <n v="1"/>
    <n v="-0.11"/>
    <x v="152"/>
  </r>
  <r>
    <s v="2019-20"/>
    <x v="2"/>
    <x v="30"/>
    <s v="L3"/>
    <m/>
    <s v="At the cusp of land and water"/>
    <n v="6"/>
    <x v="0"/>
    <x v="5"/>
    <n v="0"/>
    <n v="0.15"/>
    <n v="1"/>
    <n v="0"/>
    <x v="0"/>
  </r>
  <r>
    <s v="2019-20"/>
    <x v="2"/>
    <x v="30"/>
    <s v="L3"/>
    <m/>
    <s v="At the cusp of land and water"/>
    <n v="6"/>
    <x v="1"/>
    <x v="5"/>
    <n v="0"/>
    <n v="0.15"/>
    <n v="1"/>
    <n v="0"/>
    <x v="153"/>
  </r>
  <r>
    <s v="2019-20"/>
    <x v="2"/>
    <x v="30"/>
    <s v="L3"/>
    <m/>
    <s v="At the cusp of land and water"/>
    <n v="7"/>
    <x v="0"/>
    <x v="6"/>
    <n v="-1"/>
    <n v="0.1"/>
    <n v="1"/>
    <n v="-0.1"/>
    <x v="0"/>
  </r>
  <r>
    <s v="2019-20"/>
    <x v="2"/>
    <x v="30"/>
    <s v="L3"/>
    <m/>
    <s v="At the cusp of land and water"/>
    <n v="7"/>
    <x v="1"/>
    <x v="6"/>
    <n v="0"/>
    <n v="0.1"/>
    <n v="1"/>
    <n v="0"/>
    <x v="110"/>
  </r>
  <r>
    <s v="2019-20"/>
    <x v="2"/>
    <x v="30"/>
    <s v="L3"/>
    <m/>
    <s v="At the cusp of land and water"/>
    <n v="8"/>
    <x v="0"/>
    <x v="7"/>
    <n v="-1"/>
    <n v="0.1"/>
    <n v="1"/>
    <n v="-0.1"/>
    <x v="0"/>
  </r>
  <r>
    <s v="2019-20"/>
    <x v="2"/>
    <x v="30"/>
    <s v="L3"/>
    <m/>
    <s v="At the cusp of land and water"/>
    <n v="8"/>
    <x v="1"/>
    <x v="7"/>
    <n v="0"/>
    <n v="0.1"/>
    <n v="1"/>
    <n v="0"/>
    <x v="95"/>
  </r>
  <r>
    <s v="2019-20"/>
    <x v="2"/>
    <x v="30"/>
    <s v="L3"/>
    <m/>
    <s v="At the cusp of land and water"/>
    <n v="9"/>
    <x v="0"/>
    <x v="8"/>
    <n v="0"/>
    <n v="0.05"/>
    <n v="0.85"/>
    <n v="0"/>
    <x v="0"/>
  </r>
  <r>
    <s v="2019-20"/>
    <x v="2"/>
    <x v="30"/>
    <s v="L3"/>
    <m/>
    <s v="At the cusp of land and water"/>
    <n v="9"/>
    <x v="1"/>
    <x v="8"/>
    <n v="-1"/>
    <n v="0.05"/>
    <n v="0.85"/>
    <n v="-4.2500000000000003E-2"/>
    <x v="0"/>
  </r>
  <r>
    <s v="2019-20"/>
    <x v="2"/>
    <x v="30"/>
    <s v="L3"/>
    <m/>
    <s v="At the cusp of land and water"/>
    <n v="10"/>
    <x v="0"/>
    <x v="8"/>
    <n v="0"/>
    <n v="0.05"/>
    <n v="0.85"/>
    <n v="0"/>
    <x v="0"/>
  </r>
  <r>
    <s v="2019-20"/>
    <x v="2"/>
    <x v="30"/>
    <s v="L3"/>
    <m/>
    <s v="At the cusp of land and water"/>
    <n v="10"/>
    <x v="1"/>
    <x v="8"/>
    <n v="0"/>
    <n v="0.05"/>
    <n v="0.85"/>
    <n v="0"/>
    <x v="0"/>
  </r>
  <r>
    <s v="2019-20"/>
    <x v="2"/>
    <x v="30"/>
    <s v="L3"/>
    <m/>
    <s v="At the cusp of land and water"/>
    <n v="11"/>
    <x v="0"/>
    <x v="9"/>
    <n v="-1"/>
    <n v="0.05"/>
    <n v="1"/>
    <n v="-0.05"/>
    <x v="0"/>
  </r>
  <r>
    <s v="2019-20"/>
    <x v="2"/>
    <x v="30"/>
    <s v="L3"/>
    <m/>
    <s v="At the cusp of land and water"/>
    <n v="11"/>
    <x v="1"/>
    <x v="9"/>
    <n v="-1"/>
    <n v="0.05"/>
    <n v="1"/>
    <n v="-0.05"/>
    <x v="154"/>
  </r>
  <r>
    <s v="2019-20"/>
    <x v="2"/>
    <x v="31"/>
    <s v="L3"/>
    <m/>
    <s v="Urban Commons: A Place of Wellness in the city"/>
    <n v="1"/>
    <x v="0"/>
    <x v="0"/>
    <n v="1"/>
    <n v="0.12"/>
    <n v="1"/>
    <n v="0.12"/>
    <x v="0"/>
  </r>
  <r>
    <s v="2019-20"/>
    <x v="2"/>
    <x v="31"/>
    <s v="L3"/>
    <m/>
    <s v="Urban Commons: A Place of Wellness in the city"/>
    <n v="1"/>
    <x v="1"/>
    <x v="0"/>
    <n v="1"/>
    <n v="0.12"/>
    <n v="1"/>
    <n v="0.12"/>
    <x v="0"/>
  </r>
  <r>
    <s v="2019-20"/>
    <x v="2"/>
    <x v="31"/>
    <s v="L3"/>
    <m/>
    <s v="Urban Commons: A Place of Wellness in the city"/>
    <n v="2"/>
    <x v="0"/>
    <x v="1"/>
    <n v="1"/>
    <n v="0.08"/>
    <n v="0.8"/>
    <n v="6.4000000000000001E-2"/>
    <x v="0"/>
  </r>
  <r>
    <s v="2019-20"/>
    <x v="2"/>
    <x v="31"/>
    <s v="L3"/>
    <m/>
    <s v="Urban Commons: A Place of Wellness in the city"/>
    <n v="2"/>
    <x v="1"/>
    <x v="1"/>
    <n v="1"/>
    <n v="0.08"/>
    <n v="0.8"/>
    <n v="6.4000000000000001E-2"/>
    <x v="155"/>
  </r>
  <r>
    <s v="2019-20"/>
    <x v="2"/>
    <x v="31"/>
    <s v="L3"/>
    <m/>
    <s v="Urban Commons: A Place of Wellness in the city"/>
    <n v="3"/>
    <x v="0"/>
    <x v="2"/>
    <n v="1"/>
    <n v="0.05"/>
    <n v="1"/>
    <n v="0.05"/>
    <x v="0"/>
  </r>
  <r>
    <s v="2019-20"/>
    <x v="2"/>
    <x v="31"/>
    <s v="L3"/>
    <m/>
    <s v="Urban Commons: A Place of Wellness in the city"/>
    <n v="3"/>
    <x v="1"/>
    <x v="2"/>
    <n v="1"/>
    <n v="0.05"/>
    <n v="1"/>
    <n v="0.05"/>
    <x v="156"/>
  </r>
  <r>
    <s v="2019-20"/>
    <x v="2"/>
    <x v="31"/>
    <s v="L3"/>
    <m/>
    <s v="Urban Commons: A Place of Wellness in the city"/>
    <n v="4"/>
    <x v="0"/>
    <x v="3"/>
    <n v="0"/>
    <n v="0.14000000000000001"/>
    <n v="1"/>
    <n v="0"/>
    <x v="0"/>
  </r>
  <r>
    <s v="2019-20"/>
    <x v="2"/>
    <x v="31"/>
    <s v="L3"/>
    <m/>
    <s v="Urban Commons: A Place of Wellness in the city"/>
    <n v="4"/>
    <x v="1"/>
    <x v="3"/>
    <n v="1"/>
    <n v="0.14000000000000001"/>
    <n v="1"/>
    <n v="0.14000000000000001"/>
    <x v="157"/>
  </r>
  <r>
    <s v="2019-20"/>
    <x v="2"/>
    <x v="31"/>
    <s v="L3"/>
    <m/>
    <s v="Urban Commons: A Place of Wellness in the city"/>
    <n v="5"/>
    <x v="0"/>
    <x v="4"/>
    <n v="0"/>
    <n v="0.11"/>
    <n v="1"/>
    <n v="0"/>
    <x v="0"/>
  </r>
  <r>
    <s v="2019-20"/>
    <x v="2"/>
    <x v="31"/>
    <s v="L3"/>
    <m/>
    <s v="Urban Commons: A Place of Wellness in the city"/>
    <n v="5"/>
    <x v="1"/>
    <x v="4"/>
    <n v="0"/>
    <n v="0.11"/>
    <n v="1"/>
    <n v="0"/>
    <x v="158"/>
  </r>
  <r>
    <s v="2019-20"/>
    <x v="2"/>
    <x v="31"/>
    <s v="L3"/>
    <m/>
    <s v="Urban Commons: A Place of Wellness in the city"/>
    <n v="6"/>
    <x v="0"/>
    <x v="5"/>
    <n v="0"/>
    <n v="0.15"/>
    <n v="1"/>
    <n v="0"/>
    <x v="0"/>
  </r>
  <r>
    <s v="2019-20"/>
    <x v="2"/>
    <x v="31"/>
    <s v="L3"/>
    <m/>
    <s v="Urban Commons: A Place of Wellness in the city"/>
    <n v="6"/>
    <x v="1"/>
    <x v="5"/>
    <n v="0"/>
    <n v="0.15"/>
    <n v="1"/>
    <n v="0"/>
    <x v="159"/>
  </r>
  <r>
    <s v="2019-20"/>
    <x v="2"/>
    <x v="31"/>
    <s v="L3"/>
    <m/>
    <s v="Urban Commons: A Place of Wellness in the city"/>
    <n v="7"/>
    <x v="0"/>
    <x v="6"/>
    <n v="0"/>
    <n v="0.1"/>
    <n v="1"/>
    <n v="0"/>
    <x v="0"/>
  </r>
  <r>
    <s v="2019-20"/>
    <x v="2"/>
    <x v="31"/>
    <s v="L3"/>
    <m/>
    <s v="Urban Commons: A Place of Wellness in the city"/>
    <n v="7"/>
    <x v="1"/>
    <x v="6"/>
    <n v="0"/>
    <n v="0.1"/>
    <n v="1"/>
    <n v="0"/>
    <x v="160"/>
  </r>
  <r>
    <s v="2019-20"/>
    <x v="2"/>
    <x v="31"/>
    <s v="L3"/>
    <m/>
    <s v="Urban Commons: A Place of Wellness in the city"/>
    <n v="8"/>
    <x v="0"/>
    <x v="7"/>
    <n v="0"/>
    <n v="0.1"/>
    <n v="1"/>
    <n v="0"/>
    <x v="0"/>
  </r>
  <r>
    <s v="2019-20"/>
    <x v="2"/>
    <x v="31"/>
    <s v="L3"/>
    <m/>
    <s v="Urban Commons: A Place of Wellness in the city"/>
    <n v="8"/>
    <x v="1"/>
    <x v="7"/>
    <n v="0"/>
    <n v="0.1"/>
    <n v="1"/>
    <n v="0"/>
    <x v="95"/>
  </r>
  <r>
    <s v="2019-20"/>
    <x v="2"/>
    <x v="31"/>
    <s v="L3"/>
    <m/>
    <s v="Urban Commons: A Place of Wellness in the city"/>
    <n v="9"/>
    <x v="0"/>
    <x v="8"/>
    <n v="-1"/>
    <n v="0.05"/>
    <n v="0.85"/>
    <n v="-4.2500000000000003E-2"/>
    <x v="0"/>
  </r>
  <r>
    <s v="2019-20"/>
    <x v="2"/>
    <x v="31"/>
    <s v="L3"/>
    <m/>
    <s v="Urban Commons: A Place of Wellness in the city"/>
    <n v="9"/>
    <x v="1"/>
    <x v="8"/>
    <n v="1"/>
    <n v="0.05"/>
    <n v="0.85"/>
    <n v="4.2500000000000003E-2"/>
    <x v="161"/>
  </r>
  <r>
    <s v="2019-20"/>
    <x v="2"/>
    <x v="31"/>
    <s v="L3"/>
    <m/>
    <s v="Urban Commons: A Place of Wellness in the city"/>
    <n v="10"/>
    <x v="0"/>
    <x v="8"/>
    <n v="-1"/>
    <n v="0.05"/>
    <n v="0.85"/>
    <n v="-4.2500000000000003E-2"/>
    <x v="0"/>
  </r>
  <r>
    <s v="2019-20"/>
    <x v="2"/>
    <x v="31"/>
    <s v="L3"/>
    <m/>
    <s v="Urban Commons: A Place of Wellness in the city"/>
    <n v="10"/>
    <x v="1"/>
    <x v="8"/>
    <n v="1"/>
    <n v="0.05"/>
    <n v="0.85"/>
    <n v="4.2500000000000003E-2"/>
    <x v="161"/>
  </r>
  <r>
    <s v="2019-20"/>
    <x v="2"/>
    <x v="31"/>
    <s v="L3"/>
    <m/>
    <s v="Urban Commons: A Place of Wellness in the city"/>
    <n v="11"/>
    <x v="0"/>
    <x v="9"/>
    <n v="-1"/>
    <n v="0.05"/>
    <n v="1"/>
    <n v="-0.05"/>
    <x v="0"/>
  </r>
  <r>
    <s v="2019-20"/>
    <x v="2"/>
    <x v="31"/>
    <s v="L3"/>
    <m/>
    <s v="Urban Commons: A Place of Wellness in the city"/>
    <n v="11"/>
    <x v="1"/>
    <x v="9"/>
    <n v="0"/>
    <n v="0.05"/>
    <n v="1"/>
    <n v="0"/>
    <x v="0"/>
  </r>
  <r>
    <s v="2019-20"/>
    <x v="3"/>
    <x v="1"/>
    <s v="L2"/>
    <s v="Constructing and Specifying"/>
    <s v="Strange Details"/>
    <n v="1"/>
    <x v="0"/>
    <x v="0"/>
    <n v="1"/>
    <n v="0.12"/>
    <n v="1"/>
    <n v="0.12"/>
    <x v="0"/>
  </r>
  <r>
    <s v="2019-20"/>
    <x v="3"/>
    <x v="1"/>
    <s v="L2"/>
    <s v="Constructing and Specifying"/>
    <s v="Strange Details"/>
    <n v="1"/>
    <x v="1"/>
    <x v="0"/>
    <n v="1"/>
    <n v="0.12"/>
    <n v="1"/>
    <n v="0.12"/>
    <x v="0"/>
  </r>
  <r>
    <s v="2019-20"/>
    <x v="3"/>
    <x v="1"/>
    <s v="L2"/>
    <s v="Constructing and Specifying"/>
    <s v="Strange Details"/>
    <n v="2"/>
    <x v="0"/>
    <x v="1"/>
    <n v="1"/>
    <n v="0.08"/>
    <n v="0.8"/>
    <n v="6.4000000000000001E-2"/>
    <x v="0"/>
  </r>
  <r>
    <s v="2019-20"/>
    <x v="3"/>
    <x v="1"/>
    <s v="L2"/>
    <s v="Constructing and Specifying"/>
    <s v="Strange Details"/>
    <n v="2"/>
    <x v="1"/>
    <x v="1"/>
    <n v="-1"/>
    <n v="0.08"/>
    <n v="0.8"/>
    <n v="-6.4000000000000001E-2"/>
    <x v="0"/>
  </r>
  <r>
    <s v="2019-20"/>
    <x v="3"/>
    <x v="1"/>
    <s v="L2"/>
    <s v="Constructing and Specifying"/>
    <s v="Strange Details"/>
    <n v="3"/>
    <x v="0"/>
    <x v="2"/>
    <n v="1"/>
    <n v="0.05"/>
    <n v="1"/>
    <n v="0.05"/>
    <x v="0"/>
  </r>
  <r>
    <s v="2019-20"/>
    <x v="3"/>
    <x v="1"/>
    <s v="L2"/>
    <s v="Constructing and Specifying"/>
    <s v="Strange Details"/>
    <n v="3"/>
    <x v="1"/>
    <x v="2"/>
    <n v="1"/>
    <n v="0.05"/>
    <n v="1"/>
    <n v="0.05"/>
    <x v="0"/>
  </r>
  <r>
    <s v="2019-20"/>
    <x v="3"/>
    <x v="1"/>
    <s v="L2"/>
    <s v="Constructing and Specifying"/>
    <s v="Strange Details"/>
    <n v="4"/>
    <x v="0"/>
    <x v="3"/>
    <n v="0"/>
    <n v="0.14000000000000001"/>
    <n v="1"/>
    <n v="0"/>
    <x v="0"/>
  </r>
  <r>
    <s v="2019-20"/>
    <x v="3"/>
    <x v="1"/>
    <s v="L2"/>
    <s v="Constructing and Specifying"/>
    <s v="Strange Details"/>
    <n v="4"/>
    <x v="1"/>
    <x v="3"/>
    <n v="1"/>
    <n v="0.14000000000000001"/>
    <n v="1"/>
    <n v="0.14000000000000001"/>
    <x v="0"/>
  </r>
  <r>
    <s v="2019-20"/>
    <x v="3"/>
    <x v="1"/>
    <s v="L2"/>
    <s v="Constructing and Specifying"/>
    <s v="Strange Details"/>
    <n v="5"/>
    <x v="0"/>
    <x v="4"/>
    <n v="0"/>
    <n v="0.11"/>
    <n v="1"/>
    <n v="0"/>
    <x v="0"/>
  </r>
  <r>
    <s v="2019-20"/>
    <x v="3"/>
    <x v="1"/>
    <s v="L2"/>
    <s v="Constructing and Specifying"/>
    <s v="Strange Details"/>
    <n v="5"/>
    <x v="1"/>
    <x v="4"/>
    <n v="1"/>
    <n v="0.11"/>
    <n v="1"/>
    <n v="0.11"/>
    <x v="0"/>
  </r>
  <r>
    <s v="2019-20"/>
    <x v="3"/>
    <x v="1"/>
    <s v="L2"/>
    <s v="Constructing and Specifying"/>
    <s v="Strange Details"/>
    <n v="6"/>
    <x v="0"/>
    <x v="5"/>
    <n v="0"/>
    <n v="0.15"/>
    <n v="1"/>
    <n v="0"/>
    <x v="0"/>
  </r>
  <r>
    <s v="2019-20"/>
    <x v="3"/>
    <x v="1"/>
    <s v="L2"/>
    <s v="Constructing and Specifying"/>
    <s v="Strange Details"/>
    <n v="6"/>
    <x v="1"/>
    <x v="5"/>
    <n v="1"/>
    <n v="0.15"/>
    <n v="1"/>
    <n v="0.15"/>
    <x v="0"/>
  </r>
  <r>
    <s v="2019-20"/>
    <x v="3"/>
    <x v="1"/>
    <s v="L2"/>
    <s v="Constructing and Specifying"/>
    <s v="Strange Details"/>
    <n v="7"/>
    <x v="0"/>
    <x v="6"/>
    <n v="0"/>
    <n v="0.1"/>
    <n v="1"/>
    <n v="0"/>
    <x v="0"/>
  </r>
  <r>
    <s v="2019-20"/>
    <x v="3"/>
    <x v="1"/>
    <s v="L2"/>
    <s v="Constructing and Specifying"/>
    <s v="Strange Details"/>
    <n v="7"/>
    <x v="1"/>
    <x v="6"/>
    <n v="1"/>
    <n v="0.1"/>
    <n v="1"/>
    <n v="0.1"/>
    <x v="162"/>
  </r>
  <r>
    <s v="2019-20"/>
    <x v="3"/>
    <x v="1"/>
    <s v="L2"/>
    <s v="Constructing and Specifying"/>
    <s v="Strange Details"/>
    <n v="8"/>
    <x v="0"/>
    <x v="7"/>
    <n v="0"/>
    <n v="0.1"/>
    <n v="1"/>
    <n v="0"/>
    <x v="0"/>
  </r>
  <r>
    <s v="2019-20"/>
    <x v="3"/>
    <x v="1"/>
    <s v="L2"/>
    <s v="Constructing and Specifying"/>
    <s v="Strange Details"/>
    <n v="8"/>
    <x v="1"/>
    <x v="7"/>
    <n v="1"/>
    <n v="0.1"/>
    <n v="1"/>
    <n v="0.1"/>
    <x v="0"/>
  </r>
  <r>
    <s v="2019-20"/>
    <x v="3"/>
    <x v="1"/>
    <s v="L2"/>
    <s v="Constructing and Specifying"/>
    <s v="Strange Details"/>
    <n v="9"/>
    <x v="0"/>
    <x v="8"/>
    <m/>
    <n v="0.05"/>
    <n v="0.85"/>
    <n v="0"/>
    <x v="0"/>
  </r>
  <r>
    <s v="2019-20"/>
    <x v="3"/>
    <x v="1"/>
    <s v="L2"/>
    <s v="Constructing and Specifying"/>
    <s v="Strange Details"/>
    <n v="9"/>
    <x v="1"/>
    <x v="8"/>
    <m/>
    <n v="0.05"/>
    <n v="0.85"/>
    <n v="0"/>
    <x v="0"/>
  </r>
  <r>
    <s v="2019-20"/>
    <x v="3"/>
    <x v="1"/>
    <s v="L2"/>
    <s v="Constructing and Specifying"/>
    <s v="Strange Details"/>
    <n v="10"/>
    <x v="0"/>
    <x v="8"/>
    <m/>
    <n v="0.05"/>
    <n v="0.85"/>
    <n v="0"/>
    <x v="0"/>
  </r>
  <r>
    <s v="2019-20"/>
    <x v="3"/>
    <x v="1"/>
    <s v="L2"/>
    <s v="Constructing and Specifying"/>
    <s v="Strange Details"/>
    <n v="10"/>
    <x v="1"/>
    <x v="8"/>
    <m/>
    <n v="0.05"/>
    <n v="0.85"/>
    <n v="0"/>
    <x v="0"/>
  </r>
  <r>
    <s v="2019-20"/>
    <x v="3"/>
    <x v="1"/>
    <s v="L2"/>
    <s v="Constructing and Specifying"/>
    <s v="Strange Details"/>
    <n v="11"/>
    <x v="0"/>
    <x v="9"/>
    <n v="0"/>
    <n v="0.05"/>
    <n v="1"/>
    <n v="0"/>
    <x v="0"/>
  </r>
  <r>
    <s v="2019-20"/>
    <x v="3"/>
    <x v="1"/>
    <s v="L2"/>
    <s v="Constructing and Specifying"/>
    <s v="Strange Details"/>
    <n v="11"/>
    <x v="1"/>
    <x v="9"/>
    <n v="1"/>
    <n v="0.05"/>
    <n v="1"/>
    <n v="0.05"/>
    <x v="163"/>
  </r>
  <r>
    <s v="2019-20"/>
    <x v="3"/>
    <x v="2"/>
    <s v="L2"/>
    <s v="Planning and Orgnizing"/>
    <s v="Of Immediate &amp; Afar X"/>
    <n v="1"/>
    <x v="0"/>
    <x v="0"/>
    <n v="1"/>
    <n v="0.12"/>
    <n v="1"/>
    <n v="0.12"/>
    <x v="0"/>
  </r>
  <r>
    <s v="2019-20"/>
    <x v="3"/>
    <x v="2"/>
    <s v="L2"/>
    <s v="Planning and Orgnizing"/>
    <s v="Of Immediate &amp; Afar X"/>
    <n v="1"/>
    <x v="1"/>
    <x v="0"/>
    <n v="1"/>
    <n v="0.12"/>
    <n v="1"/>
    <n v="0.12"/>
    <x v="0"/>
  </r>
  <r>
    <s v="2019-20"/>
    <x v="3"/>
    <x v="2"/>
    <s v="L2"/>
    <s v="Planning and Orgnizing"/>
    <s v="Of Immediate &amp; Afar X"/>
    <n v="2"/>
    <x v="0"/>
    <x v="1"/>
    <n v="1"/>
    <n v="0.08"/>
    <n v="0.8"/>
    <n v="6.4000000000000001E-2"/>
    <x v="0"/>
  </r>
  <r>
    <s v="2019-20"/>
    <x v="3"/>
    <x v="2"/>
    <s v="L2"/>
    <s v="Planning and Orgnizing"/>
    <s v="Of Immediate &amp; Afar X"/>
    <n v="2"/>
    <x v="1"/>
    <x v="1"/>
    <n v="1"/>
    <n v="0.08"/>
    <n v="0.8"/>
    <n v="6.4000000000000001E-2"/>
    <x v="0"/>
  </r>
  <r>
    <s v="2019-20"/>
    <x v="3"/>
    <x v="2"/>
    <s v="L2"/>
    <s v="Planning and Orgnizing"/>
    <s v="Of Immediate &amp; Afar X"/>
    <n v="3"/>
    <x v="0"/>
    <x v="2"/>
    <n v="1"/>
    <n v="0.05"/>
    <n v="1"/>
    <n v="0.05"/>
    <x v="0"/>
  </r>
  <r>
    <s v="2019-20"/>
    <x v="3"/>
    <x v="2"/>
    <s v="L2"/>
    <s v="Planning and Orgnizing"/>
    <s v="Of Immediate &amp; Afar X"/>
    <n v="3"/>
    <x v="1"/>
    <x v="2"/>
    <n v="1"/>
    <n v="0.05"/>
    <n v="1"/>
    <n v="0.05"/>
    <x v="0"/>
  </r>
  <r>
    <s v="2019-20"/>
    <x v="3"/>
    <x v="2"/>
    <s v="L2"/>
    <s v="Planning and Orgnizing"/>
    <s v="Of Immediate &amp; Afar X"/>
    <n v="4"/>
    <x v="0"/>
    <x v="3"/>
    <n v="0"/>
    <n v="0.14000000000000001"/>
    <n v="1"/>
    <n v="0"/>
    <x v="0"/>
  </r>
  <r>
    <s v="2019-20"/>
    <x v="3"/>
    <x v="2"/>
    <s v="L2"/>
    <s v="Planning and Orgnizing"/>
    <s v="Of Immediate &amp; Afar X"/>
    <n v="4"/>
    <x v="1"/>
    <x v="3"/>
    <n v="1"/>
    <n v="0.14000000000000001"/>
    <n v="1"/>
    <n v="0.14000000000000001"/>
    <x v="0"/>
  </r>
  <r>
    <s v="2019-20"/>
    <x v="3"/>
    <x v="2"/>
    <s v="L2"/>
    <s v="Planning and Orgnizing"/>
    <s v="Of Immediate &amp; Afar X"/>
    <n v="5"/>
    <x v="0"/>
    <x v="4"/>
    <n v="0"/>
    <n v="0.11"/>
    <n v="1"/>
    <n v="0"/>
    <x v="0"/>
  </r>
  <r>
    <s v="2019-20"/>
    <x v="3"/>
    <x v="2"/>
    <s v="L2"/>
    <s v="Planning and Orgnizing"/>
    <s v="Of Immediate &amp; Afar X"/>
    <n v="5"/>
    <x v="1"/>
    <x v="4"/>
    <n v="1"/>
    <n v="0.11"/>
    <n v="1"/>
    <n v="0.11"/>
    <x v="0"/>
  </r>
  <r>
    <s v="2019-20"/>
    <x v="3"/>
    <x v="2"/>
    <s v="L2"/>
    <s v="Planning and Orgnizing"/>
    <s v="Of Immediate &amp; Afar X"/>
    <n v="6"/>
    <x v="0"/>
    <x v="5"/>
    <n v="0"/>
    <n v="0.15"/>
    <n v="1"/>
    <n v="0"/>
    <x v="0"/>
  </r>
  <r>
    <s v="2019-20"/>
    <x v="3"/>
    <x v="2"/>
    <s v="L2"/>
    <s v="Planning and Orgnizing"/>
    <s v="Of Immediate &amp; Afar X"/>
    <n v="6"/>
    <x v="1"/>
    <x v="5"/>
    <n v="1"/>
    <n v="0.15"/>
    <n v="1"/>
    <n v="0.15"/>
    <x v="0"/>
  </r>
  <r>
    <s v="2019-20"/>
    <x v="3"/>
    <x v="2"/>
    <s v="L2"/>
    <s v="Planning and Orgnizing"/>
    <s v="Of Immediate &amp; Afar X"/>
    <n v="7"/>
    <x v="0"/>
    <x v="6"/>
    <n v="0"/>
    <n v="0.1"/>
    <n v="1"/>
    <n v="0"/>
    <x v="0"/>
  </r>
  <r>
    <s v="2019-20"/>
    <x v="3"/>
    <x v="2"/>
    <s v="L2"/>
    <s v="Planning and Orgnizing"/>
    <s v="Of Immediate &amp; Afar X"/>
    <n v="7"/>
    <x v="1"/>
    <x v="6"/>
    <n v="1"/>
    <n v="0.1"/>
    <n v="1"/>
    <n v="0.1"/>
    <x v="0"/>
  </r>
  <r>
    <s v="2019-20"/>
    <x v="3"/>
    <x v="2"/>
    <s v="L2"/>
    <s v="Planning and Orgnizing"/>
    <s v="Of Immediate &amp; Afar X"/>
    <n v="8"/>
    <x v="0"/>
    <x v="7"/>
    <n v="0"/>
    <n v="0.1"/>
    <n v="1"/>
    <n v="0"/>
    <x v="0"/>
  </r>
  <r>
    <s v="2019-20"/>
    <x v="3"/>
    <x v="2"/>
    <s v="L2"/>
    <s v="Planning and Orgnizing"/>
    <s v="Of Immediate &amp; Afar X"/>
    <n v="8"/>
    <x v="1"/>
    <x v="7"/>
    <n v="1"/>
    <n v="0.1"/>
    <n v="1"/>
    <n v="0.1"/>
    <x v="0"/>
  </r>
  <r>
    <s v="2019-20"/>
    <x v="3"/>
    <x v="2"/>
    <s v="L2"/>
    <s v="Planning and Orgnizing"/>
    <s v="Of Immediate &amp; Afar X"/>
    <n v="9"/>
    <x v="0"/>
    <x v="8"/>
    <m/>
    <n v="0.05"/>
    <n v="0.85"/>
    <n v="0"/>
    <x v="0"/>
  </r>
  <r>
    <s v="2019-20"/>
    <x v="3"/>
    <x v="2"/>
    <s v="L2"/>
    <s v="Planning and Orgnizing"/>
    <s v="Of Immediate &amp; Afar X"/>
    <n v="9"/>
    <x v="1"/>
    <x v="8"/>
    <m/>
    <n v="0.05"/>
    <n v="0.85"/>
    <n v="0"/>
    <x v="0"/>
  </r>
  <r>
    <s v="2019-20"/>
    <x v="3"/>
    <x v="2"/>
    <s v="L2"/>
    <s v="Planning and Orgnizing"/>
    <s v="Of Immediate &amp; Afar X"/>
    <n v="10"/>
    <x v="0"/>
    <x v="8"/>
    <m/>
    <n v="0.05"/>
    <n v="0.85"/>
    <n v="0"/>
    <x v="0"/>
  </r>
  <r>
    <s v="2019-20"/>
    <x v="3"/>
    <x v="2"/>
    <s v="L2"/>
    <s v="Planning and Orgnizing"/>
    <s v="Of Immediate &amp; Afar X"/>
    <n v="10"/>
    <x v="1"/>
    <x v="8"/>
    <m/>
    <n v="0.05"/>
    <n v="0.85"/>
    <n v="0"/>
    <x v="0"/>
  </r>
  <r>
    <s v="2019-20"/>
    <x v="3"/>
    <x v="2"/>
    <s v="L2"/>
    <s v="Planning and Orgnizing"/>
    <s v="Of Immediate &amp; Afar X"/>
    <n v="11"/>
    <x v="0"/>
    <x v="9"/>
    <n v="0"/>
    <n v="0.05"/>
    <n v="1"/>
    <n v="0"/>
    <x v="0"/>
  </r>
  <r>
    <s v="2019-20"/>
    <x v="3"/>
    <x v="2"/>
    <s v="L2"/>
    <s v="Planning and Orgnizing"/>
    <s v="Of Immediate &amp; Afar X"/>
    <n v="11"/>
    <x v="1"/>
    <x v="9"/>
    <n v="-1"/>
    <n v="0.05"/>
    <n v="1"/>
    <n v="-0.05"/>
    <x v="0"/>
  </r>
  <r>
    <s v="2019-20"/>
    <x v="3"/>
    <x v="6"/>
    <s v="L2"/>
    <s v="Planning and Orgnizing"/>
    <s v="Making Living Places: Craftsmanship, song and imagination"/>
    <n v="1"/>
    <x v="0"/>
    <x v="0"/>
    <n v="1"/>
    <n v="0.12"/>
    <n v="1"/>
    <n v="0.12"/>
    <x v="0"/>
  </r>
  <r>
    <s v="2019-20"/>
    <x v="3"/>
    <x v="6"/>
    <s v="L2"/>
    <s v="Planning and Orgnizing"/>
    <s v="Making Living Places: Craftsmanship, song and imagination"/>
    <n v="1"/>
    <x v="1"/>
    <x v="0"/>
    <n v="1"/>
    <n v="0.12"/>
    <n v="1"/>
    <n v="0.12"/>
    <x v="0"/>
  </r>
  <r>
    <s v="2019-20"/>
    <x v="3"/>
    <x v="6"/>
    <s v="L2"/>
    <s v="Planning and Orgnizing"/>
    <s v="Making Living Places: Craftsmanship, song and imagination"/>
    <n v="2"/>
    <x v="0"/>
    <x v="1"/>
    <n v="1"/>
    <n v="0.08"/>
    <n v="0.8"/>
    <n v="6.4000000000000001E-2"/>
    <x v="0"/>
  </r>
  <r>
    <s v="2019-20"/>
    <x v="3"/>
    <x v="6"/>
    <s v="L2"/>
    <s v="Planning and Orgnizing"/>
    <s v="Making Living Places: Craftsmanship, song and imagination"/>
    <n v="2"/>
    <x v="1"/>
    <x v="1"/>
    <n v="1"/>
    <n v="0.08"/>
    <n v="0.8"/>
    <n v="6.4000000000000001E-2"/>
    <x v="0"/>
  </r>
  <r>
    <s v="2019-20"/>
    <x v="3"/>
    <x v="6"/>
    <s v="L2"/>
    <s v="Planning and Orgnizing"/>
    <s v="Making Living Places: Craftsmanship, song and imagination"/>
    <n v="3"/>
    <x v="0"/>
    <x v="2"/>
    <n v="1"/>
    <n v="0.05"/>
    <n v="1"/>
    <n v="0.05"/>
    <x v="0"/>
  </r>
  <r>
    <s v="2019-20"/>
    <x v="3"/>
    <x v="6"/>
    <s v="L2"/>
    <s v="Planning and Orgnizing"/>
    <s v="Making Living Places: Craftsmanship, song and imagination"/>
    <n v="3"/>
    <x v="1"/>
    <x v="2"/>
    <n v="1"/>
    <n v="0.05"/>
    <n v="1"/>
    <n v="0.05"/>
    <x v="0"/>
  </r>
  <r>
    <s v="2019-20"/>
    <x v="3"/>
    <x v="6"/>
    <s v="L2"/>
    <s v="Planning and Orgnizing"/>
    <s v="Making Living Places: Craftsmanship, song and imagination"/>
    <n v="4"/>
    <x v="0"/>
    <x v="3"/>
    <n v="1"/>
    <n v="0.14000000000000001"/>
    <n v="1"/>
    <n v="0.14000000000000001"/>
    <x v="0"/>
  </r>
  <r>
    <s v="2019-20"/>
    <x v="3"/>
    <x v="6"/>
    <s v="L2"/>
    <s v="Planning and Orgnizing"/>
    <s v="Making Living Places: Craftsmanship, song and imagination"/>
    <n v="4"/>
    <x v="1"/>
    <x v="3"/>
    <n v="1"/>
    <n v="0.14000000000000001"/>
    <n v="1"/>
    <n v="0.14000000000000001"/>
    <x v="0"/>
  </r>
  <r>
    <s v="2019-20"/>
    <x v="3"/>
    <x v="6"/>
    <s v="L2"/>
    <s v="Planning and Orgnizing"/>
    <s v="Making Living Places: Craftsmanship, song and imagination"/>
    <n v="5"/>
    <x v="0"/>
    <x v="4"/>
    <n v="0"/>
    <n v="0.11"/>
    <n v="1"/>
    <n v="0"/>
    <x v="0"/>
  </r>
  <r>
    <s v="2019-20"/>
    <x v="3"/>
    <x v="6"/>
    <s v="L2"/>
    <s v="Planning and Orgnizing"/>
    <s v="Making Living Places: Craftsmanship, song and imagination"/>
    <n v="5"/>
    <x v="1"/>
    <x v="4"/>
    <n v="1"/>
    <n v="0.11"/>
    <n v="1"/>
    <n v="0.11"/>
    <x v="0"/>
  </r>
  <r>
    <s v="2019-20"/>
    <x v="3"/>
    <x v="6"/>
    <s v="L2"/>
    <s v="Planning and Orgnizing"/>
    <s v="Making Living Places: Craftsmanship, song and imagination"/>
    <n v="6"/>
    <x v="0"/>
    <x v="5"/>
    <n v="0"/>
    <n v="0.15"/>
    <n v="1"/>
    <n v="0"/>
    <x v="0"/>
  </r>
  <r>
    <s v="2019-20"/>
    <x v="3"/>
    <x v="6"/>
    <s v="L2"/>
    <s v="Planning and Orgnizing"/>
    <s v="Making Living Places: Craftsmanship, song and imagination"/>
    <n v="6"/>
    <x v="1"/>
    <x v="5"/>
    <n v="1"/>
    <n v="0.15"/>
    <n v="1"/>
    <n v="0.15"/>
    <x v="0"/>
  </r>
  <r>
    <s v="2019-20"/>
    <x v="3"/>
    <x v="6"/>
    <s v="L2"/>
    <s v="Planning and Orgnizing"/>
    <s v="Making Living Places: Craftsmanship, song and imagination"/>
    <n v="7"/>
    <x v="0"/>
    <x v="6"/>
    <n v="0"/>
    <n v="0.1"/>
    <n v="1"/>
    <n v="0"/>
    <x v="0"/>
  </r>
  <r>
    <s v="2019-20"/>
    <x v="3"/>
    <x v="6"/>
    <s v="L2"/>
    <s v="Planning and Orgnizing"/>
    <s v="Making Living Places: Craftsmanship, song and imagination"/>
    <n v="7"/>
    <x v="1"/>
    <x v="6"/>
    <n v="1"/>
    <n v="0.1"/>
    <n v="1"/>
    <n v="0.1"/>
    <x v="0"/>
  </r>
  <r>
    <s v="2019-20"/>
    <x v="3"/>
    <x v="6"/>
    <s v="L2"/>
    <s v="Planning and Orgnizing"/>
    <s v="Making Living Places: Craftsmanship, song and imagination"/>
    <n v="8"/>
    <x v="0"/>
    <x v="7"/>
    <n v="0"/>
    <n v="0.1"/>
    <n v="1"/>
    <n v="0"/>
    <x v="0"/>
  </r>
  <r>
    <s v="2019-20"/>
    <x v="3"/>
    <x v="6"/>
    <s v="L2"/>
    <s v="Planning and Orgnizing"/>
    <s v="Making Living Places: Craftsmanship, song and imagination"/>
    <n v="8"/>
    <x v="1"/>
    <x v="7"/>
    <n v="1"/>
    <n v="0.1"/>
    <n v="1"/>
    <n v="0.1"/>
    <x v="0"/>
  </r>
  <r>
    <s v="2019-20"/>
    <x v="3"/>
    <x v="6"/>
    <s v="L2"/>
    <s v="Planning and Orgnizing"/>
    <s v="Making Living Places: Craftsmanship, song and imagination"/>
    <n v="9"/>
    <x v="0"/>
    <x v="8"/>
    <m/>
    <n v="0.05"/>
    <n v="0.85"/>
    <n v="0"/>
    <x v="0"/>
  </r>
  <r>
    <s v="2019-20"/>
    <x v="3"/>
    <x v="6"/>
    <s v="L2"/>
    <s v="Planning and Orgnizing"/>
    <s v="Making Living Places: Craftsmanship, song and imagination"/>
    <n v="9"/>
    <x v="1"/>
    <x v="8"/>
    <m/>
    <n v="0.05"/>
    <n v="0.85"/>
    <n v="0"/>
    <x v="0"/>
  </r>
  <r>
    <s v="2019-20"/>
    <x v="3"/>
    <x v="6"/>
    <s v="L2"/>
    <s v="Planning and Orgnizing"/>
    <s v="Making Living Places: Craftsmanship, song and imagination"/>
    <n v="10"/>
    <x v="0"/>
    <x v="8"/>
    <m/>
    <n v="0.05"/>
    <n v="0.85"/>
    <n v="0"/>
    <x v="0"/>
  </r>
  <r>
    <s v="2019-20"/>
    <x v="3"/>
    <x v="6"/>
    <s v="L2"/>
    <s v="Planning and Orgnizing"/>
    <s v="Making Living Places: Craftsmanship, song and imagination"/>
    <n v="10"/>
    <x v="1"/>
    <x v="8"/>
    <m/>
    <n v="0.05"/>
    <n v="0.85"/>
    <n v="0"/>
    <x v="0"/>
  </r>
  <r>
    <s v="2019-20"/>
    <x v="3"/>
    <x v="6"/>
    <s v="L2"/>
    <s v="Planning and Orgnizing"/>
    <s v="Making Living Places: Craftsmanship, song and imagination"/>
    <n v="11"/>
    <x v="0"/>
    <x v="9"/>
    <n v="1"/>
    <n v="0.05"/>
    <n v="1"/>
    <n v="0.05"/>
    <x v="0"/>
  </r>
  <r>
    <s v="2019-20"/>
    <x v="3"/>
    <x v="6"/>
    <s v="L2"/>
    <s v="Planning and Orgnizing"/>
    <s v="Making Living Places: Craftsmanship, song and imagination"/>
    <n v="11"/>
    <x v="1"/>
    <x v="9"/>
    <n v="0"/>
    <n v="0.05"/>
    <n v="1"/>
    <n v="0"/>
    <x v="0"/>
  </r>
  <r>
    <s v="2019-20"/>
    <x v="3"/>
    <x v="9"/>
    <s v="L2"/>
    <s v="Constructing and Specifying"/>
    <s v="Tectonic Operations"/>
    <n v="1"/>
    <x v="0"/>
    <x v="0"/>
    <n v="1"/>
    <n v="0.12"/>
    <n v="1"/>
    <n v="0.12"/>
    <x v="0"/>
  </r>
  <r>
    <s v="2019-20"/>
    <x v="3"/>
    <x v="9"/>
    <s v="L2"/>
    <s v="Constructing and Specifying"/>
    <s v="Tectonic Operations"/>
    <n v="1"/>
    <x v="1"/>
    <x v="0"/>
    <n v="0"/>
    <n v="0.12"/>
    <n v="1"/>
    <n v="0"/>
    <x v="0"/>
  </r>
  <r>
    <s v="2019-20"/>
    <x v="3"/>
    <x v="9"/>
    <s v="L2"/>
    <s v="Constructing and Specifying"/>
    <s v="Tectonic Operations"/>
    <n v="2"/>
    <x v="0"/>
    <x v="1"/>
    <n v="1"/>
    <n v="0.08"/>
    <n v="0.8"/>
    <n v="6.4000000000000001E-2"/>
    <x v="0"/>
  </r>
  <r>
    <s v="2019-20"/>
    <x v="3"/>
    <x v="9"/>
    <s v="L2"/>
    <s v="Constructing and Specifying"/>
    <s v="Tectonic Operations"/>
    <n v="2"/>
    <x v="1"/>
    <x v="1"/>
    <n v="1"/>
    <n v="0.08"/>
    <n v="0.8"/>
    <n v="6.4000000000000001E-2"/>
    <x v="0"/>
  </r>
  <r>
    <s v="2019-20"/>
    <x v="3"/>
    <x v="9"/>
    <s v="L2"/>
    <s v="Constructing and Specifying"/>
    <s v="Tectonic Operations"/>
    <n v="3"/>
    <x v="0"/>
    <x v="2"/>
    <n v="0"/>
    <n v="0.05"/>
    <n v="1"/>
    <n v="0"/>
    <x v="0"/>
  </r>
  <r>
    <s v="2019-20"/>
    <x v="3"/>
    <x v="9"/>
    <s v="L2"/>
    <s v="Constructing and Specifying"/>
    <s v="Tectonic Operations"/>
    <n v="3"/>
    <x v="1"/>
    <x v="2"/>
    <n v="1"/>
    <n v="0.05"/>
    <n v="1"/>
    <n v="0.05"/>
    <x v="0"/>
  </r>
  <r>
    <s v="2019-20"/>
    <x v="3"/>
    <x v="9"/>
    <s v="L2"/>
    <s v="Constructing and Specifying"/>
    <s v="Tectonic Operations"/>
    <n v="4"/>
    <x v="0"/>
    <x v="3"/>
    <n v="0"/>
    <n v="0.14000000000000001"/>
    <n v="1"/>
    <n v="0"/>
    <x v="0"/>
  </r>
  <r>
    <s v="2019-20"/>
    <x v="3"/>
    <x v="9"/>
    <s v="L2"/>
    <s v="Constructing and Specifying"/>
    <s v="Tectonic Operations"/>
    <n v="4"/>
    <x v="1"/>
    <x v="3"/>
    <n v="0"/>
    <n v="0.14000000000000001"/>
    <n v="1"/>
    <n v="0"/>
    <x v="0"/>
  </r>
  <r>
    <s v="2019-20"/>
    <x v="3"/>
    <x v="9"/>
    <s v="L2"/>
    <s v="Constructing and Specifying"/>
    <s v="Tectonic Operations"/>
    <n v="5"/>
    <x v="0"/>
    <x v="4"/>
    <n v="0"/>
    <n v="0.11"/>
    <n v="1"/>
    <n v="0"/>
    <x v="0"/>
  </r>
  <r>
    <s v="2019-20"/>
    <x v="3"/>
    <x v="9"/>
    <s v="L2"/>
    <s v="Constructing and Specifying"/>
    <s v="Tectonic Operations"/>
    <n v="5"/>
    <x v="1"/>
    <x v="4"/>
    <n v="0"/>
    <n v="0.11"/>
    <n v="1"/>
    <n v="0"/>
    <x v="0"/>
  </r>
  <r>
    <s v="2019-20"/>
    <x v="3"/>
    <x v="9"/>
    <s v="L2"/>
    <s v="Constructing and Specifying"/>
    <s v="Tectonic Operations"/>
    <n v="6"/>
    <x v="0"/>
    <x v="5"/>
    <n v="0"/>
    <n v="0.15"/>
    <n v="1"/>
    <n v="0"/>
    <x v="0"/>
  </r>
  <r>
    <s v="2019-20"/>
    <x v="3"/>
    <x v="9"/>
    <s v="L2"/>
    <s v="Constructing and Specifying"/>
    <s v="Tectonic Operations"/>
    <n v="6"/>
    <x v="1"/>
    <x v="5"/>
    <n v="0"/>
    <n v="0.15"/>
    <n v="1"/>
    <n v="0"/>
    <x v="0"/>
  </r>
  <r>
    <s v="2019-20"/>
    <x v="3"/>
    <x v="9"/>
    <s v="L2"/>
    <s v="Constructing and Specifying"/>
    <s v="Tectonic Operations"/>
    <n v="7"/>
    <x v="0"/>
    <x v="6"/>
    <n v="0"/>
    <n v="0.1"/>
    <n v="1"/>
    <n v="0"/>
    <x v="0"/>
  </r>
  <r>
    <s v="2019-20"/>
    <x v="3"/>
    <x v="9"/>
    <s v="L2"/>
    <s v="Constructing and Specifying"/>
    <s v="Tectonic Operations"/>
    <n v="7"/>
    <x v="1"/>
    <x v="6"/>
    <n v="1"/>
    <n v="0.1"/>
    <n v="1"/>
    <n v="0.1"/>
    <x v="0"/>
  </r>
  <r>
    <s v="2019-20"/>
    <x v="3"/>
    <x v="9"/>
    <s v="L2"/>
    <s v="Constructing and Specifying"/>
    <s v="Tectonic Operations"/>
    <n v="8"/>
    <x v="0"/>
    <x v="7"/>
    <n v="0"/>
    <n v="0.1"/>
    <n v="1"/>
    <n v="0"/>
    <x v="0"/>
  </r>
  <r>
    <s v="2019-20"/>
    <x v="3"/>
    <x v="9"/>
    <s v="L2"/>
    <s v="Constructing and Specifying"/>
    <s v="Tectonic Operations"/>
    <n v="8"/>
    <x v="1"/>
    <x v="7"/>
    <n v="0"/>
    <n v="0.1"/>
    <n v="1"/>
    <n v="0"/>
    <x v="0"/>
  </r>
  <r>
    <s v="2019-20"/>
    <x v="3"/>
    <x v="9"/>
    <s v="L2"/>
    <s v="Constructing and Specifying"/>
    <s v="Tectonic Operations"/>
    <n v="9"/>
    <x v="0"/>
    <x v="8"/>
    <m/>
    <n v="0.05"/>
    <n v="0.85"/>
    <n v="0"/>
    <x v="0"/>
  </r>
  <r>
    <s v="2019-20"/>
    <x v="3"/>
    <x v="9"/>
    <s v="L2"/>
    <s v="Constructing and Specifying"/>
    <s v="Tectonic Operations"/>
    <n v="9"/>
    <x v="1"/>
    <x v="8"/>
    <m/>
    <n v="0.05"/>
    <n v="0.85"/>
    <n v="0"/>
    <x v="0"/>
  </r>
  <r>
    <s v="2019-20"/>
    <x v="3"/>
    <x v="9"/>
    <s v="L2"/>
    <s v="Constructing and Specifying"/>
    <s v="Tectonic Operations"/>
    <n v="10"/>
    <x v="0"/>
    <x v="8"/>
    <m/>
    <n v="0.05"/>
    <n v="0.85"/>
    <n v="0"/>
    <x v="0"/>
  </r>
  <r>
    <s v="2019-20"/>
    <x v="3"/>
    <x v="9"/>
    <s v="L2"/>
    <s v="Constructing and Specifying"/>
    <s v="Tectonic Operations"/>
    <n v="10"/>
    <x v="1"/>
    <x v="8"/>
    <m/>
    <n v="0.05"/>
    <n v="0.85"/>
    <n v="0"/>
    <x v="0"/>
  </r>
  <r>
    <s v="2019-20"/>
    <x v="3"/>
    <x v="9"/>
    <s v="L2"/>
    <s v="Constructing and Specifying"/>
    <s v="Tectonic Operations"/>
    <n v="11"/>
    <x v="0"/>
    <x v="9"/>
    <n v="0"/>
    <n v="0.05"/>
    <n v="1"/>
    <n v="0"/>
    <x v="0"/>
  </r>
  <r>
    <s v="2019-20"/>
    <x v="3"/>
    <x v="9"/>
    <s v="L2"/>
    <s v="Constructing and Specifying"/>
    <s v="Tectonic Operations"/>
    <n v="11"/>
    <x v="1"/>
    <x v="9"/>
    <n v="0"/>
    <n v="0.05"/>
    <n v="1"/>
    <n v="0"/>
    <x v="0"/>
  </r>
  <r>
    <s v="2019-20"/>
    <x v="3"/>
    <x v="17"/>
    <s v="L2"/>
    <s v="Planning and Orgnizing"/>
    <s v="Designing with People"/>
    <n v="1"/>
    <x v="0"/>
    <x v="0"/>
    <n v="1"/>
    <n v="0.12"/>
    <n v="1"/>
    <n v="0.12"/>
    <x v="0"/>
  </r>
  <r>
    <s v="2019-20"/>
    <x v="3"/>
    <x v="17"/>
    <s v="L2"/>
    <s v="Planning and Orgnizing"/>
    <s v="Designing with People"/>
    <n v="1"/>
    <x v="1"/>
    <x v="0"/>
    <n v="1"/>
    <n v="0.12"/>
    <n v="1"/>
    <n v="0.12"/>
    <x v="0"/>
  </r>
  <r>
    <s v="2019-20"/>
    <x v="3"/>
    <x v="17"/>
    <s v="L2"/>
    <s v="Planning and Orgnizing"/>
    <s v="Designing with People"/>
    <n v="2"/>
    <x v="0"/>
    <x v="1"/>
    <n v="1"/>
    <n v="0.08"/>
    <n v="0.8"/>
    <n v="6.4000000000000001E-2"/>
    <x v="0"/>
  </r>
  <r>
    <s v="2019-20"/>
    <x v="3"/>
    <x v="17"/>
    <s v="L2"/>
    <s v="Planning and Orgnizing"/>
    <s v="Designing with People"/>
    <n v="2"/>
    <x v="1"/>
    <x v="1"/>
    <n v="1"/>
    <n v="0.08"/>
    <n v="0.8"/>
    <n v="6.4000000000000001E-2"/>
    <x v="0"/>
  </r>
  <r>
    <s v="2019-20"/>
    <x v="3"/>
    <x v="17"/>
    <s v="L2"/>
    <s v="Planning and Orgnizing"/>
    <s v="Designing with People"/>
    <n v="3"/>
    <x v="0"/>
    <x v="2"/>
    <n v="0"/>
    <n v="0.05"/>
    <n v="1"/>
    <n v="0"/>
    <x v="0"/>
  </r>
  <r>
    <s v="2019-20"/>
    <x v="3"/>
    <x v="17"/>
    <s v="L2"/>
    <s v="Planning and Orgnizing"/>
    <s v="Designing with People"/>
    <n v="3"/>
    <x v="1"/>
    <x v="2"/>
    <n v="1"/>
    <n v="0.05"/>
    <n v="1"/>
    <n v="0.05"/>
    <x v="0"/>
  </r>
  <r>
    <s v="2019-20"/>
    <x v="3"/>
    <x v="17"/>
    <s v="L2"/>
    <s v="Planning and Orgnizing"/>
    <s v="Designing with People"/>
    <n v="4"/>
    <x v="0"/>
    <x v="3"/>
    <n v="0"/>
    <n v="0.14000000000000001"/>
    <n v="1"/>
    <n v="0"/>
    <x v="0"/>
  </r>
  <r>
    <s v="2019-20"/>
    <x v="3"/>
    <x v="17"/>
    <s v="L2"/>
    <s v="Planning and Orgnizing"/>
    <s v="Designing with People"/>
    <n v="4"/>
    <x v="1"/>
    <x v="3"/>
    <n v="1"/>
    <n v="0.14000000000000001"/>
    <n v="1"/>
    <n v="0.14000000000000001"/>
    <x v="0"/>
  </r>
  <r>
    <s v="2019-20"/>
    <x v="3"/>
    <x v="17"/>
    <s v="L2"/>
    <s v="Planning and Orgnizing"/>
    <s v="Designing with People"/>
    <n v="5"/>
    <x v="0"/>
    <x v="4"/>
    <n v="0"/>
    <n v="0.11"/>
    <n v="1"/>
    <n v="0"/>
    <x v="0"/>
  </r>
  <r>
    <s v="2019-20"/>
    <x v="3"/>
    <x v="17"/>
    <s v="L2"/>
    <s v="Planning and Orgnizing"/>
    <s v="Designing with People"/>
    <n v="5"/>
    <x v="1"/>
    <x v="4"/>
    <n v="1"/>
    <n v="0.11"/>
    <n v="1"/>
    <n v="0.11"/>
    <x v="0"/>
  </r>
  <r>
    <s v="2019-20"/>
    <x v="3"/>
    <x v="17"/>
    <s v="L2"/>
    <s v="Planning and Orgnizing"/>
    <s v="Designing with People"/>
    <n v="6"/>
    <x v="0"/>
    <x v="5"/>
    <n v="0"/>
    <n v="0.15"/>
    <n v="1"/>
    <n v="0"/>
    <x v="0"/>
  </r>
  <r>
    <s v="2019-20"/>
    <x v="3"/>
    <x v="17"/>
    <s v="L2"/>
    <s v="Planning and Orgnizing"/>
    <s v="Designing with People"/>
    <n v="6"/>
    <x v="1"/>
    <x v="5"/>
    <n v="1"/>
    <n v="0.15"/>
    <n v="1"/>
    <n v="0.15"/>
    <x v="0"/>
  </r>
  <r>
    <s v="2019-20"/>
    <x v="3"/>
    <x v="17"/>
    <s v="L2"/>
    <s v="Planning and Orgnizing"/>
    <s v="Designing with People"/>
    <n v="7"/>
    <x v="0"/>
    <x v="6"/>
    <n v="0"/>
    <n v="0.1"/>
    <n v="1"/>
    <n v="0"/>
    <x v="0"/>
  </r>
  <r>
    <s v="2019-20"/>
    <x v="3"/>
    <x v="17"/>
    <s v="L2"/>
    <s v="Planning and Orgnizing"/>
    <s v="Designing with People"/>
    <n v="7"/>
    <x v="1"/>
    <x v="6"/>
    <n v="1"/>
    <n v="0.1"/>
    <n v="1"/>
    <n v="0.1"/>
    <x v="0"/>
  </r>
  <r>
    <s v="2019-20"/>
    <x v="3"/>
    <x v="17"/>
    <s v="L2"/>
    <s v="Planning and Orgnizing"/>
    <s v="Designing with People"/>
    <n v="8"/>
    <x v="0"/>
    <x v="7"/>
    <n v="0"/>
    <n v="0.1"/>
    <n v="1"/>
    <n v="0"/>
    <x v="0"/>
  </r>
  <r>
    <s v="2019-20"/>
    <x v="3"/>
    <x v="17"/>
    <s v="L2"/>
    <s v="Planning and Orgnizing"/>
    <s v="Designing with People"/>
    <n v="8"/>
    <x v="1"/>
    <x v="7"/>
    <n v="1"/>
    <n v="0.1"/>
    <n v="1"/>
    <n v="0.1"/>
    <x v="0"/>
  </r>
  <r>
    <s v="2019-20"/>
    <x v="3"/>
    <x v="17"/>
    <s v="L2"/>
    <s v="Planning and Orgnizing"/>
    <s v="Designing with People"/>
    <n v="9"/>
    <x v="0"/>
    <x v="8"/>
    <m/>
    <n v="0.05"/>
    <n v="0.85"/>
    <n v="0"/>
    <x v="0"/>
  </r>
  <r>
    <s v="2019-20"/>
    <x v="3"/>
    <x v="17"/>
    <s v="L2"/>
    <s v="Planning and Orgnizing"/>
    <s v="Designing with People"/>
    <n v="9"/>
    <x v="1"/>
    <x v="8"/>
    <m/>
    <n v="0.05"/>
    <n v="0.85"/>
    <n v="0"/>
    <x v="0"/>
  </r>
  <r>
    <s v="2019-20"/>
    <x v="3"/>
    <x v="17"/>
    <s v="L2"/>
    <s v="Planning and Orgnizing"/>
    <s v="Designing with People"/>
    <n v="10"/>
    <x v="0"/>
    <x v="8"/>
    <m/>
    <n v="0.05"/>
    <n v="0.85"/>
    <n v="0"/>
    <x v="0"/>
  </r>
  <r>
    <s v="2019-20"/>
    <x v="3"/>
    <x v="17"/>
    <s v="L2"/>
    <s v="Planning and Orgnizing"/>
    <s v="Designing with People"/>
    <n v="10"/>
    <x v="1"/>
    <x v="8"/>
    <m/>
    <n v="0.05"/>
    <n v="0.85"/>
    <n v="0"/>
    <x v="0"/>
  </r>
  <r>
    <s v="2019-20"/>
    <x v="3"/>
    <x v="17"/>
    <s v="L2"/>
    <s v="Planning and Orgnizing"/>
    <s v="Designing with People"/>
    <n v="11"/>
    <x v="0"/>
    <x v="9"/>
    <n v="0"/>
    <n v="0.05"/>
    <n v="1"/>
    <n v="0"/>
    <x v="0"/>
  </r>
  <r>
    <s v="2019-20"/>
    <x v="3"/>
    <x v="17"/>
    <s v="L2"/>
    <s v="Planning and Orgnizing"/>
    <s v="Designing with People"/>
    <n v="11"/>
    <x v="1"/>
    <x v="9"/>
    <n v="1"/>
    <n v="0.05"/>
    <n v="1"/>
    <n v="0.05"/>
    <x v="0"/>
  </r>
  <r>
    <s v="2019-20"/>
    <x v="3"/>
    <x v="18"/>
    <s v="L2"/>
    <s v="Constructing and Specifying"/>
    <s v="Where Material Meets Design"/>
    <n v="1"/>
    <x v="0"/>
    <x v="0"/>
    <n v="1"/>
    <n v="0.12"/>
    <n v="1"/>
    <n v="0.12"/>
    <x v="0"/>
  </r>
  <r>
    <s v="2019-20"/>
    <x v="3"/>
    <x v="18"/>
    <s v="L2"/>
    <s v="Constructing and Specifying"/>
    <s v="Where Material Meets Design"/>
    <n v="1"/>
    <x v="1"/>
    <x v="0"/>
    <n v="1"/>
    <n v="0.12"/>
    <n v="1"/>
    <n v="0.12"/>
    <x v="0"/>
  </r>
  <r>
    <s v="2019-20"/>
    <x v="3"/>
    <x v="18"/>
    <s v="L2"/>
    <s v="Constructing and Specifying"/>
    <s v="Where Material Meets Design"/>
    <n v="2"/>
    <x v="0"/>
    <x v="1"/>
    <n v="1"/>
    <n v="0.08"/>
    <n v="0.8"/>
    <n v="6.4000000000000001E-2"/>
    <x v="0"/>
  </r>
  <r>
    <s v="2019-20"/>
    <x v="3"/>
    <x v="18"/>
    <s v="L2"/>
    <s v="Constructing and Specifying"/>
    <s v="Where Material Meets Design"/>
    <n v="2"/>
    <x v="1"/>
    <x v="1"/>
    <n v="1"/>
    <n v="0.08"/>
    <n v="0.8"/>
    <n v="6.4000000000000001E-2"/>
    <x v="0"/>
  </r>
  <r>
    <s v="2019-20"/>
    <x v="3"/>
    <x v="18"/>
    <s v="L2"/>
    <s v="Constructing and Specifying"/>
    <s v="Where Material Meets Design"/>
    <n v="3"/>
    <x v="0"/>
    <x v="2"/>
    <n v="1"/>
    <n v="0.05"/>
    <n v="1"/>
    <n v="0.05"/>
    <x v="0"/>
  </r>
  <r>
    <s v="2019-20"/>
    <x v="3"/>
    <x v="18"/>
    <s v="L2"/>
    <s v="Constructing and Specifying"/>
    <s v="Where Material Meets Design"/>
    <n v="3"/>
    <x v="1"/>
    <x v="2"/>
    <n v="0"/>
    <n v="0.05"/>
    <n v="1"/>
    <n v="0"/>
    <x v="0"/>
  </r>
  <r>
    <s v="2019-20"/>
    <x v="3"/>
    <x v="18"/>
    <s v="L2"/>
    <s v="Constructing and Specifying"/>
    <s v="Where Material Meets Design"/>
    <n v="4"/>
    <x v="0"/>
    <x v="3"/>
    <n v="1"/>
    <n v="0.14000000000000001"/>
    <n v="1"/>
    <n v="0.14000000000000001"/>
    <x v="0"/>
  </r>
  <r>
    <s v="2019-20"/>
    <x v="3"/>
    <x v="18"/>
    <s v="L2"/>
    <s v="Constructing and Specifying"/>
    <s v="Where Material Meets Design"/>
    <n v="4"/>
    <x v="1"/>
    <x v="3"/>
    <n v="0"/>
    <n v="0.14000000000000001"/>
    <n v="1"/>
    <n v="0"/>
    <x v="0"/>
  </r>
  <r>
    <s v="2019-20"/>
    <x v="3"/>
    <x v="18"/>
    <s v="L2"/>
    <s v="Constructing and Specifying"/>
    <s v="Where Material Meets Design"/>
    <n v="5"/>
    <x v="0"/>
    <x v="4"/>
    <n v="1"/>
    <n v="0.11"/>
    <n v="1"/>
    <n v="0.11"/>
    <x v="0"/>
  </r>
  <r>
    <s v="2019-20"/>
    <x v="3"/>
    <x v="18"/>
    <s v="L2"/>
    <s v="Constructing and Specifying"/>
    <s v="Where Material Meets Design"/>
    <n v="5"/>
    <x v="1"/>
    <x v="4"/>
    <n v="0"/>
    <n v="0.11"/>
    <n v="1"/>
    <n v="0"/>
    <x v="0"/>
  </r>
  <r>
    <s v="2019-20"/>
    <x v="3"/>
    <x v="18"/>
    <s v="L2"/>
    <s v="Constructing and Specifying"/>
    <s v="Where Material Meets Design"/>
    <n v="6"/>
    <x v="0"/>
    <x v="5"/>
    <n v="0"/>
    <n v="0.15"/>
    <n v="1"/>
    <n v="0"/>
    <x v="0"/>
  </r>
  <r>
    <s v="2019-20"/>
    <x v="3"/>
    <x v="18"/>
    <s v="L2"/>
    <s v="Constructing and Specifying"/>
    <s v="Where Material Meets Design"/>
    <n v="6"/>
    <x v="1"/>
    <x v="5"/>
    <n v="0"/>
    <n v="0.15"/>
    <n v="1"/>
    <n v="0"/>
    <x v="164"/>
  </r>
  <r>
    <s v="2019-20"/>
    <x v="3"/>
    <x v="18"/>
    <s v="L2"/>
    <s v="Constructing and Specifying"/>
    <s v="Where Material Meets Design"/>
    <n v="7"/>
    <x v="0"/>
    <x v="6"/>
    <n v="0"/>
    <n v="0.1"/>
    <n v="1"/>
    <n v="0"/>
    <x v="0"/>
  </r>
  <r>
    <s v="2019-20"/>
    <x v="3"/>
    <x v="18"/>
    <s v="L2"/>
    <s v="Constructing and Specifying"/>
    <s v="Where Material Meets Design"/>
    <n v="7"/>
    <x v="1"/>
    <x v="6"/>
    <n v="0"/>
    <n v="0.1"/>
    <n v="1"/>
    <n v="0"/>
    <x v="95"/>
  </r>
  <r>
    <s v="2019-20"/>
    <x v="3"/>
    <x v="18"/>
    <s v="L2"/>
    <s v="Constructing and Specifying"/>
    <s v="Where Material Meets Design"/>
    <n v="8"/>
    <x v="0"/>
    <x v="7"/>
    <n v="0"/>
    <n v="0.1"/>
    <n v="1"/>
    <n v="0"/>
    <x v="0"/>
  </r>
  <r>
    <s v="2019-20"/>
    <x v="3"/>
    <x v="18"/>
    <s v="L2"/>
    <s v="Constructing and Specifying"/>
    <s v="Where Material Meets Design"/>
    <n v="8"/>
    <x v="1"/>
    <x v="7"/>
    <n v="0"/>
    <n v="0.1"/>
    <n v="1"/>
    <n v="0"/>
    <x v="0"/>
  </r>
  <r>
    <s v="2019-20"/>
    <x v="3"/>
    <x v="18"/>
    <s v="L2"/>
    <s v="Constructing and Specifying"/>
    <s v="Where Material Meets Design"/>
    <n v="9"/>
    <x v="0"/>
    <x v="8"/>
    <m/>
    <n v="0.05"/>
    <n v="0.85"/>
    <n v="0"/>
    <x v="0"/>
  </r>
  <r>
    <s v="2019-20"/>
    <x v="3"/>
    <x v="18"/>
    <s v="L2"/>
    <s v="Constructing and Specifying"/>
    <s v="Where Material Meets Design"/>
    <n v="9"/>
    <x v="1"/>
    <x v="8"/>
    <m/>
    <n v="0.05"/>
    <n v="0.85"/>
    <n v="0"/>
    <x v="0"/>
  </r>
  <r>
    <s v="2019-20"/>
    <x v="3"/>
    <x v="18"/>
    <s v="L2"/>
    <s v="Constructing and Specifying"/>
    <s v="Where Material Meets Design"/>
    <n v="10"/>
    <x v="0"/>
    <x v="8"/>
    <m/>
    <n v="0.05"/>
    <n v="0.85"/>
    <n v="0"/>
    <x v="0"/>
  </r>
  <r>
    <s v="2019-20"/>
    <x v="3"/>
    <x v="18"/>
    <s v="L2"/>
    <s v="Constructing and Specifying"/>
    <s v="Where Material Meets Design"/>
    <n v="10"/>
    <x v="1"/>
    <x v="8"/>
    <m/>
    <n v="0.05"/>
    <n v="0.85"/>
    <n v="0"/>
    <x v="0"/>
  </r>
  <r>
    <s v="2019-20"/>
    <x v="3"/>
    <x v="18"/>
    <s v="L2"/>
    <s v="Constructing and Specifying"/>
    <s v="Where Material Meets Design"/>
    <n v="11"/>
    <x v="0"/>
    <x v="9"/>
    <n v="0"/>
    <n v="0.05"/>
    <n v="1"/>
    <n v="0"/>
    <x v="0"/>
  </r>
  <r>
    <s v="2019-20"/>
    <x v="3"/>
    <x v="18"/>
    <s v="L2"/>
    <s v="Constructing and Specifying"/>
    <s v="Where Material Meets Design"/>
    <n v="11"/>
    <x v="1"/>
    <x v="9"/>
    <n v="0"/>
    <n v="0.05"/>
    <n v="1"/>
    <n v="0"/>
    <x v="165"/>
  </r>
  <r>
    <s v="2019-20"/>
    <x v="3"/>
    <x v="25"/>
    <s v="L2"/>
    <s v="Constructing and Specifying"/>
    <s v="Space Kinematics"/>
    <n v="1"/>
    <x v="0"/>
    <x v="0"/>
    <n v="1"/>
    <n v="0.12"/>
    <n v="1"/>
    <n v="0.12"/>
    <x v="0"/>
  </r>
  <r>
    <s v="2019-20"/>
    <x v="3"/>
    <x v="25"/>
    <s v="L2"/>
    <s v="Constructing and Specifying"/>
    <s v="Space Kinematics"/>
    <n v="1"/>
    <x v="1"/>
    <x v="0"/>
    <n v="0"/>
    <n v="0.12"/>
    <n v="1"/>
    <n v="0.12"/>
    <x v="0"/>
  </r>
  <r>
    <s v="2019-20"/>
    <x v="3"/>
    <x v="25"/>
    <s v="L2"/>
    <s v="Constructing and Specifying"/>
    <s v="Space Kinematics"/>
    <n v="2"/>
    <x v="0"/>
    <x v="1"/>
    <n v="0"/>
    <n v="0.08"/>
    <n v="0.8"/>
    <n v="0"/>
    <x v="0"/>
  </r>
  <r>
    <s v="2019-20"/>
    <x v="3"/>
    <x v="25"/>
    <s v="L2"/>
    <s v="Constructing and Specifying"/>
    <s v="Space Kinematics"/>
    <n v="2"/>
    <x v="1"/>
    <x v="1"/>
    <n v="1"/>
    <n v="0.08"/>
    <n v="0.8"/>
    <n v="6.4000000000000001E-2"/>
    <x v="0"/>
  </r>
  <r>
    <s v="2019-20"/>
    <x v="3"/>
    <x v="25"/>
    <s v="L2"/>
    <s v="Constructing and Specifying"/>
    <s v="Space Kinematics"/>
    <n v="3"/>
    <x v="0"/>
    <x v="2"/>
    <n v="1"/>
    <n v="0.05"/>
    <n v="1"/>
    <n v="0.05"/>
    <x v="0"/>
  </r>
  <r>
    <s v="2019-20"/>
    <x v="3"/>
    <x v="25"/>
    <s v="L2"/>
    <s v="Constructing and Specifying"/>
    <s v="Space Kinematics"/>
    <n v="3"/>
    <x v="1"/>
    <x v="2"/>
    <n v="0"/>
    <n v="0.05"/>
    <n v="1"/>
    <n v="0"/>
    <x v="0"/>
  </r>
  <r>
    <s v="2019-20"/>
    <x v="3"/>
    <x v="25"/>
    <s v="L2"/>
    <s v="Constructing and Specifying"/>
    <s v="Space Kinematics"/>
    <n v="4"/>
    <x v="0"/>
    <x v="3"/>
    <n v="0"/>
    <n v="0.14000000000000001"/>
    <n v="1"/>
    <n v="0"/>
    <x v="0"/>
  </r>
  <r>
    <s v="2019-20"/>
    <x v="3"/>
    <x v="25"/>
    <s v="L2"/>
    <s v="Constructing and Specifying"/>
    <s v="Space Kinematics"/>
    <n v="4"/>
    <x v="1"/>
    <x v="3"/>
    <n v="1"/>
    <n v="0.14000000000000001"/>
    <n v="1"/>
    <n v="0.14000000000000001"/>
    <x v="0"/>
  </r>
  <r>
    <s v="2019-20"/>
    <x v="3"/>
    <x v="25"/>
    <s v="L2"/>
    <s v="Constructing and Specifying"/>
    <s v="Space Kinematics"/>
    <n v="5"/>
    <x v="0"/>
    <x v="4"/>
    <n v="0"/>
    <n v="0.11"/>
    <n v="1"/>
    <n v="0"/>
    <x v="0"/>
  </r>
  <r>
    <s v="2019-20"/>
    <x v="3"/>
    <x v="25"/>
    <s v="L2"/>
    <s v="Constructing and Specifying"/>
    <s v="Space Kinematics"/>
    <n v="5"/>
    <x v="1"/>
    <x v="4"/>
    <n v="0"/>
    <n v="0.11"/>
    <n v="1"/>
    <n v="0"/>
    <x v="0"/>
  </r>
  <r>
    <s v="2019-20"/>
    <x v="3"/>
    <x v="25"/>
    <s v="L2"/>
    <s v="Constructing and Specifying"/>
    <s v="Space Kinematics"/>
    <n v="6"/>
    <x v="0"/>
    <x v="5"/>
    <n v="0"/>
    <n v="0.15"/>
    <n v="1"/>
    <n v="0"/>
    <x v="0"/>
  </r>
  <r>
    <s v="2019-20"/>
    <x v="3"/>
    <x v="25"/>
    <s v="L2"/>
    <s v="Constructing and Specifying"/>
    <s v="Space Kinematics"/>
    <n v="6"/>
    <x v="1"/>
    <x v="5"/>
    <n v="0"/>
    <n v="0.15"/>
    <n v="1"/>
    <n v="0"/>
    <x v="0"/>
  </r>
  <r>
    <s v="2019-20"/>
    <x v="3"/>
    <x v="25"/>
    <s v="L2"/>
    <s v="Constructing and Specifying"/>
    <s v="Space Kinematics"/>
    <n v="7"/>
    <x v="0"/>
    <x v="6"/>
    <n v="0"/>
    <n v="0.1"/>
    <n v="1"/>
    <n v="0"/>
    <x v="0"/>
  </r>
  <r>
    <s v="2019-20"/>
    <x v="3"/>
    <x v="25"/>
    <s v="L2"/>
    <s v="Constructing and Specifying"/>
    <s v="Space Kinematics"/>
    <n v="7"/>
    <x v="1"/>
    <x v="6"/>
    <n v="1"/>
    <n v="0.1"/>
    <n v="1"/>
    <n v="0.1"/>
    <x v="0"/>
  </r>
  <r>
    <s v="2019-20"/>
    <x v="3"/>
    <x v="25"/>
    <s v="L2"/>
    <s v="Constructing and Specifying"/>
    <s v="Space Kinematics"/>
    <n v="8"/>
    <x v="0"/>
    <x v="7"/>
    <n v="0"/>
    <n v="0.1"/>
    <n v="1"/>
    <n v="0"/>
    <x v="0"/>
  </r>
  <r>
    <s v="2019-20"/>
    <x v="3"/>
    <x v="25"/>
    <s v="L2"/>
    <s v="Constructing and Specifying"/>
    <s v="Space Kinematics"/>
    <n v="8"/>
    <x v="1"/>
    <x v="7"/>
    <n v="1"/>
    <n v="0.1"/>
    <n v="1"/>
    <n v="0.1"/>
    <x v="0"/>
  </r>
  <r>
    <s v="2019-20"/>
    <x v="3"/>
    <x v="25"/>
    <s v="L2"/>
    <s v="Constructing and Specifying"/>
    <s v="Space Kinematics"/>
    <n v="9"/>
    <x v="0"/>
    <x v="8"/>
    <m/>
    <n v="0.05"/>
    <n v="0.85"/>
    <n v="0"/>
    <x v="0"/>
  </r>
  <r>
    <s v="2019-20"/>
    <x v="3"/>
    <x v="25"/>
    <s v="L2"/>
    <s v="Constructing and Specifying"/>
    <s v="Space Kinematics"/>
    <n v="9"/>
    <x v="1"/>
    <x v="8"/>
    <m/>
    <n v="0.05"/>
    <n v="0.85"/>
    <n v="0"/>
    <x v="0"/>
  </r>
  <r>
    <s v="2019-20"/>
    <x v="3"/>
    <x v="25"/>
    <s v="L2"/>
    <s v="Constructing and Specifying"/>
    <s v="Space Kinematics"/>
    <n v="10"/>
    <x v="0"/>
    <x v="8"/>
    <m/>
    <n v="0.05"/>
    <n v="0.85"/>
    <n v="0"/>
    <x v="0"/>
  </r>
  <r>
    <s v="2019-20"/>
    <x v="3"/>
    <x v="25"/>
    <s v="L2"/>
    <s v="Constructing and Specifying"/>
    <s v="Space Kinematics"/>
    <n v="10"/>
    <x v="1"/>
    <x v="8"/>
    <n v="0"/>
    <n v="0.05"/>
    <n v="0.85"/>
    <n v="0"/>
    <x v="0"/>
  </r>
  <r>
    <s v="2019-20"/>
    <x v="3"/>
    <x v="25"/>
    <s v="L2"/>
    <s v="Constructing and Specifying"/>
    <s v="Space Kinematics"/>
    <n v="11"/>
    <x v="0"/>
    <x v="9"/>
    <n v="0"/>
    <n v="0.05"/>
    <n v="1"/>
    <n v="0"/>
    <x v="0"/>
  </r>
  <r>
    <s v="2019-20"/>
    <x v="3"/>
    <x v="25"/>
    <s v="L2"/>
    <s v="Constructing and Specifying"/>
    <s v="Space Kinematics"/>
    <n v="11"/>
    <x v="1"/>
    <x v="9"/>
    <m/>
    <n v="0.05"/>
    <n v="1"/>
    <n v="0"/>
    <x v="0"/>
  </r>
  <r>
    <s v="2019-20"/>
    <x v="3"/>
    <x v="32"/>
    <s v="L2"/>
    <s v="Planning and Orgnizing"/>
    <s v="Humane Habitat: The alchemy of place, people and palimpsest"/>
    <n v="1"/>
    <x v="0"/>
    <x v="0"/>
    <n v="1"/>
    <n v="0.12"/>
    <n v="1"/>
    <n v="0.12"/>
    <x v="0"/>
  </r>
  <r>
    <s v="2019-20"/>
    <x v="3"/>
    <x v="32"/>
    <s v="L2"/>
    <s v="Planning and Orgnizing"/>
    <s v="Humane Habitat: The alchemy of place, people and palimpsest"/>
    <n v="1"/>
    <x v="1"/>
    <x v="0"/>
    <n v="0"/>
    <n v="0.12"/>
    <n v="1"/>
    <n v="0.12"/>
    <x v="0"/>
  </r>
  <r>
    <s v="2019-20"/>
    <x v="3"/>
    <x v="32"/>
    <s v="L2"/>
    <s v="Planning and Orgnizing"/>
    <s v="Humane Habitat: The alchemy of place, people and palimpsest"/>
    <n v="2"/>
    <x v="0"/>
    <x v="1"/>
    <n v="1"/>
    <n v="0.08"/>
    <n v="0.8"/>
    <n v="6.4000000000000001E-2"/>
    <x v="0"/>
  </r>
  <r>
    <s v="2019-20"/>
    <x v="3"/>
    <x v="32"/>
    <s v="L2"/>
    <s v="Planning and Orgnizing"/>
    <s v="Humane Habitat: The alchemy of place, people and palimpsest"/>
    <n v="2"/>
    <x v="1"/>
    <x v="1"/>
    <n v="0"/>
    <n v="0.08"/>
    <n v="0.8"/>
    <n v="0"/>
    <x v="0"/>
  </r>
  <r>
    <s v="2019-20"/>
    <x v="3"/>
    <x v="32"/>
    <s v="L2"/>
    <s v="Planning and Orgnizing"/>
    <s v="Humane Habitat: The alchemy of place, people and palimpsest"/>
    <n v="3"/>
    <x v="0"/>
    <x v="2"/>
    <n v="1"/>
    <n v="0.05"/>
    <n v="1"/>
    <n v="0.05"/>
    <x v="0"/>
  </r>
  <r>
    <s v="2019-20"/>
    <x v="3"/>
    <x v="32"/>
    <s v="L2"/>
    <s v="Planning and Orgnizing"/>
    <s v="Humane Habitat: The alchemy of place, people and palimpsest"/>
    <n v="3"/>
    <x v="1"/>
    <x v="2"/>
    <n v="0"/>
    <n v="0.05"/>
    <n v="1"/>
    <n v="0"/>
    <x v="0"/>
  </r>
  <r>
    <s v="2019-20"/>
    <x v="3"/>
    <x v="32"/>
    <s v="L2"/>
    <s v="Planning and Orgnizing"/>
    <s v="Humane Habitat: The alchemy of place, people and palimpsest"/>
    <n v="4"/>
    <x v="0"/>
    <x v="3"/>
    <n v="0"/>
    <n v="0.14000000000000001"/>
    <n v="1"/>
    <n v="0"/>
    <x v="0"/>
  </r>
  <r>
    <s v="2019-20"/>
    <x v="3"/>
    <x v="32"/>
    <s v="L2"/>
    <s v="Planning and Orgnizing"/>
    <s v="Humane Habitat: The alchemy of place, people and palimpsest"/>
    <n v="4"/>
    <x v="1"/>
    <x v="3"/>
    <n v="-1"/>
    <n v="0.14000000000000001"/>
    <n v="1"/>
    <n v="-0.14000000000000001"/>
    <x v="0"/>
  </r>
  <r>
    <s v="2019-20"/>
    <x v="3"/>
    <x v="32"/>
    <s v="L2"/>
    <s v="Planning and Orgnizing"/>
    <s v="Humane Habitat: The alchemy of place, people and palimpsest"/>
    <n v="5"/>
    <x v="0"/>
    <x v="4"/>
    <n v="0"/>
    <n v="0.11"/>
    <n v="1"/>
    <n v="0"/>
    <x v="0"/>
  </r>
  <r>
    <s v="2019-20"/>
    <x v="3"/>
    <x v="32"/>
    <s v="L2"/>
    <s v="Planning and Orgnizing"/>
    <s v="Humane Habitat: The alchemy of place, people and palimpsest"/>
    <n v="5"/>
    <x v="1"/>
    <x v="4"/>
    <n v="-1"/>
    <n v="0.11"/>
    <n v="1"/>
    <n v="-0.11"/>
    <x v="0"/>
  </r>
  <r>
    <s v="2019-20"/>
    <x v="3"/>
    <x v="32"/>
    <s v="L2"/>
    <s v="Planning and Orgnizing"/>
    <s v="Humane Habitat: The alchemy of place, people and palimpsest"/>
    <n v="6"/>
    <x v="0"/>
    <x v="5"/>
    <n v="0"/>
    <n v="0.15"/>
    <n v="1"/>
    <n v="0"/>
    <x v="0"/>
  </r>
  <r>
    <s v="2019-20"/>
    <x v="3"/>
    <x v="32"/>
    <s v="L2"/>
    <s v="Planning and Orgnizing"/>
    <s v="Humane Habitat: The alchemy of place, people and palimpsest"/>
    <n v="6"/>
    <x v="1"/>
    <x v="5"/>
    <n v="-1"/>
    <n v="0.15"/>
    <n v="1"/>
    <n v="-0.15"/>
    <x v="0"/>
  </r>
  <r>
    <s v="2019-20"/>
    <x v="3"/>
    <x v="32"/>
    <s v="L2"/>
    <s v="Planning and Orgnizing"/>
    <s v="Humane Habitat: The alchemy of place, people and palimpsest"/>
    <n v="7"/>
    <x v="0"/>
    <x v="6"/>
    <n v="0"/>
    <n v="0.1"/>
    <n v="1"/>
    <n v="0"/>
    <x v="0"/>
  </r>
  <r>
    <s v="2019-20"/>
    <x v="3"/>
    <x v="32"/>
    <s v="L2"/>
    <s v="Planning and Orgnizing"/>
    <s v="Humane Habitat: The alchemy of place, people and palimpsest"/>
    <n v="7"/>
    <x v="1"/>
    <x v="6"/>
    <n v="-1"/>
    <n v="0.1"/>
    <n v="1"/>
    <n v="-0.1"/>
    <x v="0"/>
  </r>
  <r>
    <s v="2019-20"/>
    <x v="3"/>
    <x v="32"/>
    <s v="L2"/>
    <s v="Planning and Orgnizing"/>
    <s v="Humane Habitat: The alchemy of place, people and palimpsest"/>
    <n v="8"/>
    <x v="0"/>
    <x v="7"/>
    <n v="1"/>
    <n v="0.1"/>
    <n v="1"/>
    <n v="0.1"/>
    <x v="0"/>
  </r>
  <r>
    <s v="2019-20"/>
    <x v="3"/>
    <x v="32"/>
    <s v="L2"/>
    <s v="Planning and Orgnizing"/>
    <s v="Humane Habitat: The alchemy of place, people and palimpsest"/>
    <n v="8"/>
    <x v="1"/>
    <x v="7"/>
    <n v="-1"/>
    <n v="0.1"/>
    <n v="1"/>
    <n v="-0.1"/>
    <x v="0"/>
  </r>
  <r>
    <s v="2019-20"/>
    <x v="3"/>
    <x v="32"/>
    <s v="L2"/>
    <s v="Planning and Orgnizing"/>
    <s v="Humane Habitat: The alchemy of place, people and palimpsest"/>
    <n v="9"/>
    <x v="0"/>
    <x v="8"/>
    <m/>
    <n v="0.05"/>
    <n v="0.85"/>
    <n v="0"/>
    <x v="0"/>
  </r>
  <r>
    <s v="2019-20"/>
    <x v="3"/>
    <x v="32"/>
    <s v="L2"/>
    <s v="Planning and Orgnizing"/>
    <s v="Humane Habitat: The alchemy of place, people and palimpsest"/>
    <n v="9"/>
    <x v="1"/>
    <x v="8"/>
    <m/>
    <n v="0.05"/>
    <n v="0.85"/>
    <n v="0"/>
    <x v="0"/>
  </r>
  <r>
    <s v="2019-20"/>
    <x v="3"/>
    <x v="32"/>
    <s v="L2"/>
    <s v="Planning and Orgnizing"/>
    <s v="Humane Habitat: The alchemy of place, people and palimpsest"/>
    <n v="10"/>
    <x v="0"/>
    <x v="8"/>
    <m/>
    <n v="0.05"/>
    <n v="0.85"/>
    <n v="0"/>
    <x v="0"/>
  </r>
  <r>
    <s v="2019-20"/>
    <x v="3"/>
    <x v="32"/>
    <s v="L2"/>
    <s v="Planning and Orgnizing"/>
    <s v="Humane Habitat: The alchemy of place, people and palimpsest"/>
    <n v="10"/>
    <x v="1"/>
    <x v="8"/>
    <m/>
    <n v="0.05"/>
    <n v="0.85"/>
    <n v="0"/>
    <x v="0"/>
  </r>
  <r>
    <s v="2019-20"/>
    <x v="3"/>
    <x v="32"/>
    <s v="L2"/>
    <s v="Planning and Orgnizing"/>
    <s v="Humane Habitat: The alchemy of place, people and palimpsest"/>
    <n v="11"/>
    <x v="0"/>
    <x v="9"/>
    <n v="0"/>
    <n v="0.05"/>
    <n v="1"/>
    <n v="0"/>
    <x v="0"/>
  </r>
  <r>
    <s v="2019-20"/>
    <x v="3"/>
    <x v="32"/>
    <s v="L2"/>
    <s v="Planning and Orgnizing"/>
    <s v="Humane Habitat: The alchemy of place, people and palimpsest"/>
    <n v="11"/>
    <x v="1"/>
    <x v="9"/>
    <n v="-1"/>
    <n v="0.05"/>
    <n v="1"/>
    <n v="-0.05"/>
    <x v="0"/>
  </r>
  <r>
    <s v="2019-20"/>
    <x v="3"/>
    <x v="27"/>
    <s v="L2"/>
    <s v="Planning and Orgnizing"/>
    <s v="The Joy of Architecture"/>
    <n v="1"/>
    <x v="0"/>
    <x v="0"/>
    <n v="1"/>
    <n v="0.12"/>
    <n v="1"/>
    <n v="0.12"/>
    <x v="0"/>
  </r>
  <r>
    <s v="2019-20"/>
    <x v="3"/>
    <x v="27"/>
    <s v="L2"/>
    <s v="Planning and Orgnizing"/>
    <s v="The Joy of Architecture"/>
    <n v="1"/>
    <x v="1"/>
    <x v="0"/>
    <n v="1"/>
    <n v="0.12"/>
    <n v="1"/>
    <n v="0.12"/>
    <x v="0"/>
  </r>
  <r>
    <s v="2019-20"/>
    <x v="3"/>
    <x v="27"/>
    <s v="L2"/>
    <s v="Planning and Orgnizing"/>
    <s v="The Joy of Architecture"/>
    <n v="2"/>
    <x v="0"/>
    <x v="1"/>
    <n v="1"/>
    <n v="0.08"/>
    <n v="0.8"/>
    <n v="6.4000000000000001E-2"/>
    <x v="0"/>
  </r>
  <r>
    <s v="2019-20"/>
    <x v="3"/>
    <x v="27"/>
    <s v="L2"/>
    <s v="Planning and Orgnizing"/>
    <s v="The Joy of Architecture"/>
    <n v="2"/>
    <x v="1"/>
    <x v="1"/>
    <n v="1"/>
    <n v="0.08"/>
    <n v="0.8"/>
    <n v="6.4000000000000001E-2"/>
    <x v="0"/>
  </r>
  <r>
    <s v="2019-20"/>
    <x v="3"/>
    <x v="27"/>
    <s v="L2"/>
    <s v="Planning and Orgnizing"/>
    <s v="The Joy of Architecture"/>
    <n v="3"/>
    <x v="0"/>
    <x v="2"/>
    <n v="1"/>
    <n v="0.05"/>
    <n v="1"/>
    <n v="0.05"/>
    <x v="0"/>
  </r>
  <r>
    <s v="2019-20"/>
    <x v="3"/>
    <x v="27"/>
    <s v="L2"/>
    <s v="Planning and Orgnizing"/>
    <s v="The Joy of Architecture"/>
    <n v="3"/>
    <x v="1"/>
    <x v="2"/>
    <n v="1"/>
    <n v="0.05"/>
    <n v="1"/>
    <n v="0.05"/>
    <x v="0"/>
  </r>
  <r>
    <s v="2019-20"/>
    <x v="3"/>
    <x v="27"/>
    <s v="L2"/>
    <s v="Planning and Orgnizing"/>
    <s v="The Joy of Architecture"/>
    <n v="4"/>
    <x v="0"/>
    <x v="3"/>
    <n v="1"/>
    <n v="0.14000000000000001"/>
    <n v="1"/>
    <n v="0.14000000000000001"/>
    <x v="0"/>
  </r>
  <r>
    <s v="2019-20"/>
    <x v="3"/>
    <x v="27"/>
    <s v="L2"/>
    <s v="Planning and Orgnizing"/>
    <s v="The Joy of Architecture"/>
    <n v="4"/>
    <x v="1"/>
    <x v="3"/>
    <n v="0"/>
    <n v="0.14000000000000001"/>
    <n v="1"/>
    <n v="0"/>
    <x v="0"/>
  </r>
  <r>
    <s v="2019-20"/>
    <x v="3"/>
    <x v="27"/>
    <s v="L2"/>
    <s v="Planning and Orgnizing"/>
    <s v="The Joy of Architecture"/>
    <n v="5"/>
    <x v="0"/>
    <x v="4"/>
    <n v="1"/>
    <n v="0.11"/>
    <n v="1"/>
    <n v="0.11"/>
    <x v="0"/>
  </r>
  <r>
    <s v="2019-20"/>
    <x v="3"/>
    <x v="27"/>
    <s v="L2"/>
    <s v="Planning and Orgnizing"/>
    <s v="The Joy of Architecture"/>
    <n v="5"/>
    <x v="1"/>
    <x v="4"/>
    <n v="0"/>
    <n v="0.11"/>
    <n v="1"/>
    <n v="0"/>
    <x v="0"/>
  </r>
  <r>
    <s v="2019-20"/>
    <x v="3"/>
    <x v="27"/>
    <s v="L2"/>
    <s v="Planning and Orgnizing"/>
    <s v="The Joy of Architecture"/>
    <n v="6"/>
    <x v="0"/>
    <x v="5"/>
    <n v="1"/>
    <n v="0.15"/>
    <n v="1"/>
    <n v="0.15"/>
    <x v="0"/>
  </r>
  <r>
    <s v="2019-20"/>
    <x v="3"/>
    <x v="27"/>
    <s v="L2"/>
    <s v="Planning and Orgnizing"/>
    <s v="The Joy of Architecture"/>
    <n v="6"/>
    <x v="1"/>
    <x v="5"/>
    <n v="0"/>
    <n v="0.15"/>
    <n v="1"/>
    <n v="0"/>
    <x v="0"/>
  </r>
  <r>
    <s v="2019-20"/>
    <x v="3"/>
    <x v="27"/>
    <s v="L2"/>
    <s v="Planning and Orgnizing"/>
    <s v="The Joy of Architecture"/>
    <n v="7"/>
    <x v="0"/>
    <x v="6"/>
    <n v="1"/>
    <n v="0.1"/>
    <n v="1"/>
    <n v="0.1"/>
    <x v="0"/>
  </r>
  <r>
    <s v="2019-20"/>
    <x v="3"/>
    <x v="27"/>
    <s v="L2"/>
    <s v="Planning and Orgnizing"/>
    <s v="The Joy of Architecture"/>
    <n v="7"/>
    <x v="1"/>
    <x v="6"/>
    <n v="0"/>
    <n v="0.1"/>
    <n v="1"/>
    <n v="0"/>
    <x v="0"/>
  </r>
  <r>
    <s v="2019-20"/>
    <x v="3"/>
    <x v="27"/>
    <s v="L2"/>
    <s v="Planning and Orgnizing"/>
    <s v="The Joy of Architecture"/>
    <n v="8"/>
    <x v="0"/>
    <x v="7"/>
    <n v="1"/>
    <n v="0.1"/>
    <n v="1"/>
    <n v="0.1"/>
    <x v="0"/>
  </r>
  <r>
    <s v="2019-20"/>
    <x v="3"/>
    <x v="27"/>
    <s v="L2"/>
    <s v="Planning and Orgnizing"/>
    <s v="The Joy of Architecture"/>
    <n v="8"/>
    <x v="1"/>
    <x v="7"/>
    <n v="0"/>
    <n v="0.1"/>
    <n v="1"/>
    <n v="0"/>
    <x v="0"/>
  </r>
  <r>
    <s v="2019-20"/>
    <x v="3"/>
    <x v="27"/>
    <s v="L2"/>
    <s v="Planning and Orgnizing"/>
    <s v="The Joy of Architecture"/>
    <n v="9"/>
    <x v="0"/>
    <x v="8"/>
    <m/>
    <n v="0.05"/>
    <n v="0.85"/>
    <n v="0"/>
    <x v="0"/>
  </r>
  <r>
    <s v="2019-20"/>
    <x v="3"/>
    <x v="27"/>
    <s v="L2"/>
    <s v="Planning and Orgnizing"/>
    <s v="The Joy of Architecture"/>
    <n v="9"/>
    <x v="1"/>
    <x v="8"/>
    <m/>
    <n v="0.05"/>
    <n v="0.85"/>
    <n v="0"/>
    <x v="0"/>
  </r>
  <r>
    <s v="2019-20"/>
    <x v="3"/>
    <x v="27"/>
    <s v="L2"/>
    <s v="Planning and Orgnizing"/>
    <s v="The Joy of Architecture"/>
    <n v="10"/>
    <x v="0"/>
    <x v="8"/>
    <m/>
    <n v="0.05"/>
    <n v="0.85"/>
    <n v="0"/>
    <x v="0"/>
  </r>
  <r>
    <s v="2019-20"/>
    <x v="3"/>
    <x v="27"/>
    <s v="L2"/>
    <s v="Planning and Orgnizing"/>
    <s v="The Joy of Architecture"/>
    <n v="10"/>
    <x v="1"/>
    <x v="8"/>
    <m/>
    <n v="0.05"/>
    <n v="0.85"/>
    <n v="0"/>
    <x v="0"/>
  </r>
  <r>
    <s v="2019-20"/>
    <x v="3"/>
    <x v="27"/>
    <s v="L2"/>
    <s v="Planning and Orgnizing"/>
    <s v="The Joy of Architecture"/>
    <n v="11"/>
    <x v="0"/>
    <x v="9"/>
    <n v="1"/>
    <n v="0.05"/>
    <n v="1"/>
    <n v="0.05"/>
    <x v="0"/>
  </r>
  <r>
    <s v="2019-20"/>
    <x v="3"/>
    <x v="27"/>
    <s v="L2"/>
    <s v="Planning and Orgnizing"/>
    <s v="The Joy of Architecture"/>
    <n v="11"/>
    <x v="1"/>
    <x v="9"/>
    <n v="0"/>
    <n v="0.05"/>
    <n v="1"/>
    <n v="0"/>
    <x v="0"/>
  </r>
  <r>
    <s v="2019-20"/>
    <x v="3"/>
    <x v="28"/>
    <s v="L2"/>
    <s v="Planning and Orgnizing"/>
    <s v="Climate Responsive Architecture"/>
    <n v="1"/>
    <x v="0"/>
    <x v="0"/>
    <n v="1"/>
    <n v="0.12"/>
    <n v="1"/>
    <n v="0.12"/>
    <x v="0"/>
  </r>
  <r>
    <s v="2019-20"/>
    <x v="3"/>
    <x v="28"/>
    <s v="L2"/>
    <s v="Planning and Orgnizing"/>
    <s v="Climate Responsive Architecture"/>
    <n v="1"/>
    <x v="1"/>
    <x v="0"/>
    <n v="1"/>
    <n v="0.12"/>
    <n v="1"/>
    <n v="0.12"/>
    <x v="0"/>
  </r>
  <r>
    <s v="2019-20"/>
    <x v="3"/>
    <x v="28"/>
    <s v="L2"/>
    <s v="Planning and Orgnizing"/>
    <s v="Climate Responsive Architecture"/>
    <n v="2"/>
    <x v="0"/>
    <x v="1"/>
    <n v="1"/>
    <n v="0.08"/>
    <n v="0.8"/>
    <n v="6.4000000000000001E-2"/>
    <x v="0"/>
  </r>
  <r>
    <s v="2019-20"/>
    <x v="3"/>
    <x v="28"/>
    <s v="L2"/>
    <s v="Planning and Orgnizing"/>
    <s v="Climate Responsive Architecture"/>
    <n v="2"/>
    <x v="1"/>
    <x v="1"/>
    <n v="1"/>
    <n v="0.08"/>
    <n v="0.8"/>
    <n v="6.4000000000000001E-2"/>
    <x v="0"/>
  </r>
  <r>
    <s v="2019-20"/>
    <x v="3"/>
    <x v="28"/>
    <s v="L2"/>
    <s v="Planning and Orgnizing"/>
    <s v="Climate Responsive Architecture"/>
    <n v="3"/>
    <x v="0"/>
    <x v="2"/>
    <n v="1"/>
    <n v="0.05"/>
    <n v="1"/>
    <n v="0.05"/>
    <x v="0"/>
  </r>
  <r>
    <s v="2019-20"/>
    <x v="3"/>
    <x v="28"/>
    <s v="L2"/>
    <s v="Planning and Orgnizing"/>
    <s v="Climate Responsive Architecture"/>
    <n v="3"/>
    <x v="1"/>
    <x v="2"/>
    <n v="1"/>
    <n v="0.05"/>
    <n v="1"/>
    <n v="0.05"/>
    <x v="0"/>
  </r>
  <r>
    <s v="2019-20"/>
    <x v="3"/>
    <x v="28"/>
    <s v="L2"/>
    <s v="Planning and Orgnizing"/>
    <s v="Climate Responsive Architecture"/>
    <n v="4"/>
    <x v="0"/>
    <x v="3"/>
    <n v="0"/>
    <n v="0.14000000000000001"/>
    <n v="1"/>
    <n v="0"/>
    <x v="0"/>
  </r>
  <r>
    <s v="2019-20"/>
    <x v="3"/>
    <x v="28"/>
    <s v="L2"/>
    <s v="Planning and Orgnizing"/>
    <s v="Climate Responsive Architecture"/>
    <n v="4"/>
    <x v="1"/>
    <x v="3"/>
    <n v="0"/>
    <n v="0.14000000000000001"/>
    <n v="1"/>
    <n v="0"/>
    <x v="0"/>
  </r>
  <r>
    <s v="2019-20"/>
    <x v="3"/>
    <x v="28"/>
    <s v="L2"/>
    <s v="Planning and Orgnizing"/>
    <s v="Climate Responsive Architecture"/>
    <n v="5"/>
    <x v="0"/>
    <x v="4"/>
    <n v="1"/>
    <n v="0.11"/>
    <n v="1"/>
    <n v="0.11"/>
    <x v="0"/>
  </r>
  <r>
    <s v="2019-20"/>
    <x v="3"/>
    <x v="28"/>
    <s v="L2"/>
    <s v="Planning and Orgnizing"/>
    <s v="Climate Responsive Architecture"/>
    <n v="5"/>
    <x v="1"/>
    <x v="4"/>
    <n v="0"/>
    <n v="0.11"/>
    <n v="1"/>
    <n v="0"/>
    <x v="0"/>
  </r>
  <r>
    <s v="2019-20"/>
    <x v="3"/>
    <x v="28"/>
    <s v="L2"/>
    <s v="Planning and Orgnizing"/>
    <s v="Climate Responsive Architecture"/>
    <n v="6"/>
    <x v="0"/>
    <x v="5"/>
    <n v="0"/>
    <n v="0.15"/>
    <n v="1"/>
    <n v="0"/>
    <x v="0"/>
  </r>
  <r>
    <s v="2019-20"/>
    <x v="3"/>
    <x v="28"/>
    <s v="L2"/>
    <s v="Planning and Orgnizing"/>
    <s v="Climate Responsive Architecture"/>
    <n v="6"/>
    <x v="1"/>
    <x v="5"/>
    <n v="0"/>
    <n v="0.15"/>
    <n v="1"/>
    <n v="0"/>
    <x v="0"/>
  </r>
  <r>
    <s v="2019-20"/>
    <x v="3"/>
    <x v="28"/>
    <s v="L2"/>
    <s v="Planning and Orgnizing"/>
    <s v="Climate Responsive Architecture"/>
    <n v="7"/>
    <x v="0"/>
    <x v="6"/>
    <n v="0"/>
    <n v="0.1"/>
    <n v="1"/>
    <n v="0"/>
    <x v="0"/>
  </r>
  <r>
    <s v="2019-20"/>
    <x v="3"/>
    <x v="28"/>
    <s v="L2"/>
    <s v="Planning and Orgnizing"/>
    <s v="Climate Responsive Architecture"/>
    <n v="7"/>
    <x v="1"/>
    <x v="6"/>
    <n v="0"/>
    <n v="0.1"/>
    <n v="1"/>
    <n v="0"/>
    <x v="0"/>
  </r>
  <r>
    <s v="2019-20"/>
    <x v="3"/>
    <x v="28"/>
    <s v="L2"/>
    <s v="Planning and Orgnizing"/>
    <s v="Climate Responsive Architecture"/>
    <n v="8"/>
    <x v="0"/>
    <x v="7"/>
    <n v="1"/>
    <n v="0.1"/>
    <n v="1"/>
    <n v="0.1"/>
    <x v="0"/>
  </r>
  <r>
    <s v="2019-20"/>
    <x v="3"/>
    <x v="28"/>
    <s v="L2"/>
    <s v="Planning and Orgnizing"/>
    <s v="Climate Responsive Architecture"/>
    <n v="8"/>
    <x v="1"/>
    <x v="7"/>
    <n v="0"/>
    <n v="0.1"/>
    <n v="1"/>
    <n v="0"/>
    <x v="0"/>
  </r>
  <r>
    <s v="2019-20"/>
    <x v="3"/>
    <x v="28"/>
    <s v="L2"/>
    <s v="Planning and Orgnizing"/>
    <s v="Climate Responsive Architecture"/>
    <n v="9"/>
    <x v="0"/>
    <x v="8"/>
    <m/>
    <n v="0.05"/>
    <n v="0.85"/>
    <n v="0"/>
    <x v="0"/>
  </r>
  <r>
    <s v="2019-20"/>
    <x v="3"/>
    <x v="28"/>
    <s v="L2"/>
    <s v="Planning and Orgnizing"/>
    <s v="Climate Responsive Architecture"/>
    <n v="9"/>
    <x v="1"/>
    <x v="8"/>
    <m/>
    <n v="0.05"/>
    <n v="0.85"/>
    <n v="0"/>
    <x v="0"/>
  </r>
  <r>
    <s v="2019-20"/>
    <x v="3"/>
    <x v="28"/>
    <s v="L2"/>
    <s v="Planning and Orgnizing"/>
    <s v="Climate Responsive Architecture"/>
    <n v="10"/>
    <x v="0"/>
    <x v="8"/>
    <m/>
    <n v="0.05"/>
    <n v="0.85"/>
    <n v="0"/>
    <x v="0"/>
  </r>
  <r>
    <s v="2019-20"/>
    <x v="3"/>
    <x v="28"/>
    <s v="L2"/>
    <s v="Planning and Orgnizing"/>
    <s v="Climate Responsive Architecture"/>
    <n v="10"/>
    <x v="1"/>
    <x v="8"/>
    <m/>
    <n v="0.05"/>
    <n v="0.85"/>
    <n v="0"/>
    <x v="0"/>
  </r>
  <r>
    <s v="2019-20"/>
    <x v="3"/>
    <x v="28"/>
    <s v="L2"/>
    <s v="Planning and Orgnizing"/>
    <s v="Climate Responsive Architecture"/>
    <n v="11"/>
    <x v="0"/>
    <x v="9"/>
    <n v="0"/>
    <n v="0.05"/>
    <n v="1"/>
    <n v="0"/>
    <x v="0"/>
  </r>
  <r>
    <s v="2019-20"/>
    <x v="3"/>
    <x v="28"/>
    <s v="L2"/>
    <s v="Planning and Orgnizing"/>
    <s v="Climate Responsive Architecture"/>
    <n v="11"/>
    <x v="1"/>
    <x v="9"/>
    <n v="-1"/>
    <n v="0.05"/>
    <n v="1"/>
    <n v="-0.05"/>
    <x v="0"/>
  </r>
  <r>
    <s v="2019-20"/>
    <x v="3"/>
    <x v="33"/>
    <s v="L2"/>
    <s v="Visualization &amp; Communication, Spatial Planning &amp; Organisation"/>
    <s v="Building Anti-building"/>
    <n v="1"/>
    <x v="0"/>
    <x v="0"/>
    <n v="1"/>
    <n v="0.12"/>
    <n v="1"/>
    <n v="0.12"/>
    <x v="0"/>
  </r>
  <r>
    <s v="2019-20"/>
    <x v="3"/>
    <x v="33"/>
    <s v="L2"/>
    <s v="Visualization &amp; Communication, Spatial Planning &amp; Organisation"/>
    <s v="Building Anti-building"/>
    <n v="1"/>
    <x v="1"/>
    <x v="0"/>
    <n v="0"/>
    <n v="0.12"/>
    <n v="1"/>
    <n v="0.12"/>
    <x v="0"/>
  </r>
  <r>
    <s v="2019-20"/>
    <x v="3"/>
    <x v="33"/>
    <s v="L2"/>
    <s v="Visualization &amp; Communication, Spatial Planning &amp; Organisation"/>
    <s v="Building Anti-building"/>
    <n v="2"/>
    <x v="0"/>
    <x v="1"/>
    <n v="1"/>
    <n v="0.08"/>
    <n v="0.8"/>
    <n v="6.4000000000000001E-2"/>
    <x v="0"/>
  </r>
  <r>
    <s v="2019-20"/>
    <x v="3"/>
    <x v="33"/>
    <s v="L2"/>
    <s v="Visualization &amp; Communication, Spatial Planning &amp; Organisation"/>
    <s v="Building Anti-building"/>
    <n v="2"/>
    <x v="1"/>
    <x v="1"/>
    <n v="0"/>
    <n v="0.08"/>
    <n v="0.8"/>
    <n v="0"/>
    <x v="0"/>
  </r>
  <r>
    <s v="2019-20"/>
    <x v="3"/>
    <x v="33"/>
    <s v="L2"/>
    <s v="Visualization &amp; Communication, Spatial Planning &amp; Organisation"/>
    <s v="Building Anti-building"/>
    <n v="3"/>
    <x v="0"/>
    <x v="2"/>
    <n v="1"/>
    <n v="0.05"/>
    <n v="1"/>
    <n v="0.05"/>
    <x v="0"/>
  </r>
  <r>
    <s v="2019-20"/>
    <x v="3"/>
    <x v="33"/>
    <s v="L2"/>
    <s v="Visualization &amp; Communication, Spatial Planning &amp; Organisation"/>
    <s v="Building Anti-building"/>
    <n v="3"/>
    <x v="1"/>
    <x v="2"/>
    <n v="0"/>
    <n v="0.05"/>
    <n v="1"/>
    <n v="0"/>
    <x v="0"/>
  </r>
  <r>
    <s v="2019-20"/>
    <x v="3"/>
    <x v="33"/>
    <s v="L2"/>
    <s v="Visualization &amp; Communication, Spatial Planning &amp; Organisation"/>
    <s v="Building Anti-building"/>
    <n v="4"/>
    <x v="0"/>
    <x v="3"/>
    <n v="1"/>
    <n v="0.14000000000000001"/>
    <n v="1"/>
    <n v="0.14000000000000001"/>
    <x v="0"/>
  </r>
  <r>
    <s v="2019-20"/>
    <x v="3"/>
    <x v="33"/>
    <s v="L2"/>
    <s v="Visualization &amp; Communication, Spatial Planning &amp; Organisation"/>
    <s v="Building Anti-building"/>
    <n v="4"/>
    <x v="1"/>
    <x v="3"/>
    <n v="0"/>
    <n v="0.14000000000000001"/>
    <n v="1"/>
    <n v="0"/>
    <x v="0"/>
  </r>
  <r>
    <s v="2019-20"/>
    <x v="3"/>
    <x v="33"/>
    <s v="L2"/>
    <s v="Visualization &amp; Communication, Spatial Planning &amp; Organisation"/>
    <s v="Building Anti-building"/>
    <n v="5"/>
    <x v="0"/>
    <x v="4"/>
    <n v="1"/>
    <n v="0.11"/>
    <n v="1"/>
    <n v="0.11"/>
    <x v="0"/>
  </r>
  <r>
    <s v="2019-20"/>
    <x v="3"/>
    <x v="33"/>
    <s v="L2"/>
    <s v="Visualization &amp; Communication, Spatial Planning &amp; Organisation"/>
    <s v="Building Anti-building"/>
    <n v="5"/>
    <x v="1"/>
    <x v="4"/>
    <n v="0"/>
    <n v="0.11"/>
    <n v="1"/>
    <n v="0"/>
    <x v="0"/>
  </r>
  <r>
    <s v="2019-20"/>
    <x v="3"/>
    <x v="33"/>
    <s v="L2"/>
    <s v="Visualization &amp; Communication, Spatial Planning &amp; Organisation"/>
    <s v="Building Anti-building"/>
    <n v="6"/>
    <x v="0"/>
    <x v="5"/>
    <n v="0"/>
    <n v="0.15"/>
    <n v="1"/>
    <n v="0"/>
    <x v="0"/>
  </r>
  <r>
    <s v="2019-20"/>
    <x v="3"/>
    <x v="33"/>
    <s v="L2"/>
    <s v="Visualization &amp; Communication, Spatial Planning &amp; Organisation"/>
    <s v="Building Anti-building"/>
    <n v="6"/>
    <x v="1"/>
    <x v="5"/>
    <n v="0"/>
    <n v="0.15"/>
    <n v="1"/>
    <n v="0"/>
    <x v="0"/>
  </r>
  <r>
    <s v="2019-20"/>
    <x v="3"/>
    <x v="33"/>
    <s v="L2"/>
    <s v="Visualization &amp; Communication, Spatial Planning &amp; Organisation"/>
    <s v="Building Anti-building"/>
    <n v="7"/>
    <x v="0"/>
    <x v="6"/>
    <n v="0"/>
    <n v="0.1"/>
    <n v="1"/>
    <n v="0"/>
    <x v="0"/>
  </r>
  <r>
    <s v="2019-20"/>
    <x v="3"/>
    <x v="33"/>
    <s v="L2"/>
    <s v="Visualization &amp; Communication, Spatial Planning &amp; Organisation"/>
    <s v="Building Anti-building"/>
    <n v="7"/>
    <x v="1"/>
    <x v="6"/>
    <n v="0"/>
    <n v="0.1"/>
    <n v="1"/>
    <n v="0"/>
    <x v="0"/>
  </r>
  <r>
    <s v="2019-20"/>
    <x v="3"/>
    <x v="33"/>
    <s v="L2"/>
    <s v="Visualization &amp; Communication, Spatial Planning &amp; Organisation"/>
    <s v="Building Anti-building"/>
    <n v="8"/>
    <x v="0"/>
    <x v="7"/>
    <n v="0"/>
    <n v="0.1"/>
    <n v="1"/>
    <n v="0"/>
    <x v="0"/>
  </r>
  <r>
    <s v="2019-20"/>
    <x v="3"/>
    <x v="33"/>
    <s v="L2"/>
    <s v="Visualization &amp; Communication, Spatial Planning &amp; Organisation"/>
    <s v="Building Anti-building"/>
    <n v="8"/>
    <x v="1"/>
    <x v="7"/>
    <n v="0"/>
    <n v="0.1"/>
    <n v="1"/>
    <n v="0"/>
    <x v="0"/>
  </r>
  <r>
    <s v="2019-20"/>
    <x v="3"/>
    <x v="33"/>
    <s v="L2"/>
    <s v="Visualization &amp; Communication, Spatial Planning &amp; Organisation"/>
    <s v="Building Anti-building"/>
    <n v="9"/>
    <x v="0"/>
    <x v="8"/>
    <m/>
    <n v="0.05"/>
    <n v="0.85"/>
    <n v="0"/>
    <x v="0"/>
  </r>
  <r>
    <s v="2019-20"/>
    <x v="3"/>
    <x v="33"/>
    <s v="L2"/>
    <s v="Visualization &amp; Communication, Spatial Planning &amp; Organisation"/>
    <s v="Building Anti-building"/>
    <n v="9"/>
    <x v="1"/>
    <x v="8"/>
    <m/>
    <n v="0.05"/>
    <n v="0.85"/>
    <n v="0"/>
    <x v="0"/>
  </r>
  <r>
    <s v="2019-20"/>
    <x v="3"/>
    <x v="33"/>
    <s v="L2"/>
    <s v="Visualization &amp; Communication, Spatial Planning &amp; Organisation"/>
    <s v="Building Anti-building"/>
    <n v="10"/>
    <x v="0"/>
    <x v="8"/>
    <m/>
    <n v="0.05"/>
    <n v="0.85"/>
    <n v="0"/>
    <x v="0"/>
  </r>
  <r>
    <s v="2019-20"/>
    <x v="3"/>
    <x v="33"/>
    <s v="L2"/>
    <s v="Visualization &amp; Communication, Spatial Planning &amp; Organisation"/>
    <s v="Building Anti-building"/>
    <n v="10"/>
    <x v="1"/>
    <x v="8"/>
    <m/>
    <n v="0.05"/>
    <n v="0.85"/>
    <n v="0"/>
    <x v="0"/>
  </r>
  <r>
    <s v="2019-20"/>
    <x v="3"/>
    <x v="33"/>
    <s v="L2"/>
    <s v="Visualization &amp; Communication, Spatial Planning &amp; Organisation"/>
    <s v="Building Anti-building"/>
    <n v="11"/>
    <x v="0"/>
    <x v="9"/>
    <n v="0"/>
    <n v="0.05"/>
    <n v="1"/>
    <n v="0"/>
    <x v="0"/>
  </r>
  <r>
    <s v="2019-20"/>
    <x v="3"/>
    <x v="33"/>
    <s v="L2"/>
    <s v="Visualization &amp; Communication, Spatial Planning &amp; Organisation"/>
    <s v="Building Anti-building"/>
    <n v="11"/>
    <x v="1"/>
    <x v="9"/>
    <n v="-1"/>
    <n v="0.05"/>
    <n v="1"/>
    <n v="-0.05"/>
    <x v="0"/>
  </r>
  <r>
    <s v="2019-20"/>
    <x v="3"/>
    <x v="34"/>
    <s v="L2"/>
    <s v="Visualization &amp; Communication"/>
    <s v="Dissolving Boundaries: Children Library at Loving Community"/>
    <n v="1"/>
    <x v="0"/>
    <x v="0"/>
    <n v="1"/>
    <n v="0.12"/>
    <n v="1"/>
    <n v="0.12"/>
    <x v="0"/>
  </r>
  <r>
    <s v="2019-20"/>
    <x v="3"/>
    <x v="34"/>
    <s v="L2"/>
    <s v="Visualization &amp; Communication"/>
    <s v="Dissolving Boundaries: Children Library at Loving Community"/>
    <n v="1"/>
    <x v="1"/>
    <x v="0"/>
    <n v="1"/>
    <n v="0.12"/>
    <n v="1"/>
    <n v="0.12"/>
    <x v="0"/>
  </r>
  <r>
    <s v="2019-20"/>
    <x v="3"/>
    <x v="34"/>
    <s v="L2"/>
    <s v="Visualization &amp; Communication"/>
    <s v="Dissolving Boundaries: Children Library at Loving Community"/>
    <n v="2"/>
    <x v="0"/>
    <x v="1"/>
    <n v="1"/>
    <n v="0.08"/>
    <n v="0.8"/>
    <n v="6.4000000000000001E-2"/>
    <x v="0"/>
  </r>
  <r>
    <s v="2019-20"/>
    <x v="3"/>
    <x v="34"/>
    <s v="L2"/>
    <s v="Visualization &amp; Communication"/>
    <s v="Dissolving Boundaries: Children Library at Loving Community"/>
    <n v="2"/>
    <x v="1"/>
    <x v="1"/>
    <n v="1"/>
    <n v="0.08"/>
    <n v="0.8"/>
    <n v="6.4000000000000001E-2"/>
    <x v="0"/>
  </r>
  <r>
    <s v="2019-20"/>
    <x v="3"/>
    <x v="34"/>
    <s v="L2"/>
    <s v="Visualization &amp; Communication"/>
    <s v="Dissolving Boundaries: Children Library at Loving Community"/>
    <n v="3"/>
    <x v="0"/>
    <x v="2"/>
    <n v="1"/>
    <n v="0.05"/>
    <n v="1"/>
    <n v="0.05"/>
    <x v="0"/>
  </r>
  <r>
    <s v="2019-20"/>
    <x v="3"/>
    <x v="34"/>
    <s v="L2"/>
    <s v="Visualization &amp; Communication"/>
    <s v="Dissolving Boundaries: Children Library at Loving Community"/>
    <n v="3"/>
    <x v="1"/>
    <x v="2"/>
    <n v="1"/>
    <n v="0.05"/>
    <n v="1"/>
    <n v="0.05"/>
    <x v="0"/>
  </r>
  <r>
    <s v="2019-20"/>
    <x v="3"/>
    <x v="34"/>
    <s v="L2"/>
    <s v="Visualization &amp; Communication"/>
    <s v="Dissolving Boundaries: Children Library at Loving Community"/>
    <n v="4"/>
    <x v="0"/>
    <x v="3"/>
    <n v="0"/>
    <n v="0.14000000000000001"/>
    <n v="1"/>
    <n v="0"/>
    <x v="0"/>
  </r>
  <r>
    <s v="2019-20"/>
    <x v="3"/>
    <x v="34"/>
    <s v="L2"/>
    <s v="Visualization &amp; Communication"/>
    <s v="Dissolving Boundaries: Children Library at Loving Community"/>
    <n v="4"/>
    <x v="1"/>
    <x v="3"/>
    <n v="1"/>
    <n v="0.14000000000000001"/>
    <n v="1"/>
    <n v="0.14000000000000001"/>
    <x v="0"/>
  </r>
  <r>
    <s v="2019-20"/>
    <x v="3"/>
    <x v="34"/>
    <s v="L2"/>
    <s v="Visualization &amp; Communication"/>
    <s v="Dissolving Boundaries: Children Library at Loving Community"/>
    <n v="5"/>
    <x v="0"/>
    <x v="4"/>
    <n v="0"/>
    <n v="0.11"/>
    <n v="1"/>
    <n v="0"/>
    <x v="0"/>
  </r>
  <r>
    <s v="2019-20"/>
    <x v="3"/>
    <x v="34"/>
    <s v="L2"/>
    <s v="Visualization &amp; Communication"/>
    <s v="Dissolving Boundaries: Children Library at Loving Community"/>
    <n v="5"/>
    <x v="1"/>
    <x v="4"/>
    <n v="1"/>
    <n v="0.11"/>
    <n v="1"/>
    <n v="0.11"/>
    <x v="0"/>
  </r>
  <r>
    <s v="2019-20"/>
    <x v="3"/>
    <x v="34"/>
    <s v="L2"/>
    <s v="Visualization &amp; Communication"/>
    <s v="Dissolving Boundaries: Children Library at Loving Community"/>
    <n v="6"/>
    <x v="0"/>
    <x v="5"/>
    <n v="1"/>
    <n v="0.15"/>
    <n v="1"/>
    <n v="0.15"/>
    <x v="0"/>
  </r>
  <r>
    <s v="2019-20"/>
    <x v="3"/>
    <x v="34"/>
    <s v="L2"/>
    <s v="Visualization &amp; Communication"/>
    <s v="Dissolving Boundaries: Children Library at Loving Community"/>
    <n v="6"/>
    <x v="1"/>
    <x v="5"/>
    <n v="1"/>
    <n v="0.15"/>
    <n v="1"/>
    <n v="0.15"/>
    <x v="0"/>
  </r>
  <r>
    <s v="2019-20"/>
    <x v="3"/>
    <x v="34"/>
    <s v="L2"/>
    <s v="Visualization &amp; Communication"/>
    <s v="Dissolving Boundaries: Children Library at Loving Community"/>
    <n v="7"/>
    <x v="0"/>
    <x v="6"/>
    <n v="1"/>
    <n v="0.1"/>
    <n v="1"/>
    <n v="0.1"/>
    <x v="0"/>
  </r>
  <r>
    <s v="2019-20"/>
    <x v="3"/>
    <x v="34"/>
    <s v="L2"/>
    <s v="Visualization &amp; Communication"/>
    <s v="Dissolving Boundaries: Children Library at Loving Community"/>
    <n v="7"/>
    <x v="1"/>
    <x v="6"/>
    <n v="1"/>
    <n v="0.1"/>
    <n v="1"/>
    <n v="0.1"/>
    <x v="0"/>
  </r>
  <r>
    <s v="2019-20"/>
    <x v="3"/>
    <x v="34"/>
    <s v="L2"/>
    <s v="Visualization &amp; Communication"/>
    <s v="Dissolving Boundaries: Children Library at Loving Community"/>
    <n v="8"/>
    <x v="0"/>
    <x v="7"/>
    <n v="1"/>
    <n v="0.1"/>
    <n v="1"/>
    <n v="0.1"/>
    <x v="0"/>
  </r>
  <r>
    <s v="2019-20"/>
    <x v="3"/>
    <x v="34"/>
    <s v="L2"/>
    <s v="Visualization &amp; Communication"/>
    <s v="Dissolving Boundaries: Children Library at Loving Community"/>
    <n v="8"/>
    <x v="1"/>
    <x v="7"/>
    <n v="1"/>
    <n v="0.1"/>
    <n v="1"/>
    <n v="0.1"/>
    <x v="0"/>
  </r>
  <r>
    <s v="2019-20"/>
    <x v="3"/>
    <x v="34"/>
    <s v="L2"/>
    <s v="Visualization &amp; Communication"/>
    <s v="Dissolving Boundaries: Children Library at Loving Community"/>
    <n v="9"/>
    <x v="0"/>
    <x v="8"/>
    <m/>
    <n v="0.05"/>
    <n v="0.85"/>
    <n v="0"/>
    <x v="0"/>
  </r>
  <r>
    <s v="2019-20"/>
    <x v="3"/>
    <x v="34"/>
    <s v="L2"/>
    <s v="Visualization &amp; Communication"/>
    <s v="Dissolving Boundaries: Children Library at Loving Community"/>
    <n v="9"/>
    <x v="1"/>
    <x v="8"/>
    <m/>
    <n v="0.05"/>
    <n v="0.85"/>
    <n v="0"/>
    <x v="0"/>
  </r>
  <r>
    <s v="2019-20"/>
    <x v="3"/>
    <x v="34"/>
    <s v="L2"/>
    <s v="Visualization &amp; Communication"/>
    <s v="Dissolving Boundaries: Children Library at Loving Community"/>
    <n v="10"/>
    <x v="0"/>
    <x v="8"/>
    <m/>
    <n v="0.05"/>
    <n v="0.85"/>
    <n v="0"/>
    <x v="0"/>
  </r>
  <r>
    <s v="2019-20"/>
    <x v="3"/>
    <x v="34"/>
    <s v="L2"/>
    <s v="Visualization &amp; Communication"/>
    <s v="Dissolving Boundaries: Children Library at Loving Community"/>
    <n v="10"/>
    <x v="1"/>
    <x v="8"/>
    <m/>
    <n v="0.05"/>
    <n v="0.85"/>
    <n v="0"/>
    <x v="0"/>
  </r>
  <r>
    <s v="2019-20"/>
    <x v="3"/>
    <x v="34"/>
    <s v="L2"/>
    <s v="Visualization &amp; Communication"/>
    <s v="Dissolving Boundaries: Children Library at Loving Community"/>
    <n v="11"/>
    <x v="0"/>
    <x v="9"/>
    <n v="1"/>
    <n v="0.05"/>
    <n v="1"/>
    <n v="0.05"/>
    <x v="0"/>
  </r>
  <r>
    <s v="2019-20"/>
    <x v="3"/>
    <x v="34"/>
    <s v="L2"/>
    <s v="Visualization &amp; Communication"/>
    <s v="Dissolving Boundaries: Children Library at Loving Community"/>
    <n v="11"/>
    <x v="1"/>
    <x v="9"/>
    <n v="1"/>
    <n v="0.05"/>
    <n v="1"/>
    <n v="0.05"/>
    <x v="166"/>
  </r>
  <r>
    <s v="2019-20"/>
    <x v="3"/>
    <x v="30"/>
    <s v="L3"/>
    <m/>
    <s v="At the cusp of land and water"/>
    <n v="1"/>
    <x v="0"/>
    <x v="0"/>
    <n v="1"/>
    <n v="0.12"/>
    <n v="1"/>
    <n v="0.12"/>
    <x v="0"/>
  </r>
  <r>
    <s v="2019-20"/>
    <x v="3"/>
    <x v="30"/>
    <s v="L3"/>
    <m/>
    <s v="At the cusp of land and water"/>
    <n v="1"/>
    <x v="1"/>
    <x v="0"/>
    <n v="0"/>
    <n v="0.12"/>
    <n v="1"/>
    <n v="0.12"/>
    <x v="0"/>
  </r>
  <r>
    <s v="2019-20"/>
    <x v="3"/>
    <x v="30"/>
    <s v="L3"/>
    <m/>
    <s v="At the cusp of land and water"/>
    <n v="2"/>
    <x v="0"/>
    <x v="1"/>
    <n v="0"/>
    <n v="0.08"/>
    <n v="0.8"/>
    <n v="0"/>
    <x v="0"/>
  </r>
  <r>
    <s v="2019-20"/>
    <x v="3"/>
    <x v="30"/>
    <s v="L3"/>
    <m/>
    <s v="At the cusp of land and water"/>
    <n v="2"/>
    <x v="1"/>
    <x v="1"/>
    <n v="-1"/>
    <n v="0.08"/>
    <n v="0.8"/>
    <n v="-6.4000000000000001E-2"/>
    <x v="167"/>
  </r>
  <r>
    <s v="2019-20"/>
    <x v="3"/>
    <x v="30"/>
    <s v="L3"/>
    <m/>
    <s v="At the cusp of land and water"/>
    <n v="3"/>
    <x v="0"/>
    <x v="2"/>
    <n v="1"/>
    <n v="0.05"/>
    <n v="1"/>
    <n v="0.05"/>
    <x v="0"/>
  </r>
  <r>
    <s v="2019-20"/>
    <x v="3"/>
    <x v="30"/>
    <s v="L3"/>
    <m/>
    <s v="At the cusp of land and water"/>
    <n v="3"/>
    <x v="1"/>
    <x v="2"/>
    <n v="0"/>
    <n v="0.05"/>
    <n v="1"/>
    <n v="0"/>
    <x v="0"/>
  </r>
  <r>
    <s v="2019-20"/>
    <x v="3"/>
    <x v="30"/>
    <s v="L3"/>
    <m/>
    <s v="At the cusp of land and water"/>
    <n v="4"/>
    <x v="0"/>
    <x v="3"/>
    <n v="0"/>
    <n v="0.14000000000000001"/>
    <n v="1"/>
    <n v="0"/>
    <x v="0"/>
  </r>
  <r>
    <s v="2019-20"/>
    <x v="3"/>
    <x v="30"/>
    <s v="L3"/>
    <m/>
    <s v="At the cusp of land and water"/>
    <n v="4"/>
    <x v="1"/>
    <x v="3"/>
    <n v="0"/>
    <n v="0.14000000000000001"/>
    <n v="1"/>
    <n v="0"/>
    <x v="0"/>
  </r>
  <r>
    <s v="2019-20"/>
    <x v="3"/>
    <x v="30"/>
    <s v="L3"/>
    <m/>
    <s v="At the cusp of land and water"/>
    <n v="5"/>
    <x v="0"/>
    <x v="4"/>
    <n v="0"/>
    <n v="0.11"/>
    <n v="1"/>
    <n v="0"/>
    <x v="0"/>
  </r>
  <r>
    <s v="2019-20"/>
    <x v="3"/>
    <x v="30"/>
    <s v="L3"/>
    <m/>
    <s v="At the cusp of land and water"/>
    <n v="5"/>
    <x v="1"/>
    <x v="4"/>
    <n v="0"/>
    <n v="0.11"/>
    <n v="1"/>
    <n v="0"/>
    <x v="0"/>
  </r>
  <r>
    <s v="2019-20"/>
    <x v="3"/>
    <x v="30"/>
    <s v="L3"/>
    <m/>
    <s v="At the cusp of land and water"/>
    <n v="6"/>
    <x v="0"/>
    <x v="5"/>
    <n v="0"/>
    <n v="0.15"/>
    <n v="1"/>
    <n v="0"/>
    <x v="0"/>
  </r>
  <r>
    <s v="2019-20"/>
    <x v="3"/>
    <x v="30"/>
    <s v="L3"/>
    <m/>
    <s v="At the cusp of land and water"/>
    <n v="6"/>
    <x v="1"/>
    <x v="5"/>
    <n v="0"/>
    <n v="0.15"/>
    <n v="1"/>
    <n v="0"/>
    <x v="168"/>
  </r>
  <r>
    <s v="2019-20"/>
    <x v="3"/>
    <x v="30"/>
    <s v="L3"/>
    <m/>
    <s v="At the cusp of land and water"/>
    <n v="7"/>
    <x v="0"/>
    <x v="6"/>
    <n v="0"/>
    <n v="0.1"/>
    <n v="1"/>
    <n v="0"/>
    <x v="0"/>
  </r>
  <r>
    <s v="2019-20"/>
    <x v="3"/>
    <x v="30"/>
    <s v="L3"/>
    <m/>
    <s v="At the cusp of land and water"/>
    <n v="7"/>
    <x v="1"/>
    <x v="6"/>
    <n v="0"/>
    <n v="0.1"/>
    <n v="1"/>
    <n v="0"/>
    <x v="168"/>
  </r>
  <r>
    <s v="2019-20"/>
    <x v="3"/>
    <x v="30"/>
    <s v="L3"/>
    <m/>
    <s v="At the cusp of land and water"/>
    <n v="8"/>
    <x v="0"/>
    <x v="7"/>
    <n v="0"/>
    <n v="0.1"/>
    <n v="1"/>
    <n v="0"/>
    <x v="0"/>
  </r>
  <r>
    <s v="2019-20"/>
    <x v="3"/>
    <x v="30"/>
    <s v="L3"/>
    <m/>
    <s v="At the cusp of land and water"/>
    <n v="8"/>
    <x v="1"/>
    <x v="7"/>
    <n v="0"/>
    <n v="0.1"/>
    <n v="1"/>
    <n v="0"/>
    <x v="168"/>
  </r>
  <r>
    <s v="2019-20"/>
    <x v="3"/>
    <x v="30"/>
    <s v="L3"/>
    <m/>
    <s v="At the cusp of land and water"/>
    <n v="9"/>
    <x v="0"/>
    <x v="8"/>
    <m/>
    <n v="0.05"/>
    <n v="0.85"/>
    <n v="0"/>
    <x v="0"/>
  </r>
  <r>
    <s v="2019-20"/>
    <x v="3"/>
    <x v="30"/>
    <s v="L3"/>
    <m/>
    <s v="At the cusp of land and water"/>
    <n v="9"/>
    <x v="1"/>
    <x v="8"/>
    <m/>
    <n v="0.05"/>
    <n v="0.85"/>
    <n v="0"/>
    <x v="0"/>
  </r>
  <r>
    <s v="2019-20"/>
    <x v="3"/>
    <x v="30"/>
    <s v="L3"/>
    <m/>
    <s v="At the cusp of land and water"/>
    <n v="10"/>
    <x v="0"/>
    <x v="8"/>
    <m/>
    <n v="0.05"/>
    <n v="0.85"/>
    <n v="0"/>
    <x v="0"/>
  </r>
  <r>
    <s v="2019-20"/>
    <x v="3"/>
    <x v="30"/>
    <s v="L3"/>
    <m/>
    <s v="At the cusp of land and water"/>
    <n v="10"/>
    <x v="1"/>
    <x v="8"/>
    <m/>
    <n v="0.05"/>
    <n v="0.85"/>
    <n v="0"/>
    <x v="0"/>
  </r>
  <r>
    <s v="2019-20"/>
    <x v="3"/>
    <x v="30"/>
    <s v="L3"/>
    <m/>
    <s v="At the cusp of land and water"/>
    <n v="11"/>
    <x v="0"/>
    <x v="9"/>
    <n v="0"/>
    <n v="0.05"/>
    <n v="1"/>
    <n v="0"/>
    <x v="0"/>
  </r>
  <r>
    <s v="2019-20"/>
    <x v="3"/>
    <x v="30"/>
    <s v="L3"/>
    <m/>
    <s v="At the cusp of land and water"/>
    <n v="11"/>
    <x v="1"/>
    <x v="9"/>
    <n v="-1"/>
    <n v="0.05"/>
    <n v="1"/>
    <n v="-0.05"/>
    <x v="0"/>
  </r>
  <r>
    <s v="2019-20"/>
    <x v="3"/>
    <x v="35"/>
    <s v="L3"/>
    <m/>
    <s v="Realizing Nollis Dream: Embedding Architecture in the City"/>
    <n v="1"/>
    <x v="0"/>
    <x v="0"/>
    <n v="1"/>
    <n v="0.12"/>
    <n v="1"/>
    <n v="0.12"/>
    <x v="0"/>
  </r>
  <r>
    <s v="2019-20"/>
    <x v="3"/>
    <x v="35"/>
    <s v="L3"/>
    <m/>
    <s v="Realizing Nollis Dream: Embedding Architecture in the City"/>
    <n v="1"/>
    <x v="1"/>
    <x v="0"/>
    <n v="1"/>
    <n v="0.12"/>
    <n v="1"/>
    <n v="0.12"/>
    <x v="0"/>
  </r>
  <r>
    <s v="2019-20"/>
    <x v="3"/>
    <x v="35"/>
    <s v="L3"/>
    <m/>
    <s v="Realizing Nollis Dream: Embedding Architecture in the City"/>
    <n v="2"/>
    <x v="0"/>
    <x v="1"/>
    <n v="1"/>
    <n v="0.08"/>
    <n v="0.8"/>
    <n v="6.4000000000000001E-2"/>
    <x v="0"/>
  </r>
  <r>
    <s v="2019-20"/>
    <x v="3"/>
    <x v="35"/>
    <s v="L3"/>
    <m/>
    <s v="Realizing Nollis Dream: Embedding Architecture in the City"/>
    <n v="2"/>
    <x v="1"/>
    <x v="1"/>
    <n v="1"/>
    <n v="0.08"/>
    <n v="0.8"/>
    <n v="6.4000000000000001E-2"/>
    <x v="0"/>
  </r>
  <r>
    <s v="2019-20"/>
    <x v="3"/>
    <x v="35"/>
    <s v="L3"/>
    <m/>
    <s v="Realizing Nollis Dream: Embedding Architecture in the City"/>
    <n v="3"/>
    <x v="0"/>
    <x v="2"/>
    <n v="1"/>
    <n v="0.05"/>
    <n v="1"/>
    <n v="0.05"/>
    <x v="0"/>
  </r>
  <r>
    <s v="2019-20"/>
    <x v="3"/>
    <x v="35"/>
    <s v="L3"/>
    <m/>
    <s v="Realizing Nollis Dream: Embedding Architecture in the City"/>
    <n v="3"/>
    <x v="1"/>
    <x v="2"/>
    <n v="1"/>
    <n v="0.05"/>
    <n v="1"/>
    <n v="0.05"/>
    <x v="0"/>
  </r>
  <r>
    <s v="2019-20"/>
    <x v="3"/>
    <x v="35"/>
    <s v="L3"/>
    <m/>
    <s v="Realizing Nollis Dream: Embedding Architecture in the City"/>
    <n v="4"/>
    <x v="0"/>
    <x v="3"/>
    <n v="1"/>
    <n v="0.14000000000000001"/>
    <n v="1"/>
    <n v="0.14000000000000001"/>
    <x v="0"/>
  </r>
  <r>
    <s v="2019-20"/>
    <x v="3"/>
    <x v="35"/>
    <s v="L3"/>
    <m/>
    <s v="Realizing Nollis Dream: Embedding Architecture in the City"/>
    <n v="4"/>
    <x v="1"/>
    <x v="3"/>
    <n v="0"/>
    <n v="0.14000000000000001"/>
    <n v="1"/>
    <n v="0"/>
    <x v="0"/>
  </r>
  <r>
    <s v="2019-20"/>
    <x v="3"/>
    <x v="35"/>
    <s v="L3"/>
    <m/>
    <s v="Realizing Nollis Dream: Embedding Architecture in the City"/>
    <n v="5"/>
    <x v="0"/>
    <x v="4"/>
    <n v="1"/>
    <n v="0.11"/>
    <n v="1"/>
    <n v="0.11"/>
    <x v="0"/>
  </r>
  <r>
    <s v="2019-20"/>
    <x v="3"/>
    <x v="35"/>
    <s v="L3"/>
    <m/>
    <s v="Realizing Nollis Dream: Embedding Architecture in the City"/>
    <n v="5"/>
    <x v="1"/>
    <x v="4"/>
    <n v="0"/>
    <n v="0.11"/>
    <n v="1"/>
    <n v="0"/>
    <x v="0"/>
  </r>
  <r>
    <s v="2019-20"/>
    <x v="3"/>
    <x v="35"/>
    <s v="L3"/>
    <m/>
    <s v="Realizing Nollis Dream: Embedding Architecture in the City"/>
    <n v="6"/>
    <x v="0"/>
    <x v="5"/>
    <n v="1"/>
    <n v="0.15"/>
    <n v="1"/>
    <n v="0.15"/>
    <x v="0"/>
  </r>
  <r>
    <s v="2019-20"/>
    <x v="3"/>
    <x v="35"/>
    <s v="L3"/>
    <m/>
    <s v="Realizing Nollis Dream: Embedding Architecture in the City"/>
    <n v="6"/>
    <x v="1"/>
    <x v="5"/>
    <n v="0"/>
    <n v="0.15"/>
    <n v="1"/>
    <n v="0"/>
    <x v="0"/>
  </r>
  <r>
    <s v="2019-20"/>
    <x v="3"/>
    <x v="35"/>
    <s v="L3"/>
    <m/>
    <s v="Realizing Nollis Dream: Embedding Architecture in the City"/>
    <n v="7"/>
    <x v="0"/>
    <x v="6"/>
    <n v="1"/>
    <n v="0.1"/>
    <n v="1"/>
    <n v="0.1"/>
    <x v="0"/>
  </r>
  <r>
    <s v="2019-20"/>
    <x v="3"/>
    <x v="35"/>
    <s v="L3"/>
    <m/>
    <s v="Realizing Nollis Dream: Embedding Architecture in the City"/>
    <n v="7"/>
    <x v="1"/>
    <x v="6"/>
    <n v="0"/>
    <n v="0.1"/>
    <n v="1"/>
    <n v="0"/>
    <x v="0"/>
  </r>
  <r>
    <s v="2019-20"/>
    <x v="3"/>
    <x v="35"/>
    <s v="L3"/>
    <m/>
    <s v="Realizing Nollis Dream: Embedding Architecture in the City"/>
    <n v="8"/>
    <x v="0"/>
    <x v="7"/>
    <n v="1"/>
    <n v="0.1"/>
    <n v="1"/>
    <n v="0.1"/>
    <x v="0"/>
  </r>
  <r>
    <s v="2019-20"/>
    <x v="3"/>
    <x v="35"/>
    <s v="L3"/>
    <m/>
    <s v="Realizing Nollis Dream: Embedding Architecture in the City"/>
    <n v="8"/>
    <x v="1"/>
    <x v="7"/>
    <n v="0"/>
    <n v="0.1"/>
    <n v="1"/>
    <n v="0"/>
    <x v="0"/>
  </r>
  <r>
    <s v="2019-20"/>
    <x v="3"/>
    <x v="35"/>
    <s v="L3"/>
    <m/>
    <s v="Realizing Nollis Dream: Embedding Architecture in the City"/>
    <n v="9"/>
    <x v="0"/>
    <x v="8"/>
    <m/>
    <n v="0.05"/>
    <n v="0.85"/>
    <n v="0"/>
    <x v="0"/>
  </r>
  <r>
    <s v="2019-20"/>
    <x v="3"/>
    <x v="35"/>
    <s v="L3"/>
    <m/>
    <s v="Realizing Nollis Dream: Embedding Architecture in the City"/>
    <n v="9"/>
    <x v="1"/>
    <x v="8"/>
    <m/>
    <n v="0.05"/>
    <n v="0.85"/>
    <n v="0"/>
    <x v="0"/>
  </r>
  <r>
    <s v="2019-20"/>
    <x v="3"/>
    <x v="35"/>
    <s v="L3"/>
    <m/>
    <s v="Realizing Nollis Dream: Embedding Architecture in the City"/>
    <n v="10"/>
    <x v="0"/>
    <x v="8"/>
    <m/>
    <n v="0.05"/>
    <n v="0.85"/>
    <n v="0"/>
    <x v="0"/>
  </r>
  <r>
    <s v="2019-20"/>
    <x v="3"/>
    <x v="35"/>
    <s v="L3"/>
    <m/>
    <s v="Realizing Nollis Dream: Embedding Architecture in the City"/>
    <n v="10"/>
    <x v="1"/>
    <x v="8"/>
    <m/>
    <n v="0.05"/>
    <n v="0.85"/>
    <n v="0"/>
    <x v="0"/>
  </r>
  <r>
    <s v="2019-20"/>
    <x v="3"/>
    <x v="35"/>
    <s v="L3"/>
    <m/>
    <s v="Realizing Nollis Dream: Embedding Architecture in the City"/>
    <n v="11"/>
    <x v="0"/>
    <x v="9"/>
    <n v="1"/>
    <n v="0.05"/>
    <n v="1"/>
    <n v="0.05"/>
    <x v="0"/>
  </r>
  <r>
    <s v="2019-20"/>
    <x v="3"/>
    <x v="35"/>
    <s v="L3"/>
    <m/>
    <s v="Realizing Nollis Dream: Embedding Architecture in the City"/>
    <n v="11"/>
    <x v="1"/>
    <x v="9"/>
    <n v="0"/>
    <n v="0.05"/>
    <n v="1"/>
    <n v="0"/>
    <x v="169"/>
  </r>
  <r>
    <s v="2019-20"/>
    <x v="3"/>
    <x v="36"/>
    <s v="L3"/>
    <m/>
    <s v="The City and Performance spaces – Performance spaces as Urban catalysts"/>
    <n v="1"/>
    <x v="0"/>
    <x v="0"/>
    <n v="1"/>
    <n v="0.12"/>
    <n v="1"/>
    <n v="0.12"/>
    <x v="0"/>
  </r>
  <r>
    <s v="2019-20"/>
    <x v="3"/>
    <x v="36"/>
    <s v="L3"/>
    <m/>
    <s v="The City and Performance spaces – Performance spaces as Urban catalysts"/>
    <n v="1"/>
    <x v="1"/>
    <x v="0"/>
    <n v="0"/>
    <n v="0.12"/>
    <n v="1"/>
    <n v="0.12"/>
    <x v="0"/>
  </r>
  <r>
    <s v="2019-20"/>
    <x v="3"/>
    <x v="36"/>
    <s v="L3"/>
    <m/>
    <s v="The City and Performance spaces – Performance spaces as Urban catalysts"/>
    <n v="2"/>
    <x v="0"/>
    <x v="1"/>
    <n v="1"/>
    <n v="0.08"/>
    <n v="0.8"/>
    <n v="6.4000000000000001E-2"/>
    <x v="0"/>
  </r>
  <r>
    <s v="2019-20"/>
    <x v="3"/>
    <x v="36"/>
    <s v="L3"/>
    <m/>
    <s v="The City and Performance spaces – Performance spaces as Urban catalysts"/>
    <n v="2"/>
    <x v="1"/>
    <x v="1"/>
    <n v="0"/>
    <n v="0.08"/>
    <n v="0.8"/>
    <n v="0"/>
    <x v="0"/>
  </r>
  <r>
    <s v="2019-20"/>
    <x v="3"/>
    <x v="36"/>
    <s v="L3"/>
    <m/>
    <s v="The City and Performance spaces – Performance spaces as Urban catalysts"/>
    <n v="3"/>
    <x v="0"/>
    <x v="2"/>
    <n v="1"/>
    <n v="0.05"/>
    <n v="1"/>
    <n v="0.05"/>
    <x v="0"/>
  </r>
  <r>
    <s v="2019-20"/>
    <x v="3"/>
    <x v="36"/>
    <s v="L3"/>
    <m/>
    <s v="The City and Performance spaces – Performance spaces as Urban catalysts"/>
    <n v="3"/>
    <x v="1"/>
    <x v="2"/>
    <n v="0"/>
    <n v="0.05"/>
    <n v="1"/>
    <n v="0"/>
    <x v="0"/>
  </r>
  <r>
    <s v="2019-20"/>
    <x v="3"/>
    <x v="36"/>
    <s v="L3"/>
    <m/>
    <s v="The City and Performance spaces – Performance spaces as Urban catalysts"/>
    <n v="4"/>
    <x v="0"/>
    <x v="3"/>
    <n v="1"/>
    <n v="0.14000000000000001"/>
    <n v="1"/>
    <n v="0.14000000000000001"/>
    <x v="0"/>
  </r>
  <r>
    <s v="2019-20"/>
    <x v="3"/>
    <x v="36"/>
    <s v="L3"/>
    <m/>
    <s v="The City and Performance spaces – Performance spaces as Urban catalysts"/>
    <n v="4"/>
    <x v="1"/>
    <x v="3"/>
    <n v="0"/>
    <n v="0.14000000000000001"/>
    <n v="1"/>
    <n v="0"/>
    <x v="0"/>
  </r>
  <r>
    <s v="2019-20"/>
    <x v="3"/>
    <x v="36"/>
    <s v="L3"/>
    <m/>
    <s v="The City and Performance spaces – Performance spaces as Urban catalysts"/>
    <n v="5"/>
    <x v="0"/>
    <x v="4"/>
    <n v="1"/>
    <n v="0.11"/>
    <n v="1"/>
    <n v="0.11"/>
    <x v="0"/>
  </r>
  <r>
    <s v="2019-20"/>
    <x v="3"/>
    <x v="36"/>
    <s v="L3"/>
    <m/>
    <s v="The City and Performance spaces – Performance spaces as Urban catalysts"/>
    <n v="5"/>
    <x v="1"/>
    <x v="4"/>
    <n v="0"/>
    <n v="0.11"/>
    <n v="1"/>
    <n v="0"/>
    <x v="0"/>
  </r>
  <r>
    <s v="2019-20"/>
    <x v="3"/>
    <x v="36"/>
    <s v="L3"/>
    <m/>
    <s v="The City and Performance spaces – Performance spaces as Urban catalysts"/>
    <n v="6"/>
    <x v="0"/>
    <x v="5"/>
    <n v="1"/>
    <n v="0.15"/>
    <n v="1"/>
    <n v="0.15"/>
    <x v="0"/>
  </r>
  <r>
    <s v="2019-20"/>
    <x v="3"/>
    <x v="36"/>
    <s v="L3"/>
    <m/>
    <s v="The City and Performance spaces – Performance spaces as Urban catalysts"/>
    <n v="6"/>
    <x v="1"/>
    <x v="5"/>
    <n v="-1"/>
    <n v="0.15"/>
    <n v="1"/>
    <n v="-0.15"/>
    <x v="0"/>
  </r>
  <r>
    <s v="2019-20"/>
    <x v="3"/>
    <x v="36"/>
    <s v="L3"/>
    <m/>
    <s v="The City and Performance spaces – Performance spaces as Urban catalysts"/>
    <n v="7"/>
    <x v="0"/>
    <x v="6"/>
    <n v="1"/>
    <n v="0.1"/>
    <n v="1"/>
    <n v="0.1"/>
    <x v="0"/>
  </r>
  <r>
    <s v="2019-20"/>
    <x v="3"/>
    <x v="36"/>
    <s v="L3"/>
    <m/>
    <s v="The City and Performance spaces – Performance spaces as Urban catalysts"/>
    <n v="7"/>
    <x v="1"/>
    <x v="6"/>
    <n v="-1"/>
    <n v="0.1"/>
    <n v="1"/>
    <n v="-0.1"/>
    <x v="0"/>
  </r>
  <r>
    <s v="2019-20"/>
    <x v="3"/>
    <x v="36"/>
    <s v="L3"/>
    <m/>
    <s v="The City and Performance spaces – Performance spaces as Urban catalysts"/>
    <n v="8"/>
    <x v="0"/>
    <x v="7"/>
    <n v="1"/>
    <n v="0.1"/>
    <n v="1"/>
    <n v="0.1"/>
    <x v="0"/>
  </r>
  <r>
    <s v="2019-20"/>
    <x v="3"/>
    <x v="36"/>
    <s v="L3"/>
    <m/>
    <s v="The City and Performance spaces – Performance spaces as Urban catalysts"/>
    <n v="8"/>
    <x v="1"/>
    <x v="7"/>
    <n v="-1"/>
    <n v="0.1"/>
    <n v="1"/>
    <n v="-0.1"/>
    <x v="0"/>
  </r>
  <r>
    <s v="2019-20"/>
    <x v="3"/>
    <x v="36"/>
    <s v="L3"/>
    <m/>
    <s v="The City and Performance spaces – Performance spaces as Urban catalysts"/>
    <n v="9"/>
    <x v="0"/>
    <x v="8"/>
    <m/>
    <n v="0.05"/>
    <n v="0.85"/>
    <n v="0"/>
    <x v="0"/>
  </r>
  <r>
    <s v="2019-20"/>
    <x v="3"/>
    <x v="36"/>
    <s v="L3"/>
    <m/>
    <s v="The City and Performance spaces – Performance spaces as Urban catalysts"/>
    <n v="9"/>
    <x v="1"/>
    <x v="8"/>
    <m/>
    <n v="0.05"/>
    <n v="0.85"/>
    <n v="0"/>
    <x v="0"/>
  </r>
  <r>
    <s v="2019-20"/>
    <x v="3"/>
    <x v="36"/>
    <s v="L3"/>
    <m/>
    <s v="The City and Performance spaces – Performance spaces as Urban catalysts"/>
    <n v="10"/>
    <x v="0"/>
    <x v="8"/>
    <m/>
    <n v="0.05"/>
    <n v="0.85"/>
    <n v="0"/>
    <x v="0"/>
  </r>
  <r>
    <s v="2019-20"/>
    <x v="3"/>
    <x v="36"/>
    <s v="L3"/>
    <m/>
    <s v="The City and Performance spaces – Performance spaces as Urban catalysts"/>
    <n v="10"/>
    <x v="1"/>
    <x v="8"/>
    <m/>
    <n v="0.05"/>
    <n v="0.85"/>
    <n v="0"/>
    <x v="0"/>
  </r>
  <r>
    <s v="2019-20"/>
    <x v="3"/>
    <x v="36"/>
    <s v="L3"/>
    <m/>
    <s v="The City and Performance spaces – Performance spaces as Urban catalysts"/>
    <n v="11"/>
    <x v="0"/>
    <x v="9"/>
    <n v="1"/>
    <n v="0.05"/>
    <n v="1"/>
    <n v="0.05"/>
    <x v="0"/>
  </r>
  <r>
    <s v="2019-20"/>
    <x v="3"/>
    <x v="36"/>
    <s v="L3"/>
    <m/>
    <s v="The City and Performance spaces – Performance spaces as Urban catalysts"/>
    <n v="11"/>
    <x v="1"/>
    <x v="9"/>
    <n v="-1"/>
    <n v="0.05"/>
    <n v="1"/>
    <n v="-0.05"/>
    <x v="0"/>
  </r>
  <r>
    <s v="2019-20"/>
    <x v="3"/>
    <x v="37"/>
    <s v="L3"/>
    <m/>
    <s v="Algorithmic Thinking – A Parametric Approach to Problem Solving"/>
    <n v="1"/>
    <x v="0"/>
    <x v="0"/>
    <n v="1"/>
    <n v="0.12"/>
    <n v="1"/>
    <n v="0.12"/>
    <x v="0"/>
  </r>
  <r>
    <s v="2019-20"/>
    <x v="3"/>
    <x v="37"/>
    <s v="L3"/>
    <m/>
    <s v="Algorithmic Thinking – A Parametric Approach to Problem Solving"/>
    <n v="1"/>
    <x v="1"/>
    <x v="0"/>
    <n v="0"/>
    <n v="0.12"/>
    <n v="1"/>
    <n v="0.12"/>
    <x v="0"/>
  </r>
  <r>
    <s v="2019-20"/>
    <x v="3"/>
    <x v="37"/>
    <s v="L3"/>
    <m/>
    <s v="Algorithmic Thinking – A Parametric Approach to Problem Solving"/>
    <n v="2"/>
    <x v="0"/>
    <x v="1"/>
    <n v="1"/>
    <n v="0.08"/>
    <n v="0.8"/>
    <n v="6.4000000000000001E-2"/>
    <x v="0"/>
  </r>
  <r>
    <s v="2019-20"/>
    <x v="3"/>
    <x v="37"/>
    <s v="L3"/>
    <m/>
    <s v="Algorithmic Thinking – A Parametric Approach to Problem Solving"/>
    <n v="2"/>
    <x v="1"/>
    <x v="1"/>
    <n v="0"/>
    <n v="0.08"/>
    <n v="0.8"/>
    <n v="0"/>
    <x v="0"/>
  </r>
  <r>
    <s v="2019-20"/>
    <x v="3"/>
    <x v="37"/>
    <s v="L3"/>
    <m/>
    <s v="Algorithmic Thinking – A Parametric Approach to Problem Solving"/>
    <n v="3"/>
    <x v="0"/>
    <x v="2"/>
    <n v="1"/>
    <n v="0.05"/>
    <n v="1"/>
    <n v="0.05"/>
    <x v="0"/>
  </r>
  <r>
    <s v="2019-20"/>
    <x v="3"/>
    <x v="37"/>
    <s v="L3"/>
    <m/>
    <s v="Algorithmic Thinking – A Parametric Approach to Problem Solving"/>
    <n v="3"/>
    <x v="1"/>
    <x v="2"/>
    <n v="0"/>
    <n v="0.05"/>
    <n v="1"/>
    <n v="0"/>
    <x v="0"/>
  </r>
  <r>
    <s v="2019-20"/>
    <x v="3"/>
    <x v="37"/>
    <s v="L3"/>
    <m/>
    <s v="Algorithmic Thinking – A Parametric Approach to Problem Solving"/>
    <n v="4"/>
    <x v="0"/>
    <x v="3"/>
    <n v="1"/>
    <n v="0.14000000000000001"/>
    <n v="1"/>
    <n v="0.14000000000000001"/>
    <x v="0"/>
  </r>
  <r>
    <s v="2019-20"/>
    <x v="3"/>
    <x v="37"/>
    <s v="L3"/>
    <m/>
    <s v="Algorithmic Thinking – A Parametric Approach to Problem Solving"/>
    <n v="4"/>
    <x v="1"/>
    <x v="3"/>
    <n v="0"/>
    <n v="0.14000000000000001"/>
    <n v="1"/>
    <n v="0"/>
    <x v="0"/>
  </r>
  <r>
    <s v="2019-20"/>
    <x v="3"/>
    <x v="37"/>
    <s v="L3"/>
    <m/>
    <s v="Algorithmic Thinking – A Parametric Approach to Problem Solving"/>
    <n v="5"/>
    <x v="0"/>
    <x v="4"/>
    <n v="1"/>
    <n v="0.11"/>
    <n v="1"/>
    <n v="0.11"/>
    <x v="0"/>
  </r>
  <r>
    <s v="2019-20"/>
    <x v="3"/>
    <x v="37"/>
    <s v="L3"/>
    <m/>
    <s v="Algorithmic Thinking – A Parametric Approach to Problem Solving"/>
    <n v="5"/>
    <x v="1"/>
    <x v="4"/>
    <n v="-1"/>
    <n v="0.11"/>
    <n v="1"/>
    <n v="-0.11"/>
    <x v="0"/>
  </r>
  <r>
    <s v="2019-20"/>
    <x v="3"/>
    <x v="37"/>
    <s v="L3"/>
    <m/>
    <s v="Algorithmic Thinking – A Parametric Approach to Problem Solving"/>
    <n v="6"/>
    <x v="0"/>
    <x v="5"/>
    <n v="0"/>
    <n v="0.15"/>
    <n v="1"/>
    <n v="0"/>
    <x v="0"/>
  </r>
  <r>
    <s v="2019-20"/>
    <x v="3"/>
    <x v="37"/>
    <s v="L3"/>
    <m/>
    <s v="Algorithmic Thinking – A Parametric Approach to Problem Solving"/>
    <n v="6"/>
    <x v="1"/>
    <x v="5"/>
    <n v="-1"/>
    <n v="0.15"/>
    <n v="1"/>
    <n v="-0.15"/>
    <x v="0"/>
  </r>
  <r>
    <s v="2019-20"/>
    <x v="3"/>
    <x v="37"/>
    <s v="L3"/>
    <m/>
    <s v="Algorithmic Thinking – A Parametric Approach to Problem Solving"/>
    <n v="7"/>
    <x v="0"/>
    <x v="6"/>
    <n v="1"/>
    <n v="0.1"/>
    <n v="1"/>
    <n v="0.1"/>
    <x v="0"/>
  </r>
  <r>
    <s v="2019-20"/>
    <x v="3"/>
    <x v="37"/>
    <s v="L3"/>
    <m/>
    <s v="Algorithmic Thinking – A Parametric Approach to Problem Solving"/>
    <n v="7"/>
    <x v="1"/>
    <x v="6"/>
    <n v="0"/>
    <n v="0.1"/>
    <n v="1"/>
    <n v="0"/>
    <x v="0"/>
  </r>
  <r>
    <s v="2019-20"/>
    <x v="3"/>
    <x v="37"/>
    <s v="L3"/>
    <m/>
    <s v="Algorithmic Thinking – A Parametric Approach to Problem Solving"/>
    <n v="8"/>
    <x v="0"/>
    <x v="7"/>
    <n v="0"/>
    <n v="0.1"/>
    <n v="1"/>
    <n v="0"/>
    <x v="0"/>
  </r>
  <r>
    <s v="2019-20"/>
    <x v="3"/>
    <x v="37"/>
    <s v="L3"/>
    <m/>
    <s v="Algorithmic Thinking – A Parametric Approach to Problem Solving"/>
    <n v="8"/>
    <x v="1"/>
    <x v="7"/>
    <n v="-1"/>
    <n v="0.1"/>
    <n v="1"/>
    <n v="-0.1"/>
    <x v="0"/>
  </r>
  <r>
    <s v="2019-20"/>
    <x v="3"/>
    <x v="37"/>
    <s v="L3"/>
    <m/>
    <s v="Algorithmic Thinking – A Parametric Approach to Problem Solving"/>
    <n v="9"/>
    <x v="0"/>
    <x v="8"/>
    <m/>
    <n v="0.05"/>
    <n v="0.85"/>
    <n v="0"/>
    <x v="0"/>
  </r>
  <r>
    <s v="2019-20"/>
    <x v="3"/>
    <x v="37"/>
    <s v="L3"/>
    <m/>
    <s v="Algorithmic Thinking – A Parametric Approach to Problem Solving"/>
    <n v="9"/>
    <x v="1"/>
    <x v="8"/>
    <m/>
    <n v="0.05"/>
    <n v="0.85"/>
    <n v="0"/>
    <x v="0"/>
  </r>
  <r>
    <s v="2019-20"/>
    <x v="3"/>
    <x v="37"/>
    <s v="L3"/>
    <m/>
    <s v="Algorithmic Thinking – A Parametric Approach to Problem Solving"/>
    <n v="10"/>
    <x v="0"/>
    <x v="8"/>
    <m/>
    <n v="0.05"/>
    <n v="0.85"/>
    <n v="0"/>
    <x v="0"/>
  </r>
  <r>
    <s v="2019-20"/>
    <x v="3"/>
    <x v="37"/>
    <s v="L3"/>
    <m/>
    <s v="Algorithmic Thinking – A Parametric Approach to Problem Solving"/>
    <n v="10"/>
    <x v="1"/>
    <x v="8"/>
    <m/>
    <n v="0.05"/>
    <n v="0.85"/>
    <n v="0"/>
    <x v="0"/>
  </r>
  <r>
    <s v="2019-20"/>
    <x v="3"/>
    <x v="37"/>
    <s v="L3"/>
    <m/>
    <s v="Algorithmic Thinking – A Parametric Approach to Problem Solving"/>
    <n v="11"/>
    <x v="0"/>
    <x v="9"/>
    <n v="0"/>
    <n v="0.05"/>
    <n v="1"/>
    <n v="0"/>
    <x v="0"/>
  </r>
  <r>
    <s v="2019-20"/>
    <x v="3"/>
    <x v="37"/>
    <s v="L3"/>
    <m/>
    <s v="Algorithmic Thinking – A Parametric Approach to Problem Solving"/>
    <n v="11"/>
    <x v="1"/>
    <x v="9"/>
    <n v="-1"/>
    <n v="0.05"/>
    <n v="1"/>
    <n v="-0.05"/>
    <x v="0"/>
  </r>
  <r>
    <s v="2019-20"/>
    <x v="3"/>
    <x v="38"/>
    <s v="L3"/>
    <m/>
    <s v="Vertical Living"/>
    <n v="1"/>
    <x v="0"/>
    <x v="0"/>
    <n v="1"/>
    <n v="0.12"/>
    <n v="1"/>
    <n v="0.12"/>
    <x v="0"/>
  </r>
  <r>
    <s v="2019-20"/>
    <x v="3"/>
    <x v="38"/>
    <s v="L3"/>
    <m/>
    <s v="Vertical Living"/>
    <n v="1"/>
    <x v="1"/>
    <x v="0"/>
    <n v="0"/>
    <n v="0.12"/>
    <n v="1"/>
    <n v="0.12"/>
    <x v="0"/>
  </r>
  <r>
    <s v="2019-20"/>
    <x v="3"/>
    <x v="38"/>
    <s v="L3"/>
    <m/>
    <s v="Vertical Living"/>
    <n v="2"/>
    <x v="0"/>
    <x v="1"/>
    <n v="0"/>
    <n v="0.08"/>
    <n v="0.8"/>
    <n v="0"/>
    <x v="0"/>
  </r>
  <r>
    <s v="2019-20"/>
    <x v="3"/>
    <x v="38"/>
    <s v="L3"/>
    <m/>
    <s v="Vertical Living"/>
    <n v="2"/>
    <x v="1"/>
    <x v="1"/>
    <n v="-1"/>
    <n v="0.08"/>
    <n v="0.8"/>
    <n v="-6.4000000000000001E-2"/>
    <x v="170"/>
  </r>
  <r>
    <s v="2019-20"/>
    <x v="3"/>
    <x v="38"/>
    <s v="L3"/>
    <m/>
    <s v="Vertical Living"/>
    <n v="3"/>
    <x v="0"/>
    <x v="2"/>
    <n v="0"/>
    <n v="0.05"/>
    <n v="1"/>
    <n v="0"/>
    <x v="0"/>
  </r>
  <r>
    <s v="2019-20"/>
    <x v="3"/>
    <x v="38"/>
    <s v="L3"/>
    <m/>
    <s v="Vertical Living"/>
    <n v="3"/>
    <x v="1"/>
    <x v="2"/>
    <n v="-1"/>
    <n v="0.05"/>
    <n v="1"/>
    <n v="-0.05"/>
    <x v="171"/>
  </r>
  <r>
    <s v="2019-20"/>
    <x v="3"/>
    <x v="38"/>
    <s v="L3"/>
    <m/>
    <s v="Vertical Living"/>
    <n v="4"/>
    <x v="0"/>
    <x v="3"/>
    <n v="0"/>
    <n v="0.14000000000000001"/>
    <n v="1"/>
    <n v="0"/>
    <x v="0"/>
  </r>
  <r>
    <s v="2019-20"/>
    <x v="3"/>
    <x v="38"/>
    <s v="L3"/>
    <m/>
    <s v="Vertical Living"/>
    <n v="4"/>
    <x v="1"/>
    <x v="3"/>
    <n v="-1"/>
    <n v="0.14000000000000001"/>
    <n v="1"/>
    <n v="-0.14000000000000001"/>
    <x v="172"/>
  </r>
  <r>
    <s v="2019-20"/>
    <x v="3"/>
    <x v="38"/>
    <s v="L3"/>
    <m/>
    <s v="Vertical Living"/>
    <n v="5"/>
    <x v="0"/>
    <x v="4"/>
    <n v="0"/>
    <n v="0.11"/>
    <n v="1"/>
    <n v="0"/>
    <x v="0"/>
  </r>
  <r>
    <s v="2019-20"/>
    <x v="3"/>
    <x v="38"/>
    <s v="L3"/>
    <m/>
    <s v="Vertical Living"/>
    <n v="5"/>
    <x v="1"/>
    <x v="4"/>
    <n v="-1"/>
    <n v="0.11"/>
    <n v="1"/>
    <n v="-0.11"/>
    <x v="173"/>
  </r>
  <r>
    <s v="2019-20"/>
    <x v="3"/>
    <x v="38"/>
    <s v="L3"/>
    <m/>
    <s v="Vertical Living"/>
    <n v="6"/>
    <x v="0"/>
    <x v="5"/>
    <n v="0"/>
    <n v="0.15"/>
    <n v="1"/>
    <n v="0"/>
    <x v="0"/>
  </r>
  <r>
    <s v="2019-20"/>
    <x v="3"/>
    <x v="38"/>
    <s v="L3"/>
    <m/>
    <s v="Vertical Living"/>
    <n v="6"/>
    <x v="1"/>
    <x v="5"/>
    <n v="-1"/>
    <n v="0.15"/>
    <n v="1"/>
    <n v="-0.15"/>
    <x v="174"/>
  </r>
  <r>
    <s v="2019-20"/>
    <x v="3"/>
    <x v="38"/>
    <s v="L3"/>
    <m/>
    <s v="Vertical Living"/>
    <n v="7"/>
    <x v="0"/>
    <x v="6"/>
    <n v="0"/>
    <n v="0.1"/>
    <n v="1"/>
    <n v="0"/>
    <x v="0"/>
  </r>
  <r>
    <s v="2019-20"/>
    <x v="3"/>
    <x v="38"/>
    <s v="L3"/>
    <m/>
    <s v="Vertical Living"/>
    <n v="7"/>
    <x v="1"/>
    <x v="6"/>
    <n v="-1"/>
    <n v="0.1"/>
    <n v="1"/>
    <n v="-0.1"/>
    <x v="0"/>
  </r>
  <r>
    <s v="2019-20"/>
    <x v="3"/>
    <x v="38"/>
    <s v="L3"/>
    <m/>
    <s v="Vertical Living"/>
    <n v="8"/>
    <x v="0"/>
    <x v="7"/>
    <n v="0"/>
    <n v="0.1"/>
    <n v="1"/>
    <n v="0"/>
    <x v="0"/>
  </r>
  <r>
    <s v="2019-20"/>
    <x v="3"/>
    <x v="38"/>
    <s v="L3"/>
    <m/>
    <s v="Vertical Living"/>
    <n v="8"/>
    <x v="1"/>
    <x v="7"/>
    <n v="-1"/>
    <n v="0.1"/>
    <n v="1"/>
    <n v="-0.1"/>
    <x v="0"/>
  </r>
  <r>
    <s v="2019-20"/>
    <x v="3"/>
    <x v="38"/>
    <s v="L3"/>
    <m/>
    <s v="Vertical Living"/>
    <n v="9"/>
    <x v="0"/>
    <x v="8"/>
    <m/>
    <n v="0.05"/>
    <n v="0.85"/>
    <n v="0"/>
    <x v="0"/>
  </r>
  <r>
    <s v="2019-20"/>
    <x v="3"/>
    <x v="38"/>
    <s v="L3"/>
    <m/>
    <s v="Vertical Living"/>
    <n v="9"/>
    <x v="1"/>
    <x v="8"/>
    <m/>
    <n v="0.05"/>
    <n v="0.85"/>
    <n v="0"/>
    <x v="0"/>
  </r>
  <r>
    <s v="2019-20"/>
    <x v="3"/>
    <x v="38"/>
    <s v="L3"/>
    <m/>
    <s v="Vertical Living"/>
    <n v="10"/>
    <x v="0"/>
    <x v="8"/>
    <m/>
    <n v="0.05"/>
    <n v="0.85"/>
    <n v="0"/>
    <x v="0"/>
  </r>
  <r>
    <s v="2019-20"/>
    <x v="3"/>
    <x v="38"/>
    <s v="L3"/>
    <m/>
    <s v="Vertical Living"/>
    <n v="10"/>
    <x v="1"/>
    <x v="8"/>
    <m/>
    <n v="0.05"/>
    <n v="0.85"/>
    <n v="0"/>
    <x v="0"/>
  </r>
  <r>
    <s v="2019-20"/>
    <x v="3"/>
    <x v="38"/>
    <s v="L3"/>
    <m/>
    <s v="Vertical Living"/>
    <n v="11"/>
    <x v="0"/>
    <x v="9"/>
    <n v="0"/>
    <n v="0.05"/>
    <n v="1"/>
    <n v="0"/>
    <x v="0"/>
  </r>
  <r>
    <s v="2019-20"/>
    <x v="3"/>
    <x v="38"/>
    <s v="L3"/>
    <m/>
    <s v="Vertical Living"/>
    <n v="11"/>
    <x v="1"/>
    <x v="9"/>
    <n v="-1"/>
    <n v="0.05"/>
    <n v="1"/>
    <n v="-0.05"/>
    <x v="0"/>
  </r>
  <r>
    <s v="2020-21"/>
    <x v="4"/>
    <x v="1"/>
    <s v="L2"/>
    <s v="Constructing and Specifying"/>
    <s v="Strange Details"/>
    <n v="1"/>
    <x v="0"/>
    <x v="0"/>
    <m/>
    <n v="0.12"/>
    <n v="1"/>
    <n v="0"/>
    <x v="0"/>
  </r>
  <r>
    <s v="2020-21"/>
    <x v="4"/>
    <x v="1"/>
    <s v="L2"/>
    <s v="Constructing and Specifying"/>
    <s v="Strange Details"/>
    <n v="1"/>
    <x v="1"/>
    <x v="0"/>
    <m/>
    <n v="0.12"/>
    <n v="1"/>
    <n v="0"/>
    <x v="0"/>
  </r>
  <r>
    <s v="2020-21"/>
    <x v="4"/>
    <x v="1"/>
    <s v="L2"/>
    <s v="Constructing and Specifying"/>
    <s v="Strange Details"/>
    <n v="2"/>
    <x v="0"/>
    <x v="1"/>
    <m/>
    <n v="0.08"/>
    <n v="0.9"/>
    <n v="0"/>
    <x v="0"/>
  </r>
  <r>
    <s v="2020-21"/>
    <x v="4"/>
    <x v="1"/>
    <s v="L2"/>
    <s v="Constructing and Specifying"/>
    <s v="Strange Details"/>
    <n v="2"/>
    <x v="1"/>
    <x v="1"/>
    <m/>
    <n v="0.08"/>
    <n v="0.9"/>
    <n v="0"/>
    <x v="0"/>
  </r>
  <r>
    <s v="2020-21"/>
    <x v="4"/>
    <x v="1"/>
    <s v="L2"/>
    <s v="Constructing and Specifying"/>
    <s v="Strange Details"/>
    <n v="3"/>
    <x v="0"/>
    <x v="2"/>
    <m/>
    <n v="0.05"/>
    <n v="1"/>
    <n v="0"/>
    <x v="0"/>
  </r>
  <r>
    <s v="2020-21"/>
    <x v="4"/>
    <x v="1"/>
    <s v="L2"/>
    <s v="Constructing and Specifying"/>
    <s v="Strange Details"/>
    <n v="3"/>
    <x v="1"/>
    <x v="2"/>
    <m/>
    <n v="0.05"/>
    <n v="1"/>
    <n v="0"/>
    <x v="0"/>
  </r>
  <r>
    <s v="2020-21"/>
    <x v="4"/>
    <x v="1"/>
    <s v="L2"/>
    <s v="Constructing and Specifying"/>
    <s v="Strange Details"/>
    <n v="4"/>
    <x v="0"/>
    <x v="3"/>
    <m/>
    <n v="0.1"/>
    <n v="1"/>
    <n v="0"/>
    <x v="0"/>
  </r>
  <r>
    <s v="2020-21"/>
    <x v="4"/>
    <x v="1"/>
    <s v="L2"/>
    <s v="Constructing and Specifying"/>
    <s v="Strange Details"/>
    <n v="4"/>
    <x v="1"/>
    <x v="3"/>
    <m/>
    <n v="0.1"/>
    <n v="1"/>
    <n v="0"/>
    <x v="0"/>
  </r>
  <r>
    <s v="2020-21"/>
    <x v="4"/>
    <x v="1"/>
    <s v="L2"/>
    <s v="Constructing and Specifying"/>
    <s v="Strange Details"/>
    <n v="5"/>
    <x v="0"/>
    <x v="10"/>
    <m/>
    <n v="0.08"/>
    <n v="1"/>
    <n v="0"/>
    <x v="0"/>
  </r>
  <r>
    <s v="2020-21"/>
    <x v="4"/>
    <x v="1"/>
    <s v="L2"/>
    <s v="Constructing and Specifying"/>
    <s v="Strange Details"/>
    <n v="5"/>
    <x v="1"/>
    <x v="10"/>
    <m/>
    <n v="0.08"/>
    <n v="1"/>
    <n v="0"/>
    <x v="0"/>
  </r>
  <r>
    <s v="2020-21"/>
    <x v="4"/>
    <x v="1"/>
    <s v="L2"/>
    <s v="Constructing and Specifying"/>
    <s v="Strange Details"/>
    <n v="6"/>
    <x v="0"/>
    <x v="4"/>
    <m/>
    <n v="7.0000000000000007E-2"/>
    <n v="1"/>
    <n v="0"/>
    <x v="0"/>
  </r>
  <r>
    <s v="2020-21"/>
    <x v="4"/>
    <x v="1"/>
    <s v="L2"/>
    <s v="Constructing and Specifying"/>
    <s v="Strange Details"/>
    <n v="6"/>
    <x v="1"/>
    <x v="4"/>
    <m/>
    <n v="7.0000000000000007E-2"/>
    <n v="1"/>
    <n v="0"/>
    <x v="0"/>
  </r>
  <r>
    <s v="2020-21"/>
    <x v="4"/>
    <x v="1"/>
    <s v="L2"/>
    <s v="Constructing and Specifying"/>
    <s v="Strange Details"/>
    <n v="7"/>
    <x v="0"/>
    <x v="5"/>
    <m/>
    <n v="0.15"/>
    <n v="1"/>
    <n v="0"/>
    <x v="0"/>
  </r>
  <r>
    <s v="2020-21"/>
    <x v="4"/>
    <x v="1"/>
    <s v="L2"/>
    <s v="Constructing and Specifying"/>
    <s v="Strange Details"/>
    <n v="7"/>
    <x v="1"/>
    <x v="5"/>
    <m/>
    <n v="0.15"/>
    <n v="1"/>
    <n v="0"/>
    <x v="0"/>
  </r>
  <r>
    <s v="2020-21"/>
    <x v="4"/>
    <x v="1"/>
    <s v="L2"/>
    <s v="Constructing and Specifying"/>
    <s v="Strange Details"/>
    <n v="8"/>
    <x v="0"/>
    <x v="6"/>
    <m/>
    <n v="0.1"/>
    <n v="1"/>
    <n v="0"/>
    <x v="0"/>
  </r>
  <r>
    <s v="2020-21"/>
    <x v="4"/>
    <x v="1"/>
    <s v="L2"/>
    <s v="Constructing and Specifying"/>
    <s v="Strange Details"/>
    <n v="8"/>
    <x v="1"/>
    <x v="6"/>
    <m/>
    <n v="0.1"/>
    <n v="1"/>
    <n v="0"/>
    <x v="0"/>
  </r>
  <r>
    <s v="2020-21"/>
    <x v="4"/>
    <x v="1"/>
    <s v="L2"/>
    <s v="Constructing and Specifying"/>
    <s v="Strange Details"/>
    <n v="9"/>
    <x v="0"/>
    <x v="7"/>
    <m/>
    <n v="0.1"/>
    <n v="1"/>
    <n v="0"/>
    <x v="0"/>
  </r>
  <r>
    <s v="2020-21"/>
    <x v="4"/>
    <x v="1"/>
    <s v="L2"/>
    <s v="Constructing and Specifying"/>
    <s v="Strange Details"/>
    <n v="9"/>
    <x v="1"/>
    <x v="7"/>
    <m/>
    <n v="0.1"/>
    <n v="1"/>
    <n v="0"/>
    <x v="0"/>
  </r>
  <r>
    <s v="2020-21"/>
    <x v="4"/>
    <x v="1"/>
    <s v="L2"/>
    <s v="Constructing and Specifying"/>
    <s v="Strange Details"/>
    <n v="10"/>
    <x v="0"/>
    <x v="8"/>
    <m/>
    <n v="0.05"/>
    <n v="0.9"/>
    <n v="0"/>
    <x v="0"/>
  </r>
  <r>
    <s v="2020-21"/>
    <x v="4"/>
    <x v="1"/>
    <s v="L2"/>
    <s v="Constructing and Specifying"/>
    <s v="Strange Details"/>
    <n v="10"/>
    <x v="1"/>
    <x v="8"/>
    <m/>
    <n v="0.05"/>
    <n v="0.9"/>
    <n v="0"/>
    <x v="0"/>
  </r>
  <r>
    <s v="2020-21"/>
    <x v="4"/>
    <x v="1"/>
    <s v="L2"/>
    <s v="Constructing and Specifying"/>
    <s v="Strange Details"/>
    <n v="11"/>
    <x v="0"/>
    <x v="8"/>
    <m/>
    <n v="0.05"/>
    <n v="0.9"/>
    <n v="0"/>
    <x v="0"/>
  </r>
  <r>
    <s v="2020-21"/>
    <x v="4"/>
    <x v="1"/>
    <s v="L2"/>
    <s v="Constructing and Specifying"/>
    <s v="Strange Details"/>
    <n v="11"/>
    <x v="1"/>
    <x v="8"/>
    <m/>
    <n v="0.05"/>
    <n v="0.9"/>
    <n v="0"/>
    <x v="0"/>
  </r>
  <r>
    <s v="2020-21"/>
    <x v="4"/>
    <x v="1"/>
    <s v="L2"/>
    <s v="Constructing and Specifying"/>
    <s v="Strange Details"/>
    <n v="12"/>
    <x v="0"/>
    <x v="9"/>
    <m/>
    <n v="0.05"/>
    <n v="0.9"/>
    <n v="0"/>
    <x v="0"/>
  </r>
  <r>
    <s v="2020-21"/>
    <x v="4"/>
    <x v="1"/>
    <s v="L2"/>
    <s v="Constructing and Specifying"/>
    <s v="Strange Details"/>
    <n v="12"/>
    <x v="1"/>
    <x v="9"/>
    <m/>
    <n v="0.05"/>
    <n v="1"/>
    <n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2">
  <r>
    <s v="2018-19"/>
    <x v="0"/>
    <x v="0"/>
    <s v="L2"/>
    <s v="Visualization and Communication"/>
    <s v="The Purpose of Architecture: Exploring Design Interventions and Strategies"/>
    <n v="1"/>
    <x v="0"/>
    <x v="0"/>
    <n v="1"/>
    <n v="0.12"/>
    <n v="1"/>
    <n v="0.12"/>
    <m/>
  </r>
  <r>
    <s v="2018-19"/>
    <x v="0"/>
    <x v="0"/>
    <s v="L2"/>
    <s v="Visualization and Communication"/>
    <s v="The Purpose of Architecture: Exploring Design Interventions and Strategies"/>
    <n v="1"/>
    <x v="1"/>
    <x v="0"/>
    <n v="1"/>
    <n v="0.12"/>
    <n v="1"/>
    <n v="0.12"/>
    <m/>
  </r>
  <r>
    <s v="2018-19"/>
    <x v="0"/>
    <x v="0"/>
    <s v="L2"/>
    <s v="Visualization and Communication"/>
    <s v="The Purpose of Architecture: Exploring Design Interventions and Strategies"/>
    <n v="2"/>
    <x v="0"/>
    <x v="1"/>
    <n v="1"/>
    <n v="0.08"/>
    <n v="0.8"/>
    <n v="6.4000000000000001E-2"/>
    <m/>
  </r>
  <r>
    <s v="2018-19"/>
    <x v="0"/>
    <x v="0"/>
    <s v="L2"/>
    <s v="Visualization and Communication"/>
    <s v="The Purpose of Architecture: Exploring Design Interventions and Strategies"/>
    <n v="2"/>
    <x v="1"/>
    <x v="1"/>
    <n v="1"/>
    <n v="0.08"/>
    <n v="0.8"/>
    <n v="6.4000000000000001E-2"/>
    <m/>
  </r>
  <r>
    <s v="2018-19"/>
    <x v="0"/>
    <x v="0"/>
    <s v="L2"/>
    <s v="Visualization and Communication"/>
    <s v="The Purpose of Architecture: Exploring Design Interventions and Strategies"/>
    <n v="3"/>
    <x v="0"/>
    <x v="2"/>
    <n v="1"/>
    <n v="0.05"/>
    <n v="1"/>
    <n v="0.05"/>
    <m/>
  </r>
  <r>
    <s v="2018-19"/>
    <x v="0"/>
    <x v="0"/>
    <s v="L2"/>
    <s v="Visualization and Communication"/>
    <s v="The Purpose of Architecture: Exploring Design Interventions and Strategies"/>
    <n v="3"/>
    <x v="1"/>
    <x v="2"/>
    <n v="1"/>
    <n v="0.05"/>
    <n v="1"/>
    <n v="0.05"/>
    <m/>
  </r>
  <r>
    <s v="2018-19"/>
    <x v="0"/>
    <x v="0"/>
    <s v="L2"/>
    <s v="Visualization and Communication"/>
    <s v="The Purpose of Architecture: Exploring Design Interventions and Strategies"/>
    <n v="4"/>
    <x v="0"/>
    <x v="3"/>
    <n v="0"/>
    <n v="0.14000000000000001"/>
    <n v="1"/>
    <n v="0"/>
    <m/>
  </r>
  <r>
    <s v="2018-19"/>
    <x v="0"/>
    <x v="0"/>
    <s v="L2"/>
    <s v="Visualization and Communication"/>
    <s v="The Purpose of Architecture: Exploring Design Interventions and Strategies"/>
    <n v="4"/>
    <x v="1"/>
    <x v="3"/>
    <n v="1"/>
    <n v="0.14000000000000001"/>
    <n v="1"/>
    <n v="0.14000000000000001"/>
    <m/>
  </r>
  <r>
    <s v="2018-19"/>
    <x v="0"/>
    <x v="0"/>
    <s v="L2"/>
    <s v="Visualization and Communication"/>
    <s v="The Purpose of Architecture: Exploring Design Interventions and Strategies"/>
    <n v="5"/>
    <x v="0"/>
    <x v="4"/>
    <n v="1"/>
    <n v="0.11"/>
    <n v="1"/>
    <n v="0.11"/>
    <m/>
  </r>
  <r>
    <s v="2018-19"/>
    <x v="0"/>
    <x v="0"/>
    <s v="L2"/>
    <s v="Visualization and Communication"/>
    <s v="The Purpose of Architecture: Exploring Design Interventions and Strategies"/>
    <n v="5"/>
    <x v="1"/>
    <x v="4"/>
    <n v="1"/>
    <n v="0.11"/>
    <n v="1"/>
    <n v="0.11"/>
    <m/>
  </r>
  <r>
    <s v="2018-19"/>
    <x v="0"/>
    <x v="0"/>
    <s v="L2"/>
    <s v="Visualization and Communication"/>
    <s v="The Purpose of Architecture: Exploring Design Interventions and Strategies"/>
    <n v="6"/>
    <x v="0"/>
    <x v="5"/>
    <n v="1"/>
    <n v="0.15"/>
    <n v="1"/>
    <n v="0.15"/>
    <m/>
  </r>
  <r>
    <s v="2018-19"/>
    <x v="0"/>
    <x v="0"/>
    <s v="L2"/>
    <s v="Visualization and Communication"/>
    <s v="The Purpose of Architecture: Exploring Design Interventions and Strategies"/>
    <n v="6"/>
    <x v="1"/>
    <x v="5"/>
    <n v="1"/>
    <n v="0.15"/>
    <n v="1"/>
    <n v="0.15"/>
    <m/>
  </r>
  <r>
    <s v="2018-19"/>
    <x v="0"/>
    <x v="0"/>
    <s v="L2"/>
    <s v="Visualization and Communication"/>
    <s v="The Purpose of Architecture: Exploring Design Interventions and Strategies"/>
    <n v="7"/>
    <x v="0"/>
    <x v="6"/>
    <n v="1"/>
    <n v="0.1"/>
    <n v="1"/>
    <n v="0.1"/>
    <m/>
  </r>
  <r>
    <s v="2018-19"/>
    <x v="0"/>
    <x v="0"/>
    <s v="L2"/>
    <s v="Visualization and Communication"/>
    <s v="The Purpose of Architecture: Exploring Design Interventions and Strategies"/>
    <n v="7"/>
    <x v="1"/>
    <x v="6"/>
    <n v="1"/>
    <n v="0.1"/>
    <n v="1"/>
    <n v="0.1"/>
    <m/>
  </r>
  <r>
    <s v="2018-19"/>
    <x v="0"/>
    <x v="0"/>
    <s v="L2"/>
    <s v="Visualization and Communication"/>
    <s v="The Purpose of Architecture: Exploring Design Interventions and Strategies"/>
    <n v="8"/>
    <x v="0"/>
    <x v="7"/>
    <n v="1"/>
    <n v="0.1"/>
    <n v="1"/>
    <n v="0.1"/>
    <m/>
  </r>
  <r>
    <s v="2018-19"/>
    <x v="0"/>
    <x v="0"/>
    <s v="L2"/>
    <s v="Visualization and Communication"/>
    <s v="The Purpose of Architecture: Exploring Design Interventions and Strategies"/>
    <n v="8"/>
    <x v="1"/>
    <x v="7"/>
    <n v="1"/>
    <n v="0.1"/>
    <n v="1"/>
    <n v="0.1"/>
    <m/>
  </r>
  <r>
    <s v="2018-19"/>
    <x v="0"/>
    <x v="0"/>
    <s v="L2"/>
    <s v="Visualization and Communication"/>
    <s v="The Purpose of Architecture: Exploring Design Interventions and Strategies"/>
    <n v="9"/>
    <x v="0"/>
    <x v="8"/>
    <n v="1"/>
    <n v="0.05"/>
    <n v="0.85"/>
    <n v="4.2500000000000003E-2"/>
    <m/>
  </r>
  <r>
    <s v="2018-19"/>
    <x v="0"/>
    <x v="0"/>
    <s v="L2"/>
    <s v="Visualization and Communication"/>
    <s v="The Purpose of Architecture: Exploring Design Interventions and Strategies"/>
    <n v="9"/>
    <x v="1"/>
    <x v="8"/>
    <n v="1"/>
    <n v="0.05"/>
    <n v="0.85"/>
    <n v="4.2500000000000003E-2"/>
    <m/>
  </r>
  <r>
    <s v="2018-19"/>
    <x v="0"/>
    <x v="0"/>
    <s v="L2"/>
    <s v="Visualization and Communication"/>
    <s v="The Purpose of Architecture: Exploring Design Interventions and Strategies"/>
    <n v="10"/>
    <x v="0"/>
    <x v="8"/>
    <n v="0"/>
    <n v="0.05"/>
    <n v="0.85"/>
    <n v="0"/>
    <m/>
  </r>
  <r>
    <s v="2018-19"/>
    <x v="0"/>
    <x v="0"/>
    <s v="L2"/>
    <s v="Visualization and Communication"/>
    <s v="The Purpose of Architecture: Exploring Design Interventions and Strategies"/>
    <n v="10"/>
    <x v="1"/>
    <x v="8"/>
    <n v="1"/>
    <n v="0.05"/>
    <n v="0.85"/>
    <n v="4.2500000000000003E-2"/>
    <m/>
  </r>
  <r>
    <s v="2018-19"/>
    <x v="0"/>
    <x v="0"/>
    <s v="L2"/>
    <s v="Visualization and Communication"/>
    <s v="The Purpose of Architecture: Exploring Design Interventions and Strategies"/>
    <n v="11"/>
    <x v="0"/>
    <x v="9"/>
    <n v="1"/>
    <n v="0.05"/>
    <n v="1"/>
    <n v="0.05"/>
    <m/>
  </r>
  <r>
    <s v="2018-19"/>
    <x v="0"/>
    <x v="0"/>
    <s v="L2"/>
    <s v="Visualization and Communication"/>
    <s v="The Purpose of Architecture: Exploring Design Interventions and Strategies"/>
    <n v="11"/>
    <x v="1"/>
    <x v="9"/>
    <n v="0"/>
    <n v="0.05"/>
    <n v="1"/>
    <n v="0"/>
    <m/>
  </r>
  <r>
    <s v="2018-19"/>
    <x v="0"/>
    <x v="1"/>
    <s v="L2"/>
    <s v="Constructing and Specifying"/>
    <s v="Strange Details"/>
    <n v="1"/>
    <x v="0"/>
    <x v="0"/>
    <n v="1"/>
    <n v="0.12"/>
    <n v="1"/>
    <n v="0.12"/>
    <m/>
  </r>
  <r>
    <s v="2018-19"/>
    <x v="0"/>
    <x v="1"/>
    <s v="L2"/>
    <s v="Constructing and Specifying"/>
    <s v="Strange Details"/>
    <n v="1"/>
    <x v="1"/>
    <x v="0"/>
    <n v="1"/>
    <n v="0.12"/>
    <n v="1"/>
    <n v="0.12"/>
    <m/>
  </r>
  <r>
    <s v="2018-19"/>
    <x v="0"/>
    <x v="1"/>
    <s v="L2"/>
    <s v="Constructing and Specifying"/>
    <s v="Strange Details"/>
    <n v="2"/>
    <x v="0"/>
    <x v="1"/>
    <n v="1"/>
    <n v="0.08"/>
    <n v="0.8"/>
    <n v="6.4000000000000001E-2"/>
    <m/>
  </r>
  <r>
    <s v="2018-19"/>
    <x v="0"/>
    <x v="1"/>
    <s v="L2"/>
    <s v="Constructing and Specifying"/>
    <s v="Strange Details"/>
    <n v="2"/>
    <x v="1"/>
    <x v="1"/>
    <n v="1"/>
    <n v="0.08"/>
    <n v="0.8"/>
    <n v="6.4000000000000001E-2"/>
    <m/>
  </r>
  <r>
    <s v="2018-19"/>
    <x v="0"/>
    <x v="1"/>
    <s v="L2"/>
    <s v="Constructing and Specifying"/>
    <s v="Strange Details"/>
    <n v="3"/>
    <x v="0"/>
    <x v="2"/>
    <n v="1"/>
    <n v="0.05"/>
    <n v="1"/>
    <n v="0.05"/>
    <m/>
  </r>
  <r>
    <s v="2018-19"/>
    <x v="0"/>
    <x v="1"/>
    <s v="L2"/>
    <s v="Constructing and Specifying"/>
    <s v="Strange Details"/>
    <n v="3"/>
    <x v="1"/>
    <x v="2"/>
    <n v="1"/>
    <n v="0.05"/>
    <n v="1"/>
    <n v="0.05"/>
    <m/>
  </r>
  <r>
    <s v="2018-19"/>
    <x v="0"/>
    <x v="1"/>
    <s v="L2"/>
    <s v="Constructing and Specifying"/>
    <s v="Strange Details"/>
    <n v="4"/>
    <x v="0"/>
    <x v="3"/>
    <n v="0"/>
    <n v="0.14000000000000001"/>
    <n v="1"/>
    <n v="0"/>
    <m/>
  </r>
  <r>
    <s v="2018-19"/>
    <x v="0"/>
    <x v="1"/>
    <s v="L2"/>
    <s v="Constructing and Specifying"/>
    <s v="Strange Details"/>
    <n v="4"/>
    <x v="1"/>
    <x v="3"/>
    <n v="1"/>
    <n v="0.14000000000000001"/>
    <n v="1"/>
    <n v="0.14000000000000001"/>
    <m/>
  </r>
  <r>
    <s v="2018-19"/>
    <x v="0"/>
    <x v="1"/>
    <s v="L2"/>
    <s v="Constructing and Specifying"/>
    <s v="Strange Details"/>
    <n v="5"/>
    <x v="0"/>
    <x v="4"/>
    <n v="0"/>
    <n v="0.11"/>
    <n v="1"/>
    <n v="0"/>
    <m/>
  </r>
  <r>
    <s v="2018-19"/>
    <x v="0"/>
    <x v="1"/>
    <s v="L2"/>
    <s v="Constructing and Specifying"/>
    <s v="Strange Details"/>
    <n v="5"/>
    <x v="1"/>
    <x v="4"/>
    <n v="1"/>
    <n v="0.11"/>
    <n v="1"/>
    <n v="0.11"/>
    <m/>
  </r>
  <r>
    <s v="2018-19"/>
    <x v="0"/>
    <x v="1"/>
    <s v="L2"/>
    <s v="Constructing and Specifying"/>
    <s v="Strange Details"/>
    <n v="6"/>
    <x v="0"/>
    <x v="5"/>
    <n v="0"/>
    <n v="0.15"/>
    <n v="1"/>
    <n v="0"/>
    <m/>
  </r>
  <r>
    <s v="2018-19"/>
    <x v="0"/>
    <x v="1"/>
    <s v="L2"/>
    <s v="Constructing and Specifying"/>
    <s v="Strange Details"/>
    <n v="6"/>
    <x v="1"/>
    <x v="5"/>
    <n v="1"/>
    <n v="0.15"/>
    <n v="1"/>
    <n v="0.15"/>
    <m/>
  </r>
  <r>
    <s v="2018-19"/>
    <x v="0"/>
    <x v="1"/>
    <s v="L2"/>
    <s v="Constructing and Specifying"/>
    <s v="Strange Details"/>
    <n v="7"/>
    <x v="0"/>
    <x v="6"/>
    <n v="0"/>
    <n v="0.1"/>
    <n v="1"/>
    <n v="0"/>
    <m/>
  </r>
  <r>
    <s v="2018-19"/>
    <x v="0"/>
    <x v="1"/>
    <s v="L2"/>
    <s v="Constructing and Specifying"/>
    <s v="Strange Details"/>
    <n v="7"/>
    <x v="1"/>
    <x v="6"/>
    <n v="1"/>
    <n v="0.1"/>
    <n v="1"/>
    <n v="0.1"/>
    <m/>
  </r>
  <r>
    <s v="2018-19"/>
    <x v="0"/>
    <x v="1"/>
    <s v="L2"/>
    <s v="Constructing and Specifying"/>
    <s v="Strange Details"/>
    <n v="8"/>
    <x v="0"/>
    <x v="7"/>
    <n v="0"/>
    <n v="0.1"/>
    <n v="1"/>
    <n v="0"/>
    <m/>
  </r>
  <r>
    <s v="2018-19"/>
    <x v="0"/>
    <x v="1"/>
    <s v="L2"/>
    <s v="Constructing and Specifying"/>
    <s v="Strange Details"/>
    <n v="8"/>
    <x v="1"/>
    <x v="7"/>
    <n v="1"/>
    <n v="0.1"/>
    <n v="1"/>
    <n v="0.1"/>
    <m/>
  </r>
  <r>
    <s v="2018-19"/>
    <x v="0"/>
    <x v="1"/>
    <s v="L2"/>
    <s v="Constructing and Specifying"/>
    <s v="Strange Details"/>
    <n v="9"/>
    <x v="0"/>
    <x v="8"/>
    <n v="0"/>
    <n v="0.05"/>
    <n v="0.85"/>
    <n v="0"/>
    <m/>
  </r>
  <r>
    <s v="2018-19"/>
    <x v="0"/>
    <x v="1"/>
    <s v="L2"/>
    <s v="Constructing and Specifying"/>
    <s v="Strange Details"/>
    <n v="9"/>
    <x v="1"/>
    <x v="8"/>
    <n v="1"/>
    <n v="0.05"/>
    <n v="0.85"/>
    <n v="4.2500000000000003E-2"/>
    <m/>
  </r>
  <r>
    <s v="2018-19"/>
    <x v="0"/>
    <x v="1"/>
    <s v="L2"/>
    <s v="Constructing and Specifying"/>
    <s v="Strange Details"/>
    <n v="10"/>
    <x v="0"/>
    <x v="8"/>
    <n v="0"/>
    <n v="0.05"/>
    <n v="0.85"/>
    <n v="0"/>
    <m/>
  </r>
  <r>
    <s v="2018-19"/>
    <x v="0"/>
    <x v="1"/>
    <s v="L2"/>
    <s v="Constructing and Specifying"/>
    <s v="Strange Details"/>
    <n v="10"/>
    <x v="1"/>
    <x v="8"/>
    <n v="1"/>
    <n v="0.05"/>
    <n v="0.85"/>
    <n v="4.2500000000000003E-2"/>
    <m/>
  </r>
  <r>
    <s v="2018-19"/>
    <x v="0"/>
    <x v="1"/>
    <s v="L2"/>
    <s v="Constructing and Specifying"/>
    <s v="Strange Details"/>
    <n v="11"/>
    <x v="0"/>
    <x v="9"/>
    <n v="0"/>
    <n v="0.05"/>
    <n v="1"/>
    <n v="0"/>
    <m/>
  </r>
  <r>
    <s v="2018-19"/>
    <x v="0"/>
    <x v="1"/>
    <s v="L2"/>
    <s v="Constructing and Specifying"/>
    <s v="Strange Details"/>
    <n v="11"/>
    <x v="1"/>
    <x v="9"/>
    <n v="0"/>
    <n v="0.05"/>
    <n v="1"/>
    <n v="0"/>
    <m/>
  </r>
  <r>
    <s v="2018-19"/>
    <x v="0"/>
    <x v="2"/>
    <s v="L2"/>
    <s v="Spatial Planning and Organization"/>
    <s v="Of Immediate and Afar"/>
    <n v="1"/>
    <x v="0"/>
    <x v="0"/>
    <n v="1"/>
    <n v="0.12"/>
    <n v="1"/>
    <n v="0.12"/>
    <m/>
  </r>
  <r>
    <s v="2018-19"/>
    <x v="0"/>
    <x v="2"/>
    <s v="L2"/>
    <s v="Spatial Planning and Organization"/>
    <s v="Of Immediate and Afar"/>
    <n v="1"/>
    <x v="1"/>
    <x v="0"/>
    <n v="1"/>
    <n v="0.12"/>
    <n v="1"/>
    <n v="0.12"/>
    <m/>
  </r>
  <r>
    <s v="2018-19"/>
    <x v="0"/>
    <x v="2"/>
    <s v="L2"/>
    <s v="Spatial Planning and Organization"/>
    <s v="Of Immediate and Afar"/>
    <n v="2"/>
    <x v="0"/>
    <x v="1"/>
    <n v="1"/>
    <n v="0.08"/>
    <n v="0.8"/>
    <n v="6.4000000000000001E-2"/>
    <m/>
  </r>
  <r>
    <s v="2018-19"/>
    <x v="0"/>
    <x v="2"/>
    <s v="L2"/>
    <s v="Spatial Planning and Organization"/>
    <s v="Of Immediate and Afar"/>
    <n v="2"/>
    <x v="1"/>
    <x v="1"/>
    <n v="1"/>
    <n v="0.08"/>
    <n v="0.8"/>
    <n v="6.4000000000000001E-2"/>
    <m/>
  </r>
  <r>
    <s v="2018-19"/>
    <x v="0"/>
    <x v="2"/>
    <s v="L2"/>
    <s v="Spatial Planning and Organization"/>
    <s v="Of Immediate and Afar"/>
    <n v="3"/>
    <x v="0"/>
    <x v="2"/>
    <n v="0"/>
    <n v="0.05"/>
    <n v="1"/>
    <n v="0"/>
    <m/>
  </r>
  <r>
    <s v="2018-19"/>
    <x v="0"/>
    <x v="2"/>
    <s v="L2"/>
    <s v="Spatial Planning and Organization"/>
    <s v="Of Immediate and Afar"/>
    <n v="3"/>
    <x v="1"/>
    <x v="2"/>
    <n v="1"/>
    <n v="0.05"/>
    <n v="1"/>
    <n v="0.05"/>
    <m/>
  </r>
  <r>
    <s v="2018-19"/>
    <x v="0"/>
    <x v="2"/>
    <s v="L2"/>
    <s v="Spatial Planning and Organization"/>
    <s v="Of Immediate and Afar"/>
    <n v="4"/>
    <x v="0"/>
    <x v="3"/>
    <n v="0"/>
    <n v="0.14000000000000001"/>
    <n v="1"/>
    <n v="0"/>
    <m/>
  </r>
  <r>
    <s v="2018-19"/>
    <x v="0"/>
    <x v="2"/>
    <s v="L2"/>
    <s v="Spatial Planning and Organization"/>
    <s v="Of Immediate and Afar"/>
    <n v="4"/>
    <x v="1"/>
    <x v="3"/>
    <n v="1"/>
    <n v="0.14000000000000001"/>
    <n v="1"/>
    <n v="0.14000000000000001"/>
    <m/>
  </r>
  <r>
    <s v="2018-19"/>
    <x v="0"/>
    <x v="2"/>
    <s v="L2"/>
    <s v="Spatial Planning and Organization"/>
    <s v="Of Immediate and Afar"/>
    <n v="5"/>
    <x v="0"/>
    <x v="4"/>
    <n v="1"/>
    <n v="0.11"/>
    <n v="1"/>
    <n v="0.11"/>
    <m/>
  </r>
  <r>
    <s v="2018-19"/>
    <x v="0"/>
    <x v="2"/>
    <s v="L2"/>
    <s v="Spatial Planning and Organization"/>
    <s v="Of Immediate and Afar"/>
    <n v="5"/>
    <x v="1"/>
    <x v="4"/>
    <n v="1"/>
    <n v="0.11"/>
    <n v="1"/>
    <n v="0.11"/>
    <m/>
  </r>
  <r>
    <s v="2018-19"/>
    <x v="0"/>
    <x v="2"/>
    <s v="L2"/>
    <s v="Spatial Planning and Organization"/>
    <s v="Of Immediate and Afar"/>
    <n v="6"/>
    <x v="0"/>
    <x v="5"/>
    <n v="1"/>
    <n v="0.15"/>
    <n v="1"/>
    <n v="0.15"/>
    <m/>
  </r>
  <r>
    <s v="2018-19"/>
    <x v="0"/>
    <x v="2"/>
    <s v="L2"/>
    <s v="Spatial Planning and Organization"/>
    <s v="Of Immediate and Afar"/>
    <n v="6"/>
    <x v="1"/>
    <x v="5"/>
    <n v="1"/>
    <n v="0.15"/>
    <n v="1"/>
    <n v="0.15"/>
    <m/>
  </r>
  <r>
    <s v="2018-19"/>
    <x v="0"/>
    <x v="2"/>
    <s v="L2"/>
    <s v="Spatial Planning and Organization"/>
    <s v="Of Immediate and Afar"/>
    <n v="7"/>
    <x v="0"/>
    <x v="6"/>
    <n v="0"/>
    <n v="0.1"/>
    <n v="1"/>
    <n v="0"/>
    <m/>
  </r>
  <r>
    <s v="2018-19"/>
    <x v="0"/>
    <x v="2"/>
    <s v="L2"/>
    <s v="Spatial Planning and Organization"/>
    <s v="Of Immediate and Afar"/>
    <n v="7"/>
    <x v="1"/>
    <x v="6"/>
    <n v="0"/>
    <n v="0.1"/>
    <n v="1"/>
    <n v="0"/>
    <m/>
  </r>
  <r>
    <s v="2018-19"/>
    <x v="0"/>
    <x v="2"/>
    <s v="L2"/>
    <s v="Spatial Planning and Organization"/>
    <s v="Of Immediate and Afar"/>
    <n v="8"/>
    <x v="0"/>
    <x v="7"/>
    <n v="1"/>
    <n v="0.1"/>
    <n v="1"/>
    <n v="0.1"/>
    <m/>
  </r>
  <r>
    <s v="2018-19"/>
    <x v="0"/>
    <x v="2"/>
    <s v="L2"/>
    <s v="Spatial Planning and Organization"/>
    <s v="Of Immediate and Afar"/>
    <n v="8"/>
    <x v="1"/>
    <x v="7"/>
    <n v="1"/>
    <n v="0.1"/>
    <n v="1"/>
    <n v="0.1"/>
    <m/>
  </r>
  <r>
    <s v="2018-19"/>
    <x v="0"/>
    <x v="2"/>
    <s v="L2"/>
    <s v="Spatial Planning and Organization"/>
    <s v="Of Immediate and Afar"/>
    <n v="9"/>
    <x v="0"/>
    <x v="8"/>
    <n v="1"/>
    <n v="0.05"/>
    <n v="0.85"/>
    <n v="4.2500000000000003E-2"/>
    <m/>
  </r>
  <r>
    <s v="2018-19"/>
    <x v="0"/>
    <x v="2"/>
    <s v="L2"/>
    <s v="Spatial Planning and Organization"/>
    <s v="Of Immediate and Afar"/>
    <n v="9"/>
    <x v="1"/>
    <x v="8"/>
    <n v="1"/>
    <n v="0.05"/>
    <n v="0.85"/>
    <n v="4.2500000000000003E-2"/>
    <m/>
  </r>
  <r>
    <s v="2018-19"/>
    <x v="0"/>
    <x v="2"/>
    <s v="L2"/>
    <s v="Spatial Planning and Organization"/>
    <s v="Of Immediate and Afar"/>
    <n v="10"/>
    <x v="0"/>
    <x v="8"/>
    <n v="1"/>
    <n v="0.05"/>
    <n v="0.85"/>
    <n v="4.2500000000000003E-2"/>
    <m/>
  </r>
  <r>
    <s v="2018-19"/>
    <x v="0"/>
    <x v="2"/>
    <s v="L2"/>
    <s v="Spatial Planning and Organization"/>
    <s v="Of Immediate and Afar"/>
    <n v="10"/>
    <x v="1"/>
    <x v="8"/>
    <n v="1"/>
    <n v="0.05"/>
    <n v="0.85"/>
    <n v="4.2500000000000003E-2"/>
    <m/>
  </r>
  <r>
    <s v="2018-19"/>
    <x v="0"/>
    <x v="2"/>
    <s v="L2"/>
    <s v="Spatial Planning and Organization"/>
    <s v="Of Immediate and Afar"/>
    <n v="11"/>
    <x v="0"/>
    <x v="9"/>
    <n v="1"/>
    <n v="0.05"/>
    <n v="1"/>
    <n v="0.05"/>
    <m/>
  </r>
  <r>
    <s v="2018-19"/>
    <x v="0"/>
    <x v="2"/>
    <s v="L2"/>
    <s v="Spatial Planning and Organization"/>
    <s v="Of Immediate and Afar"/>
    <n v="11"/>
    <x v="1"/>
    <x v="9"/>
    <n v="0"/>
    <n v="0.05"/>
    <n v="1"/>
    <n v="0"/>
    <m/>
  </r>
  <r>
    <s v="2018-19"/>
    <x v="0"/>
    <x v="3"/>
    <s v="L2"/>
    <s v="Spatial Planning and Organization"/>
    <s v="D[e] ] Master [code]"/>
    <n v="1"/>
    <x v="0"/>
    <x v="0"/>
    <n v="0"/>
    <n v="0.12"/>
    <n v="1"/>
    <n v="0"/>
    <m/>
  </r>
  <r>
    <s v="2018-19"/>
    <x v="0"/>
    <x v="3"/>
    <s v="L2"/>
    <s v="Spatial Planning and Organization"/>
    <s v="D[e] ] Master [code]"/>
    <n v="1"/>
    <x v="1"/>
    <x v="0"/>
    <n v="1"/>
    <n v="0.12"/>
    <n v="1"/>
    <n v="0.12"/>
    <m/>
  </r>
  <r>
    <s v="2018-19"/>
    <x v="0"/>
    <x v="3"/>
    <s v="L2"/>
    <s v="Spatial Planning and Organization"/>
    <s v="D[e] ] Master [code]"/>
    <n v="2"/>
    <x v="0"/>
    <x v="1"/>
    <n v="0"/>
    <n v="0.08"/>
    <n v="0.8"/>
    <n v="0"/>
    <m/>
  </r>
  <r>
    <s v="2018-19"/>
    <x v="0"/>
    <x v="3"/>
    <s v="L2"/>
    <s v="Spatial Planning and Organization"/>
    <s v="D[e] ] Master [code]"/>
    <n v="2"/>
    <x v="1"/>
    <x v="1"/>
    <n v="1"/>
    <n v="0.08"/>
    <n v="0.8"/>
    <n v="6.4000000000000001E-2"/>
    <m/>
  </r>
  <r>
    <s v="2018-19"/>
    <x v="0"/>
    <x v="3"/>
    <s v="L2"/>
    <s v="Spatial Planning and Organization"/>
    <s v="D[e] ] Master [code]"/>
    <n v="3"/>
    <x v="0"/>
    <x v="2"/>
    <n v="1"/>
    <n v="0.05"/>
    <n v="1"/>
    <n v="0.05"/>
    <m/>
  </r>
  <r>
    <s v="2018-19"/>
    <x v="0"/>
    <x v="3"/>
    <s v="L2"/>
    <s v="Spatial Planning and Organization"/>
    <s v="D[e] ] Master [code]"/>
    <n v="3"/>
    <x v="1"/>
    <x v="2"/>
    <n v="0"/>
    <n v="0.05"/>
    <n v="1"/>
    <n v="0"/>
    <m/>
  </r>
  <r>
    <s v="2018-19"/>
    <x v="0"/>
    <x v="3"/>
    <s v="L2"/>
    <s v="Spatial Planning and Organization"/>
    <s v="D[e] ] Master [code]"/>
    <n v="4"/>
    <x v="0"/>
    <x v="3"/>
    <n v="0"/>
    <n v="0.14000000000000001"/>
    <n v="1"/>
    <n v="0"/>
    <m/>
  </r>
  <r>
    <s v="2018-19"/>
    <x v="0"/>
    <x v="3"/>
    <s v="L2"/>
    <s v="Spatial Planning and Organization"/>
    <s v="D[e] ] Master [code]"/>
    <n v="4"/>
    <x v="1"/>
    <x v="3"/>
    <n v="0"/>
    <n v="0.14000000000000001"/>
    <n v="1"/>
    <n v="0"/>
    <m/>
  </r>
  <r>
    <s v="2018-19"/>
    <x v="0"/>
    <x v="3"/>
    <s v="L2"/>
    <s v="Spatial Planning and Organization"/>
    <s v="D[e] ] Master [code]"/>
    <n v="5"/>
    <x v="0"/>
    <x v="4"/>
    <n v="-1"/>
    <n v="0.11"/>
    <n v="1"/>
    <n v="-0.11"/>
    <m/>
  </r>
  <r>
    <s v="2018-19"/>
    <x v="0"/>
    <x v="3"/>
    <s v="L2"/>
    <s v="Spatial Planning and Organization"/>
    <s v="D[e] ] Master [code]"/>
    <n v="5"/>
    <x v="1"/>
    <x v="4"/>
    <n v="0"/>
    <n v="0.11"/>
    <n v="1"/>
    <n v="0"/>
    <m/>
  </r>
  <r>
    <s v="2018-19"/>
    <x v="0"/>
    <x v="3"/>
    <s v="L2"/>
    <s v="Spatial Planning and Organization"/>
    <s v="D[e] ] Master [code]"/>
    <n v="6"/>
    <x v="0"/>
    <x v="5"/>
    <n v="-1"/>
    <n v="0.15"/>
    <n v="1"/>
    <n v="-0.15"/>
    <m/>
  </r>
  <r>
    <s v="2018-19"/>
    <x v="0"/>
    <x v="3"/>
    <s v="L2"/>
    <s v="Spatial Planning and Organization"/>
    <s v="D[e] ] Master [code]"/>
    <n v="6"/>
    <x v="1"/>
    <x v="5"/>
    <n v="1"/>
    <n v="0.15"/>
    <n v="1"/>
    <n v="0.15"/>
    <m/>
  </r>
  <r>
    <s v="2018-19"/>
    <x v="0"/>
    <x v="3"/>
    <s v="L2"/>
    <s v="Spatial Planning and Organization"/>
    <s v="D[e] ] Master [code]"/>
    <n v="7"/>
    <x v="0"/>
    <x v="6"/>
    <n v="0"/>
    <n v="0.1"/>
    <n v="1"/>
    <n v="0"/>
    <m/>
  </r>
  <r>
    <s v="2018-19"/>
    <x v="0"/>
    <x v="3"/>
    <s v="L2"/>
    <s v="Spatial Planning and Organization"/>
    <s v="D[e] ] Master [code]"/>
    <n v="7"/>
    <x v="1"/>
    <x v="6"/>
    <n v="0"/>
    <n v="0.1"/>
    <n v="1"/>
    <n v="0"/>
    <m/>
  </r>
  <r>
    <s v="2018-19"/>
    <x v="0"/>
    <x v="3"/>
    <s v="L2"/>
    <s v="Spatial Planning and Organization"/>
    <s v="D[e] ] Master [code]"/>
    <n v="8"/>
    <x v="0"/>
    <x v="7"/>
    <n v="0"/>
    <n v="0.1"/>
    <n v="1"/>
    <n v="0"/>
    <m/>
  </r>
  <r>
    <s v="2018-19"/>
    <x v="0"/>
    <x v="3"/>
    <s v="L2"/>
    <s v="Spatial Planning and Organization"/>
    <s v="D[e] ] Master [code]"/>
    <n v="8"/>
    <x v="1"/>
    <x v="7"/>
    <n v="0"/>
    <n v="0.1"/>
    <n v="1"/>
    <n v="0"/>
    <m/>
  </r>
  <r>
    <s v="2018-19"/>
    <x v="0"/>
    <x v="3"/>
    <s v="L2"/>
    <s v="Spatial Planning and Organization"/>
    <s v="D[e] ] Master [code]"/>
    <n v="9"/>
    <x v="0"/>
    <x v="8"/>
    <n v="1"/>
    <n v="0.05"/>
    <n v="0.85"/>
    <n v="4.2500000000000003E-2"/>
    <m/>
  </r>
  <r>
    <s v="2018-19"/>
    <x v="0"/>
    <x v="3"/>
    <s v="L2"/>
    <s v="Spatial Planning and Organization"/>
    <s v="D[e] ] Master [code]"/>
    <n v="9"/>
    <x v="1"/>
    <x v="8"/>
    <n v="1"/>
    <n v="0.05"/>
    <n v="0.85"/>
    <n v="4.2500000000000003E-2"/>
    <m/>
  </r>
  <r>
    <s v="2018-19"/>
    <x v="0"/>
    <x v="3"/>
    <s v="L2"/>
    <s v="Spatial Planning and Organization"/>
    <s v="D[e] ] Master [code]"/>
    <n v="10"/>
    <x v="0"/>
    <x v="8"/>
    <n v="1"/>
    <n v="0.05"/>
    <n v="0.85"/>
    <n v="4.2500000000000003E-2"/>
    <m/>
  </r>
  <r>
    <s v="2018-19"/>
    <x v="0"/>
    <x v="3"/>
    <s v="L2"/>
    <s v="Spatial Planning and Organization"/>
    <s v="D[e] ] Master [code]"/>
    <n v="10"/>
    <x v="1"/>
    <x v="8"/>
    <n v="1"/>
    <n v="0.05"/>
    <n v="0.85"/>
    <n v="4.2500000000000003E-2"/>
    <m/>
  </r>
  <r>
    <s v="2018-19"/>
    <x v="0"/>
    <x v="3"/>
    <s v="L2"/>
    <s v="Spatial Planning and Organization"/>
    <s v="D[e] ] Master [code]"/>
    <n v="11"/>
    <x v="0"/>
    <x v="9"/>
    <n v="0"/>
    <n v="0.05"/>
    <n v="1"/>
    <n v="0"/>
    <m/>
  </r>
  <r>
    <s v="2018-19"/>
    <x v="0"/>
    <x v="3"/>
    <s v="L2"/>
    <s v="Spatial Planning and Organization"/>
    <s v="D[e] ] Master [code]"/>
    <n v="11"/>
    <x v="1"/>
    <x v="9"/>
    <n v="-1"/>
    <n v="0.05"/>
    <n v="1"/>
    <n v="-0.05"/>
    <m/>
  </r>
  <r>
    <s v="2018-19"/>
    <x v="0"/>
    <x v="4"/>
    <s v="L2"/>
    <s v="Constructing and Specifying"/>
    <s v="From Drawing Board to Construction Sites"/>
    <n v="1"/>
    <x v="0"/>
    <x v="0"/>
    <n v="1"/>
    <n v="0.12"/>
    <n v="1"/>
    <n v="0.12"/>
    <m/>
  </r>
  <r>
    <s v="2018-19"/>
    <x v="0"/>
    <x v="4"/>
    <s v="L2"/>
    <s v="Constructing and Specifying"/>
    <s v="From Drawing Board to Construction Sites"/>
    <n v="1"/>
    <x v="1"/>
    <x v="0"/>
    <n v="1"/>
    <n v="0.12"/>
    <n v="1"/>
    <n v="0.12"/>
    <m/>
  </r>
  <r>
    <s v="2018-19"/>
    <x v="0"/>
    <x v="4"/>
    <s v="L2"/>
    <s v="Constructing and Specifying"/>
    <s v="From Drawing Board to Construction Sites"/>
    <n v="2"/>
    <x v="0"/>
    <x v="1"/>
    <n v="1"/>
    <n v="0.08"/>
    <n v="0.8"/>
    <n v="6.4000000000000001E-2"/>
    <m/>
  </r>
  <r>
    <s v="2018-19"/>
    <x v="0"/>
    <x v="4"/>
    <s v="L2"/>
    <s v="Constructing and Specifying"/>
    <s v="From Drawing Board to Construction Sites"/>
    <n v="2"/>
    <x v="1"/>
    <x v="1"/>
    <n v="1"/>
    <n v="0.08"/>
    <n v="0.8"/>
    <n v="6.4000000000000001E-2"/>
    <m/>
  </r>
  <r>
    <s v="2018-19"/>
    <x v="0"/>
    <x v="4"/>
    <s v="L2"/>
    <s v="Constructing and Specifying"/>
    <s v="From Drawing Board to Construction Sites"/>
    <n v="3"/>
    <x v="0"/>
    <x v="2"/>
    <n v="0"/>
    <n v="0.05"/>
    <n v="1"/>
    <n v="0"/>
    <m/>
  </r>
  <r>
    <s v="2018-19"/>
    <x v="0"/>
    <x v="4"/>
    <s v="L2"/>
    <s v="Constructing and Specifying"/>
    <s v="From Drawing Board to Construction Sites"/>
    <n v="3"/>
    <x v="1"/>
    <x v="2"/>
    <n v="1"/>
    <n v="0.05"/>
    <n v="1"/>
    <n v="0.05"/>
    <m/>
  </r>
  <r>
    <s v="2018-19"/>
    <x v="0"/>
    <x v="4"/>
    <s v="L2"/>
    <s v="Constructing and Specifying"/>
    <s v="From Drawing Board to Construction Sites"/>
    <n v="4"/>
    <x v="0"/>
    <x v="3"/>
    <n v="0"/>
    <n v="0.14000000000000001"/>
    <n v="1"/>
    <n v="0"/>
    <m/>
  </r>
  <r>
    <s v="2018-19"/>
    <x v="0"/>
    <x v="4"/>
    <s v="L2"/>
    <s v="Constructing and Specifying"/>
    <s v="From Drawing Board to Construction Sites"/>
    <n v="4"/>
    <x v="1"/>
    <x v="3"/>
    <n v="1"/>
    <n v="0.14000000000000001"/>
    <n v="1"/>
    <n v="0.14000000000000001"/>
    <m/>
  </r>
  <r>
    <s v="2018-19"/>
    <x v="0"/>
    <x v="4"/>
    <s v="L2"/>
    <s v="Constructing and Specifying"/>
    <s v="From Drawing Board to Construction Sites"/>
    <n v="5"/>
    <x v="0"/>
    <x v="4"/>
    <n v="1"/>
    <n v="0.11"/>
    <n v="1"/>
    <n v="0.11"/>
    <m/>
  </r>
  <r>
    <s v="2018-19"/>
    <x v="0"/>
    <x v="4"/>
    <s v="L2"/>
    <s v="Constructing and Specifying"/>
    <s v="From Drawing Board to Construction Sites"/>
    <n v="5"/>
    <x v="1"/>
    <x v="4"/>
    <n v="1"/>
    <n v="0.11"/>
    <n v="1"/>
    <n v="0.11"/>
    <m/>
  </r>
  <r>
    <s v="2018-19"/>
    <x v="0"/>
    <x v="4"/>
    <s v="L2"/>
    <s v="Constructing and Specifying"/>
    <s v="From Drawing Board to Construction Sites"/>
    <n v="6"/>
    <x v="0"/>
    <x v="5"/>
    <n v="1"/>
    <n v="0.15"/>
    <n v="1"/>
    <n v="0.15"/>
    <m/>
  </r>
  <r>
    <s v="2018-19"/>
    <x v="0"/>
    <x v="4"/>
    <s v="L2"/>
    <s v="Constructing and Specifying"/>
    <s v="From Drawing Board to Construction Sites"/>
    <n v="6"/>
    <x v="1"/>
    <x v="5"/>
    <n v="1"/>
    <n v="0.15"/>
    <n v="1"/>
    <n v="0.15"/>
    <m/>
  </r>
  <r>
    <s v="2018-19"/>
    <x v="0"/>
    <x v="4"/>
    <s v="L2"/>
    <s v="Constructing and Specifying"/>
    <s v="From Drawing Board to Construction Sites"/>
    <n v="7"/>
    <x v="0"/>
    <x v="6"/>
    <n v="1"/>
    <n v="0.1"/>
    <n v="1"/>
    <n v="0.1"/>
    <m/>
  </r>
  <r>
    <s v="2018-19"/>
    <x v="0"/>
    <x v="4"/>
    <s v="L2"/>
    <s v="Constructing and Specifying"/>
    <s v="From Drawing Board to Construction Sites"/>
    <n v="7"/>
    <x v="1"/>
    <x v="6"/>
    <n v="1"/>
    <n v="0.1"/>
    <n v="1"/>
    <n v="0.1"/>
    <m/>
  </r>
  <r>
    <s v="2018-19"/>
    <x v="0"/>
    <x v="4"/>
    <s v="L2"/>
    <s v="Constructing and Specifying"/>
    <s v="From Drawing Board to Construction Sites"/>
    <n v="8"/>
    <x v="0"/>
    <x v="7"/>
    <n v="1"/>
    <n v="0.1"/>
    <n v="1"/>
    <n v="0.1"/>
    <m/>
  </r>
  <r>
    <s v="2018-19"/>
    <x v="0"/>
    <x v="4"/>
    <s v="L2"/>
    <s v="Constructing and Specifying"/>
    <s v="From Drawing Board to Construction Sites"/>
    <n v="8"/>
    <x v="1"/>
    <x v="7"/>
    <n v="1"/>
    <n v="0.1"/>
    <n v="1"/>
    <n v="0.1"/>
    <m/>
  </r>
  <r>
    <s v="2018-19"/>
    <x v="0"/>
    <x v="4"/>
    <s v="L2"/>
    <s v="Constructing and Specifying"/>
    <s v="From Drawing Board to Construction Sites"/>
    <n v="9"/>
    <x v="0"/>
    <x v="8"/>
    <n v="1"/>
    <n v="0.05"/>
    <n v="0.85"/>
    <n v="4.2500000000000003E-2"/>
    <m/>
  </r>
  <r>
    <s v="2018-19"/>
    <x v="0"/>
    <x v="4"/>
    <s v="L2"/>
    <s v="Constructing and Specifying"/>
    <s v="From Drawing Board to Construction Sites"/>
    <n v="9"/>
    <x v="1"/>
    <x v="8"/>
    <n v="1"/>
    <n v="0.05"/>
    <n v="0.85"/>
    <n v="4.2500000000000003E-2"/>
    <m/>
  </r>
  <r>
    <s v="2018-19"/>
    <x v="0"/>
    <x v="4"/>
    <s v="L2"/>
    <s v="Constructing and Specifying"/>
    <s v="From Drawing Board to Construction Sites"/>
    <n v="10"/>
    <x v="0"/>
    <x v="8"/>
    <n v="1"/>
    <n v="0.05"/>
    <n v="0.85"/>
    <n v="4.2500000000000003E-2"/>
    <m/>
  </r>
  <r>
    <s v="2018-19"/>
    <x v="0"/>
    <x v="4"/>
    <s v="L2"/>
    <s v="Constructing and Specifying"/>
    <s v="From Drawing Board to Construction Sites"/>
    <n v="10"/>
    <x v="1"/>
    <x v="8"/>
    <n v="1"/>
    <n v="0.05"/>
    <n v="0.85"/>
    <n v="4.2500000000000003E-2"/>
    <m/>
  </r>
  <r>
    <s v="2018-19"/>
    <x v="0"/>
    <x v="4"/>
    <s v="L2"/>
    <s v="Constructing and Specifying"/>
    <s v="From Drawing Board to Construction Sites"/>
    <n v="11"/>
    <x v="0"/>
    <x v="9"/>
    <n v="1"/>
    <n v="0.05"/>
    <n v="1"/>
    <n v="0.05"/>
    <m/>
  </r>
  <r>
    <s v="2018-19"/>
    <x v="0"/>
    <x v="4"/>
    <s v="L2"/>
    <s v="Constructing and Specifying"/>
    <s v="From Drawing Board to Construction Sites"/>
    <n v="11"/>
    <x v="1"/>
    <x v="9"/>
    <n v="0"/>
    <n v="0.05"/>
    <n v="1"/>
    <n v="0"/>
    <m/>
  </r>
  <r>
    <s v="2018-19"/>
    <x v="0"/>
    <x v="5"/>
    <s v="L2"/>
    <s v="Visualization &amp; Communication, Spatial Planning &amp; Organisation"/>
    <s v="Land Building Relationships"/>
    <n v="1"/>
    <x v="0"/>
    <x v="0"/>
    <n v="1"/>
    <n v="0.12"/>
    <n v="1"/>
    <n v="0.12"/>
    <m/>
  </r>
  <r>
    <s v="2018-19"/>
    <x v="0"/>
    <x v="5"/>
    <s v="L2"/>
    <s v="Visualization &amp; Communication, Spatial Planning &amp; Organisation"/>
    <s v="Land Building Relationships"/>
    <n v="1"/>
    <x v="1"/>
    <x v="0"/>
    <n v="1"/>
    <n v="0.12"/>
    <n v="1"/>
    <n v="0.12"/>
    <m/>
  </r>
  <r>
    <s v="2018-19"/>
    <x v="0"/>
    <x v="5"/>
    <s v="L2"/>
    <s v="Visualization &amp; Communication, Spatial Planning &amp; Organisation"/>
    <s v="Land Building Relationships"/>
    <n v="2"/>
    <x v="0"/>
    <x v="1"/>
    <n v="1"/>
    <n v="0.08"/>
    <n v="0.8"/>
    <n v="6.4000000000000001E-2"/>
    <m/>
  </r>
  <r>
    <s v="2018-19"/>
    <x v="0"/>
    <x v="5"/>
    <s v="L2"/>
    <s v="Visualization &amp; Communication, Spatial Planning &amp; Organisation"/>
    <s v="Land Building Relationships"/>
    <n v="2"/>
    <x v="1"/>
    <x v="1"/>
    <n v="1"/>
    <n v="0.08"/>
    <n v="0.8"/>
    <n v="6.4000000000000001E-2"/>
    <m/>
  </r>
  <r>
    <s v="2018-19"/>
    <x v="0"/>
    <x v="5"/>
    <s v="L2"/>
    <s v="Visualization &amp; Communication, Spatial Planning &amp; Organisation"/>
    <s v="Land Building Relationships"/>
    <n v="3"/>
    <x v="0"/>
    <x v="2"/>
    <n v="1"/>
    <n v="0.05"/>
    <n v="1"/>
    <n v="0.05"/>
    <m/>
  </r>
  <r>
    <s v="2018-19"/>
    <x v="0"/>
    <x v="5"/>
    <s v="L2"/>
    <s v="Visualization &amp; Communication, Spatial Planning &amp; Organisation"/>
    <s v="Land Building Relationships"/>
    <n v="3"/>
    <x v="1"/>
    <x v="2"/>
    <n v="1"/>
    <n v="0.05"/>
    <n v="1"/>
    <n v="0.05"/>
    <m/>
  </r>
  <r>
    <s v="2018-19"/>
    <x v="0"/>
    <x v="5"/>
    <s v="L2"/>
    <s v="Visualization &amp; Communication, Spatial Planning &amp; Organisation"/>
    <s v="Land Building Relationships"/>
    <n v="4"/>
    <x v="0"/>
    <x v="3"/>
    <n v="1"/>
    <n v="0.14000000000000001"/>
    <n v="1"/>
    <n v="0.14000000000000001"/>
    <m/>
  </r>
  <r>
    <s v="2018-19"/>
    <x v="0"/>
    <x v="5"/>
    <s v="L2"/>
    <s v="Visualization &amp; Communication, Spatial Planning &amp; Organisation"/>
    <s v="Land Building Relationships"/>
    <n v="4"/>
    <x v="1"/>
    <x v="3"/>
    <n v="1"/>
    <n v="0.14000000000000001"/>
    <n v="1"/>
    <n v="0.14000000000000001"/>
    <m/>
  </r>
  <r>
    <s v="2018-19"/>
    <x v="0"/>
    <x v="5"/>
    <s v="L2"/>
    <s v="Visualization &amp; Communication, Spatial Planning &amp; Organisation"/>
    <s v="Land Building Relationships"/>
    <n v="5"/>
    <x v="0"/>
    <x v="4"/>
    <n v="1"/>
    <n v="0.11"/>
    <n v="1"/>
    <n v="0.11"/>
    <m/>
  </r>
  <r>
    <s v="2018-19"/>
    <x v="0"/>
    <x v="5"/>
    <s v="L2"/>
    <s v="Visualization &amp; Communication, Spatial Planning &amp; Organisation"/>
    <s v="Land Building Relationships"/>
    <n v="5"/>
    <x v="1"/>
    <x v="4"/>
    <n v="0"/>
    <n v="0.11"/>
    <n v="1"/>
    <n v="0"/>
    <m/>
  </r>
  <r>
    <s v="2018-19"/>
    <x v="0"/>
    <x v="5"/>
    <s v="L2"/>
    <s v="Visualization &amp; Communication, Spatial Planning &amp; Organisation"/>
    <s v="Land Building Relationships"/>
    <n v="6"/>
    <x v="0"/>
    <x v="5"/>
    <n v="1"/>
    <n v="0.15"/>
    <n v="1"/>
    <n v="0.15"/>
    <m/>
  </r>
  <r>
    <s v="2018-19"/>
    <x v="0"/>
    <x v="5"/>
    <s v="L2"/>
    <s v="Visualization &amp; Communication, Spatial Planning &amp; Organisation"/>
    <s v="Land Building Relationships"/>
    <n v="6"/>
    <x v="1"/>
    <x v="5"/>
    <n v="1"/>
    <n v="0.15"/>
    <n v="1"/>
    <n v="0.15"/>
    <m/>
  </r>
  <r>
    <s v="2018-19"/>
    <x v="0"/>
    <x v="5"/>
    <s v="L2"/>
    <s v="Visualization &amp; Communication, Spatial Planning &amp; Organisation"/>
    <s v="Land Building Relationships"/>
    <n v="7"/>
    <x v="0"/>
    <x v="6"/>
    <n v="1"/>
    <n v="0.1"/>
    <n v="1"/>
    <n v="0.1"/>
    <m/>
  </r>
  <r>
    <s v="2018-19"/>
    <x v="0"/>
    <x v="5"/>
    <s v="L2"/>
    <s v="Visualization &amp; Communication, Spatial Planning &amp; Organisation"/>
    <s v="Land Building Relationships"/>
    <n v="7"/>
    <x v="1"/>
    <x v="6"/>
    <n v="1"/>
    <n v="0.1"/>
    <n v="1"/>
    <n v="0.1"/>
    <m/>
  </r>
  <r>
    <s v="2018-19"/>
    <x v="0"/>
    <x v="5"/>
    <s v="L2"/>
    <s v="Visualization &amp; Communication, Spatial Planning &amp; Organisation"/>
    <s v="Land Building Relationships"/>
    <n v="8"/>
    <x v="0"/>
    <x v="7"/>
    <n v="1"/>
    <n v="0.1"/>
    <n v="1"/>
    <n v="0.1"/>
    <m/>
  </r>
  <r>
    <s v="2018-19"/>
    <x v="0"/>
    <x v="5"/>
    <s v="L2"/>
    <s v="Visualization &amp; Communication, Spatial Planning &amp; Organisation"/>
    <s v="Land Building Relationships"/>
    <n v="8"/>
    <x v="1"/>
    <x v="7"/>
    <n v="0"/>
    <n v="0.1"/>
    <n v="1"/>
    <n v="0"/>
    <m/>
  </r>
  <r>
    <s v="2018-19"/>
    <x v="0"/>
    <x v="5"/>
    <s v="L2"/>
    <s v="Visualization &amp; Communication, Spatial Planning &amp; Organisation"/>
    <s v="Land Building Relationships"/>
    <n v="9"/>
    <x v="0"/>
    <x v="8"/>
    <n v="1"/>
    <n v="0.05"/>
    <n v="0.85"/>
    <n v="4.2500000000000003E-2"/>
    <m/>
  </r>
  <r>
    <s v="2018-19"/>
    <x v="0"/>
    <x v="5"/>
    <s v="L2"/>
    <s v="Visualization &amp; Communication, Spatial Planning &amp; Organisation"/>
    <s v="Land Building Relationships"/>
    <n v="9"/>
    <x v="1"/>
    <x v="8"/>
    <n v="1"/>
    <n v="0.05"/>
    <n v="0.85"/>
    <n v="4.2500000000000003E-2"/>
    <m/>
  </r>
  <r>
    <s v="2018-19"/>
    <x v="0"/>
    <x v="5"/>
    <s v="L2"/>
    <s v="Visualization &amp; Communication, Spatial Planning &amp; Organisation"/>
    <s v="Land Building Relationships"/>
    <n v="10"/>
    <x v="0"/>
    <x v="8"/>
    <n v="1"/>
    <n v="0.05"/>
    <n v="0.85"/>
    <n v="4.2500000000000003E-2"/>
    <m/>
  </r>
  <r>
    <s v="2018-19"/>
    <x v="0"/>
    <x v="5"/>
    <s v="L2"/>
    <s v="Visualization &amp; Communication, Spatial Planning &amp; Organisation"/>
    <s v="Land Building Relationships"/>
    <n v="10"/>
    <x v="1"/>
    <x v="8"/>
    <n v="1"/>
    <n v="0.05"/>
    <n v="0.85"/>
    <n v="4.2500000000000003E-2"/>
    <m/>
  </r>
  <r>
    <s v="2018-19"/>
    <x v="0"/>
    <x v="5"/>
    <s v="L2"/>
    <s v="Visualization &amp; Communication, Spatial Planning &amp; Organisation"/>
    <s v="Land Building Relationships"/>
    <n v="11"/>
    <x v="0"/>
    <x v="9"/>
    <n v="1"/>
    <n v="0.05"/>
    <n v="1"/>
    <n v="0.05"/>
    <m/>
  </r>
  <r>
    <s v="2018-19"/>
    <x v="0"/>
    <x v="5"/>
    <s v="L2"/>
    <s v="Visualization &amp; Communication, Spatial Planning &amp; Organisation"/>
    <s v="Land Building Relationships"/>
    <n v="11"/>
    <x v="1"/>
    <x v="9"/>
    <n v="0"/>
    <n v="0.05"/>
    <n v="1"/>
    <n v="0"/>
    <m/>
  </r>
  <r>
    <s v="2018-19"/>
    <x v="0"/>
    <x v="6"/>
    <s v="L2"/>
    <s v="Spatial Planning and Organisation"/>
    <s v="From Drawing Board to Construction Sites"/>
    <n v="1"/>
    <x v="0"/>
    <x v="0"/>
    <n v="0"/>
    <n v="0.12"/>
    <n v="1"/>
    <n v="0"/>
    <m/>
  </r>
  <r>
    <s v="2018-19"/>
    <x v="0"/>
    <x v="6"/>
    <s v="L2"/>
    <s v="Spatial Planning and Organisation"/>
    <s v="From Drawing Board to Construction Sites"/>
    <n v="1"/>
    <x v="1"/>
    <x v="0"/>
    <n v="1"/>
    <n v="0.12"/>
    <n v="1"/>
    <n v="0.12"/>
    <m/>
  </r>
  <r>
    <s v="2018-19"/>
    <x v="0"/>
    <x v="6"/>
    <s v="L2"/>
    <s v="Spatial Planning and Organisation"/>
    <s v="From Drawing Board to Construction Sites"/>
    <n v="2"/>
    <x v="0"/>
    <x v="1"/>
    <n v="-1"/>
    <n v="0.08"/>
    <n v="0.8"/>
    <n v="-6.4000000000000001E-2"/>
    <m/>
  </r>
  <r>
    <s v="2018-19"/>
    <x v="0"/>
    <x v="6"/>
    <s v="L2"/>
    <s v="Spatial Planning and Organisation"/>
    <s v="From Drawing Board to Construction Sites"/>
    <n v="2"/>
    <x v="1"/>
    <x v="1"/>
    <n v="1"/>
    <n v="0.08"/>
    <n v="0.8"/>
    <n v="6.4000000000000001E-2"/>
    <m/>
  </r>
  <r>
    <s v="2018-19"/>
    <x v="0"/>
    <x v="6"/>
    <s v="L2"/>
    <s v="Spatial Planning and Organisation"/>
    <s v="From Drawing Board to Construction Sites"/>
    <n v="3"/>
    <x v="0"/>
    <x v="2"/>
    <n v="1"/>
    <n v="0.05"/>
    <n v="1"/>
    <n v="0.05"/>
    <m/>
  </r>
  <r>
    <s v="2018-19"/>
    <x v="0"/>
    <x v="6"/>
    <s v="L2"/>
    <s v="Spatial Planning and Organisation"/>
    <s v="From Drawing Board to Construction Sites"/>
    <n v="3"/>
    <x v="1"/>
    <x v="2"/>
    <n v="1"/>
    <n v="0.05"/>
    <n v="1"/>
    <n v="0.05"/>
    <m/>
  </r>
  <r>
    <s v="2018-19"/>
    <x v="0"/>
    <x v="6"/>
    <s v="L2"/>
    <s v="Spatial Planning and Organisation"/>
    <s v="From Drawing Board to Construction Sites"/>
    <n v="4"/>
    <x v="0"/>
    <x v="3"/>
    <n v="-1"/>
    <n v="0.14000000000000001"/>
    <n v="1"/>
    <n v="-0.14000000000000001"/>
    <m/>
  </r>
  <r>
    <s v="2018-19"/>
    <x v="0"/>
    <x v="6"/>
    <s v="L2"/>
    <s v="Spatial Planning and Organisation"/>
    <s v="From Drawing Board to Construction Sites"/>
    <n v="4"/>
    <x v="1"/>
    <x v="3"/>
    <n v="1"/>
    <n v="0.14000000000000001"/>
    <n v="1"/>
    <n v="0.14000000000000001"/>
    <m/>
  </r>
  <r>
    <s v="2018-19"/>
    <x v="0"/>
    <x v="6"/>
    <s v="L2"/>
    <s v="Spatial Planning and Organisation"/>
    <s v="From Drawing Board to Construction Sites"/>
    <n v="5"/>
    <x v="0"/>
    <x v="4"/>
    <n v="-1"/>
    <n v="0.11"/>
    <n v="1"/>
    <n v="-0.11"/>
    <m/>
  </r>
  <r>
    <s v="2018-19"/>
    <x v="0"/>
    <x v="6"/>
    <s v="L2"/>
    <s v="Spatial Planning and Organisation"/>
    <s v="From Drawing Board to Construction Sites"/>
    <n v="5"/>
    <x v="1"/>
    <x v="4"/>
    <n v="0"/>
    <n v="0.11"/>
    <n v="1"/>
    <n v="0"/>
    <m/>
  </r>
  <r>
    <s v="2018-19"/>
    <x v="0"/>
    <x v="6"/>
    <s v="L2"/>
    <s v="Spatial Planning and Organisation"/>
    <s v="From Drawing Board to Construction Sites"/>
    <n v="6"/>
    <x v="0"/>
    <x v="5"/>
    <n v="0"/>
    <n v="0.15"/>
    <n v="1"/>
    <n v="0"/>
    <m/>
  </r>
  <r>
    <s v="2018-19"/>
    <x v="0"/>
    <x v="6"/>
    <s v="L2"/>
    <s v="Spatial Planning and Organisation"/>
    <s v="From Drawing Board to Construction Sites"/>
    <n v="6"/>
    <x v="1"/>
    <x v="5"/>
    <n v="0"/>
    <n v="0.15"/>
    <n v="1"/>
    <n v="0"/>
    <m/>
  </r>
  <r>
    <s v="2018-19"/>
    <x v="0"/>
    <x v="6"/>
    <s v="L2"/>
    <s v="Spatial Planning and Organisation"/>
    <s v="From Drawing Board to Construction Sites"/>
    <n v="7"/>
    <x v="0"/>
    <x v="6"/>
    <n v="-1"/>
    <n v="0.1"/>
    <n v="1"/>
    <n v="-0.1"/>
    <m/>
  </r>
  <r>
    <s v="2018-19"/>
    <x v="0"/>
    <x v="6"/>
    <s v="L2"/>
    <s v="Spatial Planning and Organisation"/>
    <s v="From Drawing Board to Construction Sites"/>
    <n v="7"/>
    <x v="1"/>
    <x v="6"/>
    <n v="1"/>
    <n v="0.1"/>
    <n v="1"/>
    <n v="0.1"/>
    <m/>
  </r>
  <r>
    <s v="2018-19"/>
    <x v="0"/>
    <x v="6"/>
    <s v="L2"/>
    <s v="Spatial Planning and Organisation"/>
    <s v="From Drawing Board to Construction Sites"/>
    <n v="8"/>
    <x v="0"/>
    <x v="7"/>
    <n v="-1"/>
    <n v="0.1"/>
    <n v="1"/>
    <n v="-0.1"/>
    <m/>
  </r>
  <r>
    <s v="2018-19"/>
    <x v="0"/>
    <x v="6"/>
    <s v="L2"/>
    <s v="Spatial Planning and Organisation"/>
    <s v="From Drawing Board to Construction Sites"/>
    <n v="8"/>
    <x v="1"/>
    <x v="7"/>
    <n v="0"/>
    <n v="0.1"/>
    <n v="1"/>
    <n v="0"/>
    <m/>
  </r>
  <r>
    <s v="2018-19"/>
    <x v="0"/>
    <x v="6"/>
    <s v="L2"/>
    <s v="Spatial Planning and Organisation"/>
    <s v="From Drawing Board to Construction Sites"/>
    <n v="9"/>
    <x v="0"/>
    <x v="8"/>
    <n v="-1"/>
    <n v="0.05"/>
    <n v="0.85"/>
    <n v="-4.2500000000000003E-2"/>
    <m/>
  </r>
  <r>
    <s v="2018-19"/>
    <x v="0"/>
    <x v="6"/>
    <s v="L2"/>
    <s v="Spatial Planning and Organisation"/>
    <s v="From Drawing Board to Construction Sites"/>
    <n v="9"/>
    <x v="1"/>
    <x v="8"/>
    <n v="1"/>
    <n v="0.05"/>
    <n v="0.85"/>
    <n v="4.2500000000000003E-2"/>
    <m/>
  </r>
  <r>
    <s v="2018-19"/>
    <x v="0"/>
    <x v="6"/>
    <s v="L2"/>
    <s v="Spatial Planning and Organisation"/>
    <s v="From Drawing Board to Construction Sites"/>
    <n v="10"/>
    <x v="0"/>
    <x v="8"/>
    <n v="0"/>
    <n v="0.05"/>
    <n v="0.85"/>
    <n v="0"/>
    <m/>
  </r>
  <r>
    <s v="2018-19"/>
    <x v="0"/>
    <x v="6"/>
    <s v="L2"/>
    <s v="Spatial Planning and Organisation"/>
    <s v="From Drawing Board to Construction Sites"/>
    <n v="10"/>
    <x v="1"/>
    <x v="8"/>
    <n v="0"/>
    <n v="0.05"/>
    <n v="0.85"/>
    <n v="0"/>
    <m/>
  </r>
  <r>
    <s v="2018-19"/>
    <x v="0"/>
    <x v="6"/>
    <s v="L2"/>
    <s v="Spatial Planning and Organisation"/>
    <s v="From Drawing Board to Construction Sites"/>
    <n v="11"/>
    <x v="0"/>
    <x v="9"/>
    <n v="-1"/>
    <n v="0.05"/>
    <n v="1"/>
    <n v="-0.05"/>
    <m/>
  </r>
  <r>
    <s v="2018-19"/>
    <x v="0"/>
    <x v="6"/>
    <s v="L2"/>
    <s v="Spatial Planning and Organisation"/>
    <s v="From Drawing Board to Construction Sites"/>
    <n v="11"/>
    <x v="1"/>
    <x v="9"/>
    <n v="-1"/>
    <n v="0.05"/>
    <n v="1"/>
    <n v="-0.05"/>
    <m/>
  </r>
  <r>
    <s v="2018-19"/>
    <x v="0"/>
    <x v="7"/>
    <s v="L2"/>
    <s v="Visualization and Communication, Spatial Planning and Organisation"/>
    <s v="Master’s Stroke"/>
    <n v="1"/>
    <x v="0"/>
    <x v="0"/>
    <n v="1"/>
    <n v="0.12"/>
    <n v="1"/>
    <n v="0.12"/>
    <m/>
  </r>
  <r>
    <s v="2018-19"/>
    <x v="0"/>
    <x v="7"/>
    <s v="L2"/>
    <s v="Visualization and Communication, Spatial Planning and Organisation"/>
    <s v="Master’s Stroke"/>
    <n v="1"/>
    <x v="1"/>
    <x v="0"/>
    <n v="1"/>
    <n v="0.12"/>
    <n v="1"/>
    <n v="0.12"/>
    <m/>
  </r>
  <r>
    <s v="2018-19"/>
    <x v="0"/>
    <x v="7"/>
    <s v="L2"/>
    <s v="Visualization and Communication, Spatial Planning and Organisation"/>
    <s v="Master’s Stroke"/>
    <n v="2"/>
    <x v="0"/>
    <x v="1"/>
    <n v="1"/>
    <n v="0.08"/>
    <n v="0.8"/>
    <n v="6.4000000000000001E-2"/>
    <m/>
  </r>
  <r>
    <s v="2018-19"/>
    <x v="0"/>
    <x v="7"/>
    <s v="L2"/>
    <s v="Visualization and Communication, Spatial Planning and Organisation"/>
    <s v="Master’s Stroke"/>
    <n v="2"/>
    <x v="1"/>
    <x v="1"/>
    <n v="1"/>
    <n v="0.08"/>
    <n v="0.8"/>
    <n v="6.4000000000000001E-2"/>
    <m/>
  </r>
  <r>
    <s v="2018-19"/>
    <x v="0"/>
    <x v="7"/>
    <s v="L2"/>
    <s v="Visualization and Communication, Spatial Planning and Organisation"/>
    <s v="Master’s Stroke"/>
    <n v="3"/>
    <x v="0"/>
    <x v="2"/>
    <n v="1"/>
    <n v="0.05"/>
    <n v="1"/>
    <n v="0.05"/>
    <m/>
  </r>
  <r>
    <s v="2018-19"/>
    <x v="0"/>
    <x v="7"/>
    <s v="L2"/>
    <s v="Visualization and Communication, Spatial Planning and Organisation"/>
    <s v="Master’s Stroke"/>
    <n v="3"/>
    <x v="1"/>
    <x v="2"/>
    <n v="1"/>
    <n v="0.05"/>
    <n v="1"/>
    <n v="0.05"/>
    <m/>
  </r>
  <r>
    <s v="2018-19"/>
    <x v="0"/>
    <x v="7"/>
    <s v="L2"/>
    <s v="Visualization and Communication, Spatial Planning and Organisation"/>
    <s v="Master’s Stroke"/>
    <n v="4"/>
    <x v="0"/>
    <x v="3"/>
    <n v="1"/>
    <n v="0.14000000000000001"/>
    <n v="1"/>
    <n v="0.14000000000000001"/>
    <m/>
  </r>
  <r>
    <s v="2018-19"/>
    <x v="0"/>
    <x v="7"/>
    <s v="L2"/>
    <s v="Visualization and Communication, Spatial Planning and Organisation"/>
    <s v="Master’s Stroke"/>
    <n v="4"/>
    <x v="1"/>
    <x v="3"/>
    <n v="1"/>
    <n v="0.14000000000000001"/>
    <n v="1"/>
    <n v="0.14000000000000001"/>
    <m/>
  </r>
  <r>
    <s v="2018-19"/>
    <x v="0"/>
    <x v="7"/>
    <s v="L2"/>
    <s v="Visualization and Communication, Spatial Planning and Organisation"/>
    <s v="Master’s Stroke"/>
    <n v="5"/>
    <x v="0"/>
    <x v="4"/>
    <n v="1"/>
    <n v="0.11"/>
    <n v="1"/>
    <n v="0.11"/>
    <m/>
  </r>
  <r>
    <s v="2018-19"/>
    <x v="0"/>
    <x v="7"/>
    <s v="L2"/>
    <s v="Visualization and Communication, Spatial Planning and Organisation"/>
    <s v="Master’s Stroke"/>
    <n v="5"/>
    <x v="1"/>
    <x v="4"/>
    <n v="1"/>
    <n v="0.11"/>
    <n v="1"/>
    <n v="0.11"/>
    <m/>
  </r>
  <r>
    <s v="2018-19"/>
    <x v="0"/>
    <x v="7"/>
    <s v="L2"/>
    <s v="Visualization and Communication, Spatial Planning and Organisation"/>
    <s v="Master’s Stroke"/>
    <n v="6"/>
    <x v="0"/>
    <x v="5"/>
    <n v="1"/>
    <n v="0.15"/>
    <n v="1"/>
    <n v="0.15"/>
    <m/>
  </r>
  <r>
    <s v="2018-19"/>
    <x v="0"/>
    <x v="7"/>
    <s v="L2"/>
    <s v="Visualization and Communication, Spatial Planning and Organisation"/>
    <s v="Master’s Stroke"/>
    <n v="6"/>
    <x v="1"/>
    <x v="5"/>
    <n v="1"/>
    <n v="0.15"/>
    <n v="1"/>
    <n v="0.15"/>
    <m/>
  </r>
  <r>
    <s v="2018-19"/>
    <x v="0"/>
    <x v="7"/>
    <s v="L2"/>
    <s v="Visualization and Communication, Spatial Planning and Organisation"/>
    <s v="Master’s Stroke"/>
    <n v="7"/>
    <x v="0"/>
    <x v="6"/>
    <n v="1"/>
    <n v="0.1"/>
    <n v="1"/>
    <n v="0.1"/>
    <m/>
  </r>
  <r>
    <s v="2018-19"/>
    <x v="0"/>
    <x v="7"/>
    <s v="L2"/>
    <s v="Visualization and Communication, Spatial Planning and Organisation"/>
    <s v="Master’s Stroke"/>
    <n v="7"/>
    <x v="1"/>
    <x v="6"/>
    <n v="1"/>
    <n v="0.1"/>
    <n v="1"/>
    <n v="0.1"/>
    <m/>
  </r>
  <r>
    <s v="2018-19"/>
    <x v="0"/>
    <x v="7"/>
    <s v="L2"/>
    <s v="Visualization and Communication, Spatial Planning and Organisation"/>
    <s v="Master’s Stroke"/>
    <n v="8"/>
    <x v="0"/>
    <x v="7"/>
    <n v="1"/>
    <n v="0.1"/>
    <n v="1"/>
    <n v="0.1"/>
    <m/>
  </r>
  <r>
    <s v="2018-19"/>
    <x v="0"/>
    <x v="7"/>
    <s v="L2"/>
    <s v="Visualization and Communication, Spatial Planning and Organisation"/>
    <s v="Master’s Stroke"/>
    <n v="8"/>
    <x v="1"/>
    <x v="7"/>
    <n v="1"/>
    <n v="0.1"/>
    <n v="1"/>
    <n v="0.1"/>
    <m/>
  </r>
  <r>
    <s v="2018-19"/>
    <x v="0"/>
    <x v="7"/>
    <s v="L2"/>
    <s v="Visualization and Communication, Spatial Planning and Organisation"/>
    <s v="Master’s Stroke"/>
    <n v="9"/>
    <x v="0"/>
    <x v="8"/>
    <n v="1"/>
    <n v="0.05"/>
    <n v="0.85"/>
    <n v="4.2500000000000003E-2"/>
    <m/>
  </r>
  <r>
    <s v="2018-19"/>
    <x v="0"/>
    <x v="7"/>
    <s v="L2"/>
    <s v="Visualization and Communication, Spatial Planning and Organisation"/>
    <s v="Master’s Stroke"/>
    <n v="9"/>
    <x v="1"/>
    <x v="8"/>
    <n v="1"/>
    <n v="0.05"/>
    <n v="0.85"/>
    <n v="4.2500000000000003E-2"/>
    <m/>
  </r>
  <r>
    <s v="2018-19"/>
    <x v="0"/>
    <x v="7"/>
    <s v="L2"/>
    <s v="Visualization and Communication, Spatial Planning and Organisation"/>
    <s v="Master’s Stroke"/>
    <n v="10"/>
    <x v="0"/>
    <x v="8"/>
    <n v="1"/>
    <n v="0.05"/>
    <n v="0.85"/>
    <n v="4.2500000000000003E-2"/>
    <m/>
  </r>
  <r>
    <s v="2018-19"/>
    <x v="0"/>
    <x v="7"/>
    <s v="L2"/>
    <s v="Visualization and Communication, Spatial Planning and Organisation"/>
    <s v="Master’s Stroke"/>
    <n v="10"/>
    <x v="1"/>
    <x v="8"/>
    <n v="1"/>
    <n v="0.05"/>
    <n v="0.85"/>
    <n v="4.2500000000000003E-2"/>
    <m/>
  </r>
  <r>
    <s v="2018-19"/>
    <x v="0"/>
    <x v="7"/>
    <s v="L2"/>
    <s v="Visualization and Communication, Spatial Planning and Organisation"/>
    <s v="Master’s Stroke"/>
    <n v="11"/>
    <x v="0"/>
    <x v="9"/>
    <n v="1"/>
    <n v="0.05"/>
    <n v="1"/>
    <n v="0.05"/>
    <m/>
  </r>
  <r>
    <s v="2018-19"/>
    <x v="0"/>
    <x v="7"/>
    <s v="L2"/>
    <s v="Visualization and Communication, Spatial Planning and Organisation"/>
    <s v="Master’s Stroke"/>
    <n v="11"/>
    <x v="1"/>
    <x v="9"/>
    <n v="1"/>
    <n v="0.05"/>
    <n v="1"/>
    <n v="0.05"/>
    <m/>
  </r>
  <r>
    <s v="2018-19"/>
    <x v="0"/>
    <x v="8"/>
    <s v="L2"/>
    <s v="Visualization and Communication, Spatial Planning and Organisation"/>
    <s v="Exploring Building Typology"/>
    <n v="1"/>
    <x v="0"/>
    <x v="0"/>
    <n v="0"/>
    <n v="0.12"/>
    <n v="1"/>
    <n v="0"/>
    <m/>
  </r>
  <r>
    <s v="2018-19"/>
    <x v="0"/>
    <x v="8"/>
    <s v="L2"/>
    <s v="Visualization and Communication, Spatial Planning and Organisation"/>
    <s v="Exploring Building Typology"/>
    <n v="1"/>
    <x v="1"/>
    <x v="0"/>
    <n v="1"/>
    <n v="0.12"/>
    <n v="1"/>
    <n v="0.12"/>
    <m/>
  </r>
  <r>
    <s v="2018-19"/>
    <x v="0"/>
    <x v="8"/>
    <s v="L2"/>
    <s v="Visualization and Communication, Spatial Planning and Organisation"/>
    <s v="Exploring Building Typology"/>
    <n v="2"/>
    <x v="0"/>
    <x v="1"/>
    <n v="0"/>
    <n v="0.08"/>
    <n v="0.8"/>
    <n v="0"/>
    <m/>
  </r>
  <r>
    <s v="2018-19"/>
    <x v="0"/>
    <x v="8"/>
    <s v="L2"/>
    <s v="Visualization and Communication, Spatial Planning and Organisation"/>
    <s v="Exploring Building Typology"/>
    <n v="2"/>
    <x v="1"/>
    <x v="1"/>
    <n v="0"/>
    <n v="0.08"/>
    <n v="0.8"/>
    <n v="0"/>
    <m/>
  </r>
  <r>
    <s v="2018-19"/>
    <x v="0"/>
    <x v="8"/>
    <s v="L2"/>
    <s v="Visualization and Communication, Spatial Planning and Organisation"/>
    <s v="Exploring Building Typology"/>
    <n v="3"/>
    <x v="0"/>
    <x v="2"/>
    <n v="0"/>
    <n v="0.05"/>
    <n v="1"/>
    <n v="0"/>
    <m/>
  </r>
  <r>
    <s v="2018-19"/>
    <x v="0"/>
    <x v="8"/>
    <s v="L2"/>
    <s v="Visualization and Communication, Spatial Planning and Organisation"/>
    <s v="Exploring Building Typology"/>
    <n v="3"/>
    <x v="1"/>
    <x v="2"/>
    <n v="-1"/>
    <n v="0.05"/>
    <n v="1"/>
    <n v="-0.05"/>
    <m/>
  </r>
  <r>
    <s v="2018-19"/>
    <x v="0"/>
    <x v="8"/>
    <s v="L2"/>
    <s v="Visualization and Communication, Spatial Planning and Organisation"/>
    <s v="Exploring Building Typology"/>
    <n v="4"/>
    <x v="0"/>
    <x v="3"/>
    <n v="-1"/>
    <n v="0.14000000000000001"/>
    <n v="1"/>
    <n v="-0.14000000000000001"/>
    <m/>
  </r>
  <r>
    <s v="2018-19"/>
    <x v="0"/>
    <x v="8"/>
    <s v="L2"/>
    <s v="Visualization and Communication, Spatial Planning and Organisation"/>
    <s v="Exploring Building Typology"/>
    <n v="4"/>
    <x v="1"/>
    <x v="3"/>
    <n v="-1"/>
    <n v="0.14000000000000001"/>
    <n v="1"/>
    <n v="-0.14000000000000001"/>
    <m/>
  </r>
  <r>
    <s v="2018-19"/>
    <x v="0"/>
    <x v="8"/>
    <s v="L2"/>
    <s v="Visualization and Communication, Spatial Planning and Organisation"/>
    <s v="Exploring Building Typology"/>
    <n v="5"/>
    <x v="0"/>
    <x v="4"/>
    <n v="0"/>
    <n v="0.11"/>
    <n v="1"/>
    <n v="0"/>
    <m/>
  </r>
  <r>
    <s v="2018-19"/>
    <x v="0"/>
    <x v="8"/>
    <s v="L2"/>
    <s v="Visualization and Communication, Spatial Planning and Organisation"/>
    <s v="Exploring Building Typology"/>
    <n v="5"/>
    <x v="1"/>
    <x v="4"/>
    <n v="-1"/>
    <n v="0.11"/>
    <n v="1"/>
    <n v="-0.11"/>
    <m/>
  </r>
  <r>
    <s v="2018-19"/>
    <x v="0"/>
    <x v="8"/>
    <s v="L2"/>
    <s v="Visualization and Communication, Spatial Planning and Organisation"/>
    <s v="Exploring Building Typology"/>
    <n v="6"/>
    <x v="0"/>
    <x v="5"/>
    <n v="-1"/>
    <n v="0.15"/>
    <n v="1"/>
    <n v="-0.15"/>
    <m/>
  </r>
  <r>
    <s v="2018-19"/>
    <x v="0"/>
    <x v="8"/>
    <s v="L2"/>
    <s v="Visualization and Communication, Spatial Planning and Organisation"/>
    <s v="Exploring Building Typology"/>
    <n v="6"/>
    <x v="1"/>
    <x v="5"/>
    <n v="-1"/>
    <n v="0.15"/>
    <n v="1"/>
    <n v="-0.15"/>
    <m/>
  </r>
  <r>
    <s v="2018-19"/>
    <x v="0"/>
    <x v="8"/>
    <s v="L2"/>
    <s v="Visualization and Communication, Spatial Planning and Organisation"/>
    <s v="Exploring Building Typology"/>
    <n v="7"/>
    <x v="0"/>
    <x v="6"/>
    <n v="-1"/>
    <n v="0.1"/>
    <n v="1"/>
    <n v="-0.1"/>
    <m/>
  </r>
  <r>
    <s v="2018-19"/>
    <x v="0"/>
    <x v="8"/>
    <s v="L2"/>
    <s v="Visualization and Communication, Spatial Planning and Organisation"/>
    <s v="Exploring Building Typology"/>
    <n v="7"/>
    <x v="1"/>
    <x v="6"/>
    <n v="-1"/>
    <n v="0.1"/>
    <n v="1"/>
    <n v="-0.1"/>
    <m/>
  </r>
  <r>
    <s v="2018-19"/>
    <x v="0"/>
    <x v="8"/>
    <s v="L2"/>
    <s v="Visualization and Communication, Spatial Planning and Organisation"/>
    <s v="Exploring Building Typology"/>
    <n v="8"/>
    <x v="0"/>
    <x v="7"/>
    <n v="-1"/>
    <n v="0.1"/>
    <n v="1"/>
    <n v="-0.1"/>
    <m/>
  </r>
  <r>
    <s v="2018-19"/>
    <x v="0"/>
    <x v="8"/>
    <s v="L2"/>
    <s v="Visualization and Communication, Spatial Planning and Organisation"/>
    <s v="Exploring Building Typology"/>
    <n v="8"/>
    <x v="1"/>
    <x v="7"/>
    <n v="0"/>
    <n v="0.1"/>
    <n v="1"/>
    <n v="0"/>
    <m/>
  </r>
  <r>
    <s v="2018-19"/>
    <x v="0"/>
    <x v="8"/>
    <s v="L2"/>
    <s v="Visualization and Communication, Spatial Planning and Organisation"/>
    <s v="Exploring Building Typology"/>
    <n v="9"/>
    <x v="0"/>
    <x v="8"/>
    <n v="0"/>
    <n v="0.05"/>
    <n v="0.85"/>
    <n v="0"/>
    <m/>
  </r>
  <r>
    <s v="2018-19"/>
    <x v="0"/>
    <x v="8"/>
    <s v="L2"/>
    <s v="Visualization and Communication, Spatial Planning and Organisation"/>
    <s v="Exploring Building Typology"/>
    <n v="9"/>
    <x v="1"/>
    <x v="8"/>
    <n v="0"/>
    <n v="0.05"/>
    <n v="0.85"/>
    <n v="0"/>
    <m/>
  </r>
  <r>
    <s v="2018-19"/>
    <x v="0"/>
    <x v="8"/>
    <s v="L2"/>
    <s v="Visualization and Communication, Spatial Planning and Organisation"/>
    <s v="Exploring Building Typology"/>
    <n v="10"/>
    <x v="0"/>
    <x v="8"/>
    <n v="0"/>
    <n v="0.05"/>
    <n v="0.85"/>
    <n v="0"/>
    <m/>
  </r>
  <r>
    <s v="2018-19"/>
    <x v="0"/>
    <x v="8"/>
    <s v="L2"/>
    <s v="Visualization and Communication, Spatial Planning and Organisation"/>
    <s v="Exploring Building Typology"/>
    <n v="10"/>
    <x v="1"/>
    <x v="8"/>
    <n v="0"/>
    <n v="0.05"/>
    <n v="0.85"/>
    <n v="0"/>
    <m/>
  </r>
  <r>
    <s v="2018-19"/>
    <x v="0"/>
    <x v="8"/>
    <s v="L2"/>
    <s v="Visualization and Communication, Spatial Planning and Organisation"/>
    <s v="Exploring Building Typology"/>
    <n v="11"/>
    <x v="0"/>
    <x v="9"/>
    <n v="-1"/>
    <n v="0.05"/>
    <n v="1"/>
    <n v="-0.05"/>
    <m/>
  </r>
  <r>
    <s v="2018-19"/>
    <x v="0"/>
    <x v="8"/>
    <s v="L2"/>
    <s v="Visualization and Communication, Spatial Planning and Organisation"/>
    <s v="Exploring Building Typology"/>
    <n v="11"/>
    <x v="1"/>
    <x v="9"/>
    <n v="-1"/>
    <n v="0.05"/>
    <n v="1"/>
    <n v="-0.05"/>
    <m/>
  </r>
  <r>
    <s v="2018-19"/>
    <x v="0"/>
    <x v="9"/>
    <s v="L2"/>
    <s v="Constructing and Specifying"/>
    <s v="Tectonic Operations"/>
    <n v="1"/>
    <x v="0"/>
    <x v="0"/>
    <n v="1"/>
    <n v="0.12"/>
    <n v="1"/>
    <n v="0.12"/>
    <m/>
  </r>
  <r>
    <s v="2018-19"/>
    <x v="0"/>
    <x v="9"/>
    <s v="L2"/>
    <s v="Constructing and Specifying"/>
    <s v="Tectonic Operations"/>
    <n v="1"/>
    <x v="1"/>
    <x v="0"/>
    <n v="1"/>
    <n v="0.12"/>
    <n v="1"/>
    <n v="0.12"/>
    <m/>
  </r>
  <r>
    <s v="2018-19"/>
    <x v="0"/>
    <x v="9"/>
    <s v="L2"/>
    <s v="Constructing and Specifying"/>
    <s v="Tectonic Operations"/>
    <n v="2"/>
    <x v="0"/>
    <x v="1"/>
    <n v="1"/>
    <n v="0.08"/>
    <n v="0.8"/>
    <n v="6.4000000000000001E-2"/>
    <m/>
  </r>
  <r>
    <s v="2018-19"/>
    <x v="0"/>
    <x v="9"/>
    <s v="L2"/>
    <s v="Constructing and Specifying"/>
    <s v="Tectonic Operations"/>
    <n v="2"/>
    <x v="1"/>
    <x v="1"/>
    <n v="1"/>
    <n v="0.08"/>
    <n v="0.8"/>
    <n v="6.4000000000000001E-2"/>
    <m/>
  </r>
  <r>
    <s v="2018-19"/>
    <x v="0"/>
    <x v="9"/>
    <s v="L2"/>
    <s v="Constructing and Specifying"/>
    <s v="Tectonic Operations"/>
    <n v="3"/>
    <x v="0"/>
    <x v="2"/>
    <n v="1"/>
    <n v="0.05"/>
    <n v="1"/>
    <n v="0.05"/>
    <m/>
  </r>
  <r>
    <s v="2018-19"/>
    <x v="0"/>
    <x v="9"/>
    <s v="L2"/>
    <s v="Constructing and Specifying"/>
    <s v="Tectonic Operations"/>
    <n v="3"/>
    <x v="1"/>
    <x v="2"/>
    <n v="1"/>
    <n v="0.05"/>
    <n v="1"/>
    <n v="0.05"/>
    <m/>
  </r>
  <r>
    <s v="2018-19"/>
    <x v="0"/>
    <x v="9"/>
    <s v="L2"/>
    <s v="Constructing and Specifying"/>
    <s v="Tectonic Operations"/>
    <n v="4"/>
    <x v="0"/>
    <x v="3"/>
    <n v="1"/>
    <n v="0.14000000000000001"/>
    <n v="1"/>
    <n v="0.14000000000000001"/>
    <m/>
  </r>
  <r>
    <s v="2018-19"/>
    <x v="0"/>
    <x v="9"/>
    <s v="L2"/>
    <s v="Constructing and Specifying"/>
    <s v="Tectonic Operations"/>
    <n v="4"/>
    <x v="1"/>
    <x v="3"/>
    <n v="1"/>
    <n v="0.14000000000000001"/>
    <n v="1"/>
    <n v="0.14000000000000001"/>
    <m/>
  </r>
  <r>
    <s v="2018-19"/>
    <x v="0"/>
    <x v="9"/>
    <s v="L2"/>
    <s v="Constructing and Specifying"/>
    <s v="Tectonic Operations"/>
    <n v="5"/>
    <x v="0"/>
    <x v="4"/>
    <n v="1"/>
    <n v="0.11"/>
    <n v="1"/>
    <n v="0.11"/>
    <m/>
  </r>
  <r>
    <s v="2018-19"/>
    <x v="0"/>
    <x v="9"/>
    <s v="L2"/>
    <s v="Constructing and Specifying"/>
    <s v="Tectonic Operations"/>
    <n v="5"/>
    <x v="1"/>
    <x v="4"/>
    <n v="1"/>
    <n v="0.11"/>
    <n v="1"/>
    <n v="0.11"/>
    <m/>
  </r>
  <r>
    <s v="2018-19"/>
    <x v="0"/>
    <x v="9"/>
    <s v="L2"/>
    <s v="Constructing and Specifying"/>
    <s v="Tectonic Operations"/>
    <n v="6"/>
    <x v="0"/>
    <x v="5"/>
    <n v="1"/>
    <n v="0.15"/>
    <n v="1"/>
    <n v="0.15"/>
    <m/>
  </r>
  <r>
    <s v="2018-19"/>
    <x v="0"/>
    <x v="9"/>
    <s v="L2"/>
    <s v="Constructing and Specifying"/>
    <s v="Tectonic Operations"/>
    <n v="6"/>
    <x v="1"/>
    <x v="5"/>
    <n v="1"/>
    <n v="0.15"/>
    <n v="1"/>
    <n v="0.15"/>
    <m/>
  </r>
  <r>
    <s v="2018-19"/>
    <x v="0"/>
    <x v="9"/>
    <s v="L2"/>
    <s v="Constructing and Specifying"/>
    <s v="Tectonic Operations"/>
    <n v="7"/>
    <x v="0"/>
    <x v="6"/>
    <n v="1"/>
    <n v="0.1"/>
    <n v="1"/>
    <n v="0.1"/>
    <m/>
  </r>
  <r>
    <s v="2018-19"/>
    <x v="0"/>
    <x v="9"/>
    <s v="L2"/>
    <s v="Constructing and Specifying"/>
    <s v="Tectonic Operations"/>
    <n v="7"/>
    <x v="1"/>
    <x v="6"/>
    <n v="1"/>
    <n v="0.1"/>
    <n v="1"/>
    <n v="0.1"/>
    <m/>
  </r>
  <r>
    <s v="2018-19"/>
    <x v="0"/>
    <x v="9"/>
    <s v="L2"/>
    <s v="Constructing and Specifying"/>
    <s v="Tectonic Operations"/>
    <n v="8"/>
    <x v="0"/>
    <x v="7"/>
    <n v="1"/>
    <n v="0.1"/>
    <n v="1"/>
    <n v="0.1"/>
    <m/>
  </r>
  <r>
    <s v="2018-19"/>
    <x v="0"/>
    <x v="9"/>
    <s v="L2"/>
    <s v="Constructing and Specifying"/>
    <s v="Tectonic Operations"/>
    <n v="8"/>
    <x v="1"/>
    <x v="7"/>
    <n v="1"/>
    <n v="0.1"/>
    <n v="1"/>
    <n v="0.1"/>
    <m/>
  </r>
  <r>
    <s v="2018-19"/>
    <x v="0"/>
    <x v="9"/>
    <s v="L2"/>
    <s v="Constructing and Specifying"/>
    <s v="Tectonic Operations"/>
    <n v="9"/>
    <x v="0"/>
    <x v="8"/>
    <n v="1"/>
    <n v="0.05"/>
    <n v="0.85"/>
    <n v="4.2500000000000003E-2"/>
    <m/>
  </r>
  <r>
    <s v="2018-19"/>
    <x v="0"/>
    <x v="9"/>
    <s v="L2"/>
    <s v="Constructing and Specifying"/>
    <s v="Tectonic Operations"/>
    <n v="9"/>
    <x v="1"/>
    <x v="8"/>
    <n v="1"/>
    <n v="0.05"/>
    <n v="0.85"/>
    <n v="4.2500000000000003E-2"/>
    <m/>
  </r>
  <r>
    <s v="2018-19"/>
    <x v="0"/>
    <x v="9"/>
    <s v="L2"/>
    <s v="Constructing and Specifying"/>
    <s v="Tectonic Operations"/>
    <n v="10"/>
    <x v="0"/>
    <x v="8"/>
    <n v="1"/>
    <n v="0.05"/>
    <n v="0.85"/>
    <n v="4.2500000000000003E-2"/>
    <m/>
  </r>
  <r>
    <s v="2018-19"/>
    <x v="0"/>
    <x v="9"/>
    <s v="L2"/>
    <s v="Constructing and Specifying"/>
    <s v="Tectonic Operations"/>
    <n v="10"/>
    <x v="1"/>
    <x v="8"/>
    <n v="1"/>
    <n v="0.05"/>
    <n v="0.85"/>
    <n v="4.2500000000000003E-2"/>
    <m/>
  </r>
  <r>
    <s v="2018-19"/>
    <x v="0"/>
    <x v="9"/>
    <s v="L2"/>
    <s v="Constructing and Specifying"/>
    <s v="Tectonic Operations"/>
    <n v="11"/>
    <x v="0"/>
    <x v="9"/>
    <n v="1"/>
    <n v="0.05"/>
    <n v="1"/>
    <n v="0.05"/>
    <m/>
  </r>
  <r>
    <s v="2018-19"/>
    <x v="0"/>
    <x v="9"/>
    <s v="L2"/>
    <s v="Constructing and Specifying"/>
    <s v="Tectonic Operations"/>
    <n v="11"/>
    <x v="1"/>
    <x v="9"/>
    <n v="1"/>
    <n v="0.05"/>
    <n v="1"/>
    <n v="0.05"/>
    <m/>
  </r>
  <r>
    <s v="2018-19"/>
    <x v="0"/>
    <x v="10"/>
    <s v="L2"/>
    <s v="Visualization and Communication, Spatial Organization and Planning"/>
    <s v="Co production of Differential Spaces"/>
    <n v="1"/>
    <x v="0"/>
    <x v="0"/>
    <n v="0"/>
    <n v="0.12"/>
    <n v="1"/>
    <n v="0"/>
    <m/>
  </r>
  <r>
    <s v="2018-19"/>
    <x v="0"/>
    <x v="10"/>
    <s v="L2"/>
    <s v="Visualization and Communication, Spatial Organization and Planning"/>
    <s v="Co production of Differential Spaces"/>
    <n v="1"/>
    <x v="1"/>
    <x v="0"/>
    <n v="0"/>
    <n v="0.12"/>
    <n v="1"/>
    <n v="0"/>
    <m/>
  </r>
  <r>
    <s v="2018-19"/>
    <x v="0"/>
    <x v="10"/>
    <s v="L2"/>
    <s v="Visualization and Communication, Spatial Organization and Planning"/>
    <s v="Co production of Differential Spaces"/>
    <n v="2"/>
    <x v="0"/>
    <x v="1"/>
    <n v="0"/>
    <n v="0.08"/>
    <n v="0.8"/>
    <n v="0"/>
    <m/>
  </r>
  <r>
    <s v="2018-19"/>
    <x v="0"/>
    <x v="10"/>
    <s v="L2"/>
    <s v="Visualization and Communication, Spatial Organization and Planning"/>
    <s v="Co production of Differential Spaces"/>
    <n v="2"/>
    <x v="1"/>
    <x v="1"/>
    <n v="0"/>
    <n v="0.08"/>
    <n v="0.8"/>
    <n v="0"/>
    <m/>
  </r>
  <r>
    <s v="2018-19"/>
    <x v="0"/>
    <x v="10"/>
    <s v="L2"/>
    <s v="Visualization and Communication, Spatial Organization and Planning"/>
    <s v="Co production of Differential Spaces"/>
    <n v="3"/>
    <x v="0"/>
    <x v="2"/>
    <n v="0"/>
    <n v="0.05"/>
    <n v="1"/>
    <n v="0"/>
    <m/>
  </r>
  <r>
    <s v="2018-19"/>
    <x v="0"/>
    <x v="10"/>
    <s v="L2"/>
    <s v="Visualization and Communication, Spatial Organization and Planning"/>
    <s v="Co production of Differential Spaces"/>
    <n v="3"/>
    <x v="1"/>
    <x v="2"/>
    <n v="0"/>
    <n v="0.05"/>
    <n v="1"/>
    <n v="0"/>
    <m/>
  </r>
  <r>
    <s v="2018-19"/>
    <x v="0"/>
    <x v="10"/>
    <s v="L2"/>
    <s v="Visualization and Communication, Spatial Organization and Planning"/>
    <s v="Co production of Differential Spaces"/>
    <n v="4"/>
    <x v="0"/>
    <x v="3"/>
    <n v="1"/>
    <n v="0.14000000000000001"/>
    <n v="1"/>
    <n v="0.14000000000000001"/>
    <m/>
  </r>
  <r>
    <s v="2018-19"/>
    <x v="0"/>
    <x v="10"/>
    <s v="L2"/>
    <s v="Visualization and Communication, Spatial Organization and Planning"/>
    <s v="Co production of Differential Spaces"/>
    <n v="4"/>
    <x v="1"/>
    <x v="3"/>
    <n v="-1"/>
    <n v="0.14000000000000001"/>
    <n v="1"/>
    <n v="-0.14000000000000001"/>
    <m/>
  </r>
  <r>
    <s v="2018-19"/>
    <x v="0"/>
    <x v="10"/>
    <s v="L2"/>
    <s v="Visualization and Communication, Spatial Organization and Planning"/>
    <s v="Co production of Differential Spaces"/>
    <n v="5"/>
    <x v="0"/>
    <x v="4"/>
    <n v="1"/>
    <n v="0.11"/>
    <n v="1"/>
    <n v="0.11"/>
    <m/>
  </r>
  <r>
    <s v="2018-19"/>
    <x v="0"/>
    <x v="10"/>
    <s v="L2"/>
    <s v="Visualization and Communication, Spatial Organization and Planning"/>
    <s v="Co production of Differential Spaces"/>
    <n v="5"/>
    <x v="1"/>
    <x v="4"/>
    <n v="0"/>
    <n v="0.11"/>
    <n v="1"/>
    <n v="0"/>
    <m/>
  </r>
  <r>
    <s v="2018-19"/>
    <x v="0"/>
    <x v="10"/>
    <s v="L2"/>
    <s v="Visualization and Communication, Spatial Organization and Planning"/>
    <s v="Co production of Differential Spaces"/>
    <n v="6"/>
    <x v="0"/>
    <x v="5"/>
    <n v="1"/>
    <n v="0.15"/>
    <n v="1"/>
    <n v="0.15"/>
    <m/>
  </r>
  <r>
    <s v="2018-19"/>
    <x v="0"/>
    <x v="10"/>
    <s v="L2"/>
    <s v="Visualization and Communication, Spatial Organization and Planning"/>
    <s v="Co production of Differential Spaces"/>
    <n v="6"/>
    <x v="1"/>
    <x v="5"/>
    <n v="0"/>
    <n v="0.15"/>
    <n v="1"/>
    <n v="0"/>
    <m/>
  </r>
  <r>
    <s v="2018-19"/>
    <x v="0"/>
    <x v="10"/>
    <s v="L2"/>
    <s v="Visualization and Communication, Spatial Organization and Planning"/>
    <s v="Co production of Differential Spaces"/>
    <n v="7"/>
    <x v="0"/>
    <x v="6"/>
    <n v="-1"/>
    <n v="0.1"/>
    <n v="1"/>
    <n v="-0.1"/>
    <m/>
  </r>
  <r>
    <s v="2018-19"/>
    <x v="0"/>
    <x v="10"/>
    <s v="L2"/>
    <s v="Visualization and Communication, Spatial Organization and Planning"/>
    <s v="Co production of Differential Spaces"/>
    <n v="7"/>
    <x v="1"/>
    <x v="6"/>
    <n v="0"/>
    <n v="0.1"/>
    <n v="1"/>
    <n v="0"/>
    <m/>
  </r>
  <r>
    <s v="2018-19"/>
    <x v="0"/>
    <x v="10"/>
    <s v="L2"/>
    <s v="Visualization and Communication, Spatial Organization and Planning"/>
    <s v="Co production of Differential Spaces"/>
    <n v="8"/>
    <x v="0"/>
    <x v="7"/>
    <n v="-1"/>
    <n v="0.1"/>
    <n v="1"/>
    <n v="-0.1"/>
    <m/>
  </r>
  <r>
    <s v="2018-19"/>
    <x v="0"/>
    <x v="10"/>
    <s v="L2"/>
    <s v="Visualization and Communication, Spatial Organization and Planning"/>
    <s v="Co production of Differential Spaces"/>
    <n v="8"/>
    <x v="1"/>
    <x v="7"/>
    <n v="-1"/>
    <n v="0.1"/>
    <n v="1"/>
    <n v="-0.1"/>
    <m/>
  </r>
  <r>
    <s v="2018-19"/>
    <x v="0"/>
    <x v="10"/>
    <s v="L2"/>
    <s v="Visualization and Communication, Spatial Organization and Planning"/>
    <s v="Co production of Differential Spaces"/>
    <n v="9"/>
    <x v="0"/>
    <x v="8"/>
    <n v="-1"/>
    <n v="0.05"/>
    <n v="0.85"/>
    <n v="-4.2500000000000003E-2"/>
    <m/>
  </r>
  <r>
    <s v="2018-19"/>
    <x v="0"/>
    <x v="10"/>
    <s v="L2"/>
    <s v="Visualization and Communication, Spatial Organization and Planning"/>
    <s v="Co production of Differential Spaces"/>
    <n v="9"/>
    <x v="1"/>
    <x v="8"/>
    <n v="-1"/>
    <n v="0.05"/>
    <n v="0.85"/>
    <n v="-4.2500000000000003E-2"/>
    <m/>
  </r>
  <r>
    <s v="2018-19"/>
    <x v="0"/>
    <x v="10"/>
    <s v="L2"/>
    <s v="Visualization and Communication, Spatial Organization and Planning"/>
    <s v="Co production of Differential Spaces"/>
    <n v="10"/>
    <x v="0"/>
    <x v="8"/>
    <n v="0"/>
    <n v="0.05"/>
    <n v="0.85"/>
    <n v="0"/>
    <m/>
  </r>
  <r>
    <s v="2018-19"/>
    <x v="0"/>
    <x v="10"/>
    <s v="L2"/>
    <s v="Visualization and Communication, Spatial Organization and Planning"/>
    <s v="Co production of Differential Spaces"/>
    <n v="10"/>
    <x v="1"/>
    <x v="8"/>
    <n v="0"/>
    <n v="0.05"/>
    <n v="0.85"/>
    <n v="0"/>
    <m/>
  </r>
  <r>
    <s v="2018-19"/>
    <x v="0"/>
    <x v="10"/>
    <s v="L2"/>
    <s v="Visualization and Communication, Spatial Organization and Planning"/>
    <s v="Co production of Differential Spaces"/>
    <n v="11"/>
    <x v="0"/>
    <x v="9"/>
    <n v="0"/>
    <n v="0.05"/>
    <n v="1"/>
    <n v="0"/>
    <m/>
  </r>
  <r>
    <s v="2018-19"/>
    <x v="0"/>
    <x v="10"/>
    <s v="L2"/>
    <s v="Visualization and Communication, Spatial Organization and Planning"/>
    <s v="Co production of Differential Spaces"/>
    <n v="11"/>
    <x v="1"/>
    <x v="9"/>
    <n v="-1"/>
    <n v="0.05"/>
    <n v="1"/>
    <n v="-0.05"/>
    <m/>
  </r>
  <r>
    <s v="2018-19"/>
    <x v="0"/>
    <x v="11"/>
    <s v="L3"/>
    <m/>
    <s v="Maneuvering the New Landscape: Scale, Density and Sustainability"/>
    <n v="1"/>
    <x v="0"/>
    <x v="0"/>
    <n v="0"/>
    <n v="0.12"/>
    <n v="1"/>
    <n v="0"/>
    <m/>
  </r>
  <r>
    <s v="2018-19"/>
    <x v="0"/>
    <x v="11"/>
    <s v="L3"/>
    <m/>
    <s v="Maneuvering the New Landscape: Scale, Density and Sustainability"/>
    <n v="1"/>
    <x v="1"/>
    <x v="0"/>
    <m/>
    <n v="0.12"/>
    <n v="1"/>
    <n v="0"/>
    <m/>
  </r>
  <r>
    <s v="2018-19"/>
    <x v="0"/>
    <x v="11"/>
    <s v="L3"/>
    <m/>
    <s v="Maneuvering the New Landscape: Scale, Density and Sustainability"/>
    <n v="2"/>
    <x v="0"/>
    <x v="1"/>
    <m/>
    <n v="0.08"/>
    <n v="0.8"/>
    <n v="0"/>
    <m/>
  </r>
  <r>
    <s v="2018-19"/>
    <x v="0"/>
    <x v="11"/>
    <s v="L3"/>
    <m/>
    <s v="Maneuvering the New Landscape: Scale, Density and Sustainability"/>
    <n v="2"/>
    <x v="1"/>
    <x v="1"/>
    <m/>
    <n v="0.08"/>
    <n v="0.8"/>
    <n v="0"/>
    <m/>
  </r>
  <r>
    <s v="2018-19"/>
    <x v="0"/>
    <x v="11"/>
    <s v="L3"/>
    <m/>
    <s v="Maneuvering the New Landscape: Scale, Density and Sustainability"/>
    <n v="3"/>
    <x v="0"/>
    <x v="2"/>
    <n v="1"/>
    <n v="0.05"/>
    <n v="1"/>
    <n v="0.05"/>
    <m/>
  </r>
  <r>
    <s v="2018-19"/>
    <x v="0"/>
    <x v="11"/>
    <s v="L3"/>
    <m/>
    <s v="Maneuvering the New Landscape: Scale, Density and Sustainability"/>
    <n v="3"/>
    <x v="1"/>
    <x v="2"/>
    <m/>
    <n v="0.05"/>
    <n v="1"/>
    <n v="0"/>
    <m/>
  </r>
  <r>
    <s v="2018-19"/>
    <x v="0"/>
    <x v="11"/>
    <s v="L3"/>
    <m/>
    <s v="Maneuvering the New Landscape: Scale, Density and Sustainability"/>
    <n v="4"/>
    <x v="0"/>
    <x v="3"/>
    <n v="-1"/>
    <n v="0.14000000000000001"/>
    <n v="1"/>
    <n v="-0.14000000000000001"/>
    <m/>
  </r>
  <r>
    <s v="2018-19"/>
    <x v="0"/>
    <x v="11"/>
    <s v="L3"/>
    <m/>
    <s v="Maneuvering the New Landscape: Scale, Density and Sustainability"/>
    <n v="4"/>
    <x v="1"/>
    <x v="3"/>
    <n v="-1"/>
    <n v="0.14000000000000001"/>
    <n v="1"/>
    <n v="-0.14000000000000001"/>
    <m/>
  </r>
  <r>
    <s v="2018-19"/>
    <x v="0"/>
    <x v="11"/>
    <s v="L3"/>
    <m/>
    <s v="Maneuvering the New Landscape: Scale, Density and Sustainability"/>
    <n v="5"/>
    <x v="0"/>
    <x v="4"/>
    <n v="-1"/>
    <n v="0.11"/>
    <n v="1"/>
    <n v="-0.11"/>
    <m/>
  </r>
  <r>
    <s v="2018-19"/>
    <x v="0"/>
    <x v="11"/>
    <s v="L3"/>
    <m/>
    <s v="Maneuvering the New Landscape: Scale, Density and Sustainability"/>
    <n v="5"/>
    <x v="1"/>
    <x v="4"/>
    <n v="-1"/>
    <n v="0.11"/>
    <n v="1"/>
    <n v="-0.11"/>
    <m/>
  </r>
  <r>
    <s v="2018-19"/>
    <x v="0"/>
    <x v="11"/>
    <s v="L3"/>
    <m/>
    <s v="Maneuvering the New Landscape: Scale, Density and Sustainability"/>
    <n v="6"/>
    <x v="0"/>
    <x v="5"/>
    <n v="0"/>
    <n v="0.15"/>
    <n v="1"/>
    <n v="0"/>
    <m/>
  </r>
  <r>
    <s v="2018-19"/>
    <x v="0"/>
    <x v="11"/>
    <s v="L3"/>
    <m/>
    <s v="Maneuvering the New Landscape: Scale, Density and Sustainability"/>
    <n v="6"/>
    <x v="1"/>
    <x v="5"/>
    <n v="-1"/>
    <n v="0.15"/>
    <n v="1"/>
    <n v="-0.15"/>
    <m/>
  </r>
  <r>
    <s v="2018-19"/>
    <x v="0"/>
    <x v="11"/>
    <s v="L3"/>
    <m/>
    <s v="Maneuvering the New Landscape: Scale, Density and Sustainability"/>
    <n v="7"/>
    <x v="0"/>
    <x v="6"/>
    <n v="0"/>
    <n v="0.1"/>
    <n v="1"/>
    <n v="0"/>
    <m/>
  </r>
  <r>
    <s v="2018-19"/>
    <x v="0"/>
    <x v="11"/>
    <s v="L3"/>
    <m/>
    <s v="Maneuvering the New Landscape: Scale, Density and Sustainability"/>
    <n v="7"/>
    <x v="1"/>
    <x v="6"/>
    <n v="-1"/>
    <n v="0.1"/>
    <n v="1"/>
    <n v="-0.1"/>
    <m/>
  </r>
  <r>
    <s v="2018-19"/>
    <x v="0"/>
    <x v="11"/>
    <s v="L3"/>
    <m/>
    <s v="Maneuvering the New Landscape: Scale, Density and Sustainability"/>
    <n v="8"/>
    <x v="0"/>
    <x v="7"/>
    <n v="0"/>
    <n v="0.1"/>
    <n v="1"/>
    <n v="0"/>
    <m/>
  </r>
  <r>
    <s v="2018-19"/>
    <x v="0"/>
    <x v="11"/>
    <s v="L3"/>
    <m/>
    <s v="Maneuvering the New Landscape: Scale, Density and Sustainability"/>
    <n v="8"/>
    <x v="1"/>
    <x v="7"/>
    <n v="-1"/>
    <n v="0.1"/>
    <n v="1"/>
    <n v="-0.1"/>
    <m/>
  </r>
  <r>
    <s v="2018-19"/>
    <x v="0"/>
    <x v="11"/>
    <s v="L3"/>
    <m/>
    <s v="Maneuvering the New Landscape: Scale, Density and Sustainability"/>
    <n v="9"/>
    <x v="0"/>
    <x v="8"/>
    <n v="-1"/>
    <n v="0.05"/>
    <n v="0.85"/>
    <n v="-4.2500000000000003E-2"/>
    <m/>
  </r>
  <r>
    <s v="2018-19"/>
    <x v="0"/>
    <x v="11"/>
    <s v="L3"/>
    <m/>
    <s v="Maneuvering the New Landscape: Scale, Density and Sustainability"/>
    <n v="9"/>
    <x v="1"/>
    <x v="8"/>
    <n v="-1"/>
    <n v="0.05"/>
    <n v="0.85"/>
    <n v="-4.2500000000000003E-2"/>
    <m/>
  </r>
  <r>
    <s v="2018-19"/>
    <x v="0"/>
    <x v="11"/>
    <s v="L3"/>
    <m/>
    <s v="Maneuvering the New Landscape: Scale, Density and Sustainability"/>
    <n v="10"/>
    <x v="0"/>
    <x v="8"/>
    <n v="0"/>
    <n v="0.05"/>
    <n v="0.85"/>
    <n v="0"/>
    <m/>
  </r>
  <r>
    <s v="2018-19"/>
    <x v="0"/>
    <x v="11"/>
    <s v="L3"/>
    <m/>
    <s v="Maneuvering the New Landscape: Scale, Density and Sustainability"/>
    <n v="10"/>
    <x v="1"/>
    <x v="8"/>
    <n v="0"/>
    <n v="0.05"/>
    <n v="0.85"/>
    <n v="0"/>
    <m/>
  </r>
  <r>
    <s v="2018-19"/>
    <x v="0"/>
    <x v="11"/>
    <s v="L3"/>
    <m/>
    <s v="Maneuvering the New Landscape: Scale, Density and Sustainability"/>
    <n v="11"/>
    <x v="0"/>
    <x v="9"/>
    <n v="-1"/>
    <n v="0.05"/>
    <n v="1"/>
    <n v="-0.05"/>
    <m/>
  </r>
  <r>
    <s v="2018-19"/>
    <x v="0"/>
    <x v="11"/>
    <s v="L3"/>
    <m/>
    <s v="Maneuvering the New Landscape: Scale, Density and Sustainability"/>
    <n v="11"/>
    <x v="1"/>
    <x v="9"/>
    <n v="-1"/>
    <n v="0.05"/>
    <n v="1"/>
    <n v="-0.05"/>
    <m/>
  </r>
  <r>
    <s v="2018-19"/>
    <x v="0"/>
    <x v="12"/>
    <s v="L3"/>
    <m/>
    <s v="Decoding to code: Emergent Design"/>
    <n v="1"/>
    <x v="0"/>
    <x v="0"/>
    <n v="1"/>
    <n v="0.12"/>
    <n v="1"/>
    <n v="0.12"/>
    <m/>
  </r>
  <r>
    <s v="2018-19"/>
    <x v="0"/>
    <x v="12"/>
    <s v="L3"/>
    <m/>
    <s v="Decoding to code: Emergent Design"/>
    <n v="1"/>
    <x v="1"/>
    <x v="0"/>
    <n v="0"/>
    <n v="0.12"/>
    <n v="1"/>
    <n v="0"/>
    <m/>
  </r>
  <r>
    <s v="2018-19"/>
    <x v="0"/>
    <x v="12"/>
    <s v="L3"/>
    <m/>
    <s v="Decoding to code: Emergent Design"/>
    <n v="2"/>
    <x v="0"/>
    <x v="1"/>
    <m/>
    <n v="0.08"/>
    <n v="0.8"/>
    <n v="0"/>
    <m/>
  </r>
  <r>
    <s v="2018-19"/>
    <x v="0"/>
    <x v="12"/>
    <s v="L3"/>
    <m/>
    <s v="Decoding to code: Emergent Design"/>
    <n v="2"/>
    <x v="1"/>
    <x v="1"/>
    <n v="0"/>
    <n v="0.08"/>
    <n v="0.8"/>
    <n v="0"/>
    <m/>
  </r>
  <r>
    <s v="2018-19"/>
    <x v="0"/>
    <x v="12"/>
    <s v="L3"/>
    <m/>
    <s v="Decoding to code: Emergent Design"/>
    <n v="3"/>
    <x v="0"/>
    <x v="2"/>
    <n v="1"/>
    <n v="0.05"/>
    <n v="1"/>
    <n v="0.05"/>
    <m/>
  </r>
  <r>
    <s v="2018-19"/>
    <x v="0"/>
    <x v="12"/>
    <s v="L3"/>
    <m/>
    <s v="Decoding to code: Emergent Design"/>
    <n v="3"/>
    <x v="1"/>
    <x v="2"/>
    <n v="1"/>
    <n v="0.05"/>
    <n v="1"/>
    <n v="0.05"/>
    <m/>
  </r>
  <r>
    <s v="2018-19"/>
    <x v="0"/>
    <x v="12"/>
    <s v="L3"/>
    <m/>
    <s v="Decoding to code: Emergent Design"/>
    <n v="4"/>
    <x v="0"/>
    <x v="3"/>
    <n v="1"/>
    <n v="0.14000000000000001"/>
    <n v="1"/>
    <n v="0.14000000000000001"/>
    <m/>
  </r>
  <r>
    <s v="2018-19"/>
    <x v="0"/>
    <x v="12"/>
    <s v="L3"/>
    <m/>
    <s v="Decoding to code: Emergent Design"/>
    <n v="4"/>
    <x v="1"/>
    <x v="3"/>
    <n v="-1"/>
    <n v="0.14000000000000001"/>
    <n v="1"/>
    <n v="-0.14000000000000001"/>
    <m/>
  </r>
  <r>
    <s v="2018-19"/>
    <x v="0"/>
    <x v="12"/>
    <s v="L3"/>
    <m/>
    <s v="Decoding to code: Emergent Design"/>
    <n v="5"/>
    <x v="0"/>
    <x v="4"/>
    <n v="1"/>
    <n v="0.11"/>
    <n v="1"/>
    <n v="0.11"/>
    <m/>
  </r>
  <r>
    <s v="2018-19"/>
    <x v="0"/>
    <x v="12"/>
    <s v="L3"/>
    <m/>
    <s v="Decoding to code: Emergent Design"/>
    <n v="5"/>
    <x v="1"/>
    <x v="4"/>
    <n v="0"/>
    <n v="0.11"/>
    <n v="1"/>
    <n v="0"/>
    <m/>
  </r>
  <r>
    <s v="2018-19"/>
    <x v="0"/>
    <x v="12"/>
    <s v="L3"/>
    <m/>
    <s v="Decoding to code: Emergent Design"/>
    <n v="6"/>
    <x v="0"/>
    <x v="5"/>
    <n v="0"/>
    <n v="0.15"/>
    <n v="1"/>
    <n v="0"/>
    <m/>
  </r>
  <r>
    <s v="2018-19"/>
    <x v="0"/>
    <x v="12"/>
    <s v="L3"/>
    <m/>
    <s v="Decoding to code: Emergent Design"/>
    <n v="6"/>
    <x v="1"/>
    <x v="5"/>
    <n v="0"/>
    <n v="0.15"/>
    <n v="1"/>
    <n v="0"/>
    <m/>
  </r>
  <r>
    <s v="2018-19"/>
    <x v="0"/>
    <x v="12"/>
    <s v="L3"/>
    <m/>
    <s v="Decoding to code: Emergent Design"/>
    <n v="7"/>
    <x v="0"/>
    <x v="6"/>
    <n v="1"/>
    <n v="0.1"/>
    <n v="1"/>
    <n v="0.1"/>
    <m/>
  </r>
  <r>
    <s v="2018-19"/>
    <x v="0"/>
    <x v="12"/>
    <s v="L3"/>
    <m/>
    <s v="Decoding to code: Emergent Design"/>
    <n v="7"/>
    <x v="1"/>
    <x v="6"/>
    <n v="0"/>
    <n v="0.1"/>
    <n v="1"/>
    <n v="0"/>
    <m/>
  </r>
  <r>
    <s v="2018-19"/>
    <x v="0"/>
    <x v="12"/>
    <s v="L3"/>
    <m/>
    <s v="Decoding to code: Emergent Design"/>
    <n v="8"/>
    <x v="0"/>
    <x v="7"/>
    <n v="0"/>
    <n v="0.1"/>
    <n v="1"/>
    <n v="0"/>
    <m/>
  </r>
  <r>
    <s v="2018-19"/>
    <x v="0"/>
    <x v="12"/>
    <s v="L3"/>
    <m/>
    <s v="Decoding to code: Emergent Design"/>
    <n v="8"/>
    <x v="1"/>
    <x v="7"/>
    <n v="0"/>
    <n v="0.1"/>
    <n v="1"/>
    <n v="0"/>
    <m/>
  </r>
  <r>
    <s v="2018-19"/>
    <x v="0"/>
    <x v="12"/>
    <s v="L3"/>
    <m/>
    <s v="Decoding to code: Emergent Design"/>
    <n v="9"/>
    <x v="0"/>
    <x v="8"/>
    <n v="0"/>
    <n v="0.05"/>
    <n v="0.85"/>
    <n v="0"/>
    <m/>
  </r>
  <r>
    <s v="2018-19"/>
    <x v="0"/>
    <x v="12"/>
    <s v="L3"/>
    <m/>
    <s v="Decoding to code: Emergent Design"/>
    <n v="9"/>
    <x v="1"/>
    <x v="8"/>
    <n v="1"/>
    <n v="0.05"/>
    <n v="0.85"/>
    <n v="4.2500000000000003E-2"/>
    <m/>
  </r>
  <r>
    <s v="2018-19"/>
    <x v="0"/>
    <x v="12"/>
    <s v="L3"/>
    <m/>
    <s v="Decoding to code: Emergent Design"/>
    <n v="10"/>
    <x v="0"/>
    <x v="8"/>
    <n v="0"/>
    <n v="0.05"/>
    <n v="0.85"/>
    <n v="0"/>
    <m/>
  </r>
  <r>
    <s v="2018-19"/>
    <x v="0"/>
    <x v="12"/>
    <s v="L3"/>
    <m/>
    <s v="Decoding to code: Emergent Design"/>
    <n v="10"/>
    <x v="1"/>
    <x v="8"/>
    <n v="1"/>
    <n v="0.05"/>
    <n v="0.85"/>
    <n v="4.2500000000000003E-2"/>
    <m/>
  </r>
  <r>
    <s v="2018-19"/>
    <x v="0"/>
    <x v="12"/>
    <s v="L3"/>
    <m/>
    <s v="Decoding to code: Emergent Design"/>
    <n v="11"/>
    <x v="0"/>
    <x v="9"/>
    <n v="1"/>
    <n v="0.05"/>
    <n v="1"/>
    <n v="0.05"/>
    <m/>
  </r>
  <r>
    <s v="2018-19"/>
    <x v="0"/>
    <x v="12"/>
    <s v="L3"/>
    <m/>
    <s v="Decoding to code: Emergent Design"/>
    <n v="11"/>
    <x v="1"/>
    <x v="9"/>
    <n v="-1"/>
    <n v="0.05"/>
    <n v="1"/>
    <n v="-0.05"/>
    <m/>
  </r>
  <r>
    <s v="2018-19"/>
    <x v="0"/>
    <x v="13"/>
    <s v="L3"/>
    <m/>
    <s v="Contemporary Rootedness and Built Expression"/>
    <n v="1"/>
    <x v="0"/>
    <x v="0"/>
    <n v="-1"/>
    <n v="0.12"/>
    <n v="1"/>
    <n v="-0.12"/>
    <m/>
  </r>
  <r>
    <s v="2018-19"/>
    <x v="0"/>
    <x v="13"/>
    <s v="L3"/>
    <m/>
    <s v="Contemporary Rootedness and Built Expression"/>
    <n v="1"/>
    <x v="1"/>
    <x v="0"/>
    <m/>
    <n v="0.12"/>
    <n v="1"/>
    <n v="0"/>
    <m/>
  </r>
  <r>
    <s v="2018-19"/>
    <x v="0"/>
    <x v="13"/>
    <s v="L3"/>
    <m/>
    <s v="Contemporary Rootedness and Built Expression"/>
    <n v="2"/>
    <x v="0"/>
    <x v="1"/>
    <m/>
    <n v="0.08"/>
    <n v="0.8"/>
    <n v="0"/>
    <m/>
  </r>
  <r>
    <s v="2018-19"/>
    <x v="0"/>
    <x v="13"/>
    <s v="L3"/>
    <m/>
    <s v="Contemporary Rootedness and Built Expression"/>
    <n v="2"/>
    <x v="1"/>
    <x v="1"/>
    <m/>
    <n v="0.08"/>
    <n v="0.8"/>
    <n v="0"/>
    <m/>
  </r>
  <r>
    <s v="2018-19"/>
    <x v="0"/>
    <x v="13"/>
    <s v="L3"/>
    <m/>
    <s v="Contemporary Rootedness and Built Expression"/>
    <n v="3"/>
    <x v="0"/>
    <x v="2"/>
    <n v="0"/>
    <n v="0.05"/>
    <n v="1"/>
    <n v="0"/>
    <m/>
  </r>
  <r>
    <s v="2018-19"/>
    <x v="0"/>
    <x v="13"/>
    <s v="L3"/>
    <m/>
    <s v="Contemporary Rootedness and Built Expression"/>
    <n v="3"/>
    <x v="1"/>
    <x v="2"/>
    <m/>
    <n v="0.05"/>
    <n v="1"/>
    <n v="0"/>
    <m/>
  </r>
  <r>
    <s v="2018-19"/>
    <x v="0"/>
    <x v="13"/>
    <s v="L3"/>
    <m/>
    <s v="Contemporary Rootedness and Built Expression"/>
    <n v="4"/>
    <x v="0"/>
    <x v="3"/>
    <n v="-1"/>
    <n v="0.14000000000000001"/>
    <n v="1"/>
    <n v="-0.14000000000000001"/>
    <m/>
  </r>
  <r>
    <s v="2018-19"/>
    <x v="0"/>
    <x v="13"/>
    <s v="L3"/>
    <m/>
    <s v="Contemporary Rootedness and Built Expression"/>
    <n v="4"/>
    <x v="1"/>
    <x v="3"/>
    <n v="-1"/>
    <n v="0.14000000000000001"/>
    <n v="1"/>
    <n v="-0.14000000000000001"/>
    <m/>
  </r>
  <r>
    <s v="2018-19"/>
    <x v="0"/>
    <x v="13"/>
    <s v="L3"/>
    <m/>
    <s v="Contemporary Rootedness and Built Expression"/>
    <n v="5"/>
    <x v="0"/>
    <x v="4"/>
    <n v="-1"/>
    <n v="0.11"/>
    <n v="1"/>
    <n v="-0.11"/>
    <m/>
  </r>
  <r>
    <s v="2018-19"/>
    <x v="0"/>
    <x v="13"/>
    <s v="L3"/>
    <m/>
    <s v="Contemporary Rootedness and Built Expression"/>
    <n v="5"/>
    <x v="1"/>
    <x v="4"/>
    <n v="-1"/>
    <n v="0.11"/>
    <n v="1"/>
    <n v="-0.11"/>
    <m/>
  </r>
  <r>
    <s v="2018-19"/>
    <x v="0"/>
    <x v="13"/>
    <s v="L3"/>
    <m/>
    <s v="Contemporary Rootedness and Built Expression"/>
    <n v="6"/>
    <x v="0"/>
    <x v="5"/>
    <n v="-1"/>
    <n v="0.15"/>
    <n v="1"/>
    <n v="-0.15"/>
    <m/>
  </r>
  <r>
    <s v="2018-19"/>
    <x v="0"/>
    <x v="13"/>
    <s v="L3"/>
    <m/>
    <s v="Contemporary Rootedness and Built Expression"/>
    <n v="6"/>
    <x v="1"/>
    <x v="5"/>
    <n v="-1"/>
    <n v="0.15"/>
    <n v="1"/>
    <n v="-0.15"/>
    <m/>
  </r>
  <r>
    <s v="2018-19"/>
    <x v="0"/>
    <x v="13"/>
    <s v="L3"/>
    <m/>
    <s v="Contemporary Rootedness and Built Expression"/>
    <n v="7"/>
    <x v="0"/>
    <x v="6"/>
    <n v="0"/>
    <n v="0.1"/>
    <n v="1"/>
    <n v="0"/>
    <m/>
  </r>
  <r>
    <s v="2018-19"/>
    <x v="0"/>
    <x v="13"/>
    <s v="L3"/>
    <m/>
    <s v="Contemporary Rootedness and Built Expression"/>
    <n v="7"/>
    <x v="1"/>
    <x v="6"/>
    <n v="-1"/>
    <n v="0.1"/>
    <n v="1"/>
    <n v="-0.1"/>
    <m/>
  </r>
  <r>
    <s v="2018-19"/>
    <x v="0"/>
    <x v="13"/>
    <s v="L3"/>
    <m/>
    <s v="Contemporary Rootedness and Built Expression"/>
    <n v="8"/>
    <x v="0"/>
    <x v="7"/>
    <n v="0"/>
    <n v="0.1"/>
    <n v="1"/>
    <n v="0"/>
    <m/>
  </r>
  <r>
    <s v="2018-19"/>
    <x v="0"/>
    <x v="13"/>
    <s v="L3"/>
    <m/>
    <s v="Contemporary Rootedness and Built Expression"/>
    <n v="8"/>
    <x v="1"/>
    <x v="7"/>
    <n v="-1"/>
    <n v="0.1"/>
    <n v="1"/>
    <n v="-0.1"/>
    <m/>
  </r>
  <r>
    <s v="2018-19"/>
    <x v="0"/>
    <x v="13"/>
    <s v="L3"/>
    <m/>
    <s v="Contemporary Rootedness and Built Expression"/>
    <n v="9"/>
    <x v="0"/>
    <x v="8"/>
    <n v="0"/>
    <n v="0.05"/>
    <n v="0.85"/>
    <n v="0"/>
    <m/>
  </r>
  <r>
    <s v="2018-19"/>
    <x v="0"/>
    <x v="13"/>
    <s v="L3"/>
    <m/>
    <s v="Contemporary Rootedness and Built Expression"/>
    <n v="9"/>
    <x v="1"/>
    <x v="8"/>
    <n v="-1"/>
    <n v="0.05"/>
    <n v="0.85"/>
    <n v="-4.2500000000000003E-2"/>
    <m/>
  </r>
  <r>
    <s v="2018-19"/>
    <x v="0"/>
    <x v="13"/>
    <s v="L3"/>
    <m/>
    <s v="Contemporary Rootedness and Built Expression"/>
    <n v="10"/>
    <x v="0"/>
    <x v="8"/>
    <n v="0"/>
    <n v="0.05"/>
    <n v="0.85"/>
    <n v="0"/>
    <m/>
  </r>
  <r>
    <s v="2018-19"/>
    <x v="0"/>
    <x v="13"/>
    <s v="L3"/>
    <m/>
    <s v="Contemporary Rootedness and Built Expression"/>
    <n v="10"/>
    <x v="1"/>
    <x v="8"/>
    <n v="-1"/>
    <n v="0.05"/>
    <n v="0.85"/>
    <n v="-4.2500000000000003E-2"/>
    <m/>
  </r>
  <r>
    <s v="2018-19"/>
    <x v="0"/>
    <x v="13"/>
    <s v="L3"/>
    <m/>
    <s v="Contemporary Rootedness and Built Expression"/>
    <n v="11"/>
    <x v="0"/>
    <x v="9"/>
    <n v="0"/>
    <n v="0.05"/>
    <n v="1"/>
    <n v="0"/>
    <m/>
  </r>
  <r>
    <s v="2018-19"/>
    <x v="0"/>
    <x v="13"/>
    <s v="L3"/>
    <m/>
    <s v="Contemporary Rootedness and Built Expression"/>
    <n v="11"/>
    <x v="1"/>
    <x v="9"/>
    <n v="-1"/>
    <n v="0.05"/>
    <n v="1"/>
    <n v="-0.05"/>
    <m/>
  </r>
  <r>
    <s v="2018-19"/>
    <x v="0"/>
    <x v="14"/>
    <s v="L3"/>
    <m/>
    <s v="Oikopolis: at home in the city"/>
    <n v="1"/>
    <x v="0"/>
    <x v="0"/>
    <n v="0"/>
    <n v="0.12"/>
    <n v="1"/>
    <n v="0"/>
    <m/>
  </r>
  <r>
    <s v="2018-19"/>
    <x v="0"/>
    <x v="14"/>
    <s v="L3"/>
    <m/>
    <s v="Oikopolis: at home in the city"/>
    <n v="1"/>
    <x v="1"/>
    <x v="0"/>
    <n v="1"/>
    <n v="0.12"/>
    <n v="1"/>
    <n v="0.12"/>
    <m/>
  </r>
  <r>
    <s v="2018-19"/>
    <x v="0"/>
    <x v="14"/>
    <s v="L3"/>
    <m/>
    <s v="Oikopolis: at home in the city"/>
    <n v="2"/>
    <x v="0"/>
    <x v="1"/>
    <m/>
    <n v="0.08"/>
    <n v="0.8"/>
    <n v="0"/>
    <m/>
  </r>
  <r>
    <s v="2018-19"/>
    <x v="0"/>
    <x v="14"/>
    <s v="L3"/>
    <m/>
    <s v="Oikopolis: at home in the city"/>
    <n v="2"/>
    <x v="1"/>
    <x v="1"/>
    <n v="1"/>
    <n v="0.08"/>
    <n v="0.8"/>
    <n v="6.4000000000000001E-2"/>
    <m/>
  </r>
  <r>
    <s v="2018-19"/>
    <x v="0"/>
    <x v="14"/>
    <s v="L3"/>
    <m/>
    <s v="Oikopolis: at home in the city"/>
    <n v="3"/>
    <x v="0"/>
    <x v="2"/>
    <n v="1"/>
    <n v="0.05"/>
    <n v="1"/>
    <n v="0.05"/>
    <m/>
  </r>
  <r>
    <s v="2018-19"/>
    <x v="0"/>
    <x v="14"/>
    <s v="L3"/>
    <m/>
    <s v="Oikopolis: at home in the city"/>
    <n v="3"/>
    <x v="1"/>
    <x v="2"/>
    <n v="1"/>
    <n v="0.05"/>
    <n v="1"/>
    <n v="0.05"/>
    <m/>
  </r>
  <r>
    <s v="2018-19"/>
    <x v="0"/>
    <x v="14"/>
    <s v="L3"/>
    <m/>
    <s v="Oikopolis: at home in the city"/>
    <n v="4"/>
    <x v="0"/>
    <x v="3"/>
    <n v="0"/>
    <n v="0.14000000000000001"/>
    <n v="1"/>
    <n v="0"/>
    <m/>
  </r>
  <r>
    <s v="2018-19"/>
    <x v="0"/>
    <x v="14"/>
    <s v="L3"/>
    <m/>
    <s v="Oikopolis: at home in the city"/>
    <n v="4"/>
    <x v="1"/>
    <x v="3"/>
    <n v="1"/>
    <n v="0.14000000000000001"/>
    <n v="1"/>
    <n v="0.14000000000000001"/>
    <m/>
  </r>
  <r>
    <s v="2018-19"/>
    <x v="0"/>
    <x v="14"/>
    <s v="L3"/>
    <m/>
    <s v="Oikopolis: at home in the city"/>
    <n v="5"/>
    <x v="0"/>
    <x v="4"/>
    <n v="0"/>
    <n v="0.11"/>
    <n v="1"/>
    <n v="0"/>
    <m/>
  </r>
  <r>
    <s v="2018-19"/>
    <x v="0"/>
    <x v="14"/>
    <s v="L3"/>
    <m/>
    <s v="Oikopolis: at home in the city"/>
    <n v="5"/>
    <x v="1"/>
    <x v="4"/>
    <n v="1"/>
    <n v="0.11"/>
    <n v="1"/>
    <n v="0.11"/>
    <m/>
  </r>
  <r>
    <s v="2018-19"/>
    <x v="0"/>
    <x v="14"/>
    <s v="L3"/>
    <m/>
    <s v="Oikopolis: at home in the city"/>
    <n v="6"/>
    <x v="0"/>
    <x v="5"/>
    <n v="0"/>
    <n v="0.15"/>
    <n v="1"/>
    <n v="0"/>
    <m/>
  </r>
  <r>
    <s v="2018-19"/>
    <x v="0"/>
    <x v="14"/>
    <s v="L3"/>
    <m/>
    <s v="Oikopolis: at home in the city"/>
    <n v="6"/>
    <x v="1"/>
    <x v="5"/>
    <n v="1"/>
    <n v="0.15"/>
    <n v="1"/>
    <n v="0.15"/>
    <m/>
  </r>
  <r>
    <s v="2018-19"/>
    <x v="0"/>
    <x v="14"/>
    <s v="L3"/>
    <m/>
    <s v="Oikopolis: at home in the city"/>
    <n v="7"/>
    <x v="0"/>
    <x v="6"/>
    <n v="1"/>
    <n v="0.1"/>
    <n v="1"/>
    <n v="0.1"/>
    <m/>
  </r>
  <r>
    <s v="2018-19"/>
    <x v="0"/>
    <x v="14"/>
    <s v="L3"/>
    <m/>
    <s v="Oikopolis: at home in the city"/>
    <n v="7"/>
    <x v="1"/>
    <x v="6"/>
    <n v="0"/>
    <n v="0.1"/>
    <n v="1"/>
    <n v="0"/>
    <m/>
  </r>
  <r>
    <s v="2018-19"/>
    <x v="0"/>
    <x v="14"/>
    <s v="L3"/>
    <m/>
    <s v="Oikopolis: at home in the city"/>
    <n v="8"/>
    <x v="0"/>
    <x v="7"/>
    <n v="1"/>
    <n v="0.1"/>
    <n v="1"/>
    <n v="0.1"/>
    <m/>
  </r>
  <r>
    <s v="2018-19"/>
    <x v="0"/>
    <x v="14"/>
    <s v="L3"/>
    <m/>
    <s v="Oikopolis: at home in the city"/>
    <n v="8"/>
    <x v="1"/>
    <x v="7"/>
    <n v="0"/>
    <n v="0.1"/>
    <n v="1"/>
    <n v="0"/>
    <m/>
  </r>
  <r>
    <s v="2018-19"/>
    <x v="0"/>
    <x v="14"/>
    <s v="L3"/>
    <m/>
    <s v="Oikopolis: at home in the city"/>
    <n v="9"/>
    <x v="0"/>
    <x v="8"/>
    <n v="1"/>
    <n v="0.05"/>
    <n v="0.85"/>
    <n v="4.2500000000000003E-2"/>
    <m/>
  </r>
  <r>
    <s v="2018-19"/>
    <x v="0"/>
    <x v="14"/>
    <s v="L3"/>
    <m/>
    <s v="Oikopolis: at home in the city"/>
    <n v="9"/>
    <x v="1"/>
    <x v="8"/>
    <n v="1"/>
    <n v="0.05"/>
    <n v="0.85"/>
    <n v="4.2500000000000003E-2"/>
    <m/>
  </r>
  <r>
    <s v="2018-19"/>
    <x v="0"/>
    <x v="14"/>
    <s v="L3"/>
    <m/>
    <s v="Oikopolis: at home in the city"/>
    <n v="10"/>
    <x v="0"/>
    <x v="8"/>
    <n v="1"/>
    <n v="0.05"/>
    <n v="0.85"/>
    <n v="4.2500000000000003E-2"/>
    <m/>
  </r>
  <r>
    <s v="2018-19"/>
    <x v="0"/>
    <x v="14"/>
    <s v="L3"/>
    <m/>
    <s v="Oikopolis: at home in the city"/>
    <n v="10"/>
    <x v="1"/>
    <x v="8"/>
    <n v="1"/>
    <n v="0.05"/>
    <n v="0.85"/>
    <n v="4.2500000000000003E-2"/>
    <m/>
  </r>
  <r>
    <s v="2018-19"/>
    <x v="0"/>
    <x v="14"/>
    <s v="L3"/>
    <m/>
    <s v="Oikopolis: at home in the city"/>
    <n v="11"/>
    <x v="0"/>
    <x v="9"/>
    <n v="0"/>
    <n v="0.05"/>
    <n v="1"/>
    <n v="0"/>
    <m/>
  </r>
  <r>
    <s v="2018-19"/>
    <x v="0"/>
    <x v="14"/>
    <s v="L3"/>
    <m/>
    <s v="Oikopolis: at home in the city"/>
    <n v="11"/>
    <x v="1"/>
    <x v="9"/>
    <n v="-1"/>
    <n v="0.05"/>
    <n v="1"/>
    <n v="-0.05"/>
    <m/>
  </r>
  <r>
    <s v="2018-19"/>
    <x v="0"/>
    <x v="15"/>
    <s v="L3"/>
    <m/>
    <s v="Spaces for place, people and programme"/>
    <n v="1"/>
    <x v="0"/>
    <x v="0"/>
    <n v="1"/>
    <n v="0.12"/>
    <n v="1"/>
    <n v="0.12"/>
    <m/>
  </r>
  <r>
    <s v="2018-19"/>
    <x v="0"/>
    <x v="15"/>
    <s v="L3"/>
    <m/>
    <s v="Spaces for place, people and programme"/>
    <n v="1"/>
    <x v="1"/>
    <x v="0"/>
    <n v="1"/>
    <n v="0.12"/>
    <n v="1"/>
    <n v="0.12"/>
    <m/>
  </r>
  <r>
    <s v="2018-19"/>
    <x v="0"/>
    <x v="15"/>
    <s v="L3"/>
    <m/>
    <s v="Spaces for place, people and programme"/>
    <n v="2"/>
    <x v="0"/>
    <x v="1"/>
    <m/>
    <n v="0.08"/>
    <n v="0.8"/>
    <n v="0"/>
    <m/>
  </r>
  <r>
    <s v="2018-19"/>
    <x v="0"/>
    <x v="15"/>
    <s v="L3"/>
    <m/>
    <s v="Spaces for place, people and programme"/>
    <n v="2"/>
    <x v="1"/>
    <x v="1"/>
    <n v="1"/>
    <n v="0.08"/>
    <n v="0.8"/>
    <n v="6.4000000000000001E-2"/>
    <m/>
  </r>
  <r>
    <s v="2018-19"/>
    <x v="0"/>
    <x v="15"/>
    <s v="L3"/>
    <m/>
    <s v="Spaces for place, people and programme"/>
    <n v="3"/>
    <x v="0"/>
    <x v="2"/>
    <n v="1"/>
    <n v="0.05"/>
    <n v="1"/>
    <n v="0.05"/>
    <m/>
  </r>
  <r>
    <s v="2018-19"/>
    <x v="0"/>
    <x v="15"/>
    <s v="L3"/>
    <m/>
    <s v="Spaces for place, people and programme"/>
    <n v="3"/>
    <x v="1"/>
    <x v="2"/>
    <n v="0"/>
    <n v="0.05"/>
    <n v="1"/>
    <n v="0"/>
    <m/>
  </r>
  <r>
    <s v="2018-19"/>
    <x v="0"/>
    <x v="15"/>
    <s v="L3"/>
    <m/>
    <s v="Spaces for place, people and programme"/>
    <n v="4"/>
    <x v="0"/>
    <x v="3"/>
    <n v="-1"/>
    <n v="0.14000000000000001"/>
    <n v="1"/>
    <n v="-0.14000000000000001"/>
    <m/>
  </r>
  <r>
    <s v="2018-19"/>
    <x v="0"/>
    <x v="15"/>
    <s v="L3"/>
    <m/>
    <s v="Spaces for place, people and programme"/>
    <n v="4"/>
    <x v="1"/>
    <x v="3"/>
    <n v="0"/>
    <n v="0.14000000000000001"/>
    <n v="1"/>
    <n v="0"/>
    <m/>
  </r>
  <r>
    <s v="2018-19"/>
    <x v="0"/>
    <x v="15"/>
    <s v="L3"/>
    <m/>
    <s v="Spaces for place, people and programme"/>
    <n v="5"/>
    <x v="0"/>
    <x v="4"/>
    <n v="-1"/>
    <n v="0.11"/>
    <n v="1"/>
    <n v="-0.11"/>
    <m/>
  </r>
  <r>
    <s v="2018-19"/>
    <x v="0"/>
    <x v="15"/>
    <s v="L3"/>
    <m/>
    <s v="Spaces for place, people and programme"/>
    <n v="5"/>
    <x v="1"/>
    <x v="4"/>
    <n v="0"/>
    <n v="0.11"/>
    <n v="1"/>
    <n v="0"/>
    <m/>
  </r>
  <r>
    <s v="2018-19"/>
    <x v="0"/>
    <x v="15"/>
    <s v="L3"/>
    <m/>
    <s v="Spaces for place, people and programme"/>
    <n v="6"/>
    <x v="0"/>
    <x v="5"/>
    <n v="0"/>
    <n v="0.15"/>
    <n v="1"/>
    <n v="0"/>
    <m/>
  </r>
  <r>
    <s v="2018-19"/>
    <x v="0"/>
    <x v="15"/>
    <s v="L3"/>
    <m/>
    <s v="Spaces for place, people and programme"/>
    <n v="6"/>
    <x v="1"/>
    <x v="5"/>
    <n v="0"/>
    <n v="0.15"/>
    <n v="1"/>
    <n v="0"/>
    <m/>
  </r>
  <r>
    <s v="2018-19"/>
    <x v="0"/>
    <x v="15"/>
    <s v="L3"/>
    <m/>
    <s v="Spaces for place, people and programme"/>
    <n v="7"/>
    <x v="0"/>
    <x v="6"/>
    <n v="-1"/>
    <n v="0.1"/>
    <n v="1"/>
    <n v="-0.1"/>
    <m/>
  </r>
  <r>
    <s v="2018-19"/>
    <x v="0"/>
    <x v="15"/>
    <s v="L3"/>
    <m/>
    <s v="Spaces for place, people and programme"/>
    <n v="7"/>
    <x v="1"/>
    <x v="6"/>
    <n v="-1"/>
    <n v="0.1"/>
    <n v="1"/>
    <n v="-0.1"/>
    <m/>
  </r>
  <r>
    <s v="2018-19"/>
    <x v="0"/>
    <x v="15"/>
    <s v="L3"/>
    <m/>
    <s v="Spaces for place, people and programme"/>
    <n v="8"/>
    <x v="0"/>
    <x v="7"/>
    <n v="-1"/>
    <n v="0.1"/>
    <n v="1"/>
    <n v="-0.1"/>
    <m/>
  </r>
  <r>
    <s v="2018-19"/>
    <x v="0"/>
    <x v="15"/>
    <s v="L3"/>
    <m/>
    <s v="Spaces for place, people and programme"/>
    <n v="8"/>
    <x v="1"/>
    <x v="7"/>
    <n v="-1"/>
    <n v="0.1"/>
    <n v="1"/>
    <n v="-0.1"/>
    <m/>
  </r>
  <r>
    <s v="2018-19"/>
    <x v="0"/>
    <x v="15"/>
    <s v="L3"/>
    <m/>
    <s v="Spaces for place, people and programme"/>
    <n v="9"/>
    <x v="0"/>
    <x v="8"/>
    <n v="-1"/>
    <n v="0.05"/>
    <n v="0.85"/>
    <n v="-4.2500000000000003E-2"/>
    <m/>
  </r>
  <r>
    <s v="2018-19"/>
    <x v="0"/>
    <x v="15"/>
    <s v="L3"/>
    <m/>
    <s v="Spaces for place, people and programme"/>
    <n v="9"/>
    <x v="1"/>
    <x v="8"/>
    <n v="0"/>
    <n v="0.05"/>
    <n v="0.85"/>
    <n v="0"/>
    <m/>
  </r>
  <r>
    <s v="2018-19"/>
    <x v="0"/>
    <x v="15"/>
    <s v="L3"/>
    <m/>
    <s v="Spaces for place, people and programme"/>
    <n v="10"/>
    <x v="0"/>
    <x v="8"/>
    <n v="-1"/>
    <n v="0.05"/>
    <n v="0.85"/>
    <n v="-4.2500000000000003E-2"/>
    <m/>
  </r>
  <r>
    <s v="2018-19"/>
    <x v="0"/>
    <x v="15"/>
    <s v="L3"/>
    <m/>
    <s v="Spaces for place, people and programme"/>
    <n v="10"/>
    <x v="1"/>
    <x v="8"/>
    <n v="0"/>
    <n v="0.05"/>
    <n v="0.85"/>
    <n v="0"/>
    <m/>
  </r>
  <r>
    <s v="2018-19"/>
    <x v="0"/>
    <x v="15"/>
    <s v="L3"/>
    <m/>
    <s v="Spaces for place, people and programme"/>
    <n v="11"/>
    <x v="0"/>
    <x v="9"/>
    <n v="-1"/>
    <n v="0.05"/>
    <n v="1"/>
    <n v="-0.05"/>
    <m/>
  </r>
  <r>
    <s v="2018-19"/>
    <x v="0"/>
    <x v="15"/>
    <s v="L3"/>
    <m/>
    <s v="Spaces for place, people and programme"/>
    <n v="11"/>
    <x v="1"/>
    <x v="9"/>
    <n v="-1"/>
    <n v="0.05"/>
    <n v="1"/>
    <n v="-0.05"/>
    <m/>
  </r>
  <r>
    <s v="2018-19"/>
    <x v="1"/>
    <x v="0"/>
    <s v="L2"/>
    <s v="Visualization and Communication"/>
    <s v="The Purpose of Architecture : Exploring Design Interventions and Strategies"/>
    <n v="1"/>
    <x v="0"/>
    <x v="0"/>
    <n v="1"/>
    <n v="0.12"/>
    <n v="1"/>
    <n v="0.12"/>
    <m/>
  </r>
  <r>
    <s v="2018-19"/>
    <x v="1"/>
    <x v="0"/>
    <s v="L2"/>
    <s v="Visualization and Communication"/>
    <s v="The Purpose of Architecture : Exploring Design Interventions and Strategies"/>
    <n v="1"/>
    <x v="1"/>
    <x v="0"/>
    <n v="1"/>
    <n v="0.12"/>
    <n v="1"/>
    <n v="0.12"/>
    <m/>
  </r>
  <r>
    <s v="2018-19"/>
    <x v="1"/>
    <x v="0"/>
    <s v="L2"/>
    <s v="Visualization and Communication"/>
    <s v="The Purpose of Architecture : Exploring Design Interventions and Strategies"/>
    <n v="2"/>
    <x v="0"/>
    <x v="1"/>
    <n v="1"/>
    <n v="0.08"/>
    <n v="0.8"/>
    <n v="6.4000000000000001E-2"/>
    <m/>
  </r>
  <r>
    <s v="2018-19"/>
    <x v="1"/>
    <x v="0"/>
    <s v="L2"/>
    <s v="Visualization and Communication"/>
    <s v="The Purpose of Architecture : Exploring Design Interventions and Strategies"/>
    <n v="2"/>
    <x v="1"/>
    <x v="1"/>
    <n v="1"/>
    <n v="0.08"/>
    <n v="0.8"/>
    <n v="6.4000000000000001E-2"/>
    <m/>
  </r>
  <r>
    <s v="2018-19"/>
    <x v="1"/>
    <x v="0"/>
    <s v="L2"/>
    <s v="Visualization and Communication"/>
    <s v="The Purpose of Architecture : Exploring Design Interventions and Strategies"/>
    <n v="3"/>
    <x v="0"/>
    <x v="2"/>
    <n v="1"/>
    <n v="0.05"/>
    <n v="1"/>
    <n v="0.05"/>
    <m/>
  </r>
  <r>
    <s v="2018-19"/>
    <x v="1"/>
    <x v="0"/>
    <s v="L2"/>
    <s v="Visualization and Communication"/>
    <s v="The Purpose of Architecture : Exploring Design Interventions and Strategies"/>
    <n v="3"/>
    <x v="1"/>
    <x v="2"/>
    <n v="-1"/>
    <n v="0.05"/>
    <n v="1"/>
    <n v="-0.05"/>
    <s v="Very narrowly conceptualised"/>
  </r>
  <r>
    <s v="2018-19"/>
    <x v="1"/>
    <x v="0"/>
    <s v="L2"/>
    <s v="Visualization and Communication"/>
    <s v="The Purpose of Architecture : Exploring Design Interventions and Strategies"/>
    <n v="4"/>
    <x v="0"/>
    <x v="3"/>
    <n v="1"/>
    <n v="0.14000000000000001"/>
    <n v="1"/>
    <n v="0.14000000000000001"/>
    <m/>
  </r>
  <r>
    <s v="2018-19"/>
    <x v="1"/>
    <x v="0"/>
    <s v="L2"/>
    <s v="Visualization and Communication"/>
    <s v="The Purpose of Architecture : Exploring Design Interventions and Strategies"/>
    <n v="4"/>
    <x v="1"/>
    <x v="3"/>
    <n v="-1"/>
    <n v="0.14000000000000001"/>
    <n v="1"/>
    <n v="-0.14000000000000001"/>
    <s v="Students have failed to grapple with the problem"/>
  </r>
  <r>
    <s v="2018-19"/>
    <x v="1"/>
    <x v="0"/>
    <s v="L2"/>
    <s v="Visualization and Communication"/>
    <s v="The Purpose of Architecture : Exploring Design Interventions and Strategies"/>
    <n v="5"/>
    <x v="0"/>
    <x v="4"/>
    <n v="1"/>
    <n v="0.11"/>
    <n v="1"/>
    <n v="0.11"/>
    <m/>
  </r>
  <r>
    <s v="2018-19"/>
    <x v="1"/>
    <x v="0"/>
    <s v="L2"/>
    <s v="Visualization and Communication"/>
    <s v="The Purpose of Architecture : Exploring Design Interventions and Strategies"/>
    <n v="5"/>
    <x v="1"/>
    <x v="4"/>
    <n v="-1"/>
    <n v="0.11"/>
    <n v="1"/>
    <n v="-0.11"/>
    <s v="The process appears very fragmented and lacks continuity"/>
  </r>
  <r>
    <s v="2018-19"/>
    <x v="1"/>
    <x v="0"/>
    <s v="L2"/>
    <s v="Visualization and Communication"/>
    <s v="The Purpose of Architecture : Exploring Design Interventions and Strategies"/>
    <n v="6"/>
    <x v="0"/>
    <x v="5"/>
    <n v="1"/>
    <n v="0.15"/>
    <n v="1"/>
    <n v="0.15"/>
    <m/>
  </r>
  <r>
    <s v="2018-19"/>
    <x v="1"/>
    <x v="0"/>
    <s v="L2"/>
    <s v="Visualization and Communication"/>
    <s v="The Purpose of Architecture : Exploring Design Interventions and Strategies"/>
    <n v="6"/>
    <x v="1"/>
    <x v="5"/>
    <n v="-1"/>
    <n v="0.15"/>
    <n v="1"/>
    <n v="-0.15"/>
    <s v="Quite unispiring"/>
  </r>
  <r>
    <s v="2018-19"/>
    <x v="1"/>
    <x v="0"/>
    <s v="L2"/>
    <s v="Visualization and Communication"/>
    <s v="The Purpose of Architecture : Exploring Design Interventions and Strategies"/>
    <n v="7"/>
    <x v="0"/>
    <x v="6"/>
    <n v="0"/>
    <n v="0.1"/>
    <n v="1"/>
    <n v="0"/>
    <m/>
  </r>
  <r>
    <s v="2018-19"/>
    <x v="1"/>
    <x v="0"/>
    <s v="L2"/>
    <s v="Visualization and Communication"/>
    <s v="The Purpose of Architecture : Exploring Design Interventions and Strategies"/>
    <n v="7"/>
    <x v="1"/>
    <x v="6"/>
    <n v="-1"/>
    <n v="0.1"/>
    <n v="1"/>
    <n v="-0.1"/>
    <s v="Yes, it’s full of loose ends and the medium is quite broken."/>
  </r>
  <r>
    <s v="2018-19"/>
    <x v="1"/>
    <x v="0"/>
    <s v="L2"/>
    <s v="Visualization and Communication"/>
    <s v="The Purpose of Architecture : Exploring Design Interventions and Strategies"/>
    <n v="8"/>
    <x v="0"/>
    <x v="7"/>
    <n v="0"/>
    <n v="0.1"/>
    <n v="1"/>
    <n v="0"/>
    <m/>
  </r>
  <r>
    <s v="2018-19"/>
    <x v="1"/>
    <x v="0"/>
    <s v="L2"/>
    <s v="Visualization and Communication"/>
    <s v="The Purpose of Architecture : Exploring Design Interventions and Strategies"/>
    <n v="8"/>
    <x v="1"/>
    <x v="7"/>
    <n v="0"/>
    <n v="0.1"/>
    <n v="1"/>
    <n v="0"/>
    <m/>
  </r>
  <r>
    <s v="2018-19"/>
    <x v="1"/>
    <x v="0"/>
    <s v="L2"/>
    <s v="Visualization and Communication"/>
    <s v="The Purpose of Architecture : Exploring Design Interventions and Strategies"/>
    <n v="9"/>
    <x v="0"/>
    <x v="8"/>
    <n v="0"/>
    <n v="0.05"/>
    <n v="0.85"/>
    <n v="0"/>
    <m/>
  </r>
  <r>
    <s v="2018-19"/>
    <x v="1"/>
    <x v="0"/>
    <s v="L2"/>
    <s v="Visualization and Communication"/>
    <s v="The Purpose of Architecture : Exploring Design Interventions and Strategies"/>
    <n v="9"/>
    <x v="1"/>
    <x v="8"/>
    <n v="0"/>
    <n v="0.05"/>
    <n v="0.85"/>
    <n v="0"/>
    <m/>
  </r>
  <r>
    <s v="2018-19"/>
    <x v="1"/>
    <x v="0"/>
    <s v="L2"/>
    <s v="Visualization and Communication"/>
    <s v="The Purpose of Architecture : Exploring Design Interventions and Strategies"/>
    <n v="10"/>
    <x v="0"/>
    <x v="8"/>
    <n v="0"/>
    <n v="0.05"/>
    <n v="0.85"/>
    <n v="0"/>
    <m/>
  </r>
  <r>
    <s v="2018-19"/>
    <x v="1"/>
    <x v="0"/>
    <s v="L2"/>
    <s v="Visualization and Communication"/>
    <s v="The Purpose of Architecture : Exploring Design Interventions and Strategies"/>
    <n v="10"/>
    <x v="1"/>
    <x v="8"/>
    <n v="0"/>
    <n v="0.05"/>
    <n v="0.85"/>
    <n v="0"/>
    <m/>
  </r>
  <r>
    <s v="2018-19"/>
    <x v="1"/>
    <x v="0"/>
    <s v="L2"/>
    <s v="Visualization and Communication"/>
    <s v="The Purpose of Architecture : Exploring Design Interventions and Strategies"/>
    <n v="11"/>
    <x v="0"/>
    <x v="9"/>
    <n v="0"/>
    <n v="0.05"/>
    <n v="1"/>
    <n v="0"/>
    <m/>
  </r>
  <r>
    <s v="2018-19"/>
    <x v="1"/>
    <x v="0"/>
    <s v="L2"/>
    <s v="Visualization and Communication"/>
    <s v="The Purpose of Architecture : Exploring Design Interventions and Strategies"/>
    <n v="11"/>
    <x v="1"/>
    <x v="9"/>
    <n v="-1"/>
    <n v="0.05"/>
    <n v="1"/>
    <n v="-0.05"/>
    <s v="Absolutley not"/>
  </r>
  <r>
    <s v="2018-19"/>
    <x v="1"/>
    <x v="1"/>
    <s v="L2"/>
    <s v="Constructing and Specifying"/>
    <s v="Strange Details"/>
    <n v="1"/>
    <x v="0"/>
    <x v="0"/>
    <n v="0"/>
    <n v="0.12"/>
    <n v="1"/>
    <n v="0"/>
    <m/>
  </r>
  <r>
    <s v="2018-19"/>
    <x v="1"/>
    <x v="1"/>
    <s v="L2"/>
    <s v="Constructing and Specifying"/>
    <s v="Strange Details"/>
    <n v="1"/>
    <x v="1"/>
    <x v="0"/>
    <n v="1"/>
    <n v="0.12"/>
    <n v="1"/>
    <n v="0.12"/>
    <m/>
  </r>
  <r>
    <s v="2018-19"/>
    <x v="1"/>
    <x v="1"/>
    <s v="L2"/>
    <s v="Constructing and Specifying"/>
    <s v="Strange Details"/>
    <n v="2"/>
    <x v="0"/>
    <x v="1"/>
    <n v="0"/>
    <n v="0.08"/>
    <n v="0.8"/>
    <n v="0"/>
    <m/>
  </r>
  <r>
    <s v="2018-19"/>
    <x v="1"/>
    <x v="1"/>
    <s v="L2"/>
    <s v="Constructing and Specifying"/>
    <s v="Strange Details"/>
    <n v="2"/>
    <x v="1"/>
    <x v="1"/>
    <n v="1"/>
    <n v="0.08"/>
    <n v="0.8"/>
    <n v="6.4000000000000001E-2"/>
    <m/>
  </r>
  <r>
    <s v="2018-19"/>
    <x v="1"/>
    <x v="1"/>
    <s v="L2"/>
    <s v="Constructing and Specifying"/>
    <s v="Strange Details"/>
    <n v="3"/>
    <x v="0"/>
    <x v="2"/>
    <n v="1"/>
    <n v="0.05"/>
    <n v="1"/>
    <n v="0.05"/>
    <s v="It needs to improve. Lacks clarity"/>
  </r>
  <r>
    <s v="2018-19"/>
    <x v="1"/>
    <x v="1"/>
    <s v="L2"/>
    <s v="Constructing and Specifying"/>
    <s v="Strange Details"/>
    <n v="3"/>
    <x v="1"/>
    <x v="2"/>
    <n v="0"/>
    <n v="0.05"/>
    <n v="1"/>
    <n v="0"/>
    <m/>
  </r>
  <r>
    <s v="2018-19"/>
    <x v="1"/>
    <x v="1"/>
    <s v="L2"/>
    <s v="Constructing and Specifying"/>
    <s v="Strange Details"/>
    <n v="4"/>
    <x v="0"/>
    <x v="3"/>
    <n v="0"/>
    <n v="0.14000000000000001"/>
    <n v="1"/>
    <n v="0"/>
    <s v="To an extant."/>
  </r>
  <r>
    <s v="2018-19"/>
    <x v="1"/>
    <x v="1"/>
    <s v="L2"/>
    <s v="Constructing and Specifying"/>
    <s v="Strange Details"/>
    <n v="4"/>
    <x v="1"/>
    <x v="3"/>
    <n v="0"/>
    <n v="0.14000000000000001"/>
    <n v="1"/>
    <n v="0"/>
    <m/>
  </r>
  <r>
    <s v="2018-19"/>
    <x v="1"/>
    <x v="1"/>
    <s v="L2"/>
    <s v="Constructing and Specifying"/>
    <s v="Strange Details"/>
    <n v="5"/>
    <x v="0"/>
    <x v="4"/>
    <n v="0"/>
    <n v="0.11"/>
    <n v="1"/>
    <n v="0"/>
    <m/>
  </r>
  <r>
    <s v="2018-19"/>
    <x v="1"/>
    <x v="1"/>
    <s v="L2"/>
    <s v="Constructing and Specifying"/>
    <s v="Strange Details"/>
    <n v="5"/>
    <x v="1"/>
    <x v="4"/>
    <n v="-1"/>
    <n v="0.11"/>
    <n v="1"/>
    <n v="-0.11"/>
    <s v="No"/>
  </r>
  <r>
    <s v="2018-19"/>
    <x v="1"/>
    <x v="1"/>
    <s v="L2"/>
    <s v="Constructing and Specifying"/>
    <s v="Strange Details"/>
    <n v="6"/>
    <x v="0"/>
    <x v="5"/>
    <n v="0"/>
    <n v="0.15"/>
    <n v="1"/>
    <n v="0"/>
    <m/>
  </r>
  <r>
    <s v="2018-19"/>
    <x v="1"/>
    <x v="1"/>
    <s v="L2"/>
    <s v="Constructing and Specifying"/>
    <s v="Strange Details"/>
    <n v="6"/>
    <x v="1"/>
    <x v="5"/>
    <n v="-1"/>
    <n v="0.15"/>
    <n v="1"/>
    <n v="-0.15"/>
    <s v="No"/>
  </r>
  <r>
    <s v="2018-19"/>
    <x v="1"/>
    <x v="1"/>
    <s v="L2"/>
    <s v="Constructing and Specifying"/>
    <s v="Strange Details"/>
    <n v="7"/>
    <x v="0"/>
    <x v="6"/>
    <n v="0"/>
    <n v="0.1"/>
    <n v="1"/>
    <n v="0"/>
    <m/>
  </r>
  <r>
    <s v="2018-19"/>
    <x v="1"/>
    <x v="1"/>
    <s v="L2"/>
    <s v="Constructing and Specifying"/>
    <s v="Strange Details"/>
    <n v="7"/>
    <x v="1"/>
    <x v="6"/>
    <n v="-1"/>
    <n v="0.1"/>
    <n v="1"/>
    <n v="-0.1"/>
    <m/>
  </r>
  <r>
    <s v="2018-19"/>
    <x v="1"/>
    <x v="1"/>
    <s v="L2"/>
    <s v="Constructing and Specifying"/>
    <s v="Strange Details"/>
    <n v="8"/>
    <x v="0"/>
    <x v="7"/>
    <n v="0"/>
    <n v="0.1"/>
    <n v="1"/>
    <n v="0"/>
    <m/>
  </r>
  <r>
    <s v="2018-19"/>
    <x v="1"/>
    <x v="1"/>
    <s v="L2"/>
    <s v="Constructing and Specifying"/>
    <s v="Strange Details"/>
    <n v="8"/>
    <x v="1"/>
    <x v="7"/>
    <n v="-1"/>
    <n v="0.1"/>
    <n v="1"/>
    <n v="-0.1"/>
    <s v="Mediocre"/>
  </r>
  <r>
    <s v="2018-19"/>
    <x v="1"/>
    <x v="1"/>
    <s v="L2"/>
    <s v="Constructing and Specifying"/>
    <s v="Strange Details"/>
    <n v="9"/>
    <x v="0"/>
    <x v="8"/>
    <n v="0"/>
    <n v="0.05"/>
    <n v="0.85"/>
    <n v="0"/>
    <m/>
  </r>
  <r>
    <s v="2018-19"/>
    <x v="1"/>
    <x v="1"/>
    <s v="L2"/>
    <s v="Constructing and Specifying"/>
    <s v="Strange Details"/>
    <n v="9"/>
    <x v="1"/>
    <x v="8"/>
    <n v="1"/>
    <n v="0.05"/>
    <n v="0.85"/>
    <n v="4.2500000000000003E-2"/>
    <m/>
  </r>
  <r>
    <s v="2018-19"/>
    <x v="1"/>
    <x v="1"/>
    <s v="L2"/>
    <s v="Constructing and Specifying"/>
    <s v="Strange Details"/>
    <n v="10"/>
    <x v="0"/>
    <x v="8"/>
    <n v="-1"/>
    <n v="0.05"/>
    <n v="0.85"/>
    <n v="-4.2500000000000003E-2"/>
    <m/>
  </r>
  <r>
    <s v="2018-19"/>
    <x v="1"/>
    <x v="1"/>
    <s v="L2"/>
    <s v="Constructing and Specifying"/>
    <s v="Strange Details"/>
    <n v="10"/>
    <x v="1"/>
    <x v="8"/>
    <n v="1"/>
    <n v="0.05"/>
    <n v="0.85"/>
    <n v="4.2500000000000003E-2"/>
    <m/>
  </r>
  <r>
    <s v="2018-19"/>
    <x v="1"/>
    <x v="1"/>
    <s v="L2"/>
    <s v="Constructing and Specifying"/>
    <s v="Strange Details"/>
    <n v="11"/>
    <x v="0"/>
    <x v="9"/>
    <n v="0"/>
    <n v="0.05"/>
    <n v="1"/>
    <n v="0"/>
    <m/>
  </r>
  <r>
    <s v="2018-19"/>
    <x v="1"/>
    <x v="1"/>
    <s v="L2"/>
    <s v="Constructing and Specifying"/>
    <s v="Strange Details"/>
    <n v="11"/>
    <x v="1"/>
    <x v="9"/>
    <n v="-1"/>
    <n v="0.05"/>
    <n v="1"/>
    <n v="-0.05"/>
    <s v="N0."/>
  </r>
  <r>
    <s v="2018-19"/>
    <x v="1"/>
    <x v="2"/>
    <s v="L2"/>
    <s v="Spatial Planning and Organization"/>
    <s v="Of Immediate and Afar"/>
    <n v="1"/>
    <x v="0"/>
    <x v="0"/>
    <n v="-1"/>
    <n v="0.12"/>
    <n v="1"/>
    <n v="-0.12"/>
    <m/>
  </r>
  <r>
    <s v="2018-19"/>
    <x v="1"/>
    <x v="2"/>
    <s v="L2"/>
    <s v="Spatial Planning and Organization"/>
    <s v="Of Immediate and Afar"/>
    <n v="1"/>
    <x v="1"/>
    <x v="0"/>
    <n v="1"/>
    <n v="0.12"/>
    <n v="1"/>
    <n v="0.12"/>
    <m/>
  </r>
  <r>
    <s v="2018-19"/>
    <x v="1"/>
    <x v="2"/>
    <s v="L2"/>
    <s v="Spatial Planning and Organization"/>
    <s v="Of Immediate and Afar"/>
    <n v="2"/>
    <x v="0"/>
    <x v="1"/>
    <n v="0"/>
    <n v="0.08"/>
    <n v="0.8"/>
    <n v="0"/>
    <m/>
  </r>
  <r>
    <s v="2018-19"/>
    <x v="1"/>
    <x v="2"/>
    <s v="L2"/>
    <s v="Spatial Planning and Organization"/>
    <s v="Of Immediate and Afar"/>
    <n v="2"/>
    <x v="1"/>
    <x v="1"/>
    <n v="1"/>
    <n v="0.08"/>
    <n v="0.8"/>
    <n v="6.4000000000000001E-2"/>
    <m/>
  </r>
  <r>
    <s v="2018-19"/>
    <x v="1"/>
    <x v="2"/>
    <s v="L2"/>
    <s v="Spatial Planning and Organization"/>
    <s v="Of Immediate and Afar"/>
    <n v="3"/>
    <x v="0"/>
    <x v="2"/>
    <n v="0"/>
    <n v="0.05"/>
    <n v="1"/>
    <n v="0"/>
    <m/>
  </r>
  <r>
    <s v="2018-19"/>
    <x v="1"/>
    <x v="2"/>
    <s v="L2"/>
    <s v="Spatial Planning and Organization"/>
    <s v="Of Immediate and Afar"/>
    <n v="3"/>
    <x v="1"/>
    <x v="2"/>
    <n v="1"/>
    <n v="0.05"/>
    <n v="1"/>
    <n v="0.05"/>
    <m/>
  </r>
  <r>
    <s v="2018-19"/>
    <x v="1"/>
    <x v="2"/>
    <s v="L2"/>
    <s v="Spatial Planning and Organization"/>
    <s v="Of Immediate and Afar"/>
    <n v="4"/>
    <x v="0"/>
    <x v="3"/>
    <n v="0"/>
    <n v="0.14000000000000001"/>
    <n v="1"/>
    <n v="0"/>
    <m/>
  </r>
  <r>
    <s v="2018-19"/>
    <x v="1"/>
    <x v="2"/>
    <s v="L2"/>
    <s v="Spatial Planning and Organization"/>
    <s v="Of Immediate and Afar"/>
    <n v="4"/>
    <x v="1"/>
    <x v="3"/>
    <n v="1"/>
    <n v="0.14000000000000001"/>
    <n v="1"/>
    <n v="0.14000000000000001"/>
    <m/>
  </r>
  <r>
    <s v="2018-19"/>
    <x v="1"/>
    <x v="2"/>
    <s v="L2"/>
    <s v="Spatial Planning and Organization"/>
    <s v="Of Immediate and Afar"/>
    <n v="5"/>
    <x v="0"/>
    <x v="4"/>
    <n v="0"/>
    <n v="0.11"/>
    <n v="1"/>
    <n v="0"/>
    <m/>
  </r>
  <r>
    <s v="2018-19"/>
    <x v="1"/>
    <x v="2"/>
    <s v="L2"/>
    <s v="Spatial Planning and Organization"/>
    <s v="Of Immediate and Afar"/>
    <n v="5"/>
    <x v="1"/>
    <x v="4"/>
    <n v="1"/>
    <n v="0.11"/>
    <n v="1"/>
    <n v="0.11"/>
    <m/>
  </r>
  <r>
    <s v="2018-19"/>
    <x v="1"/>
    <x v="2"/>
    <s v="L2"/>
    <s v="Spatial Planning and Organization"/>
    <s v="Of Immediate and Afar"/>
    <n v="6"/>
    <x v="0"/>
    <x v="5"/>
    <n v="0"/>
    <n v="0.15"/>
    <n v="1"/>
    <n v="0"/>
    <m/>
  </r>
  <r>
    <s v="2018-19"/>
    <x v="1"/>
    <x v="2"/>
    <s v="L2"/>
    <s v="Spatial Planning and Organization"/>
    <s v="Of Immediate and Afar"/>
    <n v="6"/>
    <x v="1"/>
    <x v="5"/>
    <n v="1"/>
    <n v="0.15"/>
    <n v="1"/>
    <n v="0.15"/>
    <s v="Convincing -yes. Ingenious and sophisticated - No."/>
  </r>
  <r>
    <s v="2018-19"/>
    <x v="1"/>
    <x v="2"/>
    <s v="L2"/>
    <s v="Spatial Planning and Organization"/>
    <s v="Of Immediate and Afar"/>
    <n v="7"/>
    <x v="0"/>
    <x v="6"/>
    <n v="0"/>
    <n v="0.1"/>
    <n v="1"/>
    <n v="0"/>
    <m/>
  </r>
  <r>
    <s v="2018-19"/>
    <x v="1"/>
    <x v="2"/>
    <s v="L2"/>
    <s v="Spatial Planning and Organization"/>
    <s v="Of Immediate and Afar"/>
    <n v="7"/>
    <x v="1"/>
    <x v="6"/>
    <n v="0"/>
    <n v="0.1"/>
    <n v="1"/>
    <n v="0"/>
    <s v="There is scope for further improvement."/>
  </r>
  <r>
    <s v="2018-19"/>
    <x v="1"/>
    <x v="2"/>
    <s v="L2"/>
    <s v="Spatial Planning and Organization"/>
    <s v="Of Immediate and Afar"/>
    <n v="8"/>
    <x v="0"/>
    <x v="7"/>
    <n v="0"/>
    <n v="0.1"/>
    <n v="1"/>
    <n v="0"/>
    <m/>
  </r>
  <r>
    <s v="2018-19"/>
    <x v="1"/>
    <x v="2"/>
    <s v="L2"/>
    <s v="Spatial Planning and Organization"/>
    <s v="Of Immediate and Afar"/>
    <n v="8"/>
    <x v="1"/>
    <x v="7"/>
    <n v="0"/>
    <n v="0.1"/>
    <n v="1"/>
    <n v="0"/>
    <s v="Its decent."/>
  </r>
  <r>
    <s v="2018-19"/>
    <x v="1"/>
    <x v="2"/>
    <s v="L2"/>
    <s v="Spatial Planning and Organization"/>
    <s v="Of Immediate and Afar"/>
    <n v="9"/>
    <x v="0"/>
    <x v="8"/>
    <n v="0"/>
    <n v="0.05"/>
    <n v="0.85"/>
    <n v="0"/>
    <m/>
  </r>
  <r>
    <s v="2018-19"/>
    <x v="1"/>
    <x v="2"/>
    <s v="L2"/>
    <s v="Spatial Planning and Organization"/>
    <s v="Of Immediate and Afar"/>
    <n v="9"/>
    <x v="1"/>
    <x v="8"/>
    <n v="1"/>
    <n v="0.05"/>
    <n v="0.85"/>
    <n v="4.2500000000000003E-2"/>
    <m/>
  </r>
  <r>
    <s v="2018-19"/>
    <x v="1"/>
    <x v="2"/>
    <s v="L2"/>
    <s v="Spatial Planning and Organization"/>
    <s v="Of Immediate and Afar"/>
    <n v="10"/>
    <x v="0"/>
    <x v="8"/>
    <n v="0"/>
    <n v="0.05"/>
    <n v="0.85"/>
    <n v="0"/>
    <m/>
  </r>
  <r>
    <s v="2018-19"/>
    <x v="1"/>
    <x v="2"/>
    <s v="L2"/>
    <s v="Spatial Planning and Organization"/>
    <s v="Of Immediate and Afar"/>
    <n v="10"/>
    <x v="1"/>
    <x v="8"/>
    <n v="1"/>
    <n v="0.05"/>
    <n v="0.85"/>
    <n v="4.2500000000000003E-2"/>
    <m/>
  </r>
  <r>
    <s v="2018-19"/>
    <x v="1"/>
    <x v="2"/>
    <s v="L2"/>
    <s v="Spatial Planning and Organization"/>
    <s v="Of Immediate and Afar"/>
    <n v="11"/>
    <x v="0"/>
    <x v="9"/>
    <n v="0"/>
    <n v="0.05"/>
    <n v="1"/>
    <n v="0"/>
    <m/>
  </r>
  <r>
    <s v="2018-19"/>
    <x v="1"/>
    <x v="2"/>
    <s v="L2"/>
    <s v="Spatial Planning and Organization"/>
    <s v="Of Immediate and Afar"/>
    <n v="11"/>
    <x v="1"/>
    <x v="9"/>
    <n v="0"/>
    <n v="0.05"/>
    <n v="1"/>
    <n v="0"/>
    <s v="No"/>
  </r>
  <r>
    <s v="2018-19"/>
    <x v="1"/>
    <x v="16"/>
    <s v="L2"/>
    <m/>
    <s v="Structure - Material - Space"/>
    <n v="1"/>
    <x v="0"/>
    <x v="0"/>
    <n v="1"/>
    <n v="0.12"/>
    <n v="1"/>
    <n v="0.12"/>
    <m/>
  </r>
  <r>
    <s v="2018-19"/>
    <x v="1"/>
    <x v="16"/>
    <s v="L2"/>
    <m/>
    <s v="Structure - Material - Space"/>
    <n v="1"/>
    <x v="1"/>
    <x v="0"/>
    <n v="1"/>
    <n v="0.12"/>
    <n v="1"/>
    <n v="0.12"/>
    <m/>
  </r>
  <r>
    <s v="2018-19"/>
    <x v="1"/>
    <x v="16"/>
    <s v="L2"/>
    <m/>
    <s v="Structure - Material - Space"/>
    <n v="2"/>
    <x v="0"/>
    <x v="1"/>
    <n v="1"/>
    <n v="0.08"/>
    <n v="0.8"/>
    <n v="6.4000000000000001E-2"/>
    <m/>
  </r>
  <r>
    <s v="2018-19"/>
    <x v="1"/>
    <x v="16"/>
    <s v="L2"/>
    <m/>
    <s v="Structure - Material - Space"/>
    <n v="2"/>
    <x v="1"/>
    <x v="1"/>
    <n v="1"/>
    <n v="0.08"/>
    <n v="0.8"/>
    <n v="6.4000000000000001E-2"/>
    <m/>
  </r>
  <r>
    <s v="2018-19"/>
    <x v="1"/>
    <x v="16"/>
    <s v="L2"/>
    <m/>
    <s v="Structure - Material - Space"/>
    <n v="3"/>
    <x v="0"/>
    <x v="2"/>
    <n v="1"/>
    <n v="0.05"/>
    <n v="1"/>
    <n v="0.05"/>
    <m/>
  </r>
  <r>
    <s v="2018-19"/>
    <x v="1"/>
    <x v="16"/>
    <s v="L2"/>
    <m/>
    <s v="Structure - Material - Space"/>
    <n v="3"/>
    <x v="1"/>
    <x v="2"/>
    <n v="1"/>
    <n v="0.05"/>
    <n v="1"/>
    <n v="0.05"/>
    <s v="It appears to be limited within a bracket.It needs to expand and explore newer mediums/methods."/>
  </r>
  <r>
    <s v="2018-19"/>
    <x v="1"/>
    <x v="16"/>
    <s v="L2"/>
    <m/>
    <s v="Structure - Material - Space"/>
    <n v="4"/>
    <x v="0"/>
    <x v="3"/>
    <n v="0"/>
    <n v="0.14000000000000001"/>
    <n v="1"/>
    <n v="0"/>
    <m/>
  </r>
  <r>
    <s v="2018-19"/>
    <x v="1"/>
    <x v="16"/>
    <s v="L2"/>
    <m/>
    <s v="Structure - Material - Space"/>
    <n v="4"/>
    <x v="1"/>
    <x v="3"/>
    <n v="1"/>
    <n v="0.14000000000000001"/>
    <n v="1"/>
    <n v="0.14000000000000001"/>
    <m/>
  </r>
  <r>
    <s v="2018-19"/>
    <x v="1"/>
    <x v="16"/>
    <s v="L2"/>
    <m/>
    <s v="Structure - Material - Space"/>
    <n v="5"/>
    <x v="0"/>
    <x v="4"/>
    <n v="0"/>
    <n v="0.11"/>
    <n v="1"/>
    <n v="0"/>
    <m/>
  </r>
  <r>
    <s v="2018-19"/>
    <x v="1"/>
    <x v="16"/>
    <s v="L2"/>
    <m/>
    <s v="Structure - Material - Space"/>
    <n v="5"/>
    <x v="1"/>
    <x v="4"/>
    <n v="1"/>
    <n v="0.11"/>
    <n v="1"/>
    <n v="0.11"/>
    <m/>
  </r>
  <r>
    <s v="2018-19"/>
    <x v="1"/>
    <x v="16"/>
    <s v="L2"/>
    <m/>
    <s v="Structure - Material - Space"/>
    <n v="6"/>
    <x v="0"/>
    <x v="5"/>
    <n v="0"/>
    <n v="0.15"/>
    <n v="1"/>
    <n v="0"/>
    <m/>
  </r>
  <r>
    <s v="2018-19"/>
    <x v="1"/>
    <x v="16"/>
    <s v="L2"/>
    <m/>
    <s v="Structure - Material - Space"/>
    <n v="6"/>
    <x v="1"/>
    <x v="5"/>
    <n v="1"/>
    <n v="0.15"/>
    <n v="1"/>
    <n v="0.15"/>
    <s v="yes, Convincing, ingenious and sophisticated."/>
  </r>
  <r>
    <s v="2018-19"/>
    <x v="1"/>
    <x v="16"/>
    <s v="L2"/>
    <m/>
    <s v="Structure - Material - Space"/>
    <n v="7"/>
    <x v="0"/>
    <x v="6"/>
    <n v="1"/>
    <n v="0.1"/>
    <n v="1"/>
    <n v="0.1"/>
    <m/>
  </r>
  <r>
    <s v="2018-19"/>
    <x v="1"/>
    <x v="16"/>
    <s v="L2"/>
    <m/>
    <s v="Structure - Material - Space"/>
    <n v="7"/>
    <x v="1"/>
    <x v="6"/>
    <n v="1"/>
    <n v="0.1"/>
    <n v="1"/>
    <n v="0.1"/>
    <s v="Very intense"/>
  </r>
  <r>
    <s v="2018-19"/>
    <x v="1"/>
    <x v="16"/>
    <s v="L2"/>
    <m/>
    <s v="Structure - Material - Space"/>
    <n v="8"/>
    <x v="0"/>
    <x v="7"/>
    <n v="1"/>
    <n v="0.1"/>
    <n v="1"/>
    <n v="0.1"/>
    <m/>
  </r>
  <r>
    <s v="2018-19"/>
    <x v="1"/>
    <x v="16"/>
    <s v="L2"/>
    <m/>
    <s v="Structure - Material - Space"/>
    <n v="8"/>
    <x v="1"/>
    <x v="7"/>
    <n v="1"/>
    <n v="0.1"/>
    <n v="1"/>
    <n v="0.1"/>
    <m/>
  </r>
  <r>
    <s v="2018-19"/>
    <x v="1"/>
    <x v="16"/>
    <s v="L2"/>
    <m/>
    <s v="Structure - Material - Space"/>
    <n v="9"/>
    <x v="0"/>
    <x v="8"/>
    <n v="0"/>
    <n v="0.05"/>
    <n v="0.85"/>
    <n v="0"/>
    <m/>
  </r>
  <r>
    <s v="2018-19"/>
    <x v="1"/>
    <x v="16"/>
    <s v="L2"/>
    <m/>
    <s v="Structure - Material - Space"/>
    <n v="9"/>
    <x v="1"/>
    <x v="8"/>
    <n v="1"/>
    <n v="0.05"/>
    <n v="0.85"/>
    <n v="4.2500000000000003E-2"/>
    <m/>
  </r>
  <r>
    <s v="2018-19"/>
    <x v="1"/>
    <x v="16"/>
    <s v="L2"/>
    <m/>
    <s v="Structure - Material - Space"/>
    <n v="10"/>
    <x v="0"/>
    <x v="8"/>
    <n v="0"/>
    <n v="0.05"/>
    <n v="0.85"/>
    <n v="0"/>
    <m/>
  </r>
  <r>
    <s v="2018-19"/>
    <x v="1"/>
    <x v="16"/>
    <s v="L2"/>
    <m/>
    <s v="Structure - Material - Space"/>
    <n v="10"/>
    <x v="1"/>
    <x v="8"/>
    <n v="1"/>
    <n v="0.05"/>
    <n v="0.85"/>
    <n v="4.2500000000000003E-2"/>
    <m/>
  </r>
  <r>
    <s v="2018-19"/>
    <x v="1"/>
    <x v="16"/>
    <s v="L2"/>
    <m/>
    <s v="Structure - Material - Space"/>
    <n v="11"/>
    <x v="0"/>
    <x v="9"/>
    <n v="0"/>
    <n v="0.05"/>
    <n v="1"/>
    <n v="0"/>
    <m/>
  </r>
  <r>
    <s v="2018-19"/>
    <x v="1"/>
    <x v="16"/>
    <s v="L2"/>
    <m/>
    <s v="Structure - Material - Space"/>
    <n v="11"/>
    <x v="1"/>
    <x v="9"/>
    <n v="1"/>
    <n v="0.05"/>
    <n v="1"/>
    <n v="0.05"/>
    <s v="Yes."/>
  </r>
  <r>
    <s v="2018-19"/>
    <x v="1"/>
    <x v="3"/>
    <s v="L2"/>
    <s v="Spatial Planning and Organization"/>
    <s v="Re [De] code"/>
    <n v="1"/>
    <x v="0"/>
    <x v="0"/>
    <n v="0"/>
    <n v="0.12"/>
    <n v="1"/>
    <n v="0"/>
    <m/>
  </r>
  <r>
    <s v="2018-19"/>
    <x v="1"/>
    <x v="3"/>
    <s v="L2"/>
    <s v="Spatial Planning and Organization"/>
    <s v="Re [De] code"/>
    <n v="1"/>
    <x v="1"/>
    <x v="0"/>
    <n v="0"/>
    <n v="0.12"/>
    <n v="1"/>
    <n v="0"/>
    <s v="The problem set out is very unclear."/>
  </r>
  <r>
    <s v="2018-19"/>
    <x v="1"/>
    <x v="3"/>
    <s v="L2"/>
    <s v="Spatial Planning and Organization"/>
    <s v="Re [De] code"/>
    <n v="2"/>
    <x v="0"/>
    <x v="1"/>
    <n v="0"/>
    <n v="0.08"/>
    <n v="0.8"/>
    <n v="0"/>
    <m/>
  </r>
  <r>
    <s v="2018-19"/>
    <x v="1"/>
    <x v="3"/>
    <s v="L2"/>
    <s v="Spatial Planning and Organization"/>
    <s v="Re [De] code"/>
    <n v="2"/>
    <x v="1"/>
    <x v="1"/>
    <n v="1"/>
    <n v="0.08"/>
    <n v="0.8"/>
    <n v="6.4000000000000001E-2"/>
    <m/>
  </r>
  <r>
    <s v="2018-19"/>
    <x v="1"/>
    <x v="3"/>
    <s v="L2"/>
    <s v="Spatial Planning and Organization"/>
    <s v="Re [De] code"/>
    <n v="3"/>
    <x v="0"/>
    <x v="2"/>
    <n v="1"/>
    <n v="0.05"/>
    <n v="1"/>
    <n v="0.05"/>
    <m/>
  </r>
  <r>
    <s v="2018-19"/>
    <x v="1"/>
    <x v="3"/>
    <s v="L2"/>
    <s v="Spatial Planning and Organization"/>
    <s v="Re [De] code"/>
    <n v="3"/>
    <x v="1"/>
    <x v="2"/>
    <n v="-1"/>
    <n v="0.05"/>
    <n v="1"/>
    <n v="-0.05"/>
    <s v="It needs to expand and broaden out its scope and intent."/>
  </r>
  <r>
    <s v="2018-19"/>
    <x v="1"/>
    <x v="3"/>
    <s v="L2"/>
    <s v="Spatial Planning and Organization"/>
    <s v="Re [De] code"/>
    <n v="4"/>
    <x v="0"/>
    <x v="3"/>
    <n v="0"/>
    <n v="0.14000000000000001"/>
    <n v="1"/>
    <n v="0"/>
    <m/>
  </r>
  <r>
    <s v="2018-19"/>
    <x v="1"/>
    <x v="3"/>
    <s v="L2"/>
    <s v="Spatial Planning and Organization"/>
    <s v="Re [De] code"/>
    <n v="4"/>
    <x v="1"/>
    <x v="3"/>
    <n v="0"/>
    <n v="0.14000000000000001"/>
    <n v="1"/>
    <n v="0"/>
    <s v="To an extent."/>
  </r>
  <r>
    <s v="2018-19"/>
    <x v="1"/>
    <x v="3"/>
    <s v="L2"/>
    <s v="Spatial Planning and Organization"/>
    <s v="Re [De] code"/>
    <n v="5"/>
    <x v="0"/>
    <x v="4"/>
    <n v="-1"/>
    <n v="0.11"/>
    <n v="1"/>
    <n v="-0.11"/>
    <m/>
  </r>
  <r>
    <s v="2018-19"/>
    <x v="1"/>
    <x v="3"/>
    <s v="L2"/>
    <s v="Spatial Planning and Organization"/>
    <s v="Re [De] code"/>
    <n v="5"/>
    <x v="1"/>
    <x v="4"/>
    <n v="0"/>
    <n v="0.11"/>
    <n v="1"/>
    <n v="0"/>
    <s v="Partially"/>
  </r>
  <r>
    <s v="2018-19"/>
    <x v="1"/>
    <x v="3"/>
    <s v="L2"/>
    <s v="Spatial Planning and Organization"/>
    <s v="Re [De] code"/>
    <n v="6"/>
    <x v="0"/>
    <x v="5"/>
    <n v="0"/>
    <n v="0.15"/>
    <n v="1"/>
    <n v="0"/>
    <m/>
  </r>
  <r>
    <s v="2018-19"/>
    <x v="1"/>
    <x v="3"/>
    <s v="L2"/>
    <s v="Spatial Planning and Organization"/>
    <s v="Re [De] code"/>
    <n v="6"/>
    <x v="1"/>
    <x v="5"/>
    <n v="0"/>
    <n v="0.15"/>
    <n v="1"/>
    <n v="0"/>
    <s v="meticulous yes. Ingenious and sophisticated - no."/>
  </r>
  <r>
    <s v="2018-19"/>
    <x v="1"/>
    <x v="3"/>
    <s v="L2"/>
    <s v="Spatial Planning and Organization"/>
    <s v="Re [De] code"/>
    <n v="7"/>
    <x v="0"/>
    <x v="6"/>
    <n v="0"/>
    <n v="0.1"/>
    <n v="1"/>
    <n v="0"/>
    <m/>
  </r>
  <r>
    <s v="2018-19"/>
    <x v="1"/>
    <x v="3"/>
    <s v="L2"/>
    <s v="Spatial Planning and Organization"/>
    <s v="Re [De] code"/>
    <n v="7"/>
    <x v="1"/>
    <x v="6"/>
    <n v="0"/>
    <n v="0.1"/>
    <n v="1"/>
    <n v="0"/>
    <s v="It's consistent"/>
  </r>
  <r>
    <s v="2018-19"/>
    <x v="1"/>
    <x v="3"/>
    <s v="L2"/>
    <s v="Spatial Planning and Organization"/>
    <s v="Re [De] code"/>
    <n v="8"/>
    <x v="0"/>
    <x v="7"/>
    <n v="0"/>
    <n v="0.1"/>
    <n v="1"/>
    <n v="0"/>
    <m/>
  </r>
  <r>
    <s v="2018-19"/>
    <x v="1"/>
    <x v="3"/>
    <s v="L2"/>
    <s v="Spatial Planning and Organization"/>
    <s v="Re [De] code"/>
    <n v="8"/>
    <x v="1"/>
    <x v="7"/>
    <n v="1"/>
    <n v="0.1"/>
    <n v="1"/>
    <n v="0.1"/>
    <s v="It's meticulous"/>
  </r>
  <r>
    <s v="2018-19"/>
    <x v="1"/>
    <x v="3"/>
    <s v="L2"/>
    <s v="Spatial Planning and Organization"/>
    <s v="Re [De] code"/>
    <n v="9"/>
    <x v="0"/>
    <x v="8"/>
    <n v="0"/>
    <n v="0.05"/>
    <n v="0.85"/>
    <n v="0"/>
    <m/>
  </r>
  <r>
    <s v="2018-19"/>
    <x v="1"/>
    <x v="3"/>
    <s v="L2"/>
    <s v="Spatial Planning and Organization"/>
    <s v="Re [De] code"/>
    <n v="9"/>
    <x v="1"/>
    <x v="8"/>
    <n v="1"/>
    <n v="0.05"/>
    <n v="0.85"/>
    <n v="4.2500000000000003E-2"/>
    <m/>
  </r>
  <r>
    <s v="2018-19"/>
    <x v="1"/>
    <x v="3"/>
    <s v="L2"/>
    <s v="Spatial Planning and Organization"/>
    <s v="Re [De] code"/>
    <n v="10"/>
    <x v="0"/>
    <x v="8"/>
    <n v="0"/>
    <n v="0.05"/>
    <n v="0.85"/>
    <n v="0"/>
    <m/>
  </r>
  <r>
    <s v="2018-19"/>
    <x v="1"/>
    <x v="3"/>
    <s v="L2"/>
    <s v="Spatial Planning and Organization"/>
    <s v="Re [De] code"/>
    <n v="10"/>
    <x v="1"/>
    <x v="8"/>
    <n v="1"/>
    <n v="0.05"/>
    <n v="0.85"/>
    <n v="4.2500000000000003E-2"/>
    <m/>
  </r>
  <r>
    <s v="2018-19"/>
    <x v="1"/>
    <x v="3"/>
    <s v="L2"/>
    <s v="Spatial Planning and Organization"/>
    <s v="Re [De] code"/>
    <n v="11"/>
    <x v="0"/>
    <x v="9"/>
    <n v="0"/>
    <n v="0.05"/>
    <n v="1"/>
    <n v="0"/>
    <m/>
  </r>
  <r>
    <s v="2018-19"/>
    <x v="1"/>
    <x v="3"/>
    <s v="L2"/>
    <s v="Spatial Planning and Organization"/>
    <s v="Re [De] code"/>
    <n v="11"/>
    <x v="1"/>
    <x v="9"/>
    <n v="-1"/>
    <n v="0.05"/>
    <n v="1"/>
    <n v="-0.05"/>
    <s v="Not at all"/>
  </r>
  <r>
    <s v="2018-19"/>
    <x v="1"/>
    <x v="4"/>
    <s v="L2"/>
    <s v="Constructing and Specifying"/>
    <s v="From Drawing Board to Construction Sites"/>
    <n v="1"/>
    <x v="0"/>
    <x v="0"/>
    <n v="1"/>
    <n v="0.12"/>
    <n v="1"/>
    <n v="0.12"/>
    <m/>
  </r>
  <r>
    <s v="2018-19"/>
    <x v="1"/>
    <x v="4"/>
    <s v="L2"/>
    <s v="Constructing and Specifying"/>
    <s v="From Drawing Board to Construction Sites"/>
    <n v="1"/>
    <x v="1"/>
    <x v="0"/>
    <n v="1"/>
    <n v="0.12"/>
    <n v="1"/>
    <n v="0.12"/>
    <m/>
  </r>
  <r>
    <s v="2018-19"/>
    <x v="1"/>
    <x v="4"/>
    <s v="L2"/>
    <s v="Constructing and Specifying"/>
    <s v="From Drawing Board to Construction Sites"/>
    <n v="2"/>
    <x v="0"/>
    <x v="1"/>
    <n v="0"/>
    <n v="0.08"/>
    <n v="0.8"/>
    <n v="0"/>
    <m/>
  </r>
  <r>
    <s v="2018-19"/>
    <x v="1"/>
    <x v="4"/>
    <s v="L2"/>
    <s v="Constructing and Specifying"/>
    <s v="From Drawing Board to Construction Sites"/>
    <n v="2"/>
    <x v="1"/>
    <x v="1"/>
    <n v="1"/>
    <n v="0.08"/>
    <n v="0.8"/>
    <n v="6.4000000000000001E-2"/>
    <m/>
  </r>
  <r>
    <s v="2018-19"/>
    <x v="1"/>
    <x v="4"/>
    <s v="L2"/>
    <s v="Constructing and Specifying"/>
    <s v="From Drawing Board to Construction Sites"/>
    <n v="3"/>
    <x v="0"/>
    <x v="2"/>
    <n v="1"/>
    <n v="0.05"/>
    <n v="1"/>
    <n v="0.05"/>
    <m/>
  </r>
  <r>
    <s v="2018-19"/>
    <x v="1"/>
    <x v="4"/>
    <s v="L2"/>
    <s v="Constructing and Specifying"/>
    <s v="From Drawing Board to Construction Sites"/>
    <n v="3"/>
    <x v="1"/>
    <x v="2"/>
    <n v="1"/>
    <n v="0.05"/>
    <n v="1"/>
    <n v="0.05"/>
    <s v="Its well defined but lacks inventiveness and innovation."/>
  </r>
  <r>
    <s v="2018-19"/>
    <x v="1"/>
    <x v="4"/>
    <s v="L2"/>
    <s v="Constructing and Specifying"/>
    <s v="From Drawing Board to Construction Sites"/>
    <n v="4"/>
    <x v="0"/>
    <x v="3"/>
    <n v="0"/>
    <n v="0.14000000000000001"/>
    <n v="1"/>
    <n v="0"/>
    <m/>
  </r>
  <r>
    <s v="2018-19"/>
    <x v="1"/>
    <x v="4"/>
    <s v="L2"/>
    <s v="Constructing and Specifying"/>
    <s v="From Drawing Board to Construction Sites"/>
    <n v="4"/>
    <x v="1"/>
    <x v="3"/>
    <n v="1"/>
    <n v="0.14000000000000001"/>
    <n v="1"/>
    <n v="0.14000000000000001"/>
    <m/>
  </r>
  <r>
    <s v="2018-19"/>
    <x v="1"/>
    <x v="4"/>
    <s v="L2"/>
    <s v="Constructing and Specifying"/>
    <s v="From Drawing Board to Construction Sites"/>
    <n v="5"/>
    <x v="0"/>
    <x v="4"/>
    <n v="0"/>
    <n v="0.11"/>
    <n v="1"/>
    <n v="0"/>
    <m/>
  </r>
  <r>
    <s v="2018-19"/>
    <x v="1"/>
    <x v="4"/>
    <s v="L2"/>
    <s v="Constructing and Specifying"/>
    <s v="From Drawing Board to Construction Sites"/>
    <n v="5"/>
    <x v="1"/>
    <x v="4"/>
    <n v="1"/>
    <n v="0.11"/>
    <n v="1"/>
    <n v="0.11"/>
    <m/>
  </r>
  <r>
    <s v="2018-19"/>
    <x v="1"/>
    <x v="4"/>
    <s v="L2"/>
    <s v="Constructing and Specifying"/>
    <s v="From Drawing Board to Construction Sites"/>
    <n v="6"/>
    <x v="0"/>
    <x v="5"/>
    <n v="0"/>
    <n v="0.15"/>
    <n v="1"/>
    <n v="0"/>
    <m/>
  </r>
  <r>
    <s v="2018-19"/>
    <x v="1"/>
    <x v="4"/>
    <s v="L2"/>
    <s v="Constructing and Specifying"/>
    <s v="From Drawing Board to Construction Sites"/>
    <n v="6"/>
    <x v="1"/>
    <x v="5"/>
    <n v="1"/>
    <n v="0.15"/>
    <n v="1"/>
    <n v="0.15"/>
    <m/>
  </r>
  <r>
    <s v="2018-19"/>
    <x v="1"/>
    <x v="4"/>
    <s v="L2"/>
    <s v="Constructing and Specifying"/>
    <s v="From Drawing Board to Construction Sites"/>
    <n v="7"/>
    <x v="0"/>
    <x v="6"/>
    <n v="0"/>
    <n v="0.1"/>
    <n v="1"/>
    <n v="0"/>
    <m/>
  </r>
  <r>
    <s v="2018-19"/>
    <x v="1"/>
    <x v="4"/>
    <s v="L2"/>
    <s v="Constructing and Specifying"/>
    <s v="From Drawing Board to Construction Sites"/>
    <n v="7"/>
    <x v="1"/>
    <x v="6"/>
    <n v="1"/>
    <n v="0.1"/>
    <n v="1"/>
    <n v="0.1"/>
    <m/>
  </r>
  <r>
    <s v="2018-19"/>
    <x v="1"/>
    <x v="4"/>
    <s v="L2"/>
    <s v="Constructing and Specifying"/>
    <s v="From Drawing Board to Construction Sites"/>
    <n v="8"/>
    <x v="0"/>
    <x v="7"/>
    <n v="0"/>
    <n v="0.1"/>
    <n v="1"/>
    <n v="0"/>
    <m/>
  </r>
  <r>
    <s v="2018-19"/>
    <x v="1"/>
    <x v="4"/>
    <s v="L2"/>
    <s v="Constructing and Specifying"/>
    <s v="From Drawing Board to Construction Sites"/>
    <n v="8"/>
    <x v="1"/>
    <x v="7"/>
    <n v="1"/>
    <n v="0.1"/>
    <n v="1"/>
    <n v="0.1"/>
    <m/>
  </r>
  <r>
    <s v="2018-19"/>
    <x v="1"/>
    <x v="4"/>
    <s v="L2"/>
    <s v="Constructing and Specifying"/>
    <s v="From Drawing Board to Construction Sites"/>
    <n v="9"/>
    <x v="0"/>
    <x v="8"/>
    <n v="0"/>
    <n v="0.05"/>
    <n v="0.85"/>
    <n v="0"/>
    <m/>
  </r>
  <r>
    <s v="2018-19"/>
    <x v="1"/>
    <x v="4"/>
    <s v="L2"/>
    <s v="Constructing and Specifying"/>
    <s v="From Drawing Board to Construction Sites"/>
    <n v="9"/>
    <x v="1"/>
    <x v="8"/>
    <n v="1"/>
    <n v="0.05"/>
    <n v="0.85"/>
    <n v="4.2500000000000003E-2"/>
    <m/>
  </r>
  <r>
    <s v="2018-19"/>
    <x v="1"/>
    <x v="4"/>
    <s v="L2"/>
    <s v="Constructing and Specifying"/>
    <s v="From Drawing Board to Construction Sites"/>
    <n v="10"/>
    <x v="0"/>
    <x v="8"/>
    <n v="0"/>
    <n v="0.05"/>
    <n v="0.85"/>
    <n v="0"/>
    <m/>
  </r>
  <r>
    <s v="2018-19"/>
    <x v="1"/>
    <x v="4"/>
    <s v="L2"/>
    <s v="Constructing and Specifying"/>
    <s v="From Drawing Board to Construction Sites"/>
    <n v="10"/>
    <x v="1"/>
    <x v="8"/>
    <n v="1"/>
    <n v="0.05"/>
    <n v="0.85"/>
    <n v="4.2500000000000003E-2"/>
    <m/>
  </r>
  <r>
    <s v="2018-19"/>
    <x v="1"/>
    <x v="4"/>
    <s v="L2"/>
    <s v="Constructing and Specifying"/>
    <s v="From Drawing Board to Construction Sites"/>
    <n v="11"/>
    <x v="0"/>
    <x v="9"/>
    <n v="0"/>
    <n v="0.05"/>
    <n v="1"/>
    <n v="0"/>
    <m/>
  </r>
  <r>
    <s v="2018-19"/>
    <x v="1"/>
    <x v="4"/>
    <s v="L2"/>
    <s v="Constructing and Specifying"/>
    <s v="From Drawing Board to Construction Sites"/>
    <n v="11"/>
    <x v="1"/>
    <x v="9"/>
    <n v="1"/>
    <n v="0.05"/>
    <n v="1"/>
    <n v="0.05"/>
    <m/>
  </r>
  <r>
    <s v="2018-19"/>
    <x v="1"/>
    <x v="5"/>
    <s v="L2"/>
    <s v="Visualization &amp; Communication, Spatial Planning &amp; Organisation"/>
    <s v="Figuring Ground: Land Building Relationships"/>
    <n v="1"/>
    <x v="0"/>
    <x v="0"/>
    <n v="1"/>
    <n v="0.12"/>
    <n v="1"/>
    <n v="0.12"/>
    <m/>
  </r>
  <r>
    <s v="2018-19"/>
    <x v="1"/>
    <x v="5"/>
    <s v="L2"/>
    <s v="Visualization &amp; Communication, Spatial Planning &amp; Organisation"/>
    <s v="Figuring Ground: Land Building Relationships"/>
    <n v="1"/>
    <x v="1"/>
    <x v="0"/>
    <n v="1"/>
    <n v="0.12"/>
    <n v="1"/>
    <n v="0.12"/>
    <m/>
  </r>
  <r>
    <s v="2018-19"/>
    <x v="1"/>
    <x v="5"/>
    <s v="L2"/>
    <s v="Visualization &amp; Communication, Spatial Planning &amp; Organisation"/>
    <s v="Figuring Ground: Land Building Relationships"/>
    <n v="2"/>
    <x v="0"/>
    <x v="1"/>
    <n v="1"/>
    <n v="0.08"/>
    <n v="0.8"/>
    <n v="6.4000000000000001E-2"/>
    <m/>
  </r>
  <r>
    <s v="2018-19"/>
    <x v="1"/>
    <x v="5"/>
    <s v="L2"/>
    <s v="Visualization &amp; Communication, Spatial Planning &amp; Organisation"/>
    <s v="Figuring Ground: Land Building Relationships"/>
    <n v="2"/>
    <x v="1"/>
    <x v="1"/>
    <n v="1"/>
    <n v="0.08"/>
    <n v="0.8"/>
    <n v="6.4000000000000001E-2"/>
    <m/>
  </r>
  <r>
    <s v="2018-19"/>
    <x v="1"/>
    <x v="5"/>
    <s v="L2"/>
    <s v="Visualization &amp; Communication, Spatial Planning &amp; Organisation"/>
    <s v="Figuring Ground: Land Building Relationships"/>
    <n v="3"/>
    <x v="0"/>
    <x v="2"/>
    <n v="1"/>
    <n v="0.05"/>
    <n v="1"/>
    <n v="0.05"/>
    <m/>
  </r>
  <r>
    <s v="2018-19"/>
    <x v="1"/>
    <x v="5"/>
    <s v="L2"/>
    <s v="Visualization &amp; Communication, Spatial Planning &amp; Organisation"/>
    <s v="Figuring Ground: Land Building Relationships"/>
    <n v="3"/>
    <x v="1"/>
    <x v="2"/>
    <n v="1"/>
    <n v="0.05"/>
    <n v="1"/>
    <n v="0.05"/>
    <m/>
  </r>
  <r>
    <s v="2018-19"/>
    <x v="1"/>
    <x v="5"/>
    <s v="L2"/>
    <s v="Visualization &amp; Communication, Spatial Planning &amp; Organisation"/>
    <s v="Figuring Ground: Land Building Relationships"/>
    <n v="4"/>
    <x v="0"/>
    <x v="3"/>
    <n v="0"/>
    <n v="0.14000000000000001"/>
    <n v="1"/>
    <n v="0"/>
    <m/>
  </r>
  <r>
    <s v="2018-19"/>
    <x v="1"/>
    <x v="5"/>
    <s v="L2"/>
    <s v="Visualization &amp; Communication, Spatial Planning &amp; Organisation"/>
    <s v="Figuring Ground: Land Building Relationships"/>
    <n v="4"/>
    <x v="1"/>
    <x v="3"/>
    <n v="0"/>
    <n v="0.14000000000000001"/>
    <n v="1"/>
    <n v="0"/>
    <s v="To a great extent , yes."/>
  </r>
  <r>
    <s v="2018-19"/>
    <x v="1"/>
    <x v="5"/>
    <s v="L2"/>
    <s v="Visualization &amp; Communication, Spatial Planning &amp; Organisation"/>
    <s v="Figuring Ground: Land Building Relationships"/>
    <n v="5"/>
    <x v="0"/>
    <x v="4"/>
    <n v="0"/>
    <n v="0.11"/>
    <n v="1"/>
    <n v="0"/>
    <m/>
  </r>
  <r>
    <s v="2018-19"/>
    <x v="1"/>
    <x v="5"/>
    <s v="L2"/>
    <s v="Visualization &amp; Communication, Spatial Planning &amp; Organisation"/>
    <s v="Figuring Ground: Land Building Relationships"/>
    <n v="5"/>
    <x v="1"/>
    <x v="4"/>
    <n v="1"/>
    <n v="0.11"/>
    <n v="1"/>
    <n v="0.11"/>
    <m/>
  </r>
  <r>
    <s v="2018-19"/>
    <x v="1"/>
    <x v="5"/>
    <s v="L2"/>
    <s v="Visualization &amp; Communication, Spatial Planning &amp; Organisation"/>
    <s v="Figuring Ground: Land Building Relationships"/>
    <n v="6"/>
    <x v="0"/>
    <x v="5"/>
    <n v="1"/>
    <n v="0.15"/>
    <n v="1"/>
    <n v="0.15"/>
    <m/>
  </r>
  <r>
    <s v="2018-19"/>
    <x v="1"/>
    <x v="5"/>
    <s v="L2"/>
    <s v="Visualization &amp; Communication, Spatial Planning &amp; Organisation"/>
    <s v="Figuring Ground: Land Building Relationships"/>
    <n v="6"/>
    <x v="1"/>
    <x v="5"/>
    <n v="1"/>
    <n v="0.15"/>
    <n v="1"/>
    <n v="0.15"/>
    <s v="Meticulous -yes. Ingenious and sophisticated - no."/>
  </r>
  <r>
    <s v="2018-19"/>
    <x v="1"/>
    <x v="5"/>
    <s v="L2"/>
    <s v="Visualization &amp; Communication, Spatial Planning &amp; Organisation"/>
    <s v="Figuring Ground: Land Building Relationships"/>
    <n v="7"/>
    <x v="0"/>
    <x v="6"/>
    <n v="1"/>
    <n v="0.1"/>
    <n v="1"/>
    <n v="0.1"/>
    <m/>
  </r>
  <r>
    <s v="2018-19"/>
    <x v="1"/>
    <x v="5"/>
    <s v="L2"/>
    <s v="Visualization &amp; Communication, Spatial Planning &amp; Organisation"/>
    <s v="Figuring Ground: Land Building Relationships"/>
    <n v="7"/>
    <x v="1"/>
    <x v="6"/>
    <n v="1"/>
    <n v="0.1"/>
    <n v="1"/>
    <n v="0.1"/>
    <m/>
  </r>
  <r>
    <s v="2018-19"/>
    <x v="1"/>
    <x v="5"/>
    <s v="L2"/>
    <s v="Visualization &amp; Communication, Spatial Planning &amp; Organisation"/>
    <s v="Figuring Ground: Land Building Relationships"/>
    <n v="8"/>
    <x v="0"/>
    <x v="7"/>
    <n v="1"/>
    <n v="0.1"/>
    <n v="1"/>
    <n v="0.1"/>
    <m/>
  </r>
  <r>
    <s v="2018-19"/>
    <x v="1"/>
    <x v="5"/>
    <s v="L2"/>
    <s v="Visualization &amp; Communication, Spatial Planning &amp; Organisation"/>
    <s v="Figuring Ground: Land Building Relationships"/>
    <n v="8"/>
    <x v="1"/>
    <x v="7"/>
    <n v="0"/>
    <n v="0.1"/>
    <n v="1"/>
    <n v="0"/>
    <s v="It's reasonable"/>
  </r>
  <r>
    <s v="2018-19"/>
    <x v="1"/>
    <x v="5"/>
    <s v="L2"/>
    <s v="Visualization &amp; Communication, Spatial Planning &amp; Organisation"/>
    <s v="Figuring Ground: Land Building Relationships"/>
    <n v="9"/>
    <x v="0"/>
    <x v="8"/>
    <n v="1"/>
    <n v="0.05"/>
    <n v="0.85"/>
    <n v="4.2500000000000003E-2"/>
    <m/>
  </r>
  <r>
    <s v="2018-19"/>
    <x v="1"/>
    <x v="5"/>
    <s v="L2"/>
    <s v="Visualization &amp; Communication, Spatial Planning &amp; Organisation"/>
    <s v="Figuring Ground: Land Building Relationships"/>
    <n v="9"/>
    <x v="1"/>
    <x v="8"/>
    <n v="1"/>
    <n v="0.05"/>
    <n v="0.85"/>
    <n v="4.2500000000000003E-2"/>
    <m/>
  </r>
  <r>
    <s v="2018-19"/>
    <x v="1"/>
    <x v="5"/>
    <s v="L2"/>
    <s v="Visualization &amp; Communication, Spatial Planning &amp; Organisation"/>
    <s v="Figuring Ground: Land Building Relationships"/>
    <n v="10"/>
    <x v="0"/>
    <x v="8"/>
    <n v="1"/>
    <n v="0.05"/>
    <n v="0.85"/>
    <n v="4.2500000000000003E-2"/>
    <m/>
  </r>
  <r>
    <s v="2018-19"/>
    <x v="1"/>
    <x v="5"/>
    <s v="L2"/>
    <s v="Visualization &amp; Communication, Spatial Planning &amp; Organisation"/>
    <s v="Figuring Ground: Land Building Relationships"/>
    <n v="10"/>
    <x v="1"/>
    <x v="8"/>
    <n v="1"/>
    <n v="0.05"/>
    <n v="0.85"/>
    <n v="4.2500000000000003E-2"/>
    <m/>
  </r>
  <r>
    <s v="2018-19"/>
    <x v="1"/>
    <x v="5"/>
    <s v="L2"/>
    <s v="Visualization &amp; Communication, Spatial Planning &amp; Organisation"/>
    <s v="Figuring Ground: Land Building Relationships"/>
    <n v="11"/>
    <x v="0"/>
    <x v="9"/>
    <n v="1"/>
    <n v="0.05"/>
    <n v="1"/>
    <n v="0.05"/>
    <m/>
  </r>
  <r>
    <s v="2018-19"/>
    <x v="1"/>
    <x v="5"/>
    <s v="L2"/>
    <s v="Visualization &amp; Communication, Spatial Planning &amp; Organisation"/>
    <s v="Figuring Ground: Land Building Relationships"/>
    <n v="11"/>
    <x v="1"/>
    <x v="9"/>
    <n v="-1"/>
    <n v="0.05"/>
    <n v="1"/>
    <n v="-0.05"/>
    <s v="No."/>
  </r>
  <r>
    <s v="2018-19"/>
    <x v="1"/>
    <x v="6"/>
    <s v="L2"/>
    <s v="Visualization &amp; Communication, Spatial Planning &amp; Organisation"/>
    <s v="Making Living Places : Craftsmanship, song and imagination"/>
    <n v="1"/>
    <x v="0"/>
    <x v="0"/>
    <n v="0"/>
    <n v="0.12"/>
    <n v="1"/>
    <n v="0"/>
    <m/>
  </r>
  <r>
    <s v="2018-19"/>
    <x v="1"/>
    <x v="6"/>
    <s v="L2"/>
    <s v="Visualization &amp; Communication, Spatial Planning &amp; Organisation"/>
    <s v="Making Living Places : Craftsmanship, song and imagination"/>
    <n v="1"/>
    <x v="1"/>
    <x v="0"/>
    <n v="1"/>
    <n v="0.12"/>
    <n v="1"/>
    <n v="0.12"/>
    <m/>
  </r>
  <r>
    <s v="2018-19"/>
    <x v="1"/>
    <x v="6"/>
    <s v="L2"/>
    <s v="Visualization &amp; Communication, Spatial Planning &amp; Organisation"/>
    <s v="Making Living Places : Craftsmanship, song and imagination"/>
    <n v="2"/>
    <x v="0"/>
    <x v="1"/>
    <n v="0"/>
    <n v="0.08"/>
    <n v="0.8"/>
    <n v="0"/>
    <m/>
  </r>
  <r>
    <s v="2018-19"/>
    <x v="1"/>
    <x v="6"/>
    <s v="L2"/>
    <s v="Visualization &amp; Communication, Spatial Planning &amp; Organisation"/>
    <s v="Making Living Places : Craftsmanship, song and imagination"/>
    <n v="2"/>
    <x v="1"/>
    <x v="1"/>
    <n v="1"/>
    <n v="0.08"/>
    <n v="0.8"/>
    <n v="6.4000000000000001E-2"/>
    <m/>
  </r>
  <r>
    <s v="2018-19"/>
    <x v="1"/>
    <x v="6"/>
    <s v="L2"/>
    <s v="Visualization &amp; Communication, Spatial Planning &amp; Organisation"/>
    <s v="Making Living Places : Craftsmanship, song and imagination"/>
    <n v="3"/>
    <x v="0"/>
    <x v="2"/>
    <n v="1"/>
    <n v="0.05"/>
    <n v="1"/>
    <n v="0.05"/>
    <m/>
  </r>
  <r>
    <s v="2018-19"/>
    <x v="1"/>
    <x v="6"/>
    <s v="L2"/>
    <s v="Visualization &amp; Communication, Spatial Planning &amp; Organisation"/>
    <s v="Making Living Places : Craftsmanship, song and imagination"/>
    <n v="3"/>
    <x v="1"/>
    <x v="2"/>
    <n v="0"/>
    <n v="0.05"/>
    <n v="1"/>
    <n v="0"/>
    <s v="It's well defined but architectural manifesttion is inadequate"/>
  </r>
  <r>
    <s v="2018-19"/>
    <x v="1"/>
    <x v="6"/>
    <s v="L2"/>
    <s v="Visualization &amp; Communication, Spatial Planning &amp; Organisation"/>
    <s v="Making Living Places : Craftsmanship, song and imagination"/>
    <n v="4"/>
    <x v="0"/>
    <x v="3"/>
    <n v="-1"/>
    <n v="0.14000000000000001"/>
    <n v="1"/>
    <n v="-0.14000000000000001"/>
    <m/>
  </r>
  <r>
    <s v="2018-19"/>
    <x v="1"/>
    <x v="6"/>
    <s v="L2"/>
    <s v="Visualization &amp; Communication, Spatial Planning &amp; Organisation"/>
    <s v="Making Living Places : Craftsmanship, song and imagination"/>
    <n v="4"/>
    <x v="1"/>
    <x v="3"/>
    <n v="1"/>
    <n v="0.14000000000000001"/>
    <n v="1"/>
    <n v="0.14000000000000001"/>
    <m/>
  </r>
  <r>
    <s v="2018-19"/>
    <x v="1"/>
    <x v="6"/>
    <s v="L2"/>
    <s v="Visualization &amp; Communication, Spatial Planning &amp; Organisation"/>
    <s v="Making Living Places : Craftsmanship, song and imagination"/>
    <n v="5"/>
    <x v="0"/>
    <x v="4"/>
    <n v="-1"/>
    <n v="0.11"/>
    <n v="1"/>
    <n v="-0.11"/>
    <m/>
  </r>
  <r>
    <s v="2018-19"/>
    <x v="1"/>
    <x v="6"/>
    <s v="L2"/>
    <s v="Visualization &amp; Communication, Spatial Planning &amp; Organisation"/>
    <s v="Making Living Places : Craftsmanship, song and imagination"/>
    <n v="5"/>
    <x v="1"/>
    <x v="4"/>
    <n v="1"/>
    <n v="0.11"/>
    <n v="1"/>
    <n v="0.11"/>
    <m/>
  </r>
  <r>
    <s v="2018-19"/>
    <x v="1"/>
    <x v="6"/>
    <s v="L2"/>
    <s v="Visualization &amp; Communication, Spatial Planning &amp; Organisation"/>
    <s v="Making Living Places : Craftsmanship, song and imagination"/>
    <n v="6"/>
    <x v="0"/>
    <x v="5"/>
    <n v="0"/>
    <n v="0.15"/>
    <n v="1"/>
    <n v="0"/>
    <m/>
  </r>
  <r>
    <s v="2018-19"/>
    <x v="1"/>
    <x v="6"/>
    <s v="L2"/>
    <s v="Visualization &amp; Communication, Spatial Planning &amp; Organisation"/>
    <s v="Making Living Places : Craftsmanship, song and imagination"/>
    <n v="6"/>
    <x v="1"/>
    <x v="5"/>
    <n v="1"/>
    <n v="0.15"/>
    <n v="1"/>
    <n v="0.15"/>
    <m/>
  </r>
  <r>
    <s v="2018-19"/>
    <x v="1"/>
    <x v="6"/>
    <s v="L2"/>
    <s v="Visualization &amp; Communication, Spatial Planning &amp; Organisation"/>
    <s v="Making Living Places : Craftsmanship, song and imagination"/>
    <n v="7"/>
    <x v="0"/>
    <x v="6"/>
    <n v="0"/>
    <n v="0.1"/>
    <n v="1"/>
    <n v="0"/>
    <m/>
  </r>
  <r>
    <s v="2018-19"/>
    <x v="1"/>
    <x v="6"/>
    <s v="L2"/>
    <s v="Visualization &amp; Communication, Spatial Planning &amp; Organisation"/>
    <s v="Making Living Places : Craftsmanship, song and imagination"/>
    <n v="7"/>
    <x v="1"/>
    <x v="6"/>
    <n v="1"/>
    <n v="0.1"/>
    <n v="1"/>
    <n v="0.1"/>
    <m/>
  </r>
  <r>
    <s v="2018-19"/>
    <x v="1"/>
    <x v="6"/>
    <s v="L2"/>
    <s v="Visualization &amp; Communication, Spatial Planning &amp; Organisation"/>
    <s v="Making Living Places : Craftsmanship, song and imagination"/>
    <n v="8"/>
    <x v="0"/>
    <x v="7"/>
    <n v="1"/>
    <n v="0.1"/>
    <n v="1"/>
    <n v="0.1"/>
    <m/>
  </r>
  <r>
    <s v="2018-19"/>
    <x v="1"/>
    <x v="6"/>
    <s v="L2"/>
    <s v="Visualization &amp; Communication, Spatial Planning &amp; Organisation"/>
    <s v="Making Living Places : Craftsmanship, song and imagination"/>
    <n v="8"/>
    <x v="1"/>
    <x v="7"/>
    <n v="1"/>
    <n v="0.1"/>
    <n v="1"/>
    <n v="0.1"/>
    <m/>
  </r>
  <r>
    <s v="2018-19"/>
    <x v="1"/>
    <x v="6"/>
    <s v="L2"/>
    <s v="Visualization &amp; Communication, Spatial Planning &amp; Organisation"/>
    <s v="Making Living Places : Craftsmanship, song and imagination"/>
    <n v="9"/>
    <x v="0"/>
    <x v="8"/>
    <n v="0"/>
    <n v="0.05"/>
    <n v="0.85"/>
    <n v="0"/>
    <m/>
  </r>
  <r>
    <s v="2018-19"/>
    <x v="1"/>
    <x v="6"/>
    <s v="L2"/>
    <s v="Visualization &amp; Communication, Spatial Planning &amp; Organisation"/>
    <s v="Making Living Places : Craftsmanship, song and imagination"/>
    <n v="9"/>
    <x v="1"/>
    <x v="8"/>
    <n v="1"/>
    <n v="0.05"/>
    <n v="0.85"/>
    <n v="4.2500000000000003E-2"/>
    <m/>
  </r>
  <r>
    <s v="2018-19"/>
    <x v="1"/>
    <x v="6"/>
    <s v="L2"/>
    <s v="Visualization &amp; Communication, Spatial Planning &amp; Organisation"/>
    <s v="Making Living Places : Craftsmanship, song and imagination"/>
    <n v="10"/>
    <x v="0"/>
    <x v="8"/>
    <n v="0"/>
    <n v="0.05"/>
    <n v="0.85"/>
    <n v="0"/>
    <m/>
  </r>
  <r>
    <s v="2018-19"/>
    <x v="1"/>
    <x v="6"/>
    <s v="L2"/>
    <s v="Visualization &amp; Communication, Spatial Planning &amp; Organisation"/>
    <s v="Making Living Places : Craftsmanship, song and imagination"/>
    <n v="10"/>
    <x v="1"/>
    <x v="8"/>
    <n v="1"/>
    <n v="0.05"/>
    <n v="0.85"/>
    <n v="4.2500000000000003E-2"/>
    <m/>
  </r>
  <r>
    <s v="2018-19"/>
    <x v="1"/>
    <x v="6"/>
    <s v="L2"/>
    <s v="Visualization &amp; Communication, Spatial Planning &amp; Organisation"/>
    <s v="Making Living Places : Craftsmanship, song and imagination"/>
    <n v="11"/>
    <x v="0"/>
    <x v="9"/>
    <n v="-1"/>
    <n v="0.05"/>
    <n v="1"/>
    <n v="-0.05"/>
    <m/>
  </r>
  <r>
    <s v="2018-19"/>
    <x v="1"/>
    <x v="6"/>
    <s v="L2"/>
    <s v="Visualization &amp; Communication, Spatial Planning &amp; Organisation"/>
    <s v="Making Living Places : Craftsmanship, song and imagination"/>
    <n v="11"/>
    <x v="1"/>
    <x v="9"/>
    <n v="1"/>
    <n v="0.05"/>
    <n v="1"/>
    <n v="0.05"/>
    <s v="Yes."/>
  </r>
  <r>
    <s v="2018-19"/>
    <x v="1"/>
    <x v="7"/>
    <s v="L2"/>
    <s v="Visualization and Communication, Spatial Planning and Organisation"/>
    <s v="Master’s Stroke: Matters of Architectural Language"/>
    <n v="1"/>
    <x v="0"/>
    <x v="0"/>
    <n v="1"/>
    <n v="0.12"/>
    <n v="1"/>
    <n v="0.12"/>
    <m/>
  </r>
  <r>
    <s v="2018-19"/>
    <x v="1"/>
    <x v="7"/>
    <s v="L2"/>
    <s v="Visualization and Communication, Spatial Planning and Organisation"/>
    <s v="Master’s Stroke: Matters of Architectural Language"/>
    <n v="1"/>
    <x v="1"/>
    <x v="0"/>
    <n v="1"/>
    <n v="0.12"/>
    <n v="1"/>
    <n v="0.12"/>
    <m/>
  </r>
  <r>
    <s v="2018-19"/>
    <x v="1"/>
    <x v="7"/>
    <s v="L2"/>
    <s v="Visualization and Communication, Spatial Planning and Organisation"/>
    <s v="Master’s Stroke: Matters of Architectural Language"/>
    <n v="2"/>
    <x v="0"/>
    <x v="1"/>
    <n v="1"/>
    <n v="0.08"/>
    <n v="0.8"/>
    <n v="6.4000000000000001E-2"/>
    <m/>
  </r>
  <r>
    <s v="2018-19"/>
    <x v="1"/>
    <x v="7"/>
    <s v="L2"/>
    <s v="Visualization and Communication, Spatial Planning and Organisation"/>
    <s v="Master’s Stroke: Matters of Architectural Language"/>
    <n v="2"/>
    <x v="1"/>
    <x v="1"/>
    <n v="1"/>
    <n v="0.08"/>
    <n v="0.8"/>
    <n v="6.4000000000000001E-2"/>
    <m/>
  </r>
  <r>
    <s v="2018-19"/>
    <x v="1"/>
    <x v="7"/>
    <s v="L2"/>
    <s v="Visualization and Communication, Spatial Planning and Organisation"/>
    <s v="Master’s Stroke: Matters of Architectural Language"/>
    <n v="3"/>
    <x v="0"/>
    <x v="2"/>
    <n v="1"/>
    <n v="0.05"/>
    <n v="1"/>
    <n v="0.05"/>
    <m/>
  </r>
  <r>
    <s v="2018-19"/>
    <x v="1"/>
    <x v="7"/>
    <s v="L2"/>
    <s v="Visualization and Communication, Spatial Planning and Organisation"/>
    <s v="Master’s Stroke: Matters of Architectural Language"/>
    <n v="3"/>
    <x v="1"/>
    <x v="2"/>
    <n v="1"/>
    <n v="0.05"/>
    <n v="1"/>
    <n v="0.05"/>
    <m/>
  </r>
  <r>
    <s v="2018-19"/>
    <x v="1"/>
    <x v="7"/>
    <s v="L2"/>
    <s v="Visualization and Communication, Spatial Planning and Organisation"/>
    <s v="Master’s Stroke: Matters of Architectural Language"/>
    <n v="4"/>
    <x v="0"/>
    <x v="3"/>
    <n v="1"/>
    <n v="0.14000000000000001"/>
    <n v="1"/>
    <n v="0.14000000000000001"/>
    <m/>
  </r>
  <r>
    <s v="2018-19"/>
    <x v="1"/>
    <x v="7"/>
    <s v="L2"/>
    <s v="Visualization and Communication, Spatial Planning and Organisation"/>
    <s v="Master’s Stroke: Matters of Architectural Language"/>
    <n v="4"/>
    <x v="1"/>
    <x v="3"/>
    <n v="1"/>
    <n v="0.14000000000000001"/>
    <n v="1"/>
    <n v="0.14000000000000001"/>
    <m/>
  </r>
  <r>
    <s v="2018-19"/>
    <x v="1"/>
    <x v="7"/>
    <s v="L2"/>
    <s v="Visualization and Communication, Spatial Planning and Organisation"/>
    <s v="Master’s Stroke: Matters of Architectural Language"/>
    <n v="5"/>
    <x v="0"/>
    <x v="4"/>
    <n v="1"/>
    <n v="0.11"/>
    <n v="1"/>
    <n v="0.11"/>
    <m/>
  </r>
  <r>
    <s v="2018-19"/>
    <x v="1"/>
    <x v="7"/>
    <s v="L2"/>
    <s v="Visualization and Communication, Spatial Planning and Organisation"/>
    <s v="Master’s Stroke: Matters of Architectural Language"/>
    <n v="5"/>
    <x v="1"/>
    <x v="4"/>
    <n v="1"/>
    <n v="0.11"/>
    <n v="1"/>
    <n v="0.11"/>
    <s v="There is a possibility of students getting limited in individual expression, getting caught up by the language of a given architect."/>
  </r>
  <r>
    <s v="2018-19"/>
    <x v="1"/>
    <x v="7"/>
    <s v="L2"/>
    <s v="Visualization and Communication, Spatial Planning and Organisation"/>
    <s v="Master’s Stroke: Matters of Architectural Language"/>
    <n v="6"/>
    <x v="0"/>
    <x v="5"/>
    <n v="1"/>
    <n v="0.15"/>
    <n v="1"/>
    <n v="0.15"/>
    <m/>
  </r>
  <r>
    <s v="2018-19"/>
    <x v="1"/>
    <x v="7"/>
    <s v="L2"/>
    <s v="Visualization and Communication, Spatial Planning and Organisation"/>
    <s v="Master’s Stroke: Matters of Architectural Language"/>
    <n v="6"/>
    <x v="1"/>
    <x v="5"/>
    <n v="0"/>
    <n v="0.15"/>
    <n v="1"/>
    <n v="0"/>
    <s v="Convincing but not ingenious and sophisticated."/>
  </r>
  <r>
    <s v="2018-19"/>
    <x v="1"/>
    <x v="7"/>
    <s v="L2"/>
    <s v="Visualization and Communication, Spatial Planning and Organisation"/>
    <s v="Master’s Stroke: Matters of Architectural Language"/>
    <n v="7"/>
    <x v="0"/>
    <x v="6"/>
    <n v="1"/>
    <n v="0.1"/>
    <n v="1"/>
    <n v="0.1"/>
    <m/>
  </r>
  <r>
    <s v="2018-19"/>
    <x v="1"/>
    <x v="7"/>
    <s v="L2"/>
    <s v="Visualization and Communication, Spatial Planning and Organisation"/>
    <s v="Master’s Stroke: Matters of Architectural Language"/>
    <n v="7"/>
    <x v="1"/>
    <x v="6"/>
    <n v="1"/>
    <n v="0.1"/>
    <n v="1"/>
    <n v="0.1"/>
    <s v="Can improve"/>
  </r>
  <r>
    <s v="2018-19"/>
    <x v="1"/>
    <x v="7"/>
    <s v="L2"/>
    <s v="Visualization and Communication, Spatial Planning and Organisation"/>
    <s v="Master’s Stroke: Matters of Architectural Language"/>
    <n v="8"/>
    <x v="0"/>
    <x v="7"/>
    <n v="0"/>
    <n v="0.1"/>
    <n v="1"/>
    <n v="0"/>
    <m/>
  </r>
  <r>
    <s v="2018-19"/>
    <x v="1"/>
    <x v="7"/>
    <s v="L2"/>
    <s v="Visualization and Communication, Spatial Planning and Organisation"/>
    <s v="Master’s Stroke: Matters of Architectural Language"/>
    <n v="8"/>
    <x v="1"/>
    <x v="7"/>
    <n v="1"/>
    <n v="0.1"/>
    <n v="1"/>
    <n v="0.1"/>
    <m/>
  </r>
  <r>
    <s v="2018-19"/>
    <x v="1"/>
    <x v="7"/>
    <s v="L2"/>
    <s v="Visualization and Communication, Spatial Planning and Organisation"/>
    <s v="Master’s Stroke: Matters of Architectural Language"/>
    <n v="9"/>
    <x v="0"/>
    <x v="8"/>
    <n v="1"/>
    <n v="0.05"/>
    <n v="0.85"/>
    <n v="4.2500000000000003E-2"/>
    <m/>
  </r>
  <r>
    <s v="2018-19"/>
    <x v="1"/>
    <x v="7"/>
    <s v="L2"/>
    <s v="Visualization and Communication, Spatial Planning and Organisation"/>
    <s v="Master’s Stroke: Matters of Architectural Language"/>
    <n v="9"/>
    <x v="1"/>
    <x v="8"/>
    <n v="1"/>
    <n v="0.05"/>
    <n v="0.85"/>
    <n v="4.2500000000000003E-2"/>
    <m/>
  </r>
  <r>
    <s v="2018-19"/>
    <x v="1"/>
    <x v="7"/>
    <s v="L2"/>
    <s v="Visualization and Communication, Spatial Planning and Organisation"/>
    <s v="Master’s Stroke: Matters of Architectural Language"/>
    <n v="10"/>
    <x v="0"/>
    <x v="8"/>
    <n v="0"/>
    <n v="0.05"/>
    <n v="0.85"/>
    <n v="0"/>
    <m/>
  </r>
  <r>
    <s v="2018-19"/>
    <x v="1"/>
    <x v="7"/>
    <s v="L2"/>
    <s v="Visualization and Communication, Spatial Planning and Organisation"/>
    <s v="Master’s Stroke: Matters of Architectural Language"/>
    <n v="10"/>
    <x v="1"/>
    <x v="8"/>
    <n v="1"/>
    <n v="0.05"/>
    <n v="0.85"/>
    <n v="4.2500000000000003E-2"/>
    <m/>
  </r>
  <r>
    <s v="2018-19"/>
    <x v="1"/>
    <x v="7"/>
    <s v="L2"/>
    <s v="Visualization and Communication, Spatial Planning and Organisation"/>
    <s v="Master’s Stroke: Matters of Architectural Language"/>
    <n v="11"/>
    <x v="0"/>
    <x v="9"/>
    <n v="1"/>
    <n v="0.05"/>
    <n v="1"/>
    <n v="0.05"/>
    <m/>
  </r>
  <r>
    <s v="2018-19"/>
    <x v="1"/>
    <x v="7"/>
    <s v="L2"/>
    <s v="Visualization and Communication, Spatial Planning and Organisation"/>
    <s v="Master’s Stroke: Matters of Architectural Language"/>
    <n v="11"/>
    <x v="1"/>
    <x v="9"/>
    <n v="0"/>
    <n v="0.05"/>
    <n v="1"/>
    <n v="0"/>
    <s v="Not yet, but another level of refinement could lead to it being at par. "/>
  </r>
  <r>
    <s v="2018-19"/>
    <x v="1"/>
    <x v="8"/>
    <s v="L2"/>
    <s v="Visualization and Communication, Spatial Planning and Organisation"/>
    <s v="Designing Types - Office Building"/>
    <n v="1"/>
    <x v="0"/>
    <x v="0"/>
    <n v="0"/>
    <n v="0.12"/>
    <n v="1"/>
    <n v="0"/>
    <m/>
  </r>
  <r>
    <s v="2018-19"/>
    <x v="1"/>
    <x v="8"/>
    <s v="L2"/>
    <s v="Visualization and Communication, Spatial Planning and Organisation"/>
    <s v="Designing Types - Office Building"/>
    <n v="1"/>
    <x v="1"/>
    <x v="0"/>
    <n v="-1"/>
    <n v="0.12"/>
    <n v="1"/>
    <n v="-0.12"/>
    <m/>
  </r>
  <r>
    <s v="2018-19"/>
    <x v="1"/>
    <x v="8"/>
    <s v="L2"/>
    <s v="Visualization and Communication, Spatial Planning and Organisation"/>
    <s v="Designing Types - Office Building"/>
    <n v="2"/>
    <x v="0"/>
    <x v="1"/>
    <n v="0"/>
    <n v="0.08"/>
    <n v="0.8"/>
    <n v="0"/>
    <m/>
  </r>
  <r>
    <s v="2018-19"/>
    <x v="1"/>
    <x v="8"/>
    <s v="L2"/>
    <s v="Visualization and Communication, Spatial Planning and Organisation"/>
    <s v="Designing Types - Office Building"/>
    <n v="2"/>
    <x v="1"/>
    <x v="1"/>
    <n v="-1"/>
    <n v="0.08"/>
    <n v="0.8"/>
    <n v="-6.4000000000000001E-2"/>
    <m/>
  </r>
  <r>
    <s v="2018-19"/>
    <x v="1"/>
    <x v="8"/>
    <s v="L2"/>
    <s v="Visualization and Communication, Spatial Planning and Organisation"/>
    <s v="Designing Types - Office Building"/>
    <n v="3"/>
    <x v="0"/>
    <x v="2"/>
    <n v="0"/>
    <n v="0.05"/>
    <n v="1"/>
    <n v="0"/>
    <m/>
  </r>
  <r>
    <s v="2018-19"/>
    <x v="1"/>
    <x v="8"/>
    <s v="L2"/>
    <s v="Visualization and Communication, Spatial Planning and Organisation"/>
    <s v="Designing Types - Office Building"/>
    <n v="3"/>
    <x v="1"/>
    <x v="2"/>
    <n v="-1"/>
    <n v="0.05"/>
    <n v="1"/>
    <n v="-0.05"/>
    <s v="Very narrowly conceptualised"/>
  </r>
  <r>
    <s v="2018-19"/>
    <x v="1"/>
    <x v="8"/>
    <s v="L2"/>
    <s v="Visualization and Communication, Spatial Planning and Organisation"/>
    <s v="Designing Types - Office Building"/>
    <n v="4"/>
    <x v="0"/>
    <x v="3"/>
    <n v="-1"/>
    <n v="0.14000000000000001"/>
    <n v="1"/>
    <n v="-0.14000000000000001"/>
    <m/>
  </r>
  <r>
    <s v="2018-19"/>
    <x v="1"/>
    <x v="8"/>
    <s v="L2"/>
    <s v="Visualization and Communication, Spatial Planning and Organisation"/>
    <s v="Designing Types - Office Building"/>
    <n v="4"/>
    <x v="1"/>
    <x v="3"/>
    <n v="-1"/>
    <n v="0.14000000000000001"/>
    <n v="1"/>
    <n v="-0.14000000000000001"/>
    <s v="No"/>
  </r>
  <r>
    <s v="2018-19"/>
    <x v="1"/>
    <x v="8"/>
    <s v="L2"/>
    <s v="Visualization and Communication, Spatial Planning and Organisation"/>
    <s v="Designing Types - Office Building"/>
    <n v="5"/>
    <x v="0"/>
    <x v="4"/>
    <n v="-1"/>
    <n v="0.11"/>
    <n v="1"/>
    <n v="-0.11"/>
    <m/>
  </r>
  <r>
    <s v="2018-19"/>
    <x v="1"/>
    <x v="8"/>
    <s v="L2"/>
    <s v="Visualization and Communication, Spatial Planning and Organisation"/>
    <s v="Designing Types - Office Building"/>
    <n v="5"/>
    <x v="1"/>
    <x v="4"/>
    <n v="-1"/>
    <n v="0.11"/>
    <n v="1"/>
    <n v="-0.11"/>
    <m/>
  </r>
  <r>
    <s v="2018-19"/>
    <x v="1"/>
    <x v="8"/>
    <s v="L2"/>
    <s v="Visualization and Communication, Spatial Planning and Organisation"/>
    <s v="Designing Types - Office Building"/>
    <n v="6"/>
    <x v="0"/>
    <x v="5"/>
    <n v="0"/>
    <n v="0.15"/>
    <n v="1"/>
    <n v="0"/>
    <m/>
  </r>
  <r>
    <s v="2018-19"/>
    <x v="1"/>
    <x v="8"/>
    <s v="L2"/>
    <s v="Visualization and Communication, Spatial Planning and Organisation"/>
    <s v="Designing Types - Office Building"/>
    <n v="6"/>
    <x v="1"/>
    <x v="5"/>
    <n v="-1"/>
    <n v="0.15"/>
    <n v="1"/>
    <n v="-0.15"/>
    <s v="Very disappointing"/>
  </r>
  <r>
    <s v="2018-19"/>
    <x v="1"/>
    <x v="8"/>
    <s v="L2"/>
    <s v="Visualization and Communication, Spatial Planning and Organisation"/>
    <s v="Designing Types - Office Building"/>
    <n v="7"/>
    <x v="0"/>
    <x v="6"/>
    <n v="0"/>
    <n v="0.1"/>
    <n v="1"/>
    <n v="0"/>
    <m/>
  </r>
  <r>
    <s v="2018-19"/>
    <x v="1"/>
    <x v="8"/>
    <s v="L2"/>
    <s v="Visualization and Communication, Spatial Planning and Organisation"/>
    <s v="Designing Types - Office Building"/>
    <n v="7"/>
    <x v="1"/>
    <x v="6"/>
    <n v="-1"/>
    <n v="0.1"/>
    <n v="1"/>
    <n v="-0.1"/>
    <s v="It's very immature and fragmented"/>
  </r>
  <r>
    <s v="2018-19"/>
    <x v="1"/>
    <x v="8"/>
    <s v="L2"/>
    <s v="Visualization and Communication, Spatial Planning and Organisation"/>
    <s v="Designing Types - Office Building"/>
    <n v="8"/>
    <x v="0"/>
    <x v="7"/>
    <n v="0"/>
    <n v="0.1"/>
    <n v="1"/>
    <n v="0"/>
    <m/>
  </r>
  <r>
    <s v="2018-19"/>
    <x v="1"/>
    <x v="8"/>
    <s v="L2"/>
    <s v="Visualization and Communication, Spatial Planning and Organisation"/>
    <s v="Designing Types - Office Building"/>
    <n v="8"/>
    <x v="1"/>
    <x v="7"/>
    <n v="-1"/>
    <n v="0.1"/>
    <n v="1"/>
    <n v="-0.1"/>
    <m/>
  </r>
  <r>
    <s v="2018-19"/>
    <x v="1"/>
    <x v="8"/>
    <s v="L2"/>
    <s v="Visualization and Communication, Spatial Planning and Organisation"/>
    <s v="Designing Types - Office Building"/>
    <n v="9"/>
    <x v="0"/>
    <x v="8"/>
    <n v="-1"/>
    <n v="0.05"/>
    <n v="0.85"/>
    <n v="-4.2500000000000003E-2"/>
    <m/>
  </r>
  <r>
    <s v="2018-19"/>
    <x v="1"/>
    <x v="8"/>
    <s v="L2"/>
    <s v="Visualization and Communication, Spatial Planning and Organisation"/>
    <s v="Designing Types - Office Building"/>
    <n v="9"/>
    <x v="1"/>
    <x v="8"/>
    <n v="0"/>
    <n v="0.05"/>
    <n v="0.85"/>
    <n v="0"/>
    <m/>
  </r>
  <r>
    <s v="2018-19"/>
    <x v="1"/>
    <x v="8"/>
    <s v="L2"/>
    <s v="Visualization and Communication, Spatial Planning and Organisation"/>
    <s v="Designing Types - Office Building"/>
    <n v="10"/>
    <x v="0"/>
    <x v="8"/>
    <n v="0"/>
    <n v="0.05"/>
    <n v="0.85"/>
    <n v="0"/>
    <m/>
  </r>
  <r>
    <s v="2018-19"/>
    <x v="1"/>
    <x v="8"/>
    <s v="L2"/>
    <s v="Visualization and Communication, Spatial Planning and Organisation"/>
    <s v="Designing Types - Office Building"/>
    <n v="10"/>
    <x v="1"/>
    <x v="8"/>
    <n v="0"/>
    <n v="0.05"/>
    <n v="0.85"/>
    <n v="0"/>
    <m/>
  </r>
  <r>
    <s v="2018-19"/>
    <x v="1"/>
    <x v="8"/>
    <s v="L2"/>
    <s v="Visualization and Communication, Spatial Planning and Organisation"/>
    <s v="Designing Types - Office Building"/>
    <n v="11"/>
    <x v="0"/>
    <x v="9"/>
    <n v="-1"/>
    <n v="0.05"/>
    <n v="1"/>
    <n v="-0.05"/>
    <m/>
  </r>
  <r>
    <s v="2018-19"/>
    <x v="1"/>
    <x v="8"/>
    <s v="L2"/>
    <s v="Visualization and Communication, Spatial Planning and Organisation"/>
    <s v="Designing Types - Office Building"/>
    <n v="11"/>
    <x v="1"/>
    <x v="9"/>
    <n v="-1"/>
    <n v="0.05"/>
    <n v="1"/>
    <n v="-0.05"/>
    <s v="No. Far from it."/>
  </r>
  <r>
    <s v="2018-19"/>
    <x v="1"/>
    <x v="9"/>
    <s v="L2"/>
    <s v="Constructing and Specifying"/>
    <s v="Tectonic Operations"/>
    <n v="1"/>
    <x v="0"/>
    <x v="0"/>
    <n v="0"/>
    <n v="0.12"/>
    <n v="1"/>
    <n v="0"/>
    <m/>
  </r>
  <r>
    <s v="2018-19"/>
    <x v="1"/>
    <x v="9"/>
    <s v="L2"/>
    <s v="Constructing and Specifying"/>
    <s v="Tectonic Operations"/>
    <n v="1"/>
    <x v="1"/>
    <x v="0"/>
    <n v="1"/>
    <n v="0.12"/>
    <n v="1"/>
    <n v="0.12"/>
    <m/>
  </r>
  <r>
    <s v="2018-19"/>
    <x v="1"/>
    <x v="9"/>
    <s v="L2"/>
    <s v="Constructing and Specifying"/>
    <s v="Tectonic Operations"/>
    <n v="2"/>
    <x v="0"/>
    <x v="1"/>
    <n v="0"/>
    <n v="0.08"/>
    <n v="0.8"/>
    <n v="0"/>
    <m/>
  </r>
  <r>
    <s v="2018-19"/>
    <x v="1"/>
    <x v="9"/>
    <s v="L2"/>
    <s v="Constructing and Specifying"/>
    <s v="Tectonic Operations"/>
    <n v="2"/>
    <x v="1"/>
    <x v="1"/>
    <n v="1"/>
    <n v="0.08"/>
    <n v="0.8"/>
    <n v="6.4000000000000001E-2"/>
    <m/>
  </r>
  <r>
    <s v="2018-19"/>
    <x v="1"/>
    <x v="9"/>
    <s v="L2"/>
    <s v="Constructing and Specifying"/>
    <s v="Tectonic Operations"/>
    <n v="3"/>
    <x v="0"/>
    <x v="2"/>
    <n v="1"/>
    <n v="0.05"/>
    <n v="1"/>
    <n v="0.05"/>
    <m/>
  </r>
  <r>
    <s v="2018-19"/>
    <x v="1"/>
    <x v="9"/>
    <s v="L2"/>
    <s v="Constructing and Specifying"/>
    <s v="Tectonic Operations"/>
    <n v="3"/>
    <x v="1"/>
    <x v="2"/>
    <n v="1"/>
    <n v="0.05"/>
    <n v="1"/>
    <n v="0.05"/>
    <m/>
  </r>
  <r>
    <s v="2018-19"/>
    <x v="1"/>
    <x v="9"/>
    <s v="L2"/>
    <s v="Constructing and Specifying"/>
    <s v="Tectonic Operations"/>
    <n v="4"/>
    <x v="0"/>
    <x v="3"/>
    <n v="1"/>
    <n v="0.14000000000000001"/>
    <n v="1"/>
    <n v="0.14000000000000001"/>
    <m/>
  </r>
  <r>
    <s v="2018-19"/>
    <x v="1"/>
    <x v="9"/>
    <s v="L2"/>
    <s v="Constructing and Specifying"/>
    <s v="Tectonic Operations"/>
    <n v="4"/>
    <x v="1"/>
    <x v="3"/>
    <n v="1"/>
    <n v="0.14000000000000001"/>
    <n v="1"/>
    <n v="0.14000000000000001"/>
    <m/>
  </r>
  <r>
    <s v="2018-19"/>
    <x v="1"/>
    <x v="9"/>
    <s v="L2"/>
    <s v="Constructing and Specifying"/>
    <s v="Tectonic Operations"/>
    <n v="5"/>
    <x v="0"/>
    <x v="4"/>
    <n v="1"/>
    <n v="0.11"/>
    <n v="1"/>
    <n v="0.11"/>
    <m/>
  </r>
  <r>
    <s v="2018-19"/>
    <x v="1"/>
    <x v="9"/>
    <s v="L2"/>
    <s v="Constructing and Specifying"/>
    <s v="Tectonic Operations"/>
    <n v="5"/>
    <x v="1"/>
    <x v="4"/>
    <n v="1"/>
    <n v="0.11"/>
    <n v="1"/>
    <n v="0.11"/>
    <m/>
  </r>
  <r>
    <s v="2018-19"/>
    <x v="1"/>
    <x v="9"/>
    <s v="L2"/>
    <s v="Constructing and Specifying"/>
    <s v="Tectonic Operations"/>
    <n v="6"/>
    <x v="0"/>
    <x v="5"/>
    <n v="1"/>
    <n v="0.15"/>
    <n v="1"/>
    <n v="0.15"/>
    <m/>
  </r>
  <r>
    <s v="2018-19"/>
    <x v="1"/>
    <x v="9"/>
    <s v="L2"/>
    <s v="Constructing and Specifying"/>
    <s v="Tectonic Operations"/>
    <n v="6"/>
    <x v="1"/>
    <x v="5"/>
    <n v="1"/>
    <n v="0.15"/>
    <n v="1"/>
    <n v="0.15"/>
    <m/>
  </r>
  <r>
    <s v="2018-19"/>
    <x v="1"/>
    <x v="9"/>
    <s v="L2"/>
    <s v="Constructing and Specifying"/>
    <s v="Tectonic Operations"/>
    <n v="7"/>
    <x v="0"/>
    <x v="6"/>
    <n v="1"/>
    <n v="0.1"/>
    <n v="1"/>
    <n v="0.1"/>
    <m/>
  </r>
  <r>
    <s v="2018-19"/>
    <x v="1"/>
    <x v="9"/>
    <s v="L2"/>
    <s v="Constructing and Specifying"/>
    <s v="Tectonic Operations"/>
    <n v="7"/>
    <x v="1"/>
    <x v="6"/>
    <n v="1"/>
    <n v="0.1"/>
    <n v="1"/>
    <n v="0.1"/>
    <m/>
  </r>
  <r>
    <s v="2018-19"/>
    <x v="1"/>
    <x v="9"/>
    <s v="L2"/>
    <s v="Constructing and Specifying"/>
    <s v="Tectonic Operations"/>
    <n v="8"/>
    <x v="0"/>
    <x v="7"/>
    <n v="1"/>
    <n v="0.1"/>
    <n v="1"/>
    <n v="0.1"/>
    <m/>
  </r>
  <r>
    <s v="2018-19"/>
    <x v="1"/>
    <x v="9"/>
    <s v="L2"/>
    <s v="Constructing and Specifying"/>
    <s v="Tectonic Operations"/>
    <n v="8"/>
    <x v="1"/>
    <x v="7"/>
    <n v="1"/>
    <n v="0.1"/>
    <n v="1"/>
    <n v="0.1"/>
    <m/>
  </r>
  <r>
    <s v="2018-19"/>
    <x v="1"/>
    <x v="9"/>
    <s v="L2"/>
    <s v="Constructing and Specifying"/>
    <s v="Tectonic Operations"/>
    <n v="9"/>
    <x v="0"/>
    <x v="8"/>
    <n v="1"/>
    <n v="0.05"/>
    <n v="0.85"/>
    <n v="4.2500000000000003E-2"/>
    <m/>
  </r>
  <r>
    <s v="2018-19"/>
    <x v="1"/>
    <x v="9"/>
    <s v="L2"/>
    <s v="Constructing and Specifying"/>
    <s v="Tectonic Operations"/>
    <n v="9"/>
    <x v="1"/>
    <x v="8"/>
    <n v="1"/>
    <n v="0.05"/>
    <n v="0.85"/>
    <n v="4.2500000000000003E-2"/>
    <m/>
  </r>
  <r>
    <s v="2018-19"/>
    <x v="1"/>
    <x v="9"/>
    <s v="L2"/>
    <s v="Constructing and Specifying"/>
    <s v="Tectonic Operations"/>
    <n v="10"/>
    <x v="0"/>
    <x v="8"/>
    <n v="0"/>
    <n v="0.05"/>
    <n v="0.85"/>
    <n v="0"/>
    <m/>
  </r>
  <r>
    <s v="2018-19"/>
    <x v="1"/>
    <x v="9"/>
    <s v="L2"/>
    <s v="Constructing and Specifying"/>
    <s v="Tectonic Operations"/>
    <n v="10"/>
    <x v="1"/>
    <x v="8"/>
    <n v="1"/>
    <n v="0.05"/>
    <n v="0.85"/>
    <n v="4.2500000000000003E-2"/>
    <m/>
  </r>
  <r>
    <s v="2018-19"/>
    <x v="1"/>
    <x v="9"/>
    <s v="L2"/>
    <s v="Constructing and Specifying"/>
    <s v="Tectonic Operations"/>
    <n v="11"/>
    <x v="0"/>
    <x v="9"/>
    <n v="1"/>
    <n v="0.05"/>
    <n v="1"/>
    <n v="0.05"/>
    <m/>
  </r>
  <r>
    <s v="2018-19"/>
    <x v="1"/>
    <x v="9"/>
    <s v="L2"/>
    <s v="Constructing and Specifying"/>
    <s v="Tectonic Operations"/>
    <n v="11"/>
    <x v="1"/>
    <x v="9"/>
    <n v="1"/>
    <n v="0.05"/>
    <n v="1"/>
    <n v="0.05"/>
    <s v="Yes."/>
  </r>
  <r>
    <s v="2018-19"/>
    <x v="1"/>
    <x v="17"/>
    <s v="L2"/>
    <m/>
    <s v="Designing with People"/>
    <n v="1"/>
    <x v="0"/>
    <x v="0"/>
    <n v="1"/>
    <n v="0.12"/>
    <n v="1"/>
    <n v="0.12"/>
    <m/>
  </r>
  <r>
    <s v="2018-19"/>
    <x v="1"/>
    <x v="17"/>
    <s v="L2"/>
    <m/>
    <s v="Designing with People"/>
    <n v="1"/>
    <x v="1"/>
    <x v="0"/>
    <n v="1"/>
    <n v="0.12"/>
    <n v="1"/>
    <n v="0.12"/>
    <m/>
  </r>
  <r>
    <s v="2018-19"/>
    <x v="1"/>
    <x v="17"/>
    <s v="L2"/>
    <m/>
    <s v="Designing with People"/>
    <n v="2"/>
    <x v="0"/>
    <x v="1"/>
    <n v="1"/>
    <n v="0.08"/>
    <n v="0.8"/>
    <n v="6.4000000000000001E-2"/>
    <m/>
  </r>
  <r>
    <s v="2018-19"/>
    <x v="1"/>
    <x v="17"/>
    <s v="L2"/>
    <m/>
    <s v="Designing with People"/>
    <n v="2"/>
    <x v="1"/>
    <x v="1"/>
    <n v="1"/>
    <n v="0.08"/>
    <n v="0.8"/>
    <n v="6.4000000000000001E-2"/>
    <m/>
  </r>
  <r>
    <s v="2018-19"/>
    <x v="1"/>
    <x v="17"/>
    <s v="L2"/>
    <m/>
    <s v="Designing with People"/>
    <n v="3"/>
    <x v="0"/>
    <x v="2"/>
    <n v="1"/>
    <n v="0.05"/>
    <n v="1"/>
    <n v="0.05"/>
    <m/>
  </r>
  <r>
    <s v="2018-19"/>
    <x v="1"/>
    <x v="17"/>
    <s v="L2"/>
    <m/>
    <s v="Designing with People"/>
    <n v="3"/>
    <x v="1"/>
    <x v="2"/>
    <n v="1"/>
    <n v="0.05"/>
    <n v="1"/>
    <n v="0.05"/>
    <s v="It's well specified"/>
  </r>
  <r>
    <s v="2018-19"/>
    <x v="1"/>
    <x v="17"/>
    <s v="L2"/>
    <m/>
    <s v="Designing with People"/>
    <n v="4"/>
    <x v="0"/>
    <x v="3"/>
    <n v="1"/>
    <n v="0.14000000000000001"/>
    <n v="1"/>
    <n v="0.14000000000000001"/>
    <m/>
  </r>
  <r>
    <s v="2018-19"/>
    <x v="1"/>
    <x v="17"/>
    <s v="L2"/>
    <m/>
    <s v="Designing with People"/>
    <n v="4"/>
    <x v="1"/>
    <x v="3"/>
    <n v="1"/>
    <n v="0.14000000000000001"/>
    <n v="1"/>
    <n v="0.14000000000000001"/>
    <m/>
  </r>
  <r>
    <s v="2018-19"/>
    <x v="1"/>
    <x v="17"/>
    <s v="L2"/>
    <m/>
    <s v="Designing with People"/>
    <n v="5"/>
    <x v="0"/>
    <x v="4"/>
    <n v="1"/>
    <n v="0.11"/>
    <n v="1"/>
    <n v="0.11"/>
    <m/>
  </r>
  <r>
    <s v="2018-19"/>
    <x v="1"/>
    <x v="17"/>
    <s v="L2"/>
    <m/>
    <s v="Designing with People"/>
    <n v="5"/>
    <x v="1"/>
    <x v="4"/>
    <n v="1"/>
    <n v="0.11"/>
    <n v="1"/>
    <n v="0.11"/>
    <m/>
  </r>
  <r>
    <s v="2018-19"/>
    <x v="1"/>
    <x v="17"/>
    <s v="L2"/>
    <m/>
    <s v="Designing with People"/>
    <n v="6"/>
    <x v="0"/>
    <x v="5"/>
    <n v="1"/>
    <n v="0.15"/>
    <n v="1"/>
    <n v="0.15"/>
    <m/>
  </r>
  <r>
    <s v="2018-19"/>
    <x v="1"/>
    <x v="17"/>
    <s v="L2"/>
    <m/>
    <s v="Designing with People"/>
    <n v="6"/>
    <x v="1"/>
    <x v="5"/>
    <n v="0"/>
    <n v="0.15"/>
    <n v="1"/>
    <n v="0"/>
    <s v="Convincing- yes. Ingenious and Sophisticated - no."/>
  </r>
  <r>
    <s v="2018-19"/>
    <x v="1"/>
    <x v="17"/>
    <s v="L2"/>
    <m/>
    <s v="Designing with People"/>
    <n v="7"/>
    <x v="0"/>
    <x v="6"/>
    <n v="1"/>
    <n v="0.1"/>
    <n v="1"/>
    <n v="0.1"/>
    <m/>
  </r>
  <r>
    <s v="2018-19"/>
    <x v="1"/>
    <x v="17"/>
    <s v="L2"/>
    <m/>
    <s v="Designing with People"/>
    <n v="7"/>
    <x v="1"/>
    <x v="6"/>
    <n v="1"/>
    <n v="0.1"/>
    <n v="1"/>
    <n v="0.1"/>
    <m/>
  </r>
  <r>
    <s v="2018-19"/>
    <x v="1"/>
    <x v="17"/>
    <s v="L2"/>
    <m/>
    <s v="Designing with People"/>
    <n v="8"/>
    <x v="0"/>
    <x v="7"/>
    <n v="0"/>
    <n v="0.1"/>
    <n v="1"/>
    <n v="0"/>
    <m/>
  </r>
  <r>
    <s v="2018-19"/>
    <x v="1"/>
    <x v="17"/>
    <s v="L2"/>
    <m/>
    <s v="Designing with People"/>
    <n v="8"/>
    <x v="1"/>
    <x v="7"/>
    <n v="1"/>
    <n v="0.1"/>
    <n v="1"/>
    <n v="0.1"/>
    <m/>
  </r>
  <r>
    <s v="2018-19"/>
    <x v="1"/>
    <x v="17"/>
    <s v="L2"/>
    <m/>
    <s v="Designing with People"/>
    <n v="9"/>
    <x v="0"/>
    <x v="8"/>
    <n v="0"/>
    <n v="0.05"/>
    <n v="0.85"/>
    <n v="0"/>
    <m/>
  </r>
  <r>
    <s v="2018-19"/>
    <x v="1"/>
    <x v="17"/>
    <s v="L2"/>
    <m/>
    <s v="Designing with People"/>
    <n v="9"/>
    <x v="1"/>
    <x v="8"/>
    <n v="1"/>
    <n v="0.05"/>
    <n v="0.85"/>
    <n v="4.2500000000000003E-2"/>
    <m/>
  </r>
  <r>
    <s v="2018-19"/>
    <x v="1"/>
    <x v="17"/>
    <s v="L2"/>
    <m/>
    <s v="Designing with People"/>
    <n v="10"/>
    <x v="0"/>
    <x v="8"/>
    <n v="0"/>
    <n v="0.05"/>
    <n v="0.85"/>
    <n v="0"/>
    <m/>
  </r>
  <r>
    <s v="2018-19"/>
    <x v="1"/>
    <x v="17"/>
    <s v="L2"/>
    <m/>
    <s v="Designing with People"/>
    <n v="10"/>
    <x v="1"/>
    <x v="8"/>
    <n v="1"/>
    <n v="0.05"/>
    <n v="0.85"/>
    <n v="4.2500000000000003E-2"/>
    <m/>
  </r>
  <r>
    <s v="2018-19"/>
    <x v="1"/>
    <x v="17"/>
    <s v="L2"/>
    <m/>
    <s v="Designing with People"/>
    <n v="11"/>
    <x v="0"/>
    <x v="9"/>
    <n v="0"/>
    <n v="0.05"/>
    <n v="1"/>
    <n v="0"/>
    <m/>
  </r>
  <r>
    <s v="2018-19"/>
    <x v="1"/>
    <x v="17"/>
    <s v="L2"/>
    <m/>
    <s v="Designing with People"/>
    <n v="11"/>
    <x v="1"/>
    <x v="9"/>
    <n v="0"/>
    <n v="0.05"/>
    <n v="1"/>
    <n v="0"/>
    <s v="Not yet but there is a potential for it to be."/>
  </r>
  <r>
    <s v="2018-19"/>
    <x v="1"/>
    <x v="18"/>
    <s v="L2"/>
    <m/>
    <s v="Where Material Meets Design"/>
    <n v="1"/>
    <x v="0"/>
    <x v="0"/>
    <n v="0"/>
    <n v="0.12"/>
    <n v="1"/>
    <n v="0"/>
    <m/>
  </r>
  <r>
    <s v="2018-19"/>
    <x v="1"/>
    <x v="18"/>
    <s v="L2"/>
    <m/>
    <s v="Where Material Meets Design"/>
    <n v="1"/>
    <x v="1"/>
    <x v="0"/>
    <n v="1"/>
    <n v="0.12"/>
    <n v="1"/>
    <n v="0.12"/>
    <m/>
  </r>
  <r>
    <s v="2018-19"/>
    <x v="1"/>
    <x v="18"/>
    <s v="L2"/>
    <m/>
    <s v="Where Material Meets Design"/>
    <n v="2"/>
    <x v="0"/>
    <x v="1"/>
    <n v="0"/>
    <n v="0.08"/>
    <n v="0.8"/>
    <n v="0"/>
    <m/>
  </r>
  <r>
    <s v="2018-19"/>
    <x v="1"/>
    <x v="18"/>
    <s v="L2"/>
    <m/>
    <s v="Where Material Meets Design"/>
    <n v="2"/>
    <x v="1"/>
    <x v="1"/>
    <n v="1"/>
    <n v="0.08"/>
    <n v="0.8"/>
    <n v="6.4000000000000001E-2"/>
    <m/>
  </r>
  <r>
    <s v="2018-19"/>
    <x v="1"/>
    <x v="18"/>
    <s v="L2"/>
    <m/>
    <s v="Where Material Meets Design"/>
    <n v="3"/>
    <x v="0"/>
    <x v="2"/>
    <n v="1"/>
    <n v="0.05"/>
    <n v="1"/>
    <n v="0.05"/>
    <m/>
  </r>
  <r>
    <s v="2018-19"/>
    <x v="1"/>
    <x v="18"/>
    <s v="L2"/>
    <m/>
    <s v="Where Material Meets Design"/>
    <n v="3"/>
    <x v="1"/>
    <x v="2"/>
    <n v="1"/>
    <n v="0.05"/>
    <n v="1"/>
    <n v="0.05"/>
    <m/>
  </r>
  <r>
    <s v="2018-19"/>
    <x v="1"/>
    <x v="18"/>
    <s v="L2"/>
    <m/>
    <s v="Where Material Meets Design"/>
    <n v="4"/>
    <x v="0"/>
    <x v="3"/>
    <n v="0"/>
    <n v="0.14000000000000001"/>
    <n v="1"/>
    <n v="0"/>
    <m/>
  </r>
  <r>
    <s v="2018-19"/>
    <x v="1"/>
    <x v="18"/>
    <s v="L2"/>
    <m/>
    <s v="Where Material Meets Design"/>
    <n v="4"/>
    <x v="1"/>
    <x v="3"/>
    <n v="1"/>
    <n v="0.14000000000000001"/>
    <n v="1"/>
    <n v="0.14000000000000001"/>
    <m/>
  </r>
  <r>
    <s v="2018-19"/>
    <x v="1"/>
    <x v="18"/>
    <s v="L2"/>
    <m/>
    <s v="Where Material Meets Design"/>
    <n v="5"/>
    <x v="0"/>
    <x v="4"/>
    <n v="-1"/>
    <n v="0.11"/>
    <n v="1"/>
    <n v="-0.11"/>
    <m/>
  </r>
  <r>
    <s v="2018-19"/>
    <x v="1"/>
    <x v="18"/>
    <s v="L2"/>
    <m/>
    <s v="Where Material Meets Design"/>
    <n v="5"/>
    <x v="1"/>
    <x v="4"/>
    <n v="0"/>
    <n v="0.11"/>
    <n v="1"/>
    <n v="0"/>
    <m/>
  </r>
  <r>
    <s v="2018-19"/>
    <x v="1"/>
    <x v="18"/>
    <s v="L2"/>
    <m/>
    <s v="Where Material Meets Design"/>
    <n v="6"/>
    <x v="0"/>
    <x v="5"/>
    <n v="0"/>
    <n v="0.15"/>
    <n v="1"/>
    <n v="0"/>
    <m/>
  </r>
  <r>
    <s v="2018-19"/>
    <x v="1"/>
    <x v="18"/>
    <s v="L2"/>
    <m/>
    <s v="Where Material Meets Design"/>
    <n v="6"/>
    <x v="1"/>
    <x v="5"/>
    <n v="1"/>
    <n v="0.15"/>
    <n v="1"/>
    <n v="0.15"/>
    <m/>
  </r>
  <r>
    <s v="2018-19"/>
    <x v="1"/>
    <x v="18"/>
    <s v="L2"/>
    <m/>
    <s v="Where Material Meets Design"/>
    <n v="7"/>
    <x v="0"/>
    <x v="6"/>
    <n v="0"/>
    <n v="0.1"/>
    <n v="1"/>
    <n v="0"/>
    <m/>
  </r>
  <r>
    <s v="2018-19"/>
    <x v="1"/>
    <x v="18"/>
    <s v="L2"/>
    <m/>
    <s v="Where Material Meets Design"/>
    <n v="7"/>
    <x v="1"/>
    <x v="6"/>
    <n v="1"/>
    <n v="0.1"/>
    <n v="1"/>
    <n v="0.1"/>
    <s v="It's rigorous and meticulous"/>
  </r>
  <r>
    <s v="2018-19"/>
    <x v="1"/>
    <x v="18"/>
    <s v="L2"/>
    <m/>
    <s v="Where Material Meets Design"/>
    <n v="8"/>
    <x v="0"/>
    <x v="7"/>
    <n v="0"/>
    <n v="0.1"/>
    <n v="1"/>
    <n v="0"/>
    <m/>
  </r>
  <r>
    <s v="2018-19"/>
    <x v="1"/>
    <x v="18"/>
    <s v="L2"/>
    <m/>
    <s v="Where Material Meets Design"/>
    <n v="8"/>
    <x v="1"/>
    <x v="7"/>
    <n v="1"/>
    <n v="0.1"/>
    <n v="1"/>
    <n v="0.1"/>
    <s v="Well presented"/>
  </r>
  <r>
    <s v="2018-19"/>
    <x v="1"/>
    <x v="18"/>
    <s v="L2"/>
    <m/>
    <s v="Where Material Meets Design"/>
    <n v="9"/>
    <x v="0"/>
    <x v="8"/>
    <n v="-1"/>
    <n v="0.05"/>
    <n v="0.85"/>
    <n v="-4.2500000000000003E-2"/>
    <m/>
  </r>
  <r>
    <s v="2018-19"/>
    <x v="1"/>
    <x v="18"/>
    <s v="L2"/>
    <m/>
    <s v="Where Material Meets Design"/>
    <n v="9"/>
    <x v="1"/>
    <x v="8"/>
    <n v="0"/>
    <n v="0.05"/>
    <n v="0.85"/>
    <n v="0"/>
    <m/>
  </r>
  <r>
    <s v="2018-19"/>
    <x v="1"/>
    <x v="18"/>
    <s v="L2"/>
    <m/>
    <s v="Where Material Meets Design"/>
    <n v="10"/>
    <x v="0"/>
    <x v="8"/>
    <n v="0"/>
    <n v="0.05"/>
    <n v="0.85"/>
    <n v="0"/>
    <m/>
  </r>
  <r>
    <s v="2018-19"/>
    <x v="1"/>
    <x v="18"/>
    <s v="L2"/>
    <m/>
    <s v="Where Material Meets Design"/>
    <n v="10"/>
    <x v="1"/>
    <x v="8"/>
    <n v="1"/>
    <n v="0.05"/>
    <n v="0.85"/>
    <n v="4.2500000000000003E-2"/>
    <m/>
  </r>
  <r>
    <s v="2018-19"/>
    <x v="1"/>
    <x v="18"/>
    <s v="L2"/>
    <m/>
    <s v="Where Material Meets Design"/>
    <n v="11"/>
    <x v="0"/>
    <x v="9"/>
    <n v="0"/>
    <n v="0.05"/>
    <n v="1"/>
    <n v="0"/>
    <m/>
  </r>
  <r>
    <s v="2018-19"/>
    <x v="1"/>
    <x v="18"/>
    <s v="L2"/>
    <m/>
    <s v="Where Material Meets Design"/>
    <n v="11"/>
    <x v="1"/>
    <x v="9"/>
    <n v="1"/>
    <n v="0.05"/>
    <n v="1"/>
    <n v="0.05"/>
    <s v="Again interesting work which could benefit greatly from looking at the eventual manifestation categories."/>
  </r>
  <r>
    <s v="2018-19"/>
    <x v="1"/>
    <x v="19"/>
    <s v="L2"/>
    <m/>
    <s v="A Place for Water"/>
    <n v="1"/>
    <x v="0"/>
    <x v="0"/>
    <n v="1"/>
    <n v="0.12"/>
    <n v="1"/>
    <n v="0.12"/>
    <m/>
  </r>
  <r>
    <s v="2018-19"/>
    <x v="1"/>
    <x v="19"/>
    <s v="L2"/>
    <m/>
    <s v="A Place for Water"/>
    <n v="1"/>
    <x v="1"/>
    <x v="0"/>
    <n v="1"/>
    <n v="0.12"/>
    <n v="1"/>
    <n v="0.12"/>
    <m/>
  </r>
  <r>
    <s v="2018-19"/>
    <x v="1"/>
    <x v="19"/>
    <s v="L2"/>
    <m/>
    <s v="A Place for Water"/>
    <n v="2"/>
    <x v="0"/>
    <x v="1"/>
    <n v="1"/>
    <n v="0.08"/>
    <n v="0.8"/>
    <n v="6.4000000000000001E-2"/>
    <m/>
  </r>
  <r>
    <s v="2018-19"/>
    <x v="1"/>
    <x v="19"/>
    <s v="L2"/>
    <m/>
    <s v="A Place for Water"/>
    <n v="2"/>
    <x v="1"/>
    <x v="1"/>
    <n v="1"/>
    <n v="0.08"/>
    <n v="0.8"/>
    <n v="6.4000000000000001E-2"/>
    <m/>
  </r>
  <r>
    <s v="2018-19"/>
    <x v="1"/>
    <x v="19"/>
    <s v="L2"/>
    <m/>
    <s v="A Place for Water"/>
    <n v="3"/>
    <x v="0"/>
    <x v="2"/>
    <n v="1"/>
    <n v="0.05"/>
    <n v="1"/>
    <n v="0.05"/>
    <m/>
  </r>
  <r>
    <s v="2018-19"/>
    <x v="1"/>
    <x v="19"/>
    <s v="L2"/>
    <m/>
    <s v="A Place for Water"/>
    <n v="3"/>
    <x v="1"/>
    <x v="2"/>
    <n v="0"/>
    <n v="0.05"/>
    <n v="1"/>
    <n v="0"/>
    <s v="It needs to be better focused and defined."/>
  </r>
  <r>
    <s v="2018-19"/>
    <x v="1"/>
    <x v="19"/>
    <s v="L2"/>
    <m/>
    <s v="A Place for Water"/>
    <n v="4"/>
    <x v="0"/>
    <x v="3"/>
    <n v="1"/>
    <n v="0.14000000000000001"/>
    <n v="1"/>
    <n v="0.14000000000000001"/>
    <m/>
  </r>
  <r>
    <s v="2018-19"/>
    <x v="1"/>
    <x v="19"/>
    <s v="L2"/>
    <m/>
    <s v="A Place for Water"/>
    <n v="4"/>
    <x v="1"/>
    <x v="3"/>
    <n v="0"/>
    <n v="0.14000000000000001"/>
    <n v="1"/>
    <n v="0"/>
    <s v="There is an effort"/>
  </r>
  <r>
    <s v="2018-19"/>
    <x v="1"/>
    <x v="19"/>
    <s v="L2"/>
    <m/>
    <s v="A Place for Water"/>
    <n v="5"/>
    <x v="0"/>
    <x v="4"/>
    <n v="0"/>
    <n v="0.11"/>
    <n v="1"/>
    <n v="0"/>
    <m/>
  </r>
  <r>
    <s v="2018-19"/>
    <x v="1"/>
    <x v="19"/>
    <s v="L2"/>
    <m/>
    <s v="A Place for Water"/>
    <n v="5"/>
    <x v="1"/>
    <x v="4"/>
    <n v="0"/>
    <n v="0.11"/>
    <n v="1"/>
    <n v="0"/>
    <s v="Not really"/>
  </r>
  <r>
    <s v="2018-19"/>
    <x v="1"/>
    <x v="19"/>
    <s v="L2"/>
    <m/>
    <s v="A Place for Water"/>
    <n v="6"/>
    <x v="0"/>
    <x v="5"/>
    <n v="1"/>
    <n v="0.15"/>
    <n v="1"/>
    <n v="0.15"/>
    <m/>
  </r>
  <r>
    <s v="2018-19"/>
    <x v="1"/>
    <x v="19"/>
    <s v="L2"/>
    <m/>
    <s v="A Place for Water"/>
    <n v="6"/>
    <x v="1"/>
    <x v="5"/>
    <n v="0"/>
    <n v="0.15"/>
    <n v="1"/>
    <n v="0"/>
    <s v="There is scope for improvement"/>
  </r>
  <r>
    <s v="2018-19"/>
    <x v="1"/>
    <x v="19"/>
    <s v="L2"/>
    <m/>
    <s v="A Place for Water"/>
    <n v="7"/>
    <x v="0"/>
    <x v="6"/>
    <n v="0"/>
    <n v="0.1"/>
    <n v="1"/>
    <n v="0"/>
    <m/>
  </r>
  <r>
    <s v="2018-19"/>
    <x v="1"/>
    <x v="19"/>
    <s v="L2"/>
    <m/>
    <s v="A Place for Water"/>
    <n v="7"/>
    <x v="1"/>
    <x v="6"/>
    <n v="0"/>
    <n v="0.1"/>
    <n v="1"/>
    <n v="0"/>
    <s v="It needs to be more intense and exploratory"/>
  </r>
  <r>
    <s v="2018-19"/>
    <x v="1"/>
    <x v="19"/>
    <s v="L2"/>
    <m/>
    <s v="A Place for Water"/>
    <n v="8"/>
    <x v="0"/>
    <x v="7"/>
    <n v="0"/>
    <n v="0.1"/>
    <n v="1"/>
    <n v="0"/>
    <m/>
  </r>
  <r>
    <s v="2018-19"/>
    <x v="1"/>
    <x v="19"/>
    <s v="L2"/>
    <m/>
    <s v="A Place for Water"/>
    <n v="8"/>
    <x v="1"/>
    <x v="7"/>
    <n v="0"/>
    <n v="0.1"/>
    <n v="1"/>
    <n v="0"/>
    <s v="Can improve"/>
  </r>
  <r>
    <s v="2018-19"/>
    <x v="1"/>
    <x v="19"/>
    <s v="L2"/>
    <m/>
    <s v="A Place for Water"/>
    <n v="9"/>
    <x v="0"/>
    <x v="8"/>
    <n v="1"/>
    <n v="0.05"/>
    <n v="0.85"/>
    <n v="4.2500000000000003E-2"/>
    <m/>
  </r>
  <r>
    <s v="2018-19"/>
    <x v="1"/>
    <x v="19"/>
    <s v="L2"/>
    <m/>
    <s v="A Place for Water"/>
    <n v="9"/>
    <x v="1"/>
    <x v="8"/>
    <n v="0"/>
    <n v="0.05"/>
    <n v="0.85"/>
    <n v="0"/>
    <s v="Can improve"/>
  </r>
  <r>
    <s v="2018-19"/>
    <x v="1"/>
    <x v="19"/>
    <s v="L2"/>
    <m/>
    <s v="A Place for Water"/>
    <n v="10"/>
    <x v="0"/>
    <x v="8"/>
    <n v="0"/>
    <n v="0.05"/>
    <n v="0.85"/>
    <n v="0"/>
    <m/>
  </r>
  <r>
    <s v="2018-19"/>
    <x v="1"/>
    <x v="19"/>
    <s v="L2"/>
    <m/>
    <s v="A Place for Water"/>
    <n v="10"/>
    <x v="1"/>
    <x v="8"/>
    <n v="0"/>
    <n v="0.05"/>
    <n v="0.85"/>
    <n v="0"/>
    <s v="Average"/>
  </r>
  <r>
    <s v="2018-19"/>
    <x v="1"/>
    <x v="19"/>
    <s v="L2"/>
    <m/>
    <s v="A Place for Water"/>
    <n v="11"/>
    <x v="0"/>
    <x v="9"/>
    <n v="0"/>
    <n v="0.05"/>
    <n v="1"/>
    <n v="0"/>
    <m/>
  </r>
  <r>
    <s v="2018-19"/>
    <x v="1"/>
    <x v="19"/>
    <s v="L2"/>
    <m/>
    <s v="A Place for Water"/>
    <n v="11"/>
    <x v="1"/>
    <x v="9"/>
    <n v="-1"/>
    <n v="0.05"/>
    <n v="1"/>
    <n v="-0.05"/>
    <s v="No.  The disjunct between the architectural responses to the centrality of the initial water based brief_x000a_seemed missing."/>
  </r>
  <r>
    <s v="2018-19"/>
    <x v="1"/>
    <x v="20"/>
    <s v="L3"/>
    <m/>
    <s v="Terrain-Vague Bricolage | Herbarium in an abandoned quarry at Champaner"/>
    <n v="1"/>
    <x v="0"/>
    <x v="0"/>
    <n v="1"/>
    <n v="0.12"/>
    <n v="1"/>
    <n v="0.12"/>
    <m/>
  </r>
  <r>
    <s v="2018-19"/>
    <x v="1"/>
    <x v="20"/>
    <s v="L3"/>
    <m/>
    <s v="Terrain-Vague Bricolage | Herbarium in an abandoned quarry at Champaner"/>
    <n v="1"/>
    <x v="1"/>
    <x v="0"/>
    <n v="1"/>
    <n v="0.12"/>
    <n v="1"/>
    <n v="0.12"/>
    <m/>
  </r>
  <r>
    <s v="2018-19"/>
    <x v="1"/>
    <x v="20"/>
    <s v="L3"/>
    <m/>
    <s v="Terrain-Vague Bricolage | Herbarium in an abandoned quarry at Champaner"/>
    <n v="2"/>
    <x v="0"/>
    <x v="1"/>
    <n v="1"/>
    <n v="0.08"/>
    <n v="0.8"/>
    <n v="6.4000000000000001E-2"/>
    <m/>
  </r>
  <r>
    <s v="2018-19"/>
    <x v="1"/>
    <x v="20"/>
    <s v="L3"/>
    <m/>
    <s v="Terrain-Vague Bricolage | Herbarium in an abandoned quarry at Champaner"/>
    <n v="2"/>
    <x v="1"/>
    <x v="1"/>
    <n v="0"/>
    <n v="0.08"/>
    <n v="0.8"/>
    <n v="0"/>
    <m/>
  </r>
  <r>
    <s v="2018-19"/>
    <x v="1"/>
    <x v="20"/>
    <s v="L3"/>
    <m/>
    <s v="Terrain-Vague Bricolage | Herbarium in an abandoned quarry at Champaner"/>
    <n v="3"/>
    <x v="0"/>
    <x v="2"/>
    <n v="1"/>
    <n v="0.05"/>
    <n v="1"/>
    <n v="0.05"/>
    <m/>
  </r>
  <r>
    <s v="2018-19"/>
    <x v="1"/>
    <x v="20"/>
    <s v="L3"/>
    <m/>
    <s v="Terrain-Vague Bricolage | Herbarium in an abandoned quarry at Champaner"/>
    <n v="3"/>
    <x v="1"/>
    <x v="2"/>
    <n v="0"/>
    <n v="0.05"/>
    <n v="1"/>
    <n v="0"/>
    <m/>
  </r>
  <r>
    <s v="2018-19"/>
    <x v="1"/>
    <x v="20"/>
    <s v="L3"/>
    <m/>
    <s v="Terrain-Vague Bricolage | Herbarium in an abandoned quarry at Champaner"/>
    <n v="4"/>
    <x v="0"/>
    <x v="3"/>
    <n v="0"/>
    <n v="0.14000000000000001"/>
    <n v="1"/>
    <n v="0"/>
    <m/>
  </r>
  <r>
    <s v="2018-19"/>
    <x v="1"/>
    <x v="20"/>
    <s v="L3"/>
    <m/>
    <s v="Terrain-Vague Bricolage | Herbarium in an abandoned quarry at Champaner"/>
    <n v="4"/>
    <x v="1"/>
    <x v="3"/>
    <n v="-1"/>
    <n v="0.14000000000000001"/>
    <n v="1"/>
    <n v="-0.14000000000000001"/>
    <m/>
  </r>
  <r>
    <s v="2018-19"/>
    <x v="1"/>
    <x v="20"/>
    <s v="L3"/>
    <m/>
    <s v="Terrain-Vague Bricolage | Herbarium in an abandoned quarry at Champaner"/>
    <n v="5"/>
    <x v="0"/>
    <x v="4"/>
    <n v="0"/>
    <n v="0.11"/>
    <n v="1"/>
    <n v="0"/>
    <m/>
  </r>
  <r>
    <s v="2018-19"/>
    <x v="1"/>
    <x v="20"/>
    <s v="L3"/>
    <m/>
    <s v="Terrain-Vague Bricolage | Herbarium in an abandoned quarry at Champaner"/>
    <n v="5"/>
    <x v="1"/>
    <x v="4"/>
    <n v="-1"/>
    <n v="0.11"/>
    <n v="1"/>
    <n v="-0.11"/>
    <m/>
  </r>
  <r>
    <s v="2018-19"/>
    <x v="1"/>
    <x v="20"/>
    <s v="L3"/>
    <m/>
    <s v="Terrain-Vague Bricolage | Herbarium in an abandoned quarry at Champaner"/>
    <n v="6"/>
    <x v="0"/>
    <x v="5"/>
    <n v="1"/>
    <n v="0.15"/>
    <n v="1"/>
    <n v="0.15"/>
    <m/>
  </r>
  <r>
    <s v="2018-19"/>
    <x v="1"/>
    <x v="20"/>
    <s v="L3"/>
    <m/>
    <s v="Terrain-Vague Bricolage | Herbarium in an abandoned quarry at Champaner"/>
    <n v="6"/>
    <x v="1"/>
    <x v="5"/>
    <n v="-1"/>
    <n v="0.15"/>
    <n v="1"/>
    <n v="-0.15"/>
    <m/>
  </r>
  <r>
    <s v="2018-19"/>
    <x v="1"/>
    <x v="20"/>
    <s v="L3"/>
    <m/>
    <s v="Terrain-Vague Bricolage | Herbarium in an abandoned quarry at Champaner"/>
    <n v="7"/>
    <x v="0"/>
    <x v="6"/>
    <n v="0"/>
    <n v="0.1"/>
    <n v="1"/>
    <n v="0"/>
    <m/>
  </r>
  <r>
    <s v="2018-19"/>
    <x v="1"/>
    <x v="20"/>
    <s v="L3"/>
    <m/>
    <s v="Terrain-Vague Bricolage | Herbarium in an abandoned quarry at Champaner"/>
    <n v="7"/>
    <x v="1"/>
    <x v="6"/>
    <n v="-1"/>
    <n v="0.1"/>
    <n v="1"/>
    <n v="-0.1"/>
    <m/>
  </r>
  <r>
    <s v="2018-19"/>
    <x v="1"/>
    <x v="20"/>
    <s v="L3"/>
    <m/>
    <s v="Terrain-Vague Bricolage | Herbarium in an abandoned quarry at Champaner"/>
    <n v="8"/>
    <x v="0"/>
    <x v="7"/>
    <n v="1"/>
    <n v="0.1"/>
    <n v="1"/>
    <n v="0.1"/>
    <m/>
  </r>
  <r>
    <s v="2018-19"/>
    <x v="1"/>
    <x v="20"/>
    <s v="L3"/>
    <m/>
    <s v="Terrain-Vague Bricolage | Herbarium in an abandoned quarry at Champaner"/>
    <n v="8"/>
    <x v="1"/>
    <x v="7"/>
    <n v="-1"/>
    <n v="0.1"/>
    <n v="1"/>
    <n v="-0.1"/>
    <m/>
  </r>
  <r>
    <s v="2018-19"/>
    <x v="1"/>
    <x v="20"/>
    <s v="L3"/>
    <m/>
    <s v="Terrain-Vague Bricolage | Herbarium in an abandoned quarry at Champaner"/>
    <n v="9"/>
    <x v="0"/>
    <x v="8"/>
    <n v="1"/>
    <n v="0.05"/>
    <n v="0.85"/>
    <n v="4.2500000000000003E-2"/>
    <m/>
  </r>
  <r>
    <s v="2018-19"/>
    <x v="1"/>
    <x v="20"/>
    <s v="L3"/>
    <m/>
    <s v="Terrain-Vague Bricolage | Herbarium in an abandoned quarry at Champaner"/>
    <n v="9"/>
    <x v="1"/>
    <x v="8"/>
    <n v="0"/>
    <n v="0.05"/>
    <n v="0.85"/>
    <n v="0"/>
    <m/>
  </r>
  <r>
    <s v="2018-19"/>
    <x v="1"/>
    <x v="20"/>
    <s v="L3"/>
    <m/>
    <s v="Terrain-Vague Bricolage | Herbarium in an abandoned quarry at Champaner"/>
    <n v="10"/>
    <x v="0"/>
    <x v="8"/>
    <n v="1"/>
    <n v="0.05"/>
    <n v="0.85"/>
    <n v="4.2500000000000003E-2"/>
    <m/>
  </r>
  <r>
    <s v="2018-19"/>
    <x v="1"/>
    <x v="20"/>
    <s v="L3"/>
    <m/>
    <s v="Terrain-Vague Bricolage | Herbarium in an abandoned quarry at Champaner"/>
    <n v="10"/>
    <x v="1"/>
    <x v="8"/>
    <n v="-1"/>
    <n v="0.05"/>
    <n v="0.85"/>
    <n v="-4.2500000000000003E-2"/>
    <m/>
  </r>
  <r>
    <s v="2018-19"/>
    <x v="1"/>
    <x v="20"/>
    <s v="L3"/>
    <m/>
    <s v="Terrain-Vague Bricolage | Herbarium in an abandoned quarry at Champaner"/>
    <n v="11"/>
    <x v="0"/>
    <x v="9"/>
    <n v="1"/>
    <n v="0.05"/>
    <n v="1"/>
    <n v="0.05"/>
    <m/>
  </r>
  <r>
    <s v="2018-19"/>
    <x v="1"/>
    <x v="20"/>
    <s v="L3"/>
    <m/>
    <s v="Terrain-Vague Bricolage | Herbarium in an abandoned quarry at Champaner"/>
    <n v="11"/>
    <x v="1"/>
    <x v="9"/>
    <n v="-1"/>
    <n v="0.05"/>
    <n v="1"/>
    <n v="-0.05"/>
    <s v="No.  The disjunct between the architectural responses to the centrality of the initial water based brief_x000a_seemed missing."/>
  </r>
  <r>
    <s v="2018-19"/>
    <x v="1"/>
    <x v="21"/>
    <s v="L3"/>
    <m/>
    <s v="Urban Insert – Reimaging Community &amp; Awareness Center"/>
    <n v="1"/>
    <x v="0"/>
    <x v="0"/>
    <n v="0"/>
    <n v="0.12"/>
    <n v="1"/>
    <n v="0"/>
    <m/>
  </r>
  <r>
    <s v="2018-19"/>
    <x v="1"/>
    <x v="21"/>
    <s v="L3"/>
    <m/>
    <s v="Urban Insert – Reimaging Community &amp; Awareness Center"/>
    <n v="1"/>
    <x v="1"/>
    <x v="0"/>
    <n v="0"/>
    <n v="0.12"/>
    <n v="1"/>
    <n v="0"/>
    <s v="Needs to be improved."/>
  </r>
  <r>
    <s v="2018-19"/>
    <x v="1"/>
    <x v="21"/>
    <s v="L3"/>
    <m/>
    <s v="Urban Insert – Reimaging Community &amp; Awareness Center"/>
    <n v="2"/>
    <x v="0"/>
    <x v="1"/>
    <n v="-1"/>
    <n v="0.08"/>
    <n v="0.8"/>
    <n v="-6.4000000000000001E-2"/>
    <m/>
  </r>
  <r>
    <s v="2018-19"/>
    <x v="1"/>
    <x v="21"/>
    <s v="L3"/>
    <m/>
    <s v="Urban Insert – Reimaging Community &amp; Awareness Center"/>
    <n v="2"/>
    <x v="1"/>
    <x v="1"/>
    <n v="0"/>
    <n v="0.08"/>
    <n v="0.8"/>
    <n v="0"/>
    <m/>
  </r>
  <r>
    <s v="2018-19"/>
    <x v="1"/>
    <x v="21"/>
    <s v="L3"/>
    <m/>
    <s v="Urban Insert – Reimaging Community &amp; Awareness Center"/>
    <n v="3"/>
    <x v="0"/>
    <x v="2"/>
    <n v="0"/>
    <n v="0.05"/>
    <n v="1"/>
    <n v="0"/>
    <m/>
  </r>
  <r>
    <s v="2018-19"/>
    <x v="1"/>
    <x v="21"/>
    <s v="L3"/>
    <m/>
    <s v="Urban Insert – Reimaging Community &amp; Awareness Center"/>
    <n v="3"/>
    <x v="1"/>
    <x v="2"/>
    <n v="0"/>
    <n v="0.05"/>
    <n v="1"/>
    <n v="0"/>
    <m/>
  </r>
  <r>
    <s v="2018-19"/>
    <x v="1"/>
    <x v="21"/>
    <s v="L3"/>
    <m/>
    <s v="Urban Insert – Reimaging Community &amp; Awareness Center"/>
    <n v="4"/>
    <x v="0"/>
    <x v="3"/>
    <n v="-1"/>
    <n v="0.14000000000000001"/>
    <n v="1"/>
    <n v="-0.14000000000000001"/>
    <m/>
  </r>
  <r>
    <s v="2018-19"/>
    <x v="1"/>
    <x v="21"/>
    <s v="L3"/>
    <m/>
    <s v="Urban Insert – Reimaging Community &amp; Awareness Center"/>
    <n v="4"/>
    <x v="1"/>
    <x v="3"/>
    <n v="-1"/>
    <n v="0.14000000000000001"/>
    <n v="1"/>
    <n v="-0.14000000000000001"/>
    <m/>
  </r>
  <r>
    <s v="2018-19"/>
    <x v="1"/>
    <x v="21"/>
    <s v="L3"/>
    <m/>
    <s v="Urban Insert – Reimaging Community &amp; Awareness Center"/>
    <n v="5"/>
    <x v="0"/>
    <x v="4"/>
    <n v="-1"/>
    <n v="0.11"/>
    <n v="1"/>
    <n v="-0.11"/>
    <m/>
  </r>
  <r>
    <s v="2018-19"/>
    <x v="1"/>
    <x v="21"/>
    <s v="L3"/>
    <m/>
    <s v="Urban Insert – Reimaging Community &amp; Awareness Center"/>
    <n v="5"/>
    <x v="1"/>
    <x v="4"/>
    <n v="-1"/>
    <n v="0.11"/>
    <n v="1"/>
    <n v="-0.11"/>
    <m/>
  </r>
  <r>
    <s v="2018-19"/>
    <x v="1"/>
    <x v="21"/>
    <s v="L3"/>
    <m/>
    <s v="Urban Insert – Reimaging Community &amp; Awareness Center"/>
    <n v="6"/>
    <x v="0"/>
    <x v="5"/>
    <n v="-1"/>
    <n v="0.15"/>
    <n v="1"/>
    <n v="-0.15"/>
    <m/>
  </r>
  <r>
    <s v="2018-19"/>
    <x v="1"/>
    <x v="21"/>
    <s v="L3"/>
    <m/>
    <s v="Urban Insert – Reimaging Community &amp; Awareness Center"/>
    <n v="6"/>
    <x v="1"/>
    <x v="5"/>
    <n v="-1"/>
    <n v="0.15"/>
    <n v="1"/>
    <n v="-0.15"/>
    <m/>
  </r>
  <r>
    <s v="2018-19"/>
    <x v="1"/>
    <x v="21"/>
    <s v="L3"/>
    <m/>
    <s v="Urban Insert – Reimaging Community &amp; Awareness Center"/>
    <n v="7"/>
    <x v="0"/>
    <x v="6"/>
    <n v="-1"/>
    <n v="0.1"/>
    <n v="1"/>
    <n v="-0.1"/>
    <m/>
  </r>
  <r>
    <s v="2018-19"/>
    <x v="1"/>
    <x v="21"/>
    <s v="L3"/>
    <m/>
    <s v="Urban Insert – Reimaging Community &amp; Awareness Center"/>
    <n v="7"/>
    <x v="1"/>
    <x v="6"/>
    <n v="-1"/>
    <n v="0.1"/>
    <n v="1"/>
    <n v="-0.1"/>
    <m/>
  </r>
  <r>
    <s v="2018-19"/>
    <x v="1"/>
    <x v="21"/>
    <s v="L3"/>
    <m/>
    <s v="Urban Insert – Reimaging Community &amp; Awareness Center"/>
    <n v="8"/>
    <x v="0"/>
    <x v="7"/>
    <n v="-1"/>
    <n v="0.1"/>
    <n v="1"/>
    <n v="-0.1"/>
    <m/>
  </r>
  <r>
    <s v="2018-19"/>
    <x v="1"/>
    <x v="21"/>
    <s v="L3"/>
    <m/>
    <s v="Urban Insert – Reimaging Community &amp; Awareness Center"/>
    <n v="8"/>
    <x v="1"/>
    <x v="7"/>
    <n v="-1"/>
    <n v="0.1"/>
    <n v="1"/>
    <n v="-0.1"/>
    <m/>
  </r>
  <r>
    <s v="2018-19"/>
    <x v="1"/>
    <x v="21"/>
    <s v="L3"/>
    <m/>
    <s v="Urban Insert – Reimaging Community &amp; Awareness Center"/>
    <n v="9"/>
    <x v="0"/>
    <x v="8"/>
    <n v="-1"/>
    <n v="0.05"/>
    <n v="0.85"/>
    <n v="-4.2500000000000003E-2"/>
    <m/>
  </r>
  <r>
    <s v="2018-19"/>
    <x v="1"/>
    <x v="21"/>
    <s v="L3"/>
    <m/>
    <s v="Urban Insert – Reimaging Community &amp; Awareness Center"/>
    <n v="9"/>
    <x v="1"/>
    <x v="8"/>
    <n v="-1"/>
    <n v="0.05"/>
    <n v="0.85"/>
    <n v="-4.2500000000000003E-2"/>
    <m/>
  </r>
  <r>
    <s v="2018-19"/>
    <x v="1"/>
    <x v="21"/>
    <s v="L3"/>
    <m/>
    <s v="Urban Insert – Reimaging Community &amp; Awareness Center"/>
    <n v="10"/>
    <x v="0"/>
    <x v="8"/>
    <n v="-1"/>
    <n v="0.05"/>
    <n v="0.85"/>
    <n v="-4.2500000000000003E-2"/>
    <m/>
  </r>
  <r>
    <s v="2018-19"/>
    <x v="1"/>
    <x v="21"/>
    <s v="L3"/>
    <m/>
    <s v="Urban Insert – Reimaging Community &amp; Awareness Center"/>
    <n v="10"/>
    <x v="1"/>
    <x v="8"/>
    <n v="0"/>
    <n v="0.05"/>
    <n v="0.85"/>
    <n v="0"/>
    <m/>
  </r>
  <r>
    <s v="2018-19"/>
    <x v="1"/>
    <x v="21"/>
    <s v="L3"/>
    <m/>
    <s v="Urban Insert – Reimaging Community &amp; Awareness Center"/>
    <n v="11"/>
    <x v="0"/>
    <x v="9"/>
    <n v="-1"/>
    <n v="0.05"/>
    <n v="1"/>
    <n v="-0.05"/>
    <m/>
  </r>
  <r>
    <s v="2018-19"/>
    <x v="1"/>
    <x v="21"/>
    <s v="L3"/>
    <m/>
    <s v="Urban Insert – Reimaging Community &amp; Awareness Center"/>
    <n v="11"/>
    <x v="1"/>
    <x v="9"/>
    <n v="-1"/>
    <n v="0.05"/>
    <n v="1"/>
    <n v="-0.05"/>
    <s v="No. Uninventive projects that don't actually come together even as simple building packages. At level 3, one expects the dialogue and discussion of broader interests and issues, its disappointing to notice that even basic architectural representation lacks fundamental quality."/>
  </r>
  <r>
    <s v="2018-19"/>
    <x v="1"/>
    <x v="22"/>
    <s v="L3"/>
    <m/>
    <s v="Massing the houses for housing the masses: Sustainable, Plural and Humane Habitats"/>
    <n v="1"/>
    <x v="0"/>
    <x v="0"/>
    <n v="0"/>
    <n v="0.12"/>
    <n v="1"/>
    <n v="0"/>
    <m/>
  </r>
  <r>
    <s v="2018-19"/>
    <x v="1"/>
    <x v="22"/>
    <s v="L3"/>
    <m/>
    <s v="Massing the houses for housing the masses: Sustainable, Plural and Humane Habitats"/>
    <n v="1"/>
    <x v="1"/>
    <x v="0"/>
    <n v="0"/>
    <n v="0.12"/>
    <n v="1"/>
    <n v="0"/>
    <m/>
  </r>
  <r>
    <s v="2018-19"/>
    <x v="1"/>
    <x v="22"/>
    <s v="L3"/>
    <m/>
    <s v="Massing the houses for housing the masses: Sustainable, Plural and Humane Habitats"/>
    <n v="2"/>
    <x v="0"/>
    <x v="1"/>
    <n v="0"/>
    <n v="0.08"/>
    <n v="0.8"/>
    <n v="0"/>
    <m/>
  </r>
  <r>
    <s v="2018-19"/>
    <x v="1"/>
    <x v="22"/>
    <s v="L3"/>
    <m/>
    <s v="Massing the houses for housing the masses: Sustainable, Plural and Humane Habitats"/>
    <n v="2"/>
    <x v="1"/>
    <x v="1"/>
    <n v="-1"/>
    <n v="0.08"/>
    <n v="0.8"/>
    <n v="-6.4000000000000001E-2"/>
    <m/>
  </r>
  <r>
    <s v="2018-19"/>
    <x v="1"/>
    <x v="22"/>
    <s v="L3"/>
    <m/>
    <s v="Massing the houses for housing the masses: Sustainable, Plural and Humane Habitats"/>
    <n v="3"/>
    <x v="0"/>
    <x v="2"/>
    <n v="1"/>
    <n v="0.05"/>
    <n v="1"/>
    <n v="0.05"/>
    <m/>
  </r>
  <r>
    <s v="2018-19"/>
    <x v="1"/>
    <x v="22"/>
    <s v="L3"/>
    <m/>
    <s v="Massing the houses for housing the masses: Sustainable, Plural and Humane Habitats"/>
    <n v="3"/>
    <x v="1"/>
    <x v="2"/>
    <n v="-1"/>
    <n v="0.05"/>
    <n v="1"/>
    <n v="-0.05"/>
    <s v="Very immature for L3"/>
  </r>
  <r>
    <s v="2018-19"/>
    <x v="1"/>
    <x v="22"/>
    <s v="L3"/>
    <m/>
    <s v="Massing the houses for housing the masses: Sustainable, Plural and Humane Habitats"/>
    <n v="4"/>
    <x v="0"/>
    <x v="3"/>
    <n v="-1"/>
    <n v="0.14000000000000001"/>
    <n v="1"/>
    <n v="-0.14000000000000001"/>
    <m/>
  </r>
  <r>
    <s v="2018-19"/>
    <x v="1"/>
    <x v="22"/>
    <s v="L3"/>
    <m/>
    <s v="Massing the houses for housing the masses: Sustainable, Plural and Humane Habitats"/>
    <n v="4"/>
    <x v="1"/>
    <x v="3"/>
    <n v="-1"/>
    <n v="0.14000000000000001"/>
    <n v="1"/>
    <n v="-0.14000000000000001"/>
    <s v="Disappointing"/>
  </r>
  <r>
    <s v="2018-19"/>
    <x v="1"/>
    <x v="22"/>
    <s v="L3"/>
    <m/>
    <s v="Massing the houses for housing the masses: Sustainable, Plural and Humane Habitats"/>
    <n v="5"/>
    <x v="0"/>
    <x v="4"/>
    <n v="-1"/>
    <n v="0.11"/>
    <n v="1"/>
    <n v="-0.11"/>
    <m/>
  </r>
  <r>
    <s v="2018-19"/>
    <x v="1"/>
    <x v="22"/>
    <s v="L3"/>
    <m/>
    <s v="Massing the houses for housing the masses: Sustainable, Plural and Humane Habitats"/>
    <n v="5"/>
    <x v="1"/>
    <x v="4"/>
    <n v="-1"/>
    <n v="0.11"/>
    <n v="1"/>
    <n v="-0.11"/>
    <s v="Very disappointing"/>
  </r>
  <r>
    <s v="2018-19"/>
    <x v="1"/>
    <x v="22"/>
    <s v="L3"/>
    <m/>
    <s v="Massing the houses for housing the masses: Sustainable, Plural and Humane Habitats"/>
    <n v="6"/>
    <x v="0"/>
    <x v="5"/>
    <n v="-1"/>
    <n v="0.15"/>
    <n v="1"/>
    <n v="-0.15"/>
    <m/>
  </r>
  <r>
    <s v="2018-19"/>
    <x v="1"/>
    <x v="22"/>
    <s v="L3"/>
    <m/>
    <s v="Massing the houses for housing the masses: Sustainable, Plural and Humane Habitats"/>
    <n v="6"/>
    <x v="1"/>
    <x v="5"/>
    <n v="-1"/>
    <n v="0.15"/>
    <n v="1"/>
    <n v="-0.15"/>
    <s v="SAD"/>
  </r>
  <r>
    <s v="2018-19"/>
    <x v="1"/>
    <x v="22"/>
    <s v="L3"/>
    <m/>
    <s v="Massing the houses for housing the masses: Sustainable, Plural and Humane Habitats"/>
    <n v="7"/>
    <x v="0"/>
    <x v="6"/>
    <n v="-1"/>
    <n v="0.1"/>
    <n v="1"/>
    <n v="-0.1"/>
    <m/>
  </r>
  <r>
    <s v="2018-19"/>
    <x v="1"/>
    <x v="22"/>
    <s v="L3"/>
    <m/>
    <s v="Massing the houses for housing the masses: Sustainable, Plural and Humane Habitats"/>
    <n v="7"/>
    <x v="1"/>
    <x v="6"/>
    <n v="-1"/>
    <n v="0.1"/>
    <n v="1"/>
    <n v="-0.1"/>
    <m/>
  </r>
  <r>
    <s v="2018-19"/>
    <x v="1"/>
    <x v="22"/>
    <s v="L3"/>
    <m/>
    <s v="Massing the houses for housing the masses: Sustainable, Plural and Humane Habitats"/>
    <n v="8"/>
    <x v="0"/>
    <x v="7"/>
    <n v="-1"/>
    <n v="0.1"/>
    <n v="1"/>
    <n v="-0.1"/>
    <m/>
  </r>
  <r>
    <s v="2018-19"/>
    <x v="1"/>
    <x v="22"/>
    <s v="L3"/>
    <m/>
    <s v="Massing the houses for housing the masses: Sustainable, Plural and Humane Habitats"/>
    <n v="8"/>
    <x v="1"/>
    <x v="7"/>
    <n v="-1"/>
    <n v="0.1"/>
    <n v="1"/>
    <n v="-0.1"/>
    <m/>
  </r>
  <r>
    <s v="2018-19"/>
    <x v="1"/>
    <x v="22"/>
    <s v="L3"/>
    <m/>
    <s v="Massing the houses for housing the masses: Sustainable, Plural and Humane Habitats"/>
    <n v="9"/>
    <x v="0"/>
    <x v="8"/>
    <n v="-1"/>
    <n v="0.05"/>
    <n v="0.85"/>
    <n v="-4.2500000000000003E-2"/>
    <m/>
  </r>
  <r>
    <s v="2018-19"/>
    <x v="1"/>
    <x v="22"/>
    <s v="L3"/>
    <m/>
    <s v="Massing the houses for housing the masses: Sustainable, Plural and Humane Habitats"/>
    <n v="9"/>
    <x v="1"/>
    <x v="8"/>
    <n v="0"/>
    <n v="0.05"/>
    <n v="0.85"/>
    <n v="0"/>
    <m/>
  </r>
  <r>
    <s v="2018-19"/>
    <x v="1"/>
    <x v="22"/>
    <s v="L3"/>
    <m/>
    <s v="Massing the houses for housing the masses: Sustainable, Plural and Humane Habitats"/>
    <n v="10"/>
    <x v="0"/>
    <x v="8"/>
    <n v="0"/>
    <n v="0.05"/>
    <n v="0.85"/>
    <n v="0"/>
    <m/>
  </r>
  <r>
    <s v="2018-19"/>
    <x v="1"/>
    <x v="22"/>
    <s v="L3"/>
    <m/>
    <s v="Massing the houses for housing the masses: Sustainable, Plural and Humane Habitats"/>
    <n v="10"/>
    <x v="1"/>
    <x v="8"/>
    <n v="0"/>
    <n v="0.05"/>
    <n v="0.85"/>
    <n v="0"/>
    <m/>
  </r>
  <r>
    <s v="2018-19"/>
    <x v="1"/>
    <x v="22"/>
    <s v="L3"/>
    <m/>
    <s v="Massing the houses for housing the masses: Sustainable, Plural and Humane Habitats"/>
    <n v="11"/>
    <x v="0"/>
    <x v="9"/>
    <n v="-1"/>
    <n v="0.05"/>
    <n v="1"/>
    <n v="-0.05"/>
    <m/>
  </r>
  <r>
    <s v="2018-19"/>
    <x v="1"/>
    <x v="22"/>
    <s v="L3"/>
    <m/>
    <s v="Massing the houses for housing the masses: Sustainable, Plural and Humane Habitats"/>
    <n v="11"/>
    <x v="1"/>
    <x v="9"/>
    <n v="-1"/>
    <n v="0.05"/>
    <n v="1"/>
    <n v="-0.05"/>
    <s v="No. Could be better served by a process that examines the potential of new spatial/ formal typologies in relation to context around and within rather than just formal patterns."/>
  </r>
  <r>
    <s v="2018-19"/>
    <x v="1"/>
    <x v="23"/>
    <s v="L3"/>
    <m/>
    <s v="Urban Assemblies: drawing on vacant lands"/>
    <n v="1"/>
    <x v="0"/>
    <x v="0"/>
    <n v="0"/>
    <n v="0.12"/>
    <n v="1"/>
    <n v="0"/>
    <m/>
  </r>
  <r>
    <s v="2018-19"/>
    <x v="1"/>
    <x v="23"/>
    <s v="L3"/>
    <m/>
    <s v="Urban Assemblies: drawing on vacant lands"/>
    <n v="1"/>
    <x v="1"/>
    <x v="0"/>
    <n v="0"/>
    <n v="0.12"/>
    <n v="1"/>
    <n v="0"/>
    <s v="Lacks clarity"/>
  </r>
  <r>
    <s v="2018-19"/>
    <x v="1"/>
    <x v="23"/>
    <s v="L3"/>
    <m/>
    <s v="Urban Assemblies: drawing on vacant lands"/>
    <n v="2"/>
    <x v="0"/>
    <x v="1"/>
    <n v="0"/>
    <n v="0.08"/>
    <n v="0.8"/>
    <n v="0"/>
    <m/>
  </r>
  <r>
    <s v="2018-19"/>
    <x v="1"/>
    <x v="23"/>
    <s v="L3"/>
    <m/>
    <s v="Urban Assemblies: drawing on vacant lands"/>
    <n v="2"/>
    <x v="1"/>
    <x v="1"/>
    <n v="0"/>
    <n v="0.08"/>
    <n v="0.8"/>
    <n v="0"/>
    <m/>
  </r>
  <r>
    <s v="2018-19"/>
    <x v="1"/>
    <x v="23"/>
    <s v="L3"/>
    <m/>
    <s v="Urban Assemblies: drawing on vacant lands"/>
    <n v="3"/>
    <x v="0"/>
    <x v="2"/>
    <n v="1"/>
    <n v="0.05"/>
    <n v="1"/>
    <n v="0.05"/>
    <m/>
  </r>
  <r>
    <s v="2018-19"/>
    <x v="1"/>
    <x v="23"/>
    <s v="L3"/>
    <m/>
    <s v="Urban Assemblies: drawing on vacant lands"/>
    <n v="3"/>
    <x v="1"/>
    <x v="2"/>
    <n v="0"/>
    <n v="0.05"/>
    <n v="1"/>
    <n v="0"/>
    <m/>
  </r>
  <r>
    <s v="2018-19"/>
    <x v="1"/>
    <x v="23"/>
    <s v="L3"/>
    <m/>
    <s v="Urban Assemblies: drawing on vacant lands"/>
    <n v="4"/>
    <x v="0"/>
    <x v="3"/>
    <n v="-1"/>
    <n v="0.14000000000000001"/>
    <n v="1"/>
    <n v="-0.14000000000000001"/>
    <m/>
  </r>
  <r>
    <s v="2018-19"/>
    <x v="1"/>
    <x v="23"/>
    <s v="L3"/>
    <m/>
    <s v="Urban Assemblies: drawing on vacant lands"/>
    <n v="4"/>
    <x v="1"/>
    <x v="3"/>
    <n v="-1"/>
    <n v="0.14000000000000001"/>
    <n v="1"/>
    <n v="-0.14000000000000001"/>
    <m/>
  </r>
  <r>
    <s v="2018-19"/>
    <x v="1"/>
    <x v="23"/>
    <s v="L3"/>
    <m/>
    <s v="Urban Assemblies: drawing on vacant lands"/>
    <n v="5"/>
    <x v="0"/>
    <x v="4"/>
    <n v="-1"/>
    <n v="0.11"/>
    <n v="1"/>
    <n v="-0.11"/>
    <m/>
  </r>
  <r>
    <s v="2018-19"/>
    <x v="1"/>
    <x v="23"/>
    <s v="L3"/>
    <m/>
    <s v="Urban Assemblies: drawing on vacant lands"/>
    <n v="5"/>
    <x v="1"/>
    <x v="4"/>
    <n v="-1"/>
    <n v="0.11"/>
    <n v="1"/>
    <n v="-0.11"/>
    <m/>
  </r>
  <r>
    <s v="2018-19"/>
    <x v="1"/>
    <x v="23"/>
    <s v="L3"/>
    <m/>
    <s v="Urban Assemblies: drawing on vacant lands"/>
    <n v="6"/>
    <x v="0"/>
    <x v="5"/>
    <n v="-1"/>
    <n v="0.15"/>
    <n v="1"/>
    <n v="-0.15"/>
    <m/>
  </r>
  <r>
    <s v="2018-19"/>
    <x v="1"/>
    <x v="23"/>
    <s v="L3"/>
    <m/>
    <s v="Urban Assemblies: drawing on vacant lands"/>
    <n v="6"/>
    <x v="1"/>
    <x v="5"/>
    <n v="-1"/>
    <n v="0.15"/>
    <n v="1"/>
    <n v="-0.15"/>
    <s v="Neither convincing, nor ingenious or spohisticated."/>
  </r>
  <r>
    <s v="2018-19"/>
    <x v="1"/>
    <x v="23"/>
    <s v="L3"/>
    <m/>
    <s v="Urban Assemblies: drawing on vacant lands"/>
    <n v="7"/>
    <x v="0"/>
    <x v="6"/>
    <n v="0"/>
    <n v="0.1"/>
    <n v="1"/>
    <n v="0"/>
    <m/>
  </r>
  <r>
    <s v="2018-19"/>
    <x v="1"/>
    <x v="23"/>
    <s v="L3"/>
    <m/>
    <s v="Urban Assemblies: drawing on vacant lands"/>
    <n v="7"/>
    <x v="1"/>
    <x v="6"/>
    <n v="-1"/>
    <n v="0.1"/>
    <n v="1"/>
    <n v="-0.1"/>
    <m/>
  </r>
  <r>
    <s v="2018-19"/>
    <x v="1"/>
    <x v="23"/>
    <s v="L3"/>
    <m/>
    <s v="Urban Assemblies: drawing on vacant lands"/>
    <n v="8"/>
    <x v="0"/>
    <x v="7"/>
    <n v="0"/>
    <n v="0.1"/>
    <n v="1"/>
    <n v="0"/>
    <m/>
  </r>
  <r>
    <s v="2018-19"/>
    <x v="1"/>
    <x v="23"/>
    <s v="L3"/>
    <m/>
    <s v="Urban Assemblies: drawing on vacant lands"/>
    <n v="8"/>
    <x v="1"/>
    <x v="7"/>
    <n v="0"/>
    <n v="0.1"/>
    <n v="1"/>
    <n v="0"/>
    <m/>
  </r>
  <r>
    <s v="2018-19"/>
    <x v="1"/>
    <x v="23"/>
    <s v="L3"/>
    <m/>
    <s v="Urban Assemblies: drawing on vacant lands"/>
    <n v="9"/>
    <x v="0"/>
    <x v="8"/>
    <n v="-1"/>
    <n v="0.05"/>
    <n v="0.85"/>
    <n v="-4.2500000000000003E-2"/>
    <m/>
  </r>
  <r>
    <s v="2018-19"/>
    <x v="1"/>
    <x v="23"/>
    <s v="L3"/>
    <m/>
    <s v="Urban Assemblies: drawing on vacant lands"/>
    <n v="9"/>
    <x v="1"/>
    <x v="8"/>
    <n v="1"/>
    <n v="0.05"/>
    <n v="0.85"/>
    <n v="4.2500000000000003E-2"/>
    <m/>
  </r>
  <r>
    <s v="2018-19"/>
    <x v="1"/>
    <x v="23"/>
    <s v="L3"/>
    <m/>
    <s v="Urban Assemblies: drawing on vacant lands"/>
    <n v="10"/>
    <x v="0"/>
    <x v="8"/>
    <n v="-1"/>
    <n v="0.05"/>
    <n v="0.85"/>
    <n v="-4.2500000000000003E-2"/>
    <m/>
  </r>
  <r>
    <s v="2018-19"/>
    <x v="1"/>
    <x v="23"/>
    <s v="L3"/>
    <m/>
    <s v="Urban Assemblies: drawing on vacant lands"/>
    <n v="10"/>
    <x v="1"/>
    <x v="8"/>
    <n v="1"/>
    <n v="0.05"/>
    <n v="0.85"/>
    <n v="4.2500000000000003E-2"/>
    <m/>
  </r>
  <r>
    <s v="2018-19"/>
    <x v="1"/>
    <x v="23"/>
    <s v="L3"/>
    <m/>
    <s v="Urban Assemblies: drawing on vacant lands"/>
    <n v="11"/>
    <x v="0"/>
    <x v="9"/>
    <n v="-1"/>
    <n v="0.05"/>
    <n v="1"/>
    <n v="-0.05"/>
    <m/>
  </r>
  <r>
    <s v="2018-19"/>
    <x v="1"/>
    <x v="23"/>
    <s v="L3"/>
    <m/>
    <s v="Urban Assemblies: drawing on vacant lands"/>
    <n v="11"/>
    <x v="1"/>
    <x v="9"/>
    <n v="-1"/>
    <n v="0.05"/>
    <n v="1"/>
    <n v="-0.05"/>
    <s v="No. Studio could benefit greatly as a project that searches for urban formal types to fit with the interstices of public spaces. program can be subservient to formal investigation."/>
  </r>
  <r>
    <s v="2019-20"/>
    <x v="2"/>
    <x v="1"/>
    <s v="L2"/>
    <s v="Constructing and Specifying"/>
    <s v="Strange Details"/>
    <n v="1"/>
    <x v="0"/>
    <x v="0"/>
    <n v="0"/>
    <n v="0.12"/>
    <n v="1"/>
    <n v="0"/>
    <m/>
  </r>
  <r>
    <s v="2019-20"/>
    <x v="2"/>
    <x v="1"/>
    <s v="L2"/>
    <s v="Constructing and Specifying"/>
    <s v="Strange Details"/>
    <n v="1"/>
    <x v="1"/>
    <x v="0"/>
    <n v="1"/>
    <n v="0.12"/>
    <n v="1"/>
    <n v="0.12"/>
    <m/>
  </r>
  <r>
    <s v="2019-20"/>
    <x v="2"/>
    <x v="1"/>
    <s v="L2"/>
    <s v="Constructing and Specifying"/>
    <s v="Strange Details"/>
    <n v="2"/>
    <x v="0"/>
    <x v="1"/>
    <n v="0"/>
    <n v="0.08"/>
    <n v="0.8"/>
    <n v="0"/>
    <m/>
  </r>
  <r>
    <s v="2019-20"/>
    <x v="2"/>
    <x v="1"/>
    <s v="L2"/>
    <s v="Constructing and Specifying"/>
    <s v="Strange Details"/>
    <n v="2"/>
    <x v="1"/>
    <x v="1"/>
    <n v="1"/>
    <n v="0.08"/>
    <n v="0.8"/>
    <n v="6.4000000000000001E-2"/>
    <s v="Yes because the process of developing construction methods and details, including choice of materials, by deconstructing existing buildings by well known architects appears to be an interesting way to teach students to bridge the gap between a concept and its manifestation successfully"/>
  </r>
  <r>
    <s v="2019-20"/>
    <x v="2"/>
    <x v="1"/>
    <s v="L2"/>
    <s v="Constructing and Specifying"/>
    <s v="Strange Details"/>
    <n v="3"/>
    <x v="0"/>
    <x v="2"/>
    <n v="1"/>
    <n v="0.05"/>
    <n v="1"/>
    <n v="0.05"/>
    <m/>
  </r>
  <r>
    <s v="2019-20"/>
    <x v="2"/>
    <x v="1"/>
    <s v="L2"/>
    <s v="Constructing and Specifying"/>
    <s v="Strange Details"/>
    <n v="3"/>
    <x v="1"/>
    <x v="2"/>
    <n v="1"/>
    <n v="0.05"/>
    <n v="1"/>
    <n v="0.05"/>
    <m/>
  </r>
  <r>
    <s v="2019-20"/>
    <x v="2"/>
    <x v="1"/>
    <s v="L2"/>
    <s v="Constructing and Specifying"/>
    <s v="Strange Details"/>
    <n v="4"/>
    <x v="0"/>
    <x v="3"/>
    <n v="-1"/>
    <n v="0.14000000000000001"/>
    <n v="1"/>
    <n v="-0.14000000000000001"/>
    <m/>
  </r>
  <r>
    <s v="2019-20"/>
    <x v="2"/>
    <x v="1"/>
    <s v="L2"/>
    <s v="Constructing and Specifying"/>
    <s v="Strange Details"/>
    <n v="4"/>
    <x v="1"/>
    <x v="3"/>
    <n v="0"/>
    <n v="0.14000000000000001"/>
    <n v="1"/>
    <n v="0"/>
    <s v="It could have been taken further in terms of technical drawing even though the making of large scale"/>
  </r>
  <r>
    <s v="2019-20"/>
    <x v="2"/>
    <x v="1"/>
    <s v="L2"/>
    <s v="Constructing and Specifying"/>
    <s v="Strange Details"/>
    <n v="5"/>
    <x v="0"/>
    <x v="4"/>
    <n v="0"/>
    <n v="0.11"/>
    <n v="1"/>
    <n v="0"/>
    <m/>
  </r>
  <r>
    <s v="2019-20"/>
    <x v="2"/>
    <x v="1"/>
    <s v="L2"/>
    <s v="Constructing and Specifying"/>
    <s v="Strange Details"/>
    <n v="5"/>
    <x v="1"/>
    <x v="4"/>
    <n v="0"/>
    <n v="0.11"/>
    <n v="1"/>
    <n v="0"/>
    <s v="I would say success in developing the ability it was meant to develop is more ore less 60-70%. It could improve a lot."/>
  </r>
  <r>
    <s v="2019-20"/>
    <x v="2"/>
    <x v="1"/>
    <s v="L2"/>
    <s v="Constructing and Specifying"/>
    <s v="Strange Details"/>
    <n v="6"/>
    <x v="0"/>
    <x v="5"/>
    <n v="-1"/>
    <n v="0.15"/>
    <n v="1"/>
    <n v="-0.15"/>
    <m/>
  </r>
  <r>
    <s v="2019-20"/>
    <x v="2"/>
    <x v="1"/>
    <s v="L2"/>
    <s v="Constructing and Specifying"/>
    <s v="Strange Details"/>
    <n v="6"/>
    <x v="1"/>
    <x v="5"/>
    <n v="0"/>
    <n v="0.15"/>
    <n v="1"/>
    <n v="0"/>
    <s v="Again, I felt the drawings lacked intensity and desired sophistication. "/>
  </r>
  <r>
    <s v="2019-20"/>
    <x v="2"/>
    <x v="1"/>
    <s v="L2"/>
    <s v="Constructing and Specifying"/>
    <s v="Strange Details"/>
    <n v="7"/>
    <x v="0"/>
    <x v="6"/>
    <n v="0"/>
    <n v="0.1"/>
    <n v="1"/>
    <n v="0"/>
    <m/>
  </r>
  <r>
    <s v="2019-20"/>
    <x v="2"/>
    <x v="1"/>
    <s v="L2"/>
    <s v="Constructing and Specifying"/>
    <s v="Strange Details"/>
    <n v="7"/>
    <x v="1"/>
    <x v="6"/>
    <n v="0"/>
    <n v="0.1"/>
    <n v="1"/>
    <n v="0"/>
    <s v="There appears to be rigour in the beginning that seemingly gets diluted towards the second half. It does have a few loose ends."/>
  </r>
  <r>
    <s v="2019-20"/>
    <x v="2"/>
    <x v="1"/>
    <s v="L2"/>
    <s v="Constructing and Specifying"/>
    <s v="Strange Details"/>
    <n v="8"/>
    <x v="0"/>
    <x v="7"/>
    <n v="0"/>
    <n v="0.1"/>
    <n v="1"/>
    <n v="0"/>
    <m/>
  </r>
  <r>
    <s v="2019-20"/>
    <x v="2"/>
    <x v="1"/>
    <s v="L2"/>
    <s v="Constructing and Specifying"/>
    <s v="Strange Details"/>
    <n v="8"/>
    <x v="1"/>
    <x v="7"/>
    <n v="0"/>
    <n v="0.1"/>
    <n v="1"/>
    <n v="0"/>
    <s v="The workmanship is not consistent across the unit. "/>
  </r>
  <r>
    <s v="2019-20"/>
    <x v="2"/>
    <x v="1"/>
    <s v="L2"/>
    <s v="Constructing and Specifying"/>
    <s v="Strange Details"/>
    <n v="9"/>
    <x v="0"/>
    <x v="8"/>
    <n v="0"/>
    <n v="0.05"/>
    <n v="0.85"/>
    <n v="0"/>
    <m/>
  </r>
  <r>
    <s v="2019-20"/>
    <x v="2"/>
    <x v="1"/>
    <s v="L2"/>
    <s v="Constructing and Specifying"/>
    <s v="Strange Details"/>
    <n v="9"/>
    <x v="1"/>
    <x v="8"/>
    <n v="1"/>
    <n v="0.05"/>
    <n v="0.85"/>
    <n v="4.2500000000000003E-2"/>
    <m/>
  </r>
  <r>
    <s v="2019-20"/>
    <x v="2"/>
    <x v="1"/>
    <s v="L2"/>
    <s v="Constructing and Specifying"/>
    <s v="Strange Details"/>
    <n v="10"/>
    <x v="0"/>
    <x v="8"/>
    <n v="0"/>
    <n v="0.05"/>
    <n v="0.85"/>
    <n v="0"/>
    <m/>
  </r>
  <r>
    <s v="2019-20"/>
    <x v="2"/>
    <x v="1"/>
    <s v="L2"/>
    <s v="Constructing and Specifying"/>
    <s v="Strange Details"/>
    <n v="10"/>
    <x v="1"/>
    <x v="8"/>
    <n v="1"/>
    <n v="0.05"/>
    <n v="0.85"/>
    <n v="4.2500000000000003E-2"/>
    <m/>
  </r>
  <r>
    <s v="2019-20"/>
    <x v="2"/>
    <x v="1"/>
    <s v="L2"/>
    <s v="Constructing and Specifying"/>
    <s v="Strange Details"/>
    <n v="11"/>
    <x v="0"/>
    <x v="9"/>
    <n v="-1"/>
    <n v="0.05"/>
    <n v="1"/>
    <n v="-0.05"/>
    <m/>
  </r>
  <r>
    <s v="2019-20"/>
    <x v="2"/>
    <x v="1"/>
    <s v="L2"/>
    <s v="Constructing and Specifying"/>
    <s v="Strange Details"/>
    <n v="11"/>
    <x v="1"/>
    <x v="9"/>
    <n v="0"/>
    <n v="0.05"/>
    <n v="1"/>
    <n v="0"/>
    <s v="Not in all cases and combined studio with 3rd &amp; 5th semester students with different levels of maturity vis-a-vis architectural design studios may have been an issue for this particular learning objective"/>
  </r>
  <r>
    <s v="2019-20"/>
    <x v="2"/>
    <x v="24"/>
    <s v="L2"/>
    <m/>
    <s v="The fiction of landscape"/>
    <n v="1"/>
    <x v="0"/>
    <x v="0"/>
    <n v="0"/>
    <n v="0.12"/>
    <n v="1"/>
    <n v="0"/>
    <m/>
  </r>
  <r>
    <s v="2019-20"/>
    <x v="2"/>
    <x v="24"/>
    <s v="L2"/>
    <m/>
    <s v="The fiction of landscape"/>
    <n v="1"/>
    <x v="1"/>
    <x v="0"/>
    <n v="1"/>
    <n v="0.12"/>
    <n v="1"/>
    <n v="0.12"/>
    <s v="Yes, because the idea behind this Studio Problem is also clear, simple, and good."/>
  </r>
  <r>
    <s v="2019-20"/>
    <x v="2"/>
    <x v="24"/>
    <s v="L2"/>
    <m/>
    <s v="The fiction of landscape"/>
    <n v="2"/>
    <x v="0"/>
    <x v="1"/>
    <n v="0"/>
    <n v="0.08"/>
    <n v="0.8"/>
    <n v="0"/>
    <m/>
  </r>
  <r>
    <s v="2019-20"/>
    <x v="2"/>
    <x v="24"/>
    <s v="L2"/>
    <m/>
    <s v="The fiction of landscape"/>
    <n v="2"/>
    <x v="1"/>
    <x v="1"/>
    <n v="1"/>
    <n v="0.08"/>
    <n v="0.8"/>
    <n v="6.4000000000000001E-2"/>
    <s v="Hopefully, this ability, and the need to pay close attention to nature and context of site, will stay with them through their careers in architecture"/>
  </r>
  <r>
    <s v="2019-20"/>
    <x v="2"/>
    <x v="24"/>
    <s v="L2"/>
    <m/>
    <s v="The fiction of landscape"/>
    <n v="3"/>
    <x v="0"/>
    <x v="2"/>
    <n v="0"/>
    <n v="0.05"/>
    <n v="1"/>
    <n v="0"/>
    <m/>
  </r>
  <r>
    <s v="2019-20"/>
    <x v="2"/>
    <x v="24"/>
    <s v="L2"/>
    <m/>
    <s v="The fiction of landscape"/>
    <n v="3"/>
    <x v="1"/>
    <x v="2"/>
    <n v="0"/>
    <n v="0.05"/>
    <n v="1"/>
    <n v="0"/>
    <s v="CAN BE MORE DEEPER &amp; MORE QUALITY AND PROCESS DRIVEN"/>
  </r>
  <r>
    <s v="2019-20"/>
    <x v="2"/>
    <x v="24"/>
    <s v="L2"/>
    <m/>
    <s v="The fiction of landscape"/>
    <n v="4"/>
    <x v="0"/>
    <x v="3"/>
    <n v="-1"/>
    <n v="0.14000000000000001"/>
    <n v="1"/>
    <n v="-0.14000000000000001"/>
    <m/>
  </r>
  <r>
    <s v="2019-20"/>
    <x v="2"/>
    <x v="24"/>
    <s v="L2"/>
    <m/>
    <s v="The fiction of landscape"/>
    <n v="4"/>
    <x v="1"/>
    <x v="3"/>
    <n v="1"/>
    <n v="0.14000000000000001"/>
    <n v="1"/>
    <n v="0.14000000000000001"/>
    <s v="Still needs more improvement"/>
  </r>
  <r>
    <s v="2019-20"/>
    <x v="2"/>
    <x v="24"/>
    <s v="L2"/>
    <m/>
    <s v="The fiction of landscape"/>
    <n v="5"/>
    <x v="0"/>
    <x v="4"/>
    <n v="-1"/>
    <n v="0.11"/>
    <n v="1"/>
    <n v="-0.11"/>
    <m/>
  </r>
  <r>
    <s v="2019-20"/>
    <x v="2"/>
    <x v="24"/>
    <s v="L2"/>
    <m/>
    <s v="The fiction of landscape"/>
    <n v="5"/>
    <x v="1"/>
    <x v="4"/>
    <n v="0"/>
    <n v="0.11"/>
    <n v="1"/>
    <n v="0"/>
    <s v="Inconsistent andnot in all cases"/>
  </r>
  <r>
    <s v="2019-20"/>
    <x v="2"/>
    <x v="24"/>
    <s v="L2"/>
    <m/>
    <s v="The fiction of landscape"/>
    <n v="6"/>
    <x v="0"/>
    <x v="5"/>
    <n v="-1"/>
    <n v="0.15"/>
    <n v="1"/>
    <n v="-0.15"/>
    <m/>
  </r>
  <r>
    <s v="2019-20"/>
    <x v="2"/>
    <x v="24"/>
    <s v="L2"/>
    <m/>
    <s v="The fiction of landscape"/>
    <n v="6"/>
    <x v="1"/>
    <x v="5"/>
    <n v="0"/>
    <n v="0.15"/>
    <n v="1"/>
    <n v="0"/>
    <s v="Not in all cases but many of them were rendered beautifully, with skills developed in the Foundation Program perhaps, and very evocative of specific context"/>
  </r>
  <r>
    <s v="2019-20"/>
    <x v="2"/>
    <x v="24"/>
    <s v="L2"/>
    <m/>
    <s v="The fiction of landscape"/>
    <n v="7"/>
    <x v="0"/>
    <x v="6"/>
    <n v="-1"/>
    <n v="0.1"/>
    <n v="1"/>
    <n v="-0.1"/>
    <m/>
  </r>
  <r>
    <s v="2019-20"/>
    <x v="2"/>
    <x v="24"/>
    <s v="L2"/>
    <m/>
    <s v="The fiction of landscape"/>
    <n v="7"/>
    <x v="1"/>
    <x v="6"/>
    <n v="0"/>
    <n v="0.1"/>
    <n v="1"/>
    <n v="0"/>
    <s v="Some of them are good"/>
  </r>
  <r>
    <s v="2019-20"/>
    <x v="2"/>
    <x v="24"/>
    <s v="L2"/>
    <m/>
    <s v="The fiction of landscape"/>
    <n v="8"/>
    <x v="0"/>
    <x v="7"/>
    <n v="0"/>
    <n v="0.1"/>
    <n v="1"/>
    <n v="0"/>
    <m/>
  </r>
  <r>
    <s v="2019-20"/>
    <x v="2"/>
    <x v="24"/>
    <s v="L2"/>
    <m/>
    <s v="The fiction of landscape"/>
    <n v="8"/>
    <x v="1"/>
    <x v="7"/>
    <n v="0"/>
    <n v="0.1"/>
    <n v="1"/>
    <n v="0"/>
    <m/>
  </r>
  <r>
    <s v="2019-20"/>
    <x v="2"/>
    <x v="24"/>
    <s v="L2"/>
    <m/>
    <s v="The fiction of landscape"/>
    <n v="9"/>
    <x v="0"/>
    <x v="8"/>
    <n v="0"/>
    <n v="0.05"/>
    <n v="0.85"/>
    <n v="0"/>
    <m/>
  </r>
  <r>
    <s v="2019-20"/>
    <x v="2"/>
    <x v="24"/>
    <s v="L2"/>
    <m/>
    <s v="The fiction of landscape"/>
    <n v="9"/>
    <x v="1"/>
    <x v="8"/>
    <n v="1"/>
    <n v="0.05"/>
    <n v="0.85"/>
    <n v="4.2500000000000003E-2"/>
    <s v="It's 50-50"/>
  </r>
  <r>
    <s v="2019-20"/>
    <x v="2"/>
    <x v="24"/>
    <s v="L2"/>
    <m/>
    <s v="The fiction of landscape"/>
    <n v="10"/>
    <x v="0"/>
    <x v="8"/>
    <n v="-1"/>
    <n v="0.05"/>
    <n v="0.85"/>
    <n v="-4.2500000000000003E-2"/>
    <m/>
  </r>
  <r>
    <s v="2019-20"/>
    <x v="2"/>
    <x v="24"/>
    <s v="L2"/>
    <m/>
    <s v="The fiction of landscape"/>
    <n v="10"/>
    <x v="1"/>
    <x v="8"/>
    <n v="1"/>
    <n v="0.05"/>
    <n v="0.85"/>
    <n v="4.2500000000000003E-2"/>
    <m/>
  </r>
  <r>
    <s v="2019-20"/>
    <x v="2"/>
    <x v="24"/>
    <s v="L2"/>
    <m/>
    <s v="The fiction of landscape"/>
    <n v="11"/>
    <x v="0"/>
    <x v="9"/>
    <n v="-1"/>
    <n v="0.05"/>
    <n v="1"/>
    <n v="-0.05"/>
    <m/>
  </r>
  <r>
    <s v="2019-20"/>
    <x v="2"/>
    <x v="24"/>
    <s v="L2"/>
    <m/>
    <s v="The fiction of landscape"/>
    <n v="11"/>
    <x v="1"/>
    <x v="9"/>
    <n v="0"/>
    <n v="0.05"/>
    <n v="1"/>
    <n v="0"/>
    <s v="Due to inconsistency in standard of work among students"/>
  </r>
  <r>
    <s v="2019-20"/>
    <x v="2"/>
    <x v="4"/>
    <s v="L2"/>
    <s v="Constructing and Specifying"/>
    <s v="From Drawing Board to Construction Sites"/>
    <n v="1"/>
    <x v="0"/>
    <x v="0"/>
    <n v="1"/>
    <n v="0.12"/>
    <n v="1"/>
    <n v="0.12"/>
    <m/>
  </r>
  <r>
    <s v="2019-20"/>
    <x v="2"/>
    <x v="4"/>
    <s v="L2"/>
    <s v="Constructing and Specifying"/>
    <s v="From Drawing Board to Construction Sites"/>
    <n v="1"/>
    <x v="1"/>
    <x v="0"/>
    <n v="1"/>
    <n v="0.12"/>
    <n v="1"/>
    <n v="0.12"/>
    <m/>
  </r>
  <r>
    <s v="2019-20"/>
    <x v="2"/>
    <x v="4"/>
    <s v="L2"/>
    <s v="Constructing and Specifying"/>
    <s v="From Drawing Board to Construction Sites"/>
    <n v="2"/>
    <x v="0"/>
    <x v="1"/>
    <n v="1"/>
    <n v="0.08"/>
    <n v="0.8"/>
    <n v="6.4000000000000001E-2"/>
    <m/>
  </r>
  <r>
    <s v="2019-20"/>
    <x v="2"/>
    <x v="4"/>
    <s v="L2"/>
    <s v="Constructing and Specifying"/>
    <s v="From Drawing Board to Construction Sites"/>
    <n v="2"/>
    <x v="1"/>
    <x v="1"/>
    <n v="1"/>
    <n v="0.08"/>
    <n v="0.8"/>
    <n v="6.4000000000000001E-2"/>
    <m/>
  </r>
  <r>
    <s v="2019-20"/>
    <x v="2"/>
    <x v="4"/>
    <s v="L2"/>
    <s v="Constructing and Specifying"/>
    <s v="From Drawing Board to Construction Sites"/>
    <n v="3"/>
    <x v="0"/>
    <x v="2"/>
    <n v="1"/>
    <n v="0.05"/>
    <n v="1"/>
    <n v="0.05"/>
    <m/>
  </r>
  <r>
    <s v="2019-20"/>
    <x v="2"/>
    <x v="4"/>
    <s v="L2"/>
    <s v="Constructing and Specifying"/>
    <s v="From Drawing Board to Construction Sites"/>
    <n v="3"/>
    <x v="1"/>
    <x v="2"/>
    <n v="1"/>
    <n v="0.05"/>
    <n v="1"/>
    <n v="0.05"/>
    <m/>
  </r>
  <r>
    <s v="2019-20"/>
    <x v="2"/>
    <x v="4"/>
    <s v="L2"/>
    <s v="Constructing and Specifying"/>
    <s v="From Drawing Board to Construction Sites"/>
    <n v="4"/>
    <x v="0"/>
    <x v="3"/>
    <n v="1"/>
    <n v="0.14000000000000001"/>
    <n v="1"/>
    <n v="0.14000000000000001"/>
    <m/>
  </r>
  <r>
    <s v="2019-20"/>
    <x v="2"/>
    <x v="4"/>
    <s v="L2"/>
    <s v="Constructing and Specifying"/>
    <s v="From Drawing Board to Construction Sites"/>
    <n v="4"/>
    <x v="1"/>
    <x v="3"/>
    <n v="1"/>
    <n v="0.14000000000000001"/>
    <n v="1"/>
    <n v="0.14000000000000001"/>
    <s v="Working on construction sites and learning from artisans seems to have given the students in this studio greater clarity and depth of understanding"/>
  </r>
  <r>
    <s v="2019-20"/>
    <x v="2"/>
    <x v="4"/>
    <s v="L2"/>
    <s v="Constructing and Specifying"/>
    <s v="From Drawing Board to Construction Sites"/>
    <n v="5"/>
    <x v="0"/>
    <x v="4"/>
    <n v="1"/>
    <n v="0.11"/>
    <n v="1"/>
    <n v="0.11"/>
    <m/>
  </r>
  <r>
    <s v="2019-20"/>
    <x v="2"/>
    <x v="4"/>
    <s v="L2"/>
    <s v="Constructing and Specifying"/>
    <s v="From Drawing Board to Construction Sites"/>
    <n v="5"/>
    <x v="1"/>
    <x v="4"/>
    <n v="1"/>
    <n v="0.11"/>
    <n v="1"/>
    <n v="0.11"/>
    <s v="Additionally, the idea of having students make fairly large-scale and detailed models from drawings made by other students sets up an interesting dialogue between them with good and clarifying feedback."/>
  </r>
  <r>
    <s v="2019-20"/>
    <x v="2"/>
    <x v="4"/>
    <s v="L2"/>
    <s v="Constructing and Specifying"/>
    <s v="From Drawing Board to Construction Sites"/>
    <n v="6"/>
    <x v="0"/>
    <x v="5"/>
    <n v="1"/>
    <n v="0.15"/>
    <n v="1"/>
    <n v="0.15"/>
    <m/>
  </r>
  <r>
    <s v="2019-20"/>
    <x v="2"/>
    <x v="4"/>
    <s v="L2"/>
    <s v="Constructing and Specifying"/>
    <s v="From Drawing Board to Construction Sites"/>
    <n v="6"/>
    <x v="1"/>
    <x v="5"/>
    <n v="1"/>
    <n v="0.15"/>
    <n v="1"/>
    <n v="0.15"/>
    <m/>
  </r>
  <r>
    <s v="2019-20"/>
    <x v="2"/>
    <x v="4"/>
    <s v="L2"/>
    <s v="Constructing and Specifying"/>
    <s v="From Drawing Board to Construction Sites"/>
    <n v="7"/>
    <x v="0"/>
    <x v="6"/>
    <n v="1"/>
    <n v="0.1"/>
    <n v="1"/>
    <n v="0.1"/>
    <m/>
  </r>
  <r>
    <s v="2019-20"/>
    <x v="2"/>
    <x v="4"/>
    <s v="L2"/>
    <s v="Constructing and Specifying"/>
    <s v="From Drawing Board to Construction Sites"/>
    <n v="7"/>
    <x v="1"/>
    <x v="6"/>
    <n v="1"/>
    <n v="0.1"/>
    <n v="1"/>
    <n v="0.1"/>
    <m/>
  </r>
  <r>
    <s v="2019-20"/>
    <x v="2"/>
    <x v="4"/>
    <s v="L2"/>
    <s v="Constructing and Specifying"/>
    <s v="From Drawing Board to Construction Sites"/>
    <n v="8"/>
    <x v="0"/>
    <x v="7"/>
    <n v="1"/>
    <n v="0.1"/>
    <n v="1"/>
    <n v="0.1"/>
    <m/>
  </r>
  <r>
    <s v="2019-20"/>
    <x v="2"/>
    <x v="4"/>
    <s v="L2"/>
    <s v="Constructing and Specifying"/>
    <s v="From Drawing Board to Construction Sites"/>
    <n v="8"/>
    <x v="1"/>
    <x v="7"/>
    <n v="1"/>
    <n v="0.1"/>
    <n v="1"/>
    <n v="0.1"/>
    <m/>
  </r>
  <r>
    <s v="2019-20"/>
    <x v="2"/>
    <x v="4"/>
    <s v="L2"/>
    <s v="Constructing and Specifying"/>
    <s v="From Drawing Board to Construction Sites"/>
    <n v="9"/>
    <x v="0"/>
    <x v="8"/>
    <n v="1"/>
    <n v="0.05"/>
    <n v="0.85"/>
    <n v="4.2500000000000003E-2"/>
    <m/>
  </r>
  <r>
    <s v="2019-20"/>
    <x v="2"/>
    <x v="4"/>
    <s v="L2"/>
    <s v="Constructing and Specifying"/>
    <s v="From Drawing Board to Construction Sites"/>
    <n v="9"/>
    <x v="1"/>
    <x v="8"/>
    <n v="1"/>
    <n v="0.05"/>
    <n v="0.85"/>
    <n v="4.2500000000000003E-2"/>
    <m/>
  </r>
  <r>
    <s v="2019-20"/>
    <x v="2"/>
    <x v="4"/>
    <s v="L2"/>
    <s v="Constructing and Specifying"/>
    <s v="From Drawing Board to Construction Sites"/>
    <n v="10"/>
    <x v="0"/>
    <x v="8"/>
    <n v="1"/>
    <n v="0.05"/>
    <n v="0.85"/>
    <n v="4.2500000000000003E-2"/>
    <m/>
  </r>
  <r>
    <s v="2019-20"/>
    <x v="2"/>
    <x v="4"/>
    <s v="L2"/>
    <s v="Constructing and Specifying"/>
    <s v="From Drawing Board to Construction Sites"/>
    <n v="10"/>
    <x v="1"/>
    <x v="8"/>
    <n v="1"/>
    <n v="0.05"/>
    <n v="0.85"/>
    <n v="4.2500000000000003E-2"/>
    <m/>
  </r>
  <r>
    <s v="2019-20"/>
    <x v="2"/>
    <x v="4"/>
    <s v="L2"/>
    <s v="Constructing and Specifying"/>
    <s v="From Drawing Board to Construction Sites"/>
    <n v="11"/>
    <x v="0"/>
    <x v="9"/>
    <n v="0"/>
    <n v="0.05"/>
    <n v="1"/>
    <n v="0"/>
    <m/>
  </r>
  <r>
    <s v="2019-20"/>
    <x v="2"/>
    <x v="4"/>
    <s v="L2"/>
    <s v="Constructing and Specifying"/>
    <s v="From Drawing Board to Construction Sites"/>
    <n v="11"/>
    <x v="1"/>
    <x v="9"/>
    <n v="1"/>
    <n v="0.05"/>
    <n v="1"/>
    <n v="0.05"/>
    <s v="DRAWINGS MAY BE MORE SOPHISTICATED AND MODELS MAY BE MORE DEFINED . The work of this studio impressed me in a deep and holistic way. It was clean, austere, and well-executed. It had an underlying and identifiable character that was strong and unified and this come through in the work of all students."/>
  </r>
  <r>
    <s v="2019-20"/>
    <x v="2"/>
    <x v="5"/>
    <s v="L2"/>
    <s v="Visualization &amp; Communication, Spatial Planning &amp; Organisation"/>
    <s v="Figuring Ground: Land Building Relationships"/>
    <n v="1"/>
    <x v="0"/>
    <x v="0"/>
    <n v="1"/>
    <n v="0.12"/>
    <n v="1"/>
    <n v="0.12"/>
    <m/>
  </r>
  <r>
    <s v="2019-20"/>
    <x v="2"/>
    <x v="5"/>
    <s v="L2"/>
    <s v="Visualization &amp; Communication, Spatial Planning &amp; Organisation"/>
    <s v="Figuring Ground: Land Building Relationships"/>
    <n v="1"/>
    <x v="1"/>
    <x v="0"/>
    <n v="1"/>
    <n v="0.12"/>
    <n v="1"/>
    <n v="0.12"/>
    <m/>
  </r>
  <r>
    <s v="2019-20"/>
    <x v="2"/>
    <x v="5"/>
    <s v="L2"/>
    <s v="Visualization &amp; Communication, Spatial Planning &amp; Organisation"/>
    <s v="Figuring Ground: Land Building Relationships"/>
    <n v="2"/>
    <x v="0"/>
    <x v="1"/>
    <n v="0"/>
    <n v="0.08"/>
    <n v="0.8"/>
    <n v="0"/>
    <m/>
  </r>
  <r>
    <s v="2019-20"/>
    <x v="2"/>
    <x v="5"/>
    <s v="L2"/>
    <s v="Visualization &amp; Communication, Spatial Planning &amp; Organisation"/>
    <s v="Figuring Ground: Land Building Relationships"/>
    <n v="2"/>
    <x v="1"/>
    <x v="1"/>
    <n v="0"/>
    <n v="0.08"/>
    <n v="0.8"/>
    <n v="0"/>
    <s v="CAN BE EXPLORED MORE IN OTHER PARAMETER."/>
  </r>
  <r>
    <s v="2019-20"/>
    <x v="2"/>
    <x v="5"/>
    <s v="L2"/>
    <s v="Visualization &amp; Communication, Spatial Planning &amp; Organisation"/>
    <s v="Figuring Ground: Land Building Relationships"/>
    <n v="3"/>
    <x v="0"/>
    <x v="2"/>
    <n v="1"/>
    <n v="0.05"/>
    <n v="1"/>
    <n v="0.05"/>
    <m/>
  </r>
  <r>
    <s v="2019-20"/>
    <x v="2"/>
    <x v="5"/>
    <s v="L2"/>
    <s v="Visualization &amp; Communication, Spatial Planning &amp; Organisation"/>
    <s v="Figuring Ground: Land Building Relationships"/>
    <n v="3"/>
    <x v="1"/>
    <x v="2"/>
    <n v="1"/>
    <n v="0.05"/>
    <n v="1"/>
    <n v="0.05"/>
    <s v="60% - 40%"/>
  </r>
  <r>
    <s v="2019-20"/>
    <x v="2"/>
    <x v="5"/>
    <s v="L2"/>
    <s v="Visualization &amp; Communication, Spatial Planning &amp; Organisation"/>
    <s v="Figuring Ground: Land Building Relationships"/>
    <n v="4"/>
    <x v="0"/>
    <x v="3"/>
    <n v="-1"/>
    <n v="0.14000000000000001"/>
    <n v="1"/>
    <n v="-0.14000000000000001"/>
    <m/>
  </r>
  <r>
    <s v="2019-20"/>
    <x v="2"/>
    <x v="5"/>
    <s v="L2"/>
    <s v="Visualization &amp; Communication, Spatial Planning &amp; Organisation"/>
    <s v="Figuring Ground: Land Building Relationships"/>
    <n v="4"/>
    <x v="1"/>
    <x v="3"/>
    <n v="0"/>
    <n v="0.14000000000000001"/>
    <n v="1"/>
    <n v="0"/>
    <s v="50% - 50%. To a great extent with respect to land-building relationships but not as much with respect to the design exercise of a Primary School. The studio seems to have lost focus and clarity in trying to produce something more superficially &quot;creative or innovative&quot; compared to what I saw at Summer Exhibition 2019."/>
  </r>
  <r>
    <s v="2019-20"/>
    <x v="2"/>
    <x v="5"/>
    <s v="L2"/>
    <s v="Visualization &amp; Communication, Spatial Planning &amp; Organisation"/>
    <s v="Figuring Ground: Land Building Relationships"/>
    <n v="5"/>
    <x v="0"/>
    <x v="4"/>
    <n v="-1"/>
    <n v="0.11"/>
    <n v="1"/>
    <n v="-0.11"/>
    <m/>
  </r>
  <r>
    <s v="2019-20"/>
    <x v="2"/>
    <x v="5"/>
    <s v="L2"/>
    <s v="Visualization &amp; Communication, Spatial Planning &amp; Organisation"/>
    <s v="Figuring Ground: Land Building Relationships"/>
    <n v="5"/>
    <x v="1"/>
    <x v="4"/>
    <n v="0"/>
    <n v="0.11"/>
    <n v="1"/>
    <n v="0"/>
    <s v="Same as above"/>
  </r>
  <r>
    <s v="2019-20"/>
    <x v="2"/>
    <x v="5"/>
    <s v="L2"/>
    <s v="Visualization &amp; Communication, Spatial Planning &amp; Organisation"/>
    <s v="Figuring Ground: Land Building Relationships"/>
    <n v="6"/>
    <x v="0"/>
    <x v="5"/>
    <n v="-1"/>
    <n v="0.15"/>
    <n v="1"/>
    <n v="-0.15"/>
    <m/>
  </r>
  <r>
    <s v="2019-20"/>
    <x v="2"/>
    <x v="5"/>
    <s v="L2"/>
    <s v="Visualization &amp; Communication, Spatial Planning &amp; Organisation"/>
    <s v="Figuring Ground: Land Building Relationships"/>
    <n v="6"/>
    <x v="1"/>
    <x v="5"/>
    <n v="0"/>
    <n v="0.15"/>
    <n v="1"/>
    <n v="0"/>
    <s v="Same as above"/>
  </r>
  <r>
    <s v="2019-20"/>
    <x v="2"/>
    <x v="5"/>
    <s v="L2"/>
    <s v="Visualization &amp; Communication, Spatial Planning &amp; Organisation"/>
    <s v="Figuring Ground: Land Building Relationships"/>
    <n v="7"/>
    <x v="0"/>
    <x v="6"/>
    <n v="0"/>
    <n v="0.1"/>
    <n v="1"/>
    <n v="0"/>
    <m/>
  </r>
  <r>
    <s v="2019-20"/>
    <x v="2"/>
    <x v="5"/>
    <s v="L2"/>
    <s v="Visualization &amp; Communication, Spatial Planning &amp; Organisation"/>
    <s v="Figuring Ground: Land Building Relationships"/>
    <n v="7"/>
    <x v="1"/>
    <x v="6"/>
    <n v="0"/>
    <n v="0.1"/>
    <n v="1"/>
    <n v="0"/>
    <s v="It leaves a lot of loose ends"/>
  </r>
  <r>
    <s v="2019-20"/>
    <x v="2"/>
    <x v="5"/>
    <s v="L2"/>
    <s v="Visualization &amp; Communication, Spatial Planning &amp; Organisation"/>
    <s v="Figuring Ground: Land Building Relationships"/>
    <n v="8"/>
    <x v="0"/>
    <x v="7"/>
    <n v="0"/>
    <n v="0.1"/>
    <n v="1"/>
    <n v="0"/>
    <m/>
  </r>
  <r>
    <s v="2019-20"/>
    <x v="2"/>
    <x v="5"/>
    <s v="L2"/>
    <s v="Visualization &amp; Communication, Spatial Planning &amp; Organisation"/>
    <s v="Figuring Ground: Land Building Relationships"/>
    <n v="8"/>
    <x v="1"/>
    <x v="7"/>
    <n v="0"/>
    <n v="0.1"/>
    <n v="1"/>
    <n v="0"/>
    <s v="The workmanship needs to improve a lot. "/>
  </r>
  <r>
    <s v="2019-20"/>
    <x v="2"/>
    <x v="5"/>
    <s v="L2"/>
    <s v="Visualization &amp; Communication, Spatial Planning &amp; Organisation"/>
    <s v="Figuring Ground: Land Building Relationships"/>
    <n v="9"/>
    <x v="0"/>
    <x v="8"/>
    <n v="0"/>
    <n v="0.05"/>
    <n v="0.85"/>
    <n v="0"/>
    <m/>
  </r>
  <r>
    <s v="2019-20"/>
    <x v="2"/>
    <x v="5"/>
    <s v="L2"/>
    <s v="Visualization &amp; Communication, Spatial Planning &amp; Organisation"/>
    <s v="Figuring Ground: Land Building Relationships"/>
    <n v="9"/>
    <x v="1"/>
    <x v="8"/>
    <n v="1"/>
    <n v="0.05"/>
    <n v="0.85"/>
    <n v="4.2500000000000003E-2"/>
    <m/>
  </r>
  <r>
    <s v="2019-20"/>
    <x v="2"/>
    <x v="5"/>
    <s v="L2"/>
    <s v="Visualization &amp; Communication, Spatial Planning &amp; Organisation"/>
    <s v="Figuring Ground: Land Building Relationships"/>
    <n v="10"/>
    <x v="0"/>
    <x v="8"/>
    <n v="0"/>
    <n v="0.05"/>
    <n v="0.85"/>
    <n v="0"/>
    <m/>
  </r>
  <r>
    <s v="2019-20"/>
    <x v="2"/>
    <x v="5"/>
    <s v="L2"/>
    <s v="Visualization &amp; Communication, Spatial Planning &amp; Organisation"/>
    <s v="Figuring Ground: Land Building Relationships"/>
    <n v="10"/>
    <x v="1"/>
    <x v="8"/>
    <n v="1"/>
    <n v="0.05"/>
    <n v="0.85"/>
    <n v="4.2500000000000003E-2"/>
    <m/>
  </r>
  <r>
    <s v="2019-20"/>
    <x v="2"/>
    <x v="5"/>
    <s v="L2"/>
    <s v="Visualization &amp; Communication, Spatial Planning &amp; Organisation"/>
    <s v="Figuring Ground: Land Building Relationships"/>
    <n v="11"/>
    <x v="0"/>
    <x v="9"/>
    <n v="-1"/>
    <n v="0.05"/>
    <n v="1"/>
    <n v="-0.05"/>
    <m/>
  </r>
  <r>
    <s v="2019-20"/>
    <x v="2"/>
    <x v="5"/>
    <s v="L2"/>
    <s v="Visualization &amp; Communication, Spatial Planning &amp; Organisation"/>
    <s v="Figuring Ground: Land Building Relationships"/>
    <n v="11"/>
    <x v="1"/>
    <x v="9"/>
    <n v="0"/>
    <n v="0.05"/>
    <n v="1"/>
    <n v="0"/>
    <m/>
  </r>
  <r>
    <s v="2019-20"/>
    <x v="2"/>
    <x v="6"/>
    <s v="L2"/>
    <s v="Visualization &amp; Communication, Spatial Planning &amp; Organisation"/>
    <s v="Making Living Places : Craftsmanship, song and imagination"/>
    <n v="1"/>
    <x v="0"/>
    <x v="0"/>
    <n v="0"/>
    <n v="0.12"/>
    <n v="1"/>
    <n v="0"/>
    <m/>
  </r>
  <r>
    <s v="2019-20"/>
    <x v="2"/>
    <x v="6"/>
    <s v="L2"/>
    <s v="Visualization &amp; Communication, Spatial Planning &amp; Organisation"/>
    <s v="Making Living Places : Craftsmanship, song and imagination"/>
    <n v="1"/>
    <x v="1"/>
    <x v="0"/>
    <n v="1"/>
    <n v="0.12"/>
    <n v="1"/>
    <n v="0.12"/>
    <s v="Objectively speaking, the problem statement in terms of deciphering and making &quot;living spaces&quot; lacks clarity but it may be that we all have an instinctive feel for this on attentive reflection supported by the properties described in &quot;The Nature of Order&quot; by Christopher Alexander"/>
  </r>
  <r>
    <s v="2019-20"/>
    <x v="2"/>
    <x v="6"/>
    <s v="L2"/>
    <s v="Visualization &amp; Communication, Spatial Planning &amp; Organisation"/>
    <s v="Making Living Places : Craftsmanship, song and imagination"/>
    <n v="2"/>
    <x v="0"/>
    <x v="1"/>
    <n v="0"/>
    <n v="0.08"/>
    <n v="0.8"/>
    <n v="0"/>
    <m/>
  </r>
  <r>
    <s v="2019-20"/>
    <x v="2"/>
    <x v="6"/>
    <s v="L2"/>
    <s v="Visualization &amp; Communication, Spatial Planning &amp; Organisation"/>
    <s v="Making Living Places : Craftsmanship, song and imagination"/>
    <n v="2"/>
    <x v="1"/>
    <x v="1"/>
    <n v="1"/>
    <n v="0.08"/>
    <n v="0.8"/>
    <n v="6.4000000000000001E-2"/>
    <m/>
  </r>
  <r>
    <s v="2019-20"/>
    <x v="2"/>
    <x v="6"/>
    <s v="L2"/>
    <s v="Visualization &amp; Communication, Spatial Planning &amp; Organisation"/>
    <s v="Making Living Places : Craftsmanship, song and imagination"/>
    <n v="3"/>
    <x v="0"/>
    <x v="2"/>
    <n v="1"/>
    <n v="0.05"/>
    <n v="1"/>
    <n v="0.05"/>
    <m/>
  </r>
  <r>
    <s v="2019-20"/>
    <x v="2"/>
    <x v="6"/>
    <s v="L2"/>
    <s v="Visualization &amp; Communication, Spatial Planning &amp; Organisation"/>
    <s v="Making Living Places : Craftsmanship, song and imagination"/>
    <n v="3"/>
    <x v="1"/>
    <x v="2"/>
    <n v="1"/>
    <n v="0.05"/>
    <n v="1"/>
    <n v="0.05"/>
    <m/>
  </r>
  <r>
    <s v="2019-20"/>
    <x v="2"/>
    <x v="6"/>
    <s v="L2"/>
    <s v="Visualization &amp; Communication, Spatial Planning &amp; Organisation"/>
    <s v="Making Living Places : Craftsmanship, song and imagination"/>
    <n v="4"/>
    <x v="0"/>
    <x v="3"/>
    <n v="0"/>
    <n v="0.14000000000000001"/>
    <n v="1"/>
    <n v="0"/>
    <m/>
  </r>
  <r>
    <s v="2019-20"/>
    <x v="2"/>
    <x v="6"/>
    <s v="L2"/>
    <s v="Visualization &amp; Communication, Spatial Planning &amp; Organisation"/>
    <s v="Making Living Places : Craftsmanship, song and imagination"/>
    <n v="4"/>
    <x v="1"/>
    <x v="3"/>
    <n v="1"/>
    <n v="0.14000000000000001"/>
    <n v="1"/>
    <n v="0.14000000000000001"/>
    <m/>
  </r>
  <r>
    <s v="2019-20"/>
    <x v="2"/>
    <x v="6"/>
    <s v="L2"/>
    <s v="Visualization &amp; Communication, Spatial Planning &amp; Organisation"/>
    <s v="Making Living Places : Craftsmanship, song and imagination"/>
    <n v="5"/>
    <x v="0"/>
    <x v="4"/>
    <n v="-1"/>
    <n v="0.11"/>
    <n v="1"/>
    <n v="-0.11"/>
    <m/>
  </r>
  <r>
    <s v="2019-20"/>
    <x v="2"/>
    <x v="6"/>
    <s v="L2"/>
    <s v="Visualization &amp; Communication, Spatial Planning &amp; Organisation"/>
    <s v="Making Living Places : Craftsmanship, song and imagination"/>
    <n v="5"/>
    <x v="1"/>
    <x v="4"/>
    <n v="1"/>
    <n v="0.11"/>
    <n v="1"/>
    <n v="0.11"/>
    <s v="Most likely. But I feel, as a graduate student of Christopher Alexander in the mid-80's while he was in process of writing &quot;The Nature of Order&quot;, that their interventions should have been more challenging in terms of building program and output"/>
  </r>
  <r>
    <s v="2019-20"/>
    <x v="2"/>
    <x v="6"/>
    <s v="L2"/>
    <s v="Visualization &amp; Communication, Spatial Planning &amp; Organisation"/>
    <s v="Making Living Places : Craftsmanship, song and imagination"/>
    <n v="6"/>
    <x v="0"/>
    <x v="5"/>
    <n v="0"/>
    <n v="0.15"/>
    <n v="1"/>
    <n v="0"/>
    <m/>
  </r>
  <r>
    <s v="2019-20"/>
    <x v="2"/>
    <x v="6"/>
    <s v="L2"/>
    <s v="Visualization &amp; Communication, Spatial Planning &amp; Organisation"/>
    <s v="Making Living Places : Craftsmanship, song and imagination"/>
    <n v="6"/>
    <x v="1"/>
    <x v="5"/>
    <n v="1"/>
    <n v="0.15"/>
    <n v="1"/>
    <n v="0.15"/>
    <s v="However, the models in particular, although appropriate and well-executed, tend to be relatively mystifying with respect to what actually has been done to create and transform spaces into living spaces"/>
  </r>
  <r>
    <s v="2019-20"/>
    <x v="2"/>
    <x v="6"/>
    <s v="L2"/>
    <s v="Visualization &amp; Communication, Spatial Planning &amp; Organisation"/>
    <s v="Making Living Places : Craftsmanship, song and imagination"/>
    <n v="7"/>
    <x v="0"/>
    <x v="6"/>
    <n v="-1"/>
    <n v="0.1"/>
    <n v="1"/>
    <n v="-0.1"/>
    <m/>
  </r>
  <r>
    <s v="2019-20"/>
    <x v="2"/>
    <x v="6"/>
    <s v="L2"/>
    <s v="Visualization &amp; Communication, Spatial Planning &amp; Organisation"/>
    <s v="Making Living Places : Craftsmanship, song and imagination"/>
    <n v="7"/>
    <x v="1"/>
    <x v="6"/>
    <n v="1"/>
    <n v="0.1"/>
    <n v="1"/>
    <n v="0.1"/>
    <m/>
  </r>
  <r>
    <s v="2019-20"/>
    <x v="2"/>
    <x v="6"/>
    <s v="L2"/>
    <s v="Visualization &amp; Communication, Spatial Planning &amp; Organisation"/>
    <s v="Making Living Places : Craftsmanship, song and imagination"/>
    <n v="8"/>
    <x v="0"/>
    <x v="7"/>
    <n v="0"/>
    <n v="0.1"/>
    <n v="1"/>
    <n v="0"/>
    <m/>
  </r>
  <r>
    <s v="2019-20"/>
    <x v="2"/>
    <x v="6"/>
    <s v="L2"/>
    <s v="Visualization &amp; Communication, Spatial Planning &amp; Organisation"/>
    <s v="Making Living Places : Craftsmanship, song and imagination"/>
    <n v="8"/>
    <x v="1"/>
    <x v="7"/>
    <n v="1"/>
    <n v="0.1"/>
    <n v="1"/>
    <n v="0.1"/>
    <m/>
  </r>
  <r>
    <s v="2019-20"/>
    <x v="2"/>
    <x v="6"/>
    <s v="L2"/>
    <s v="Visualization &amp; Communication, Spatial Planning &amp; Organisation"/>
    <s v="Making Living Places : Craftsmanship, song and imagination"/>
    <n v="9"/>
    <x v="0"/>
    <x v="8"/>
    <n v="-1"/>
    <n v="0.05"/>
    <n v="0.85"/>
    <n v="-4.2500000000000003E-2"/>
    <m/>
  </r>
  <r>
    <s v="2019-20"/>
    <x v="2"/>
    <x v="6"/>
    <s v="L2"/>
    <s v="Visualization &amp; Communication, Spatial Planning &amp; Organisation"/>
    <s v="Making Living Places : Craftsmanship, song and imagination"/>
    <n v="9"/>
    <x v="1"/>
    <x v="8"/>
    <n v="1"/>
    <n v="0.05"/>
    <n v="0.85"/>
    <n v="4.2500000000000003E-2"/>
    <s v="As in Q 6"/>
  </r>
  <r>
    <s v="2019-20"/>
    <x v="2"/>
    <x v="6"/>
    <s v="L2"/>
    <s v="Visualization &amp; Communication, Spatial Planning &amp; Organisation"/>
    <s v="Making Living Places : Craftsmanship, song and imagination"/>
    <n v="10"/>
    <x v="0"/>
    <x v="8"/>
    <n v="0"/>
    <n v="0.05"/>
    <n v="0.85"/>
    <n v="0"/>
    <m/>
  </r>
  <r>
    <s v="2019-20"/>
    <x v="2"/>
    <x v="6"/>
    <s v="L2"/>
    <s v="Visualization &amp; Communication, Spatial Planning &amp; Organisation"/>
    <s v="Making Living Places : Craftsmanship, song and imagination"/>
    <n v="10"/>
    <x v="1"/>
    <x v="8"/>
    <n v="1"/>
    <n v="0.05"/>
    <n v="0.85"/>
    <n v="4.2500000000000003E-2"/>
    <m/>
  </r>
  <r>
    <s v="2019-20"/>
    <x v="2"/>
    <x v="6"/>
    <s v="L2"/>
    <s v="Visualization &amp; Communication, Spatial Planning &amp; Organisation"/>
    <s v="Making Living Places : Craftsmanship, song and imagination"/>
    <n v="11"/>
    <x v="0"/>
    <x v="9"/>
    <n v="-1"/>
    <n v="0.05"/>
    <n v="1"/>
    <n v="-0.05"/>
    <m/>
  </r>
  <r>
    <s v="2019-20"/>
    <x v="2"/>
    <x v="6"/>
    <s v="L2"/>
    <s v="Visualization &amp; Communication, Spatial Planning &amp; Organisation"/>
    <s v="Making Living Places : Craftsmanship, song and imagination"/>
    <n v="11"/>
    <x v="1"/>
    <x v="9"/>
    <n v="0"/>
    <n v="0.05"/>
    <n v="1"/>
    <n v="0"/>
    <s v="Only because I have reservations in terms of content. I find the work of this studio to be underwhelming in that regard."/>
  </r>
  <r>
    <s v="2019-20"/>
    <x v="2"/>
    <x v="7"/>
    <s v="L2"/>
    <s v="Visualization and Communication, Spatial Planning and Organisation"/>
    <s v="Master’s Stroke"/>
    <n v="1"/>
    <x v="0"/>
    <x v="0"/>
    <n v="1"/>
    <n v="0.12"/>
    <n v="1"/>
    <n v="0.12"/>
    <m/>
  </r>
  <r>
    <s v="2019-20"/>
    <x v="2"/>
    <x v="7"/>
    <s v="L2"/>
    <s v="Visualization and Communication, Spatial Planning and Organisation"/>
    <s v="Master’s Stroke"/>
    <n v="1"/>
    <x v="1"/>
    <x v="0"/>
    <n v="1"/>
    <n v="0.12"/>
    <n v="1"/>
    <n v="0.12"/>
    <s v="My only concern with this pedagogy lies in its tendency to influence and inhibit individual abilities and directions of students. Intense, and undoubtedly creative, methods of study and analysis of works of well-known architects may be more appropriate in supporting Theory &amp; Criticism courses."/>
  </r>
  <r>
    <s v="2019-20"/>
    <x v="2"/>
    <x v="7"/>
    <s v="L2"/>
    <s v="Visualization and Communication, Spatial Planning and Organisation"/>
    <s v="Master’s Stroke"/>
    <n v="2"/>
    <x v="0"/>
    <x v="1"/>
    <n v="1"/>
    <n v="0.08"/>
    <n v="0.8"/>
    <n v="6.4000000000000001E-2"/>
    <m/>
  </r>
  <r>
    <s v="2019-20"/>
    <x v="2"/>
    <x v="7"/>
    <s v="L2"/>
    <s v="Visualization and Communication, Spatial Planning and Organisation"/>
    <s v="Master’s Stroke"/>
    <n v="2"/>
    <x v="1"/>
    <x v="1"/>
    <n v="1"/>
    <n v="0.08"/>
    <n v="0.8"/>
    <n v="6.4000000000000001E-2"/>
    <m/>
  </r>
  <r>
    <s v="2019-20"/>
    <x v="2"/>
    <x v="7"/>
    <s v="L2"/>
    <s v="Visualization and Communication, Spatial Planning and Organisation"/>
    <s v="Master’s Stroke"/>
    <n v="3"/>
    <x v="0"/>
    <x v="2"/>
    <n v="1"/>
    <n v="0.05"/>
    <n v="1"/>
    <n v="0.05"/>
    <m/>
  </r>
  <r>
    <s v="2019-20"/>
    <x v="2"/>
    <x v="7"/>
    <s v="L2"/>
    <s v="Visualization and Communication, Spatial Planning and Organisation"/>
    <s v="Master’s Stroke"/>
    <n v="3"/>
    <x v="1"/>
    <x v="2"/>
    <n v="1"/>
    <n v="0.05"/>
    <n v="1"/>
    <n v="0.05"/>
    <s v="I think it tends towards narrowing global exploration by limiting it towards a student's understanding of the language and style of a specified and well-known architect."/>
  </r>
  <r>
    <s v="2019-20"/>
    <x v="2"/>
    <x v="7"/>
    <s v="L2"/>
    <s v="Visualization and Communication, Spatial Planning and Organisation"/>
    <s v="Master’s Stroke"/>
    <n v="4"/>
    <x v="0"/>
    <x v="3"/>
    <n v="1"/>
    <n v="0.14000000000000001"/>
    <n v="1"/>
    <n v="0.14000000000000001"/>
    <m/>
  </r>
  <r>
    <s v="2019-20"/>
    <x v="2"/>
    <x v="7"/>
    <s v="L2"/>
    <s v="Visualization and Communication, Spatial Planning and Organisation"/>
    <s v="Master’s Stroke"/>
    <n v="4"/>
    <x v="1"/>
    <x v="3"/>
    <n v="1"/>
    <n v="0.14000000000000001"/>
    <n v="1"/>
    <n v="0.14000000000000001"/>
    <m/>
  </r>
  <r>
    <s v="2019-20"/>
    <x v="2"/>
    <x v="7"/>
    <s v="L2"/>
    <s v="Visualization and Communication, Spatial Planning and Organisation"/>
    <s v="Master’s Stroke"/>
    <n v="5"/>
    <x v="0"/>
    <x v="4"/>
    <n v="0"/>
    <n v="0.11"/>
    <n v="1"/>
    <n v="0"/>
    <m/>
  </r>
  <r>
    <s v="2019-20"/>
    <x v="2"/>
    <x v="7"/>
    <s v="L2"/>
    <s v="Visualization and Communication, Spatial Planning and Organisation"/>
    <s v="Master’s Stroke"/>
    <n v="5"/>
    <x v="1"/>
    <x v="4"/>
    <n v="1"/>
    <n v="0.11"/>
    <n v="1"/>
    <n v="0.11"/>
    <m/>
  </r>
  <r>
    <s v="2019-20"/>
    <x v="2"/>
    <x v="7"/>
    <s v="L2"/>
    <s v="Visualization and Communication, Spatial Planning and Organisation"/>
    <s v="Master’s Stroke"/>
    <n v="6"/>
    <x v="0"/>
    <x v="5"/>
    <n v="0"/>
    <n v="0.15"/>
    <n v="1"/>
    <n v="0"/>
    <m/>
  </r>
  <r>
    <s v="2019-20"/>
    <x v="2"/>
    <x v="7"/>
    <s v="L2"/>
    <s v="Visualization and Communication, Spatial Planning and Organisation"/>
    <s v="Master’s Stroke"/>
    <n v="6"/>
    <x v="1"/>
    <x v="5"/>
    <n v="1"/>
    <n v="0.15"/>
    <n v="1"/>
    <n v="0.15"/>
    <s v="Excellent presentation by all students"/>
  </r>
  <r>
    <s v="2019-20"/>
    <x v="2"/>
    <x v="7"/>
    <s v="L2"/>
    <s v="Visualization and Communication, Spatial Planning and Organisation"/>
    <s v="Master’s Stroke"/>
    <n v="7"/>
    <x v="0"/>
    <x v="6"/>
    <n v="0"/>
    <n v="0.1"/>
    <n v="1"/>
    <n v="0"/>
    <m/>
  </r>
  <r>
    <s v="2019-20"/>
    <x v="2"/>
    <x v="7"/>
    <s v="L2"/>
    <s v="Visualization and Communication, Spatial Planning and Organisation"/>
    <s v="Master’s Stroke"/>
    <n v="7"/>
    <x v="1"/>
    <x v="6"/>
    <n v="1"/>
    <n v="0.1"/>
    <n v="1"/>
    <n v="0.1"/>
    <m/>
  </r>
  <r>
    <s v="2019-20"/>
    <x v="2"/>
    <x v="7"/>
    <s v="L2"/>
    <s v="Visualization and Communication, Spatial Planning and Organisation"/>
    <s v="Master’s Stroke"/>
    <n v="8"/>
    <x v="0"/>
    <x v="7"/>
    <n v="1"/>
    <n v="0.1"/>
    <n v="1"/>
    <n v="0.1"/>
    <m/>
  </r>
  <r>
    <s v="2019-20"/>
    <x v="2"/>
    <x v="7"/>
    <s v="L2"/>
    <s v="Visualization and Communication, Spatial Planning and Organisation"/>
    <s v="Master’s Stroke"/>
    <n v="8"/>
    <x v="1"/>
    <x v="7"/>
    <n v="1"/>
    <n v="0.1"/>
    <n v="1"/>
    <n v="0.1"/>
    <s v="Same as Q6"/>
  </r>
  <r>
    <s v="2019-20"/>
    <x v="2"/>
    <x v="7"/>
    <s v="L2"/>
    <s v="Visualization and Communication, Spatial Planning and Organisation"/>
    <s v="Master’s Stroke"/>
    <n v="9"/>
    <x v="0"/>
    <x v="8"/>
    <n v="1"/>
    <n v="0.05"/>
    <n v="0.85"/>
    <n v="4.2500000000000003E-2"/>
    <m/>
  </r>
  <r>
    <s v="2019-20"/>
    <x v="2"/>
    <x v="7"/>
    <s v="L2"/>
    <s v="Visualization and Communication, Spatial Planning and Organisation"/>
    <s v="Master’s Stroke"/>
    <n v="9"/>
    <x v="1"/>
    <x v="8"/>
    <n v="1"/>
    <n v="0.05"/>
    <n v="0.85"/>
    <n v="4.2500000000000003E-2"/>
    <m/>
  </r>
  <r>
    <s v="2019-20"/>
    <x v="2"/>
    <x v="7"/>
    <s v="L2"/>
    <s v="Visualization and Communication, Spatial Planning and Organisation"/>
    <s v="Master’s Stroke"/>
    <n v="10"/>
    <x v="0"/>
    <x v="8"/>
    <n v="0"/>
    <n v="0.05"/>
    <n v="0.85"/>
    <n v="0"/>
    <m/>
  </r>
  <r>
    <s v="2019-20"/>
    <x v="2"/>
    <x v="7"/>
    <s v="L2"/>
    <s v="Visualization and Communication, Spatial Planning and Organisation"/>
    <s v="Master’s Stroke"/>
    <n v="10"/>
    <x v="1"/>
    <x v="8"/>
    <n v="1"/>
    <n v="0.05"/>
    <n v="0.85"/>
    <n v="4.2500000000000003E-2"/>
    <m/>
  </r>
  <r>
    <s v="2019-20"/>
    <x v="2"/>
    <x v="7"/>
    <s v="L2"/>
    <s v="Visualization and Communication, Spatial Planning and Organisation"/>
    <s v="Master’s Stroke"/>
    <n v="11"/>
    <x v="0"/>
    <x v="9"/>
    <n v="0"/>
    <n v="0.05"/>
    <n v="1"/>
    <n v="0"/>
    <m/>
  </r>
  <r>
    <s v="2019-20"/>
    <x v="2"/>
    <x v="7"/>
    <s v="L2"/>
    <s v="Visualization and Communication, Spatial Planning and Organisation"/>
    <s v="Master’s Stroke"/>
    <n v="11"/>
    <x v="1"/>
    <x v="9"/>
    <n v="1"/>
    <n v="0.05"/>
    <n v="1"/>
    <n v="0.05"/>
    <s v="Outstanding"/>
  </r>
  <r>
    <s v="2019-20"/>
    <x v="2"/>
    <x v="9"/>
    <s v="L2"/>
    <s v="Constructing and Specifying"/>
    <s v="Tectonic Operations"/>
    <n v="1"/>
    <x v="0"/>
    <x v="0"/>
    <n v="1"/>
    <n v="0.12"/>
    <n v="1"/>
    <n v="0.12"/>
    <m/>
  </r>
  <r>
    <s v="2019-20"/>
    <x v="2"/>
    <x v="9"/>
    <s v="L2"/>
    <s v="Constructing and Specifying"/>
    <s v="Tectonic Operations"/>
    <n v="1"/>
    <x v="1"/>
    <x v="0"/>
    <n v="1"/>
    <n v="0.12"/>
    <n v="1"/>
    <n v="0.12"/>
    <s v="I thought it was very clever to engage with adaptive re-use of existing buildings to convey the idea that the process of design continues through design development into constructing and specifying as well"/>
  </r>
  <r>
    <s v="2019-20"/>
    <x v="2"/>
    <x v="9"/>
    <s v="L2"/>
    <s v="Constructing and Specifying"/>
    <s v="Tectonic Operations"/>
    <n v="2"/>
    <x v="0"/>
    <x v="1"/>
    <n v="1"/>
    <n v="0.08"/>
    <n v="0.8"/>
    <n v="6.4000000000000001E-2"/>
    <m/>
  </r>
  <r>
    <s v="2019-20"/>
    <x v="2"/>
    <x v="9"/>
    <s v="L2"/>
    <s v="Constructing and Specifying"/>
    <s v="Tectonic Operations"/>
    <n v="2"/>
    <x v="1"/>
    <x v="1"/>
    <n v="1"/>
    <n v="0.08"/>
    <n v="0.8"/>
    <n v="6.4000000000000001E-2"/>
    <m/>
  </r>
  <r>
    <s v="2019-20"/>
    <x v="2"/>
    <x v="9"/>
    <s v="L2"/>
    <s v="Constructing and Specifying"/>
    <s v="Tectonic Operations"/>
    <n v="3"/>
    <x v="0"/>
    <x v="2"/>
    <n v="1"/>
    <n v="0.05"/>
    <n v="1"/>
    <n v="0.05"/>
    <m/>
  </r>
  <r>
    <s v="2019-20"/>
    <x v="2"/>
    <x v="9"/>
    <s v="L2"/>
    <s v="Constructing and Specifying"/>
    <s v="Tectonic Operations"/>
    <n v="3"/>
    <x v="1"/>
    <x v="2"/>
    <n v="1"/>
    <n v="0.05"/>
    <n v="1"/>
    <n v="0.05"/>
    <m/>
  </r>
  <r>
    <s v="2019-20"/>
    <x v="2"/>
    <x v="9"/>
    <s v="L2"/>
    <s v="Constructing and Specifying"/>
    <s v="Tectonic Operations"/>
    <n v="4"/>
    <x v="0"/>
    <x v="3"/>
    <n v="1"/>
    <n v="0.14000000000000001"/>
    <n v="1"/>
    <n v="0.14000000000000001"/>
    <m/>
  </r>
  <r>
    <s v="2019-20"/>
    <x v="2"/>
    <x v="9"/>
    <s v="L2"/>
    <s v="Constructing and Specifying"/>
    <s v="Tectonic Operations"/>
    <n v="4"/>
    <x v="1"/>
    <x v="3"/>
    <n v="1"/>
    <n v="0.14000000000000001"/>
    <n v="1"/>
    <n v="0.14000000000000001"/>
    <s v="However, at the same time, it seems to have paid less attention to the issues of adjacency and contiguity in one entity"/>
  </r>
  <r>
    <s v="2019-20"/>
    <x v="2"/>
    <x v="9"/>
    <s v="L2"/>
    <s v="Constructing and Specifying"/>
    <s v="Tectonic Operations"/>
    <n v="5"/>
    <x v="0"/>
    <x v="4"/>
    <n v="1"/>
    <n v="0.11"/>
    <n v="1"/>
    <n v="0.11"/>
    <m/>
  </r>
  <r>
    <s v="2019-20"/>
    <x v="2"/>
    <x v="9"/>
    <s v="L2"/>
    <s v="Constructing and Specifying"/>
    <s v="Tectonic Operations"/>
    <n v="5"/>
    <x v="1"/>
    <x v="4"/>
    <n v="1"/>
    <n v="0.11"/>
    <n v="1"/>
    <n v="0.11"/>
    <s v="Certainly, in terms of constructing and specifying as a process of design but it seems to have overlooked the ability to be in harmony with immediate context"/>
  </r>
  <r>
    <s v="2019-20"/>
    <x v="2"/>
    <x v="9"/>
    <s v="L2"/>
    <s v="Constructing and Specifying"/>
    <s v="Tectonic Operations"/>
    <n v="6"/>
    <x v="0"/>
    <x v="5"/>
    <n v="1"/>
    <n v="0.15"/>
    <n v="1"/>
    <n v="0.15"/>
    <m/>
  </r>
  <r>
    <s v="2019-20"/>
    <x v="2"/>
    <x v="9"/>
    <s v="L2"/>
    <s v="Constructing and Specifying"/>
    <s v="Tectonic Operations"/>
    <n v="6"/>
    <x v="1"/>
    <x v="5"/>
    <n v="1"/>
    <n v="0.15"/>
    <n v="1"/>
    <n v="0.15"/>
    <m/>
  </r>
  <r>
    <s v="2019-20"/>
    <x v="2"/>
    <x v="9"/>
    <s v="L2"/>
    <s v="Constructing and Specifying"/>
    <s v="Tectonic Operations"/>
    <n v="7"/>
    <x v="0"/>
    <x v="6"/>
    <n v="1"/>
    <n v="0.1"/>
    <n v="1"/>
    <n v="0.1"/>
    <m/>
  </r>
  <r>
    <s v="2019-20"/>
    <x v="2"/>
    <x v="9"/>
    <s v="L2"/>
    <s v="Constructing and Specifying"/>
    <s v="Tectonic Operations"/>
    <n v="7"/>
    <x v="1"/>
    <x v="6"/>
    <n v="1"/>
    <n v="0.1"/>
    <n v="1"/>
    <n v="0.1"/>
    <m/>
  </r>
  <r>
    <s v="2019-20"/>
    <x v="2"/>
    <x v="9"/>
    <s v="L2"/>
    <s v="Constructing and Specifying"/>
    <s v="Tectonic Operations"/>
    <n v="8"/>
    <x v="0"/>
    <x v="7"/>
    <n v="1"/>
    <n v="0.1"/>
    <n v="1"/>
    <n v="0.1"/>
    <m/>
  </r>
  <r>
    <s v="2019-20"/>
    <x v="2"/>
    <x v="9"/>
    <s v="L2"/>
    <s v="Constructing and Specifying"/>
    <s v="Tectonic Operations"/>
    <n v="8"/>
    <x v="1"/>
    <x v="7"/>
    <n v="1"/>
    <n v="0.1"/>
    <n v="1"/>
    <n v="0.1"/>
    <m/>
  </r>
  <r>
    <s v="2019-20"/>
    <x v="2"/>
    <x v="9"/>
    <s v="L2"/>
    <s v="Constructing and Specifying"/>
    <s v="Tectonic Operations"/>
    <n v="9"/>
    <x v="0"/>
    <x v="8"/>
    <n v="0"/>
    <n v="0.05"/>
    <n v="0.85"/>
    <n v="0"/>
    <m/>
  </r>
  <r>
    <s v="2019-20"/>
    <x v="2"/>
    <x v="9"/>
    <s v="L2"/>
    <s v="Constructing and Specifying"/>
    <s v="Tectonic Operations"/>
    <n v="9"/>
    <x v="1"/>
    <x v="8"/>
    <n v="1"/>
    <n v="0.05"/>
    <n v="0.85"/>
    <n v="4.2500000000000003E-2"/>
    <m/>
  </r>
  <r>
    <s v="2019-20"/>
    <x v="2"/>
    <x v="9"/>
    <s v="L2"/>
    <s v="Constructing and Specifying"/>
    <s v="Tectonic Operations"/>
    <n v="10"/>
    <x v="0"/>
    <x v="8"/>
    <n v="0"/>
    <n v="0.05"/>
    <n v="0.85"/>
    <n v="0"/>
    <m/>
  </r>
  <r>
    <s v="2019-20"/>
    <x v="2"/>
    <x v="9"/>
    <s v="L2"/>
    <s v="Constructing and Specifying"/>
    <s v="Tectonic Operations"/>
    <n v="10"/>
    <x v="1"/>
    <x v="8"/>
    <n v="1"/>
    <n v="0.05"/>
    <n v="0.85"/>
    <n v="4.2500000000000003E-2"/>
    <m/>
  </r>
  <r>
    <s v="2019-20"/>
    <x v="2"/>
    <x v="9"/>
    <s v="L2"/>
    <s v="Constructing and Specifying"/>
    <s v="Tectonic Operations"/>
    <n v="11"/>
    <x v="0"/>
    <x v="9"/>
    <n v="1"/>
    <n v="0.05"/>
    <n v="1"/>
    <n v="0.05"/>
    <m/>
  </r>
  <r>
    <s v="2019-20"/>
    <x v="2"/>
    <x v="9"/>
    <s v="L2"/>
    <s v="Constructing and Specifying"/>
    <s v="Tectonic Operations"/>
    <n v="11"/>
    <x v="1"/>
    <x v="9"/>
    <n v="0"/>
    <n v="0.05"/>
    <n v="1"/>
    <n v="0"/>
    <s v="I cannot be completely sure but it's close."/>
  </r>
  <r>
    <s v="2019-20"/>
    <x v="2"/>
    <x v="18"/>
    <s v="L2"/>
    <m/>
    <s v="Where Material Meets Design"/>
    <n v="1"/>
    <x v="0"/>
    <x v="0"/>
    <n v="1"/>
    <n v="0.12"/>
    <n v="1"/>
    <n v="0.12"/>
    <m/>
  </r>
  <r>
    <s v="2019-20"/>
    <x v="2"/>
    <x v="18"/>
    <s v="L2"/>
    <m/>
    <s v="Where Material Meets Design"/>
    <n v="1"/>
    <x v="1"/>
    <x v="0"/>
    <n v="1"/>
    <n v="0.12"/>
    <n v="1"/>
    <n v="0.12"/>
    <s v="I thought the inversion of design methodology form material to space/ form to function was very interesting and unusual also given that this was done in conjunction with highly grounded and tangible studio exercises"/>
  </r>
  <r>
    <s v="2019-20"/>
    <x v="2"/>
    <x v="18"/>
    <s v="L2"/>
    <m/>
    <s v="Where Material Meets Design"/>
    <n v="2"/>
    <x v="0"/>
    <x v="1"/>
    <n v="1"/>
    <n v="0.08"/>
    <n v="0.8"/>
    <n v="6.4000000000000001E-2"/>
    <m/>
  </r>
  <r>
    <s v="2019-20"/>
    <x v="2"/>
    <x v="18"/>
    <s v="L2"/>
    <m/>
    <s v="Where Material Meets Design"/>
    <n v="2"/>
    <x v="1"/>
    <x v="1"/>
    <n v="1"/>
    <n v="0.08"/>
    <n v="0.8"/>
    <n v="6.4000000000000001E-2"/>
    <s v="I would say its been 70% successful here."/>
  </r>
  <r>
    <s v="2019-20"/>
    <x v="2"/>
    <x v="18"/>
    <s v="L2"/>
    <m/>
    <s v="Where Material Meets Design"/>
    <n v="3"/>
    <x v="0"/>
    <x v="2"/>
    <n v="1"/>
    <n v="0.05"/>
    <n v="1"/>
    <n v="0.05"/>
    <m/>
  </r>
  <r>
    <s v="2019-20"/>
    <x v="2"/>
    <x v="18"/>
    <s v="L2"/>
    <m/>
    <s v="Where Material Meets Design"/>
    <n v="3"/>
    <x v="1"/>
    <x v="2"/>
    <n v="1"/>
    <n v="0.05"/>
    <n v="1"/>
    <n v="0.05"/>
    <m/>
  </r>
  <r>
    <s v="2019-20"/>
    <x v="2"/>
    <x v="18"/>
    <s v="L2"/>
    <m/>
    <s v="Where Material Meets Design"/>
    <n v="4"/>
    <x v="0"/>
    <x v="3"/>
    <n v="1"/>
    <n v="0.14000000000000001"/>
    <n v="1"/>
    <n v="0.14000000000000001"/>
    <m/>
  </r>
  <r>
    <s v="2019-20"/>
    <x v="2"/>
    <x v="18"/>
    <s v="L2"/>
    <m/>
    <s v="Where Material Meets Design"/>
    <n v="4"/>
    <x v="1"/>
    <x v="3"/>
    <n v="1"/>
    <n v="0.14000000000000001"/>
    <n v="1"/>
    <n v="0.14000000000000001"/>
    <s v="The studio should take it a little further into the realm of potential purpose by visualizing and representing this at a schematic level at the least, so that material meets space meets architecture!"/>
  </r>
  <r>
    <s v="2019-20"/>
    <x v="2"/>
    <x v="18"/>
    <s v="L2"/>
    <m/>
    <s v="Where Material Meets Design"/>
    <n v="5"/>
    <x v="0"/>
    <x v="4"/>
    <n v="1"/>
    <n v="0.11"/>
    <n v="1"/>
    <n v="0.11"/>
    <m/>
  </r>
  <r>
    <s v="2019-20"/>
    <x v="2"/>
    <x v="18"/>
    <s v="L2"/>
    <m/>
    <s v="Where Material Meets Design"/>
    <n v="5"/>
    <x v="1"/>
    <x v="4"/>
    <n v="1"/>
    <n v="0.11"/>
    <n v="1"/>
    <n v="0.11"/>
    <s v="To the extent of 65-70% It can be said so."/>
  </r>
  <r>
    <s v="2019-20"/>
    <x v="2"/>
    <x v="18"/>
    <s v="L2"/>
    <m/>
    <s v="Where Material Meets Design"/>
    <n v="6"/>
    <x v="0"/>
    <x v="5"/>
    <n v="0"/>
    <n v="0.15"/>
    <n v="1"/>
    <n v="0"/>
    <m/>
  </r>
  <r>
    <s v="2019-20"/>
    <x v="2"/>
    <x v="18"/>
    <s v="L2"/>
    <m/>
    <s v="Where Material Meets Design"/>
    <n v="6"/>
    <x v="1"/>
    <x v="5"/>
    <n v="1"/>
    <n v="0.15"/>
    <n v="1"/>
    <n v="0.15"/>
    <m/>
  </r>
  <r>
    <s v="2019-20"/>
    <x v="2"/>
    <x v="18"/>
    <s v="L2"/>
    <m/>
    <s v="Where Material Meets Design"/>
    <n v="7"/>
    <x v="0"/>
    <x v="6"/>
    <n v="0"/>
    <n v="0.1"/>
    <n v="1"/>
    <n v="0"/>
    <m/>
  </r>
  <r>
    <s v="2019-20"/>
    <x v="2"/>
    <x v="18"/>
    <s v="L2"/>
    <m/>
    <s v="Where Material Meets Design"/>
    <n v="7"/>
    <x v="1"/>
    <x v="6"/>
    <n v="1"/>
    <n v="0.1"/>
    <n v="1"/>
    <n v="0.1"/>
    <m/>
  </r>
  <r>
    <s v="2019-20"/>
    <x v="2"/>
    <x v="18"/>
    <s v="L2"/>
    <m/>
    <s v="Where Material Meets Design"/>
    <n v="8"/>
    <x v="0"/>
    <x v="7"/>
    <n v="0"/>
    <n v="0.1"/>
    <n v="1"/>
    <n v="0"/>
    <m/>
  </r>
  <r>
    <s v="2019-20"/>
    <x v="2"/>
    <x v="18"/>
    <s v="L2"/>
    <m/>
    <s v="Where Material Meets Design"/>
    <n v="8"/>
    <x v="1"/>
    <x v="7"/>
    <n v="1"/>
    <n v="0.1"/>
    <n v="1"/>
    <n v="0.1"/>
    <s v="I would rate it as 70%."/>
  </r>
  <r>
    <s v="2019-20"/>
    <x v="2"/>
    <x v="18"/>
    <s v="L2"/>
    <m/>
    <s v="Where Material Meets Design"/>
    <n v="9"/>
    <x v="0"/>
    <x v="8"/>
    <n v="1"/>
    <n v="0.05"/>
    <n v="0.85"/>
    <n v="4.2500000000000003E-2"/>
    <m/>
  </r>
  <r>
    <s v="2019-20"/>
    <x v="2"/>
    <x v="18"/>
    <s v="L2"/>
    <m/>
    <s v="Where Material Meets Design"/>
    <n v="9"/>
    <x v="1"/>
    <x v="8"/>
    <n v="1"/>
    <n v="0.05"/>
    <n v="0.85"/>
    <n v="4.2500000000000003E-2"/>
    <m/>
  </r>
  <r>
    <s v="2019-20"/>
    <x v="2"/>
    <x v="18"/>
    <s v="L2"/>
    <m/>
    <s v="Where Material Meets Design"/>
    <n v="10"/>
    <x v="0"/>
    <x v="8"/>
    <n v="1"/>
    <n v="0.05"/>
    <n v="0.85"/>
    <n v="4.2500000000000003E-2"/>
    <m/>
  </r>
  <r>
    <s v="2019-20"/>
    <x v="2"/>
    <x v="18"/>
    <s v="L2"/>
    <m/>
    <s v="Where Material Meets Design"/>
    <n v="10"/>
    <x v="1"/>
    <x v="8"/>
    <n v="1"/>
    <n v="0.05"/>
    <n v="0.85"/>
    <n v="4.2500000000000003E-2"/>
    <m/>
  </r>
  <r>
    <s v="2019-20"/>
    <x v="2"/>
    <x v="18"/>
    <s v="L2"/>
    <m/>
    <s v="Where Material Meets Design"/>
    <n v="11"/>
    <x v="0"/>
    <x v="9"/>
    <n v="-1"/>
    <n v="0.05"/>
    <n v="1"/>
    <n v="-0.05"/>
    <m/>
  </r>
  <r>
    <s v="2019-20"/>
    <x v="2"/>
    <x v="18"/>
    <s v="L2"/>
    <m/>
    <s v="Where Material Meets Design"/>
    <n v="11"/>
    <x v="1"/>
    <x v="9"/>
    <n v="0"/>
    <n v="0.05"/>
    <n v="1"/>
    <n v="0"/>
    <s v="Same as in Question 4 remarks"/>
  </r>
  <r>
    <s v="2019-20"/>
    <x v="2"/>
    <x v="25"/>
    <s v="L2"/>
    <m/>
    <s v="Space Kinematics"/>
    <n v="1"/>
    <x v="0"/>
    <x v="0"/>
    <n v="0"/>
    <n v="0.12"/>
    <n v="1"/>
    <n v="0"/>
    <m/>
  </r>
  <r>
    <s v="2019-20"/>
    <x v="2"/>
    <x v="25"/>
    <s v="L2"/>
    <m/>
    <s v="Space Kinematics"/>
    <n v="1"/>
    <x v="1"/>
    <x v="0"/>
    <n v="1"/>
    <n v="0.12"/>
    <n v="1"/>
    <n v="0.12"/>
    <s v="The learning objectives of this studio, grounded as they are in transformation, movement and innovation in architecture are interesting and challenging with endless applications and possibilities over the years of this studio."/>
  </r>
  <r>
    <s v="2019-20"/>
    <x v="2"/>
    <x v="25"/>
    <s v="L2"/>
    <m/>
    <s v="Space Kinematics"/>
    <n v="2"/>
    <x v="0"/>
    <x v="1"/>
    <n v="0"/>
    <n v="0.08"/>
    <n v="0.8"/>
    <n v="0"/>
    <m/>
  </r>
  <r>
    <s v="2019-20"/>
    <x v="2"/>
    <x v="25"/>
    <s v="L2"/>
    <m/>
    <s v="Space Kinematics"/>
    <n v="2"/>
    <x v="1"/>
    <x v="1"/>
    <n v="1"/>
    <n v="0.08"/>
    <n v="0.8"/>
    <n v="6.4000000000000001E-2"/>
    <m/>
  </r>
  <r>
    <s v="2019-20"/>
    <x v="2"/>
    <x v="25"/>
    <s v="L2"/>
    <m/>
    <s v="Space Kinematics"/>
    <n v="3"/>
    <x v="0"/>
    <x v="2"/>
    <n v="1"/>
    <n v="0.05"/>
    <n v="1"/>
    <n v="0.05"/>
    <m/>
  </r>
  <r>
    <s v="2019-20"/>
    <x v="2"/>
    <x v="25"/>
    <s v="L2"/>
    <m/>
    <s v="Space Kinematics"/>
    <n v="3"/>
    <x v="1"/>
    <x v="2"/>
    <n v="1"/>
    <n v="0.05"/>
    <n v="1"/>
    <n v="0.05"/>
    <m/>
  </r>
  <r>
    <s v="2019-20"/>
    <x v="2"/>
    <x v="25"/>
    <s v="L2"/>
    <m/>
    <s v="Space Kinematics"/>
    <n v="4"/>
    <x v="0"/>
    <x v="3"/>
    <n v="0"/>
    <n v="0.14000000000000001"/>
    <n v="1"/>
    <n v="0"/>
    <m/>
  </r>
  <r>
    <s v="2019-20"/>
    <x v="2"/>
    <x v="25"/>
    <s v="L2"/>
    <m/>
    <s v="Space Kinematics"/>
    <n v="4"/>
    <x v="1"/>
    <x v="3"/>
    <n v="1"/>
    <n v="0.14000000000000001"/>
    <n v="1"/>
    <n v="0.14000000000000001"/>
    <s v="I would say about 60% - 70%"/>
  </r>
  <r>
    <s v="2019-20"/>
    <x v="2"/>
    <x v="25"/>
    <s v="L2"/>
    <m/>
    <s v="Space Kinematics"/>
    <n v="5"/>
    <x v="0"/>
    <x v="4"/>
    <n v="-1"/>
    <n v="0.11"/>
    <n v="1"/>
    <n v="-0.11"/>
    <m/>
  </r>
  <r>
    <s v="2019-20"/>
    <x v="2"/>
    <x v="25"/>
    <s v="L2"/>
    <m/>
    <s v="Space Kinematics"/>
    <n v="5"/>
    <x v="1"/>
    <x v="4"/>
    <n v="0"/>
    <n v="0.11"/>
    <n v="1"/>
    <n v="0"/>
    <s v="Yes, from point of view of ideas that students wanted to explore, but not fully with respect to execution of these ideas."/>
  </r>
  <r>
    <s v="2019-20"/>
    <x v="2"/>
    <x v="25"/>
    <s v="L2"/>
    <m/>
    <s v="Space Kinematics"/>
    <n v="6"/>
    <x v="0"/>
    <x v="5"/>
    <n v="-1"/>
    <n v="0.15"/>
    <n v="1"/>
    <n v="-0.15"/>
    <m/>
  </r>
  <r>
    <s v="2019-20"/>
    <x v="2"/>
    <x v="25"/>
    <s v="L2"/>
    <m/>
    <s v="Space Kinematics"/>
    <n v="6"/>
    <x v="1"/>
    <x v="5"/>
    <n v="1"/>
    <n v="0.15"/>
    <n v="1"/>
    <n v="0.15"/>
    <s v="Same as Q5"/>
  </r>
  <r>
    <s v="2019-20"/>
    <x v="2"/>
    <x v="25"/>
    <s v="L2"/>
    <m/>
    <s v="Space Kinematics"/>
    <n v="7"/>
    <x v="0"/>
    <x v="6"/>
    <n v="-1"/>
    <n v="0.1"/>
    <n v="1"/>
    <n v="-0.1"/>
    <m/>
  </r>
  <r>
    <s v="2019-20"/>
    <x v="2"/>
    <x v="25"/>
    <s v="L2"/>
    <m/>
    <s v="Space Kinematics"/>
    <n v="7"/>
    <x v="1"/>
    <x v="6"/>
    <n v="1"/>
    <n v="0.1"/>
    <n v="1"/>
    <n v="0.1"/>
    <s v="Rigorous and meticulous but with understandable errors and loose ends. "/>
  </r>
  <r>
    <s v="2019-20"/>
    <x v="2"/>
    <x v="25"/>
    <s v="L2"/>
    <m/>
    <s v="Space Kinematics"/>
    <n v="8"/>
    <x v="0"/>
    <x v="7"/>
    <n v="0"/>
    <n v="0.1"/>
    <n v="1"/>
    <n v="0"/>
    <m/>
  </r>
  <r>
    <s v="2019-20"/>
    <x v="2"/>
    <x v="25"/>
    <s v="L2"/>
    <m/>
    <s v="Space Kinematics"/>
    <n v="8"/>
    <x v="1"/>
    <x v="7"/>
    <n v="1"/>
    <n v="0.1"/>
    <n v="1"/>
    <n v="0.1"/>
    <s v="About 60% - 70%"/>
  </r>
  <r>
    <s v="2019-20"/>
    <x v="2"/>
    <x v="25"/>
    <s v="L2"/>
    <m/>
    <s v="Space Kinematics"/>
    <n v="9"/>
    <x v="0"/>
    <x v="8"/>
    <n v="1"/>
    <n v="0.05"/>
    <n v="0.85"/>
    <n v="4.2500000000000003E-2"/>
    <m/>
  </r>
  <r>
    <s v="2019-20"/>
    <x v="2"/>
    <x v="25"/>
    <s v="L2"/>
    <m/>
    <s v="Space Kinematics"/>
    <n v="9"/>
    <x v="1"/>
    <x v="8"/>
    <n v="1"/>
    <n v="0.05"/>
    <n v="0.85"/>
    <n v="4.2500000000000003E-2"/>
    <m/>
  </r>
  <r>
    <s v="2019-20"/>
    <x v="2"/>
    <x v="25"/>
    <s v="L2"/>
    <m/>
    <s v="Space Kinematics"/>
    <n v="10"/>
    <x v="0"/>
    <x v="8"/>
    <n v="0"/>
    <n v="0.05"/>
    <n v="0.85"/>
    <n v="0"/>
    <m/>
  </r>
  <r>
    <s v="2019-20"/>
    <x v="2"/>
    <x v="25"/>
    <s v="L2"/>
    <m/>
    <s v="Space Kinematics"/>
    <n v="10"/>
    <x v="1"/>
    <x v="8"/>
    <n v="1"/>
    <n v="0.05"/>
    <n v="0.85"/>
    <n v="4.2500000000000003E-2"/>
    <m/>
  </r>
  <r>
    <s v="2019-20"/>
    <x v="2"/>
    <x v="25"/>
    <s v="L2"/>
    <m/>
    <s v="Space Kinematics"/>
    <n v="11"/>
    <x v="0"/>
    <x v="9"/>
    <n v="-1"/>
    <n v="0.05"/>
    <n v="1"/>
    <n v="-0.05"/>
    <m/>
  </r>
  <r>
    <s v="2019-20"/>
    <x v="2"/>
    <x v="25"/>
    <s v="L2"/>
    <m/>
    <s v="Space Kinematics"/>
    <n v="11"/>
    <x v="1"/>
    <x v="9"/>
    <n v="0"/>
    <n v="0.05"/>
    <n v="1"/>
    <n v="0"/>
    <s v="Needs a little more refinement and there appears to be some difficulty in execution to scale"/>
  </r>
  <r>
    <s v="2019-20"/>
    <x v="2"/>
    <x v="26"/>
    <s v="L2"/>
    <m/>
    <s v="Spatial Narratives: Timeless and Experientially Engaging Architecture"/>
    <n v="1"/>
    <x v="0"/>
    <x v="0"/>
    <n v="0"/>
    <n v="0.12"/>
    <n v="1"/>
    <n v="0"/>
    <m/>
  </r>
  <r>
    <s v="2019-20"/>
    <x v="2"/>
    <x v="26"/>
    <s v="L2"/>
    <m/>
    <s v="Spatial Narratives: Timeless and Experientially Engaging Architecture"/>
    <n v="1"/>
    <x v="1"/>
    <x v="0"/>
    <n v="1"/>
    <n v="0.12"/>
    <n v="1"/>
    <n v="0.12"/>
    <m/>
  </r>
  <r>
    <s v="2019-20"/>
    <x v="2"/>
    <x v="26"/>
    <s v="L2"/>
    <m/>
    <s v="Spatial Narratives: Timeless and Experientially Engaging Architecture"/>
    <n v="2"/>
    <x v="0"/>
    <x v="1"/>
    <n v="-1"/>
    <n v="0.08"/>
    <n v="0.8"/>
    <n v="-6.4000000000000001E-2"/>
    <m/>
  </r>
  <r>
    <s v="2019-20"/>
    <x v="2"/>
    <x v="26"/>
    <s v="L2"/>
    <m/>
    <s v="Spatial Narratives: Timeless and Experientially Engaging Architecture"/>
    <n v="2"/>
    <x v="1"/>
    <x v="1"/>
    <n v="1"/>
    <n v="0.08"/>
    <n v="0.8"/>
    <n v="6.4000000000000001E-2"/>
    <s v="Once again, I'm not sure why this studio comes under &quot;Planning and Organizing&quot; and not &quot;Visualizing and communicating&quot;."/>
  </r>
  <r>
    <s v="2019-20"/>
    <x v="2"/>
    <x v="26"/>
    <s v="L2"/>
    <m/>
    <s v="Spatial Narratives: Timeless and Experientially Engaging Architecture"/>
    <n v="3"/>
    <x v="0"/>
    <x v="2"/>
    <n v="1"/>
    <n v="0.05"/>
    <n v="1"/>
    <n v="0.05"/>
    <m/>
  </r>
  <r>
    <s v="2019-20"/>
    <x v="2"/>
    <x v="26"/>
    <s v="L2"/>
    <m/>
    <s v="Spatial Narratives: Timeless and Experientially Engaging Architecture"/>
    <n v="3"/>
    <x v="1"/>
    <x v="2"/>
    <n v="1"/>
    <n v="0.05"/>
    <n v="1"/>
    <n v="0.05"/>
    <m/>
  </r>
  <r>
    <s v="2019-20"/>
    <x v="2"/>
    <x v="26"/>
    <s v="L2"/>
    <m/>
    <s v="Spatial Narratives: Timeless and Experientially Engaging Architecture"/>
    <n v="4"/>
    <x v="0"/>
    <x v="3"/>
    <n v="-1"/>
    <n v="0.14000000000000001"/>
    <n v="1"/>
    <n v="-0.14000000000000001"/>
    <m/>
  </r>
  <r>
    <s v="2019-20"/>
    <x v="2"/>
    <x v="26"/>
    <s v="L2"/>
    <m/>
    <s v="Spatial Narratives: Timeless and Experientially Engaging Architecture"/>
    <n v="4"/>
    <x v="1"/>
    <x v="3"/>
    <n v="1"/>
    <n v="0.14000000000000001"/>
    <n v="1"/>
    <n v="0.14000000000000001"/>
    <m/>
  </r>
  <r>
    <s v="2019-20"/>
    <x v="2"/>
    <x v="26"/>
    <s v="L2"/>
    <m/>
    <s v="Spatial Narratives: Timeless and Experientially Engaging Architecture"/>
    <n v="5"/>
    <x v="0"/>
    <x v="4"/>
    <n v="-1"/>
    <n v="0.11"/>
    <n v="1"/>
    <n v="-0.11"/>
    <m/>
  </r>
  <r>
    <s v="2019-20"/>
    <x v="2"/>
    <x v="26"/>
    <s v="L2"/>
    <m/>
    <s v="Spatial Narratives: Timeless and Experientially Engaging Architecture"/>
    <n v="5"/>
    <x v="1"/>
    <x v="4"/>
    <n v="1"/>
    <n v="0.11"/>
    <n v="1"/>
    <n v="0.11"/>
    <m/>
  </r>
  <r>
    <s v="2019-20"/>
    <x v="2"/>
    <x v="26"/>
    <s v="L2"/>
    <m/>
    <s v="Spatial Narratives: Timeless and Experientially Engaging Architecture"/>
    <n v="6"/>
    <x v="0"/>
    <x v="5"/>
    <n v="-1"/>
    <n v="0.15"/>
    <n v="1"/>
    <n v="-0.15"/>
    <m/>
  </r>
  <r>
    <s v="2019-20"/>
    <x v="2"/>
    <x v="26"/>
    <s v="L2"/>
    <m/>
    <s v="Spatial Narratives: Timeless and Experientially Engaging Architecture"/>
    <n v="6"/>
    <x v="1"/>
    <x v="5"/>
    <n v="0"/>
    <n v="0.15"/>
    <n v="1"/>
    <n v="0"/>
    <s v="I would say about 65% - 70%"/>
  </r>
  <r>
    <s v="2019-20"/>
    <x v="2"/>
    <x v="26"/>
    <s v="L2"/>
    <m/>
    <s v="Spatial Narratives: Timeless and Experientially Engaging Architecture"/>
    <n v="7"/>
    <x v="0"/>
    <x v="6"/>
    <n v="-1"/>
    <n v="0.1"/>
    <n v="1"/>
    <n v="-0.1"/>
    <m/>
  </r>
  <r>
    <s v="2019-20"/>
    <x v="2"/>
    <x v="26"/>
    <s v="L2"/>
    <m/>
    <s v="Spatial Narratives: Timeless and Experientially Engaging Architecture"/>
    <n v="7"/>
    <x v="1"/>
    <x v="6"/>
    <n v="1"/>
    <n v="0.1"/>
    <n v="1"/>
    <n v="0.1"/>
    <s v="Interesting in terms of processes but the architectural representation was perhaps 50-50%."/>
  </r>
  <r>
    <s v="2019-20"/>
    <x v="2"/>
    <x v="26"/>
    <s v="L2"/>
    <m/>
    <s v="Spatial Narratives: Timeless and Experientially Engaging Architecture"/>
    <n v="8"/>
    <x v="0"/>
    <x v="7"/>
    <n v="0"/>
    <n v="0.1"/>
    <n v="1"/>
    <n v="0"/>
    <m/>
  </r>
  <r>
    <s v="2019-20"/>
    <x v="2"/>
    <x v="26"/>
    <s v="L2"/>
    <m/>
    <s v="Spatial Narratives: Timeless and Experientially Engaging Architecture"/>
    <n v="8"/>
    <x v="1"/>
    <x v="7"/>
    <n v="0"/>
    <n v="0.1"/>
    <n v="1"/>
    <n v="0"/>
    <s v="It was in case of say 60%."/>
  </r>
  <r>
    <s v="2019-20"/>
    <x v="2"/>
    <x v="26"/>
    <s v="L2"/>
    <m/>
    <s v="Spatial Narratives: Timeless and Experientially Engaging Architecture"/>
    <n v="9"/>
    <x v="0"/>
    <x v="8"/>
    <n v="0"/>
    <n v="0.05"/>
    <n v="0.85"/>
    <n v="0"/>
    <m/>
  </r>
  <r>
    <s v="2019-20"/>
    <x v="2"/>
    <x v="26"/>
    <s v="L2"/>
    <m/>
    <s v="Spatial Narratives: Timeless and Experientially Engaging Architecture"/>
    <n v="9"/>
    <x v="1"/>
    <x v="8"/>
    <n v="1"/>
    <n v="0.05"/>
    <n v="0.85"/>
    <n v="4.2500000000000003E-2"/>
    <s v="65% - 70% yes"/>
  </r>
  <r>
    <s v="2019-20"/>
    <x v="2"/>
    <x v="26"/>
    <s v="L2"/>
    <m/>
    <s v="Spatial Narratives: Timeless and Experientially Engaging Architecture"/>
    <n v="10"/>
    <x v="0"/>
    <x v="8"/>
    <n v="0"/>
    <n v="0.05"/>
    <n v="0.85"/>
    <n v="0"/>
    <m/>
  </r>
  <r>
    <s v="2019-20"/>
    <x v="2"/>
    <x v="26"/>
    <s v="L2"/>
    <m/>
    <s v="Spatial Narratives: Timeless and Experientially Engaging Architecture"/>
    <n v="10"/>
    <x v="1"/>
    <x v="8"/>
    <n v="1"/>
    <n v="0.05"/>
    <n v="0.85"/>
    <n v="4.2500000000000003E-2"/>
    <s v="Almost 80% - 85% yes"/>
  </r>
  <r>
    <s v="2019-20"/>
    <x v="2"/>
    <x v="26"/>
    <s v="L2"/>
    <m/>
    <s v="Spatial Narratives: Timeless and Experientially Engaging Architecture"/>
    <n v="11"/>
    <x v="0"/>
    <x v="9"/>
    <n v="-1"/>
    <n v="0.05"/>
    <n v="1"/>
    <n v="-0.05"/>
    <m/>
  </r>
  <r>
    <s v="2019-20"/>
    <x v="2"/>
    <x v="26"/>
    <s v="L2"/>
    <m/>
    <s v="Spatial Narratives: Timeless and Experientially Engaging Architecture"/>
    <n v="11"/>
    <x v="1"/>
    <x v="9"/>
    <n v="0"/>
    <n v="0.05"/>
    <n v="1"/>
    <n v="0"/>
    <s v="Possibly in planning or visualising but not so much in organizing the result of these processes and communicating the same."/>
  </r>
  <r>
    <s v="2019-20"/>
    <x v="2"/>
    <x v="27"/>
    <s v="L2"/>
    <s v="Planning and Orgnizing"/>
    <s v="The Joy of Architecture"/>
    <n v="1"/>
    <x v="0"/>
    <x v="0"/>
    <n v="1"/>
    <n v="0.12"/>
    <n v="1"/>
    <n v="0.12"/>
    <m/>
  </r>
  <r>
    <s v="2019-20"/>
    <x v="2"/>
    <x v="27"/>
    <s v="L2"/>
    <s v="Planning and Orgnizing"/>
    <s v="The Joy of Architecture"/>
    <n v="1"/>
    <x v="1"/>
    <x v="0"/>
    <n v="1"/>
    <n v="0.12"/>
    <n v="1"/>
    <n v="0.12"/>
    <s v="Good idea and well stated"/>
  </r>
  <r>
    <s v="2019-20"/>
    <x v="2"/>
    <x v="27"/>
    <s v="L2"/>
    <s v="Planning and Orgnizing"/>
    <s v="The Joy of Architecture"/>
    <n v="2"/>
    <x v="0"/>
    <x v="1"/>
    <n v="0"/>
    <n v="0.08"/>
    <n v="0.8"/>
    <n v="0"/>
    <m/>
  </r>
  <r>
    <s v="2019-20"/>
    <x v="2"/>
    <x v="27"/>
    <s v="L2"/>
    <s v="Planning and Orgnizing"/>
    <s v="The Joy of Architecture"/>
    <n v="2"/>
    <x v="1"/>
    <x v="1"/>
    <n v="0"/>
    <n v="0.08"/>
    <n v="0.8"/>
    <n v="0"/>
    <s v="I am not sure why it is under Planning and Organizing and not under Visualizing and Communicating."/>
  </r>
  <r>
    <s v="2019-20"/>
    <x v="2"/>
    <x v="27"/>
    <s v="L2"/>
    <s v="Planning and Orgnizing"/>
    <s v="The Joy of Architecture"/>
    <n v="3"/>
    <x v="0"/>
    <x v="2"/>
    <n v="1"/>
    <n v="0.05"/>
    <n v="1"/>
    <n v="0.05"/>
    <m/>
  </r>
  <r>
    <s v="2019-20"/>
    <x v="2"/>
    <x v="27"/>
    <s v="L2"/>
    <s v="Planning and Orgnizing"/>
    <s v="The Joy of Architecture"/>
    <n v="3"/>
    <x v="1"/>
    <x v="2"/>
    <n v="1"/>
    <n v="0.05"/>
    <n v="1"/>
    <n v="0.05"/>
    <s v="Very much so. However, it may have been too broad in that students may not have had enough time to study and understand the architecture of Mandu and apply this to their specific studio problem."/>
  </r>
  <r>
    <s v="2019-20"/>
    <x v="2"/>
    <x v="27"/>
    <s v="L2"/>
    <s v="Planning and Orgnizing"/>
    <s v="The Joy of Architecture"/>
    <n v="4"/>
    <x v="0"/>
    <x v="3"/>
    <n v="0"/>
    <n v="0.14000000000000001"/>
    <n v="1"/>
    <n v="0"/>
    <m/>
  </r>
  <r>
    <s v="2019-20"/>
    <x v="2"/>
    <x v="27"/>
    <s v="L2"/>
    <s v="Planning and Orgnizing"/>
    <s v="The Joy of Architecture"/>
    <n v="4"/>
    <x v="1"/>
    <x v="3"/>
    <n v="1"/>
    <n v="0.14000000000000001"/>
    <n v="1"/>
    <n v="0.14000000000000001"/>
    <s v="Students' work did not show an understanding of the importance of the historic, architectural context in which the project site was located"/>
  </r>
  <r>
    <s v="2019-20"/>
    <x v="2"/>
    <x v="27"/>
    <s v="L2"/>
    <s v="Planning and Orgnizing"/>
    <s v="The Joy of Architecture"/>
    <n v="5"/>
    <x v="0"/>
    <x v="4"/>
    <n v="-1"/>
    <n v="0.11"/>
    <n v="1"/>
    <n v="-0.11"/>
    <m/>
  </r>
  <r>
    <s v="2019-20"/>
    <x v="2"/>
    <x v="27"/>
    <s v="L2"/>
    <s v="Planning and Orgnizing"/>
    <s v="The Joy of Architecture"/>
    <n v="5"/>
    <x v="1"/>
    <x v="4"/>
    <n v="0"/>
    <n v="0.11"/>
    <n v="1"/>
    <n v="0"/>
    <s v="t was difficult to see or feel the &quot;Experience of Mandu&quot; in the work of the students. The learning objectives may have been too ambitious at this level or the students did not work hard enough to understand this."/>
  </r>
  <r>
    <s v="2019-20"/>
    <x v="2"/>
    <x v="27"/>
    <s v="L2"/>
    <s v="Planning and Orgnizing"/>
    <s v="The Joy of Architecture"/>
    <n v="6"/>
    <x v="0"/>
    <x v="5"/>
    <n v="0"/>
    <n v="0.15"/>
    <n v="1"/>
    <n v="0"/>
    <m/>
  </r>
  <r>
    <s v="2019-20"/>
    <x v="2"/>
    <x v="27"/>
    <s v="L2"/>
    <s v="Planning and Orgnizing"/>
    <s v="The Joy of Architecture"/>
    <n v="6"/>
    <x v="1"/>
    <x v="5"/>
    <n v="0"/>
    <n v="0.15"/>
    <n v="1"/>
    <n v="0"/>
    <s v="NOT GREAT."/>
  </r>
  <r>
    <s v="2019-20"/>
    <x v="2"/>
    <x v="27"/>
    <s v="L2"/>
    <s v="Planning and Orgnizing"/>
    <s v="The Joy of Architecture"/>
    <n v="7"/>
    <x v="0"/>
    <x v="6"/>
    <n v="0"/>
    <n v="0.1"/>
    <n v="1"/>
    <n v="0"/>
    <m/>
  </r>
  <r>
    <s v="2019-20"/>
    <x v="2"/>
    <x v="27"/>
    <s v="L2"/>
    <s v="Planning and Orgnizing"/>
    <s v="The Joy of Architecture"/>
    <n v="7"/>
    <x v="1"/>
    <x v="6"/>
    <n v="0"/>
    <n v="0.1"/>
    <n v="1"/>
    <n v="0"/>
    <s v="It was difficult to understand the process by which the students arrived at their final solutions. "/>
  </r>
  <r>
    <s v="2019-20"/>
    <x v="2"/>
    <x v="27"/>
    <s v="L2"/>
    <s v="Planning and Orgnizing"/>
    <s v="The Joy of Architecture"/>
    <n v="8"/>
    <x v="0"/>
    <x v="7"/>
    <n v="0"/>
    <n v="0.1"/>
    <n v="1"/>
    <n v="0"/>
    <m/>
  </r>
  <r>
    <s v="2019-20"/>
    <x v="2"/>
    <x v="27"/>
    <s v="L2"/>
    <s v="Planning and Orgnizing"/>
    <s v="The Joy of Architecture"/>
    <n v="8"/>
    <x v="1"/>
    <x v="7"/>
    <n v="0"/>
    <n v="0.1"/>
    <n v="1"/>
    <n v="0"/>
    <s v="NEEDS IMPROVEMENT,"/>
  </r>
  <r>
    <s v="2019-20"/>
    <x v="2"/>
    <x v="27"/>
    <s v="L2"/>
    <s v="Planning and Orgnizing"/>
    <s v="The Joy of Architecture"/>
    <n v="9"/>
    <x v="0"/>
    <x v="8"/>
    <n v="0"/>
    <n v="0.05"/>
    <n v="0.85"/>
    <n v="0"/>
    <m/>
  </r>
  <r>
    <s v="2019-20"/>
    <x v="2"/>
    <x v="27"/>
    <s v="L2"/>
    <s v="Planning and Orgnizing"/>
    <s v="The Joy of Architecture"/>
    <n v="9"/>
    <x v="1"/>
    <x v="8"/>
    <n v="0"/>
    <n v="0.05"/>
    <n v="0.85"/>
    <n v="0"/>
    <m/>
  </r>
  <r>
    <s v="2019-20"/>
    <x v="2"/>
    <x v="27"/>
    <s v="L2"/>
    <s v="Planning and Orgnizing"/>
    <s v="The Joy of Architecture"/>
    <n v="10"/>
    <x v="0"/>
    <x v="8"/>
    <n v="0"/>
    <n v="0.05"/>
    <n v="0.85"/>
    <n v="0"/>
    <m/>
  </r>
  <r>
    <s v="2019-20"/>
    <x v="2"/>
    <x v="27"/>
    <s v="L2"/>
    <s v="Planning and Orgnizing"/>
    <s v="The Joy of Architecture"/>
    <n v="10"/>
    <x v="1"/>
    <x v="8"/>
    <n v="0"/>
    <n v="0.05"/>
    <n v="0.85"/>
    <n v="0"/>
    <n v="0.7"/>
  </r>
  <r>
    <s v="2019-20"/>
    <x v="2"/>
    <x v="27"/>
    <s v="L2"/>
    <s v="Planning and Orgnizing"/>
    <s v="The Joy of Architecture"/>
    <n v="11"/>
    <x v="0"/>
    <x v="9"/>
    <n v="-1"/>
    <n v="0.05"/>
    <n v="1"/>
    <n v="-0.05"/>
    <m/>
  </r>
  <r>
    <s v="2019-20"/>
    <x v="2"/>
    <x v="27"/>
    <s v="L2"/>
    <s v="Planning and Orgnizing"/>
    <s v="The Joy of Architecture"/>
    <n v="11"/>
    <x v="1"/>
    <x v="9"/>
    <n v="-1"/>
    <n v="0.05"/>
    <n v="1"/>
    <n v="-0.05"/>
    <s v="Learning outcomes did not match learning objectives."/>
  </r>
  <r>
    <s v="2019-20"/>
    <x v="2"/>
    <x v="28"/>
    <s v="L2"/>
    <m/>
    <s v="Climate Responsive Architecture"/>
    <n v="1"/>
    <x v="0"/>
    <x v="0"/>
    <n v="1"/>
    <n v="0.12"/>
    <n v="1"/>
    <n v="0.12"/>
    <m/>
  </r>
  <r>
    <s v="2019-20"/>
    <x v="2"/>
    <x v="28"/>
    <s v="L2"/>
    <m/>
    <s v="Climate Responsive Architecture"/>
    <n v="1"/>
    <x v="1"/>
    <x v="0"/>
    <n v="1"/>
    <n v="0.12"/>
    <n v="1"/>
    <n v="0.12"/>
    <m/>
  </r>
  <r>
    <s v="2019-20"/>
    <x v="2"/>
    <x v="28"/>
    <s v="L2"/>
    <m/>
    <s v="Climate Responsive Architecture"/>
    <n v="2"/>
    <x v="0"/>
    <x v="1"/>
    <n v="1"/>
    <n v="0.08"/>
    <n v="0.8"/>
    <n v="6.4000000000000001E-2"/>
    <m/>
  </r>
  <r>
    <s v="2019-20"/>
    <x v="2"/>
    <x v="28"/>
    <s v="L2"/>
    <m/>
    <s v="Climate Responsive Architecture"/>
    <n v="2"/>
    <x v="1"/>
    <x v="1"/>
    <n v="1"/>
    <n v="0.08"/>
    <n v="0.8"/>
    <n v="6.4000000000000001E-2"/>
    <s v="Perhaps this studio problem helps to clarify distinction between planning &amp; organizing and visualizing and communicating."/>
  </r>
  <r>
    <s v="2019-20"/>
    <x v="2"/>
    <x v="28"/>
    <s v="L2"/>
    <m/>
    <s v="Climate Responsive Architecture"/>
    <n v="3"/>
    <x v="0"/>
    <x v="2"/>
    <n v="1"/>
    <n v="0.05"/>
    <n v="1"/>
    <n v="0.05"/>
    <m/>
  </r>
  <r>
    <s v="2019-20"/>
    <x v="2"/>
    <x v="28"/>
    <s v="L2"/>
    <m/>
    <s v="Climate Responsive Architecture"/>
    <n v="3"/>
    <x v="1"/>
    <x v="2"/>
    <n v="1"/>
    <n v="0.05"/>
    <n v="1"/>
    <n v="0.05"/>
    <m/>
  </r>
  <r>
    <s v="2019-20"/>
    <x v="2"/>
    <x v="28"/>
    <s v="L2"/>
    <m/>
    <s v="Climate Responsive Architecture"/>
    <n v="4"/>
    <x v="0"/>
    <x v="3"/>
    <n v="1"/>
    <n v="0.14000000000000001"/>
    <n v="1"/>
    <n v="0.14000000000000001"/>
    <m/>
  </r>
  <r>
    <s v="2019-20"/>
    <x v="2"/>
    <x v="28"/>
    <s v="L2"/>
    <m/>
    <s v="Climate Responsive Architecture"/>
    <n v="4"/>
    <x v="1"/>
    <x v="3"/>
    <n v="1"/>
    <n v="0.14000000000000001"/>
    <n v="1"/>
    <n v="0.14000000000000001"/>
    <s v="Students' work in this studio exhibits quite a bit of enthusiasm for what they were working on and they seem to have enjoyed what they were doing."/>
  </r>
  <r>
    <s v="2019-20"/>
    <x v="2"/>
    <x v="28"/>
    <s v="L2"/>
    <m/>
    <s v="Climate Responsive Architecture"/>
    <n v="5"/>
    <x v="0"/>
    <x v="4"/>
    <n v="0"/>
    <n v="0.11"/>
    <n v="1"/>
    <n v="0"/>
    <m/>
  </r>
  <r>
    <s v="2019-20"/>
    <x v="2"/>
    <x v="28"/>
    <s v="L2"/>
    <m/>
    <s v="Climate Responsive Architecture"/>
    <n v="5"/>
    <x v="1"/>
    <x v="4"/>
    <n v="1"/>
    <n v="0.11"/>
    <n v="1"/>
    <n v="0.11"/>
    <s v="70% yes."/>
  </r>
  <r>
    <s v="2019-20"/>
    <x v="2"/>
    <x v="28"/>
    <s v="L2"/>
    <m/>
    <s v="Climate Responsive Architecture"/>
    <n v="6"/>
    <x v="0"/>
    <x v="5"/>
    <n v="0"/>
    <n v="0.15"/>
    <n v="1"/>
    <n v="0"/>
    <m/>
  </r>
  <r>
    <s v="2019-20"/>
    <x v="2"/>
    <x v="28"/>
    <s v="L2"/>
    <m/>
    <s v="Climate Responsive Architecture"/>
    <n v="6"/>
    <x v="1"/>
    <x v="5"/>
    <n v="0"/>
    <n v="0.15"/>
    <n v="1"/>
    <n v="0"/>
    <s v="It needs to improve a lot."/>
  </r>
  <r>
    <s v="2019-20"/>
    <x v="2"/>
    <x v="28"/>
    <s v="L2"/>
    <m/>
    <s v="Climate Responsive Architecture"/>
    <n v="7"/>
    <x v="0"/>
    <x v="6"/>
    <n v="0"/>
    <n v="0.1"/>
    <n v="1"/>
    <n v="0"/>
    <m/>
  </r>
  <r>
    <s v="2019-20"/>
    <x v="2"/>
    <x v="28"/>
    <s v="L2"/>
    <m/>
    <s v="Climate Responsive Architecture"/>
    <n v="7"/>
    <x v="1"/>
    <x v="6"/>
    <n v="1"/>
    <n v="0.1"/>
    <n v="1"/>
    <n v="0.1"/>
    <s v="I would say about 65% - 75%  yes"/>
  </r>
  <r>
    <s v="2019-20"/>
    <x v="2"/>
    <x v="28"/>
    <s v="L2"/>
    <m/>
    <s v="Climate Responsive Architecture"/>
    <n v="8"/>
    <x v="0"/>
    <x v="7"/>
    <n v="1"/>
    <n v="0.1"/>
    <n v="1"/>
    <n v="0.1"/>
    <m/>
  </r>
  <r>
    <s v="2019-20"/>
    <x v="2"/>
    <x v="28"/>
    <s v="L2"/>
    <m/>
    <s v="Climate Responsive Architecture"/>
    <n v="8"/>
    <x v="1"/>
    <x v="7"/>
    <n v="1"/>
    <n v="0.1"/>
    <n v="1"/>
    <n v="0.1"/>
    <s v="To an extent of 60% yes"/>
  </r>
  <r>
    <s v="2019-20"/>
    <x v="2"/>
    <x v="28"/>
    <s v="L2"/>
    <m/>
    <s v="Climate Responsive Architecture"/>
    <n v="9"/>
    <x v="0"/>
    <x v="8"/>
    <n v="0"/>
    <n v="0.05"/>
    <n v="0.85"/>
    <n v="0"/>
    <m/>
  </r>
  <r>
    <s v="2019-20"/>
    <x v="2"/>
    <x v="28"/>
    <s v="L2"/>
    <m/>
    <s v="Climate Responsive Architecture"/>
    <n v="9"/>
    <x v="1"/>
    <x v="8"/>
    <n v="1"/>
    <n v="0.05"/>
    <n v="0.85"/>
    <n v="4.2500000000000003E-2"/>
    <s v="almost 80% yes"/>
  </r>
  <r>
    <s v="2019-20"/>
    <x v="2"/>
    <x v="28"/>
    <s v="L2"/>
    <m/>
    <s v="Climate Responsive Architecture"/>
    <n v="10"/>
    <x v="0"/>
    <x v="8"/>
    <n v="1"/>
    <n v="0.05"/>
    <n v="0.85"/>
    <n v="4.2500000000000003E-2"/>
    <m/>
  </r>
  <r>
    <s v="2019-20"/>
    <x v="2"/>
    <x v="28"/>
    <s v="L2"/>
    <m/>
    <s v="Climate Responsive Architecture"/>
    <n v="10"/>
    <x v="1"/>
    <x v="8"/>
    <n v="1"/>
    <n v="0.05"/>
    <n v="0.85"/>
    <n v="4.2500000000000003E-2"/>
    <s v="almost 80% yes"/>
  </r>
  <r>
    <s v="2019-20"/>
    <x v="2"/>
    <x v="28"/>
    <s v="L2"/>
    <m/>
    <s v="Climate Responsive Architecture"/>
    <n v="11"/>
    <x v="0"/>
    <x v="9"/>
    <n v="-1"/>
    <n v="0.05"/>
    <n v="1"/>
    <n v="-0.05"/>
    <m/>
  </r>
  <r>
    <s v="2019-20"/>
    <x v="2"/>
    <x v="28"/>
    <s v="L2"/>
    <m/>
    <s v="Climate Responsive Architecture"/>
    <n v="11"/>
    <x v="1"/>
    <x v="9"/>
    <n v="1"/>
    <n v="0.05"/>
    <n v="1"/>
    <n v="0.05"/>
    <s v="Apart from the interesting studio problem itself, this studio also fits in very well with the heartfelt and serious climate change concerns of younger generations."/>
  </r>
  <r>
    <s v="2019-20"/>
    <x v="2"/>
    <x v="14"/>
    <s v="L3"/>
    <m/>
    <s v="Oikopolis: Attack of the Clones"/>
    <n v="1"/>
    <x v="0"/>
    <x v="0"/>
    <n v="0"/>
    <n v="0.12"/>
    <n v="1"/>
    <n v="0"/>
    <m/>
  </r>
  <r>
    <s v="2019-20"/>
    <x v="2"/>
    <x v="14"/>
    <s v="L3"/>
    <m/>
    <s v="Oikopolis: Attack of the Clones"/>
    <n v="1"/>
    <x v="1"/>
    <x v="0"/>
    <n v="1"/>
    <n v="0.12"/>
    <n v="1"/>
    <n v="0.12"/>
    <s v="Course introduction is interestingly described in narrative form"/>
  </r>
  <r>
    <s v="2019-20"/>
    <x v="2"/>
    <x v="14"/>
    <s v="L3"/>
    <m/>
    <s v="Oikopolis: Attack of the Clones"/>
    <n v="2"/>
    <x v="0"/>
    <x v="1"/>
    <n v="0"/>
    <n v="0.08"/>
    <n v="0.8"/>
    <n v="0"/>
    <m/>
  </r>
  <r>
    <s v="2019-20"/>
    <x v="2"/>
    <x v="14"/>
    <s v="L3"/>
    <m/>
    <s v="Oikopolis: Attack of the Clones"/>
    <n v="2"/>
    <x v="1"/>
    <x v="1"/>
    <n v="1"/>
    <n v="0.08"/>
    <n v="0.8"/>
    <n v="6.4000000000000001E-2"/>
    <s v="The studio appears to have lost its way, and lost its battle, by spending a disproportionate amount of time going &quot;deep into enemy territory&quot; and less on &quot;proposing housing design alternatives&quot;"/>
  </r>
  <r>
    <s v="2019-20"/>
    <x v="2"/>
    <x v="14"/>
    <s v="L3"/>
    <m/>
    <s v="Oikopolis: Attack of the Clones"/>
    <n v="3"/>
    <x v="0"/>
    <x v="2"/>
    <n v="1"/>
    <n v="0.05"/>
    <n v="1"/>
    <n v="0.05"/>
    <m/>
  </r>
  <r>
    <s v="2019-20"/>
    <x v="2"/>
    <x v="14"/>
    <s v="L3"/>
    <m/>
    <s v="Oikopolis: Attack of the Clones"/>
    <n v="3"/>
    <x v="1"/>
    <x v="2"/>
    <n v="1"/>
    <n v="0.05"/>
    <n v="1"/>
    <n v="0.05"/>
    <m/>
  </r>
  <r>
    <s v="2019-20"/>
    <x v="2"/>
    <x v="14"/>
    <s v="L3"/>
    <m/>
    <s v="Oikopolis: Attack of the Clones"/>
    <n v="4"/>
    <x v="0"/>
    <x v="3"/>
    <n v="0"/>
    <n v="0.14000000000000001"/>
    <n v="1"/>
    <n v="0"/>
    <m/>
  </r>
  <r>
    <s v="2019-20"/>
    <x v="2"/>
    <x v="14"/>
    <s v="L3"/>
    <m/>
    <s v="Oikopolis: Attack of the Clones"/>
    <n v="4"/>
    <x v="1"/>
    <x v="3"/>
    <n v="1"/>
    <n v="0.14000000000000001"/>
    <n v="1"/>
    <n v="0.14000000000000001"/>
    <s v="I think they tried to do this."/>
  </r>
  <r>
    <s v="2019-20"/>
    <x v="2"/>
    <x v="14"/>
    <s v="L3"/>
    <m/>
    <s v="Oikopolis: Attack of the Clones"/>
    <n v="5"/>
    <x v="0"/>
    <x v="4"/>
    <n v="-1"/>
    <n v="0.11"/>
    <n v="1"/>
    <n v="-0.11"/>
    <m/>
  </r>
  <r>
    <s v="2019-20"/>
    <x v="2"/>
    <x v="14"/>
    <s v="L3"/>
    <m/>
    <s v="Oikopolis: Attack of the Clones"/>
    <n v="5"/>
    <x v="1"/>
    <x v="4"/>
    <n v="0"/>
    <n v="0.11"/>
    <n v="1"/>
    <n v="0"/>
    <s v="I would say about 50% yes"/>
  </r>
  <r>
    <s v="2019-20"/>
    <x v="2"/>
    <x v="14"/>
    <s v="L3"/>
    <m/>
    <s v="Oikopolis: Attack of the Clones"/>
    <n v="6"/>
    <x v="0"/>
    <x v="5"/>
    <n v="-1"/>
    <n v="0.15"/>
    <n v="1"/>
    <n v="-0.15"/>
    <m/>
  </r>
  <r>
    <s v="2019-20"/>
    <x v="2"/>
    <x v="14"/>
    <s v="L3"/>
    <m/>
    <s v="Oikopolis: Attack of the Clones"/>
    <n v="6"/>
    <x v="1"/>
    <x v="5"/>
    <n v="0"/>
    <n v="0.15"/>
    <n v="1"/>
    <n v="0"/>
    <s v="I was surprised that some of the floor plans and unit plans, at 7th, 8th &amp; 9th semester levels, did not indicate a thorough knowledge of anthropometric dimensions and requirements."/>
  </r>
  <r>
    <s v="2019-20"/>
    <x v="2"/>
    <x v="14"/>
    <s v="L3"/>
    <m/>
    <s v="Oikopolis: Attack of the Clones"/>
    <n v="7"/>
    <x v="0"/>
    <x v="6"/>
    <n v="0"/>
    <n v="0.1"/>
    <n v="1"/>
    <n v="0"/>
    <m/>
  </r>
  <r>
    <s v="2019-20"/>
    <x v="2"/>
    <x v="14"/>
    <s v="L3"/>
    <m/>
    <s v="Oikopolis: Attack of the Clones"/>
    <n v="7"/>
    <x v="1"/>
    <x v="6"/>
    <n v="0"/>
    <n v="0.1"/>
    <n v="1"/>
    <n v="0"/>
    <m/>
  </r>
  <r>
    <s v="2019-20"/>
    <x v="2"/>
    <x v="14"/>
    <s v="L3"/>
    <m/>
    <s v="Oikopolis: Attack of the Clones"/>
    <n v="8"/>
    <x v="0"/>
    <x v="7"/>
    <n v="0"/>
    <n v="0.1"/>
    <n v="1"/>
    <n v="0"/>
    <m/>
  </r>
  <r>
    <s v="2019-20"/>
    <x v="2"/>
    <x v="14"/>
    <s v="L3"/>
    <m/>
    <s v="Oikopolis: Attack of the Clones"/>
    <n v="8"/>
    <x v="1"/>
    <x v="7"/>
    <n v="0"/>
    <n v="0.1"/>
    <n v="1"/>
    <n v="0"/>
    <m/>
  </r>
  <r>
    <s v="2019-20"/>
    <x v="2"/>
    <x v="14"/>
    <s v="L3"/>
    <m/>
    <s v="Oikopolis: Attack of the Clones"/>
    <n v="9"/>
    <x v="0"/>
    <x v="8"/>
    <n v="-1"/>
    <n v="0.05"/>
    <n v="0.85"/>
    <n v="-4.2500000000000003E-2"/>
    <m/>
  </r>
  <r>
    <s v="2019-20"/>
    <x v="2"/>
    <x v="14"/>
    <s v="L3"/>
    <m/>
    <s v="Oikopolis: Attack of the Clones"/>
    <n v="9"/>
    <x v="1"/>
    <x v="8"/>
    <n v="1"/>
    <n v="0.05"/>
    <n v="0.85"/>
    <n v="4.2500000000000003E-2"/>
    <m/>
  </r>
  <r>
    <s v="2019-20"/>
    <x v="2"/>
    <x v="14"/>
    <s v="L3"/>
    <m/>
    <s v="Oikopolis: Attack of the Clones"/>
    <n v="10"/>
    <x v="0"/>
    <x v="8"/>
    <n v="-1"/>
    <n v="0.05"/>
    <n v="0.85"/>
    <n v="-4.2500000000000003E-2"/>
    <m/>
  </r>
  <r>
    <s v="2019-20"/>
    <x v="2"/>
    <x v="14"/>
    <s v="L3"/>
    <m/>
    <s v="Oikopolis: Attack of the Clones"/>
    <n v="10"/>
    <x v="1"/>
    <x v="8"/>
    <n v="1"/>
    <n v="0.05"/>
    <n v="0.85"/>
    <n v="4.2500000000000003E-2"/>
    <m/>
  </r>
  <r>
    <s v="2019-20"/>
    <x v="2"/>
    <x v="14"/>
    <s v="L3"/>
    <m/>
    <s v="Oikopolis: Attack of the Clones"/>
    <n v="11"/>
    <x v="0"/>
    <x v="9"/>
    <n v="-1"/>
    <n v="0.05"/>
    <n v="1"/>
    <n v="-0.05"/>
    <m/>
  </r>
  <r>
    <s v="2019-20"/>
    <x v="2"/>
    <x v="14"/>
    <s v="L3"/>
    <m/>
    <s v="Oikopolis: Attack of the Clones"/>
    <n v="11"/>
    <x v="1"/>
    <x v="9"/>
    <n v="0"/>
    <n v="0.05"/>
    <n v="1"/>
    <n v="0"/>
    <m/>
  </r>
  <r>
    <s v="2019-20"/>
    <x v="2"/>
    <x v="20"/>
    <s v="L3"/>
    <m/>
    <s v="Terrain-Vague Bricolage | Herbarium in an abandoned quarry at Champaner"/>
    <n v="1"/>
    <x v="0"/>
    <x v="0"/>
    <n v="1"/>
    <n v="0.12"/>
    <n v="1"/>
    <n v="0.12"/>
    <m/>
  </r>
  <r>
    <s v="2019-20"/>
    <x v="2"/>
    <x v="20"/>
    <s v="L3"/>
    <m/>
    <s v="Terrain-Vague Bricolage | Herbarium in an abandoned quarry at Champaner"/>
    <n v="1"/>
    <x v="1"/>
    <x v="0"/>
    <n v="-1"/>
    <n v="0.12"/>
    <n v="1"/>
    <n v="-0.12"/>
    <m/>
  </r>
  <r>
    <s v="2019-20"/>
    <x v="2"/>
    <x v="20"/>
    <s v="L3"/>
    <m/>
    <s v="Terrain-Vague Bricolage | Herbarium in an abandoned quarry at Champaner"/>
    <n v="2"/>
    <x v="0"/>
    <x v="1"/>
    <n v="1"/>
    <n v="0.08"/>
    <n v="0.8"/>
    <n v="6.4000000000000001E-2"/>
    <m/>
  </r>
  <r>
    <s v="2019-20"/>
    <x v="2"/>
    <x v="20"/>
    <s v="L3"/>
    <m/>
    <s v="Terrain-Vague Bricolage | Herbarium in an abandoned quarry at Champaner"/>
    <n v="2"/>
    <x v="1"/>
    <x v="1"/>
    <n v="-1"/>
    <n v="0.08"/>
    <n v="0.8"/>
    <n v="-6.4000000000000001E-2"/>
    <s v="bout 60% yes"/>
  </r>
  <r>
    <s v="2019-20"/>
    <x v="2"/>
    <x v="20"/>
    <s v="L3"/>
    <m/>
    <s v="Terrain-Vague Bricolage | Herbarium in an abandoned quarry at Champaner"/>
    <n v="3"/>
    <x v="0"/>
    <x v="2"/>
    <n v="1"/>
    <n v="0.05"/>
    <n v="1"/>
    <n v="0.05"/>
    <m/>
  </r>
  <r>
    <s v="2019-20"/>
    <x v="2"/>
    <x v="20"/>
    <s v="L3"/>
    <m/>
    <s v="Terrain-Vague Bricolage | Herbarium in an abandoned quarry at Champaner"/>
    <n v="3"/>
    <x v="1"/>
    <x v="2"/>
    <n v="0"/>
    <n v="0.05"/>
    <n v="1"/>
    <n v="0"/>
    <m/>
  </r>
  <r>
    <s v="2019-20"/>
    <x v="2"/>
    <x v="20"/>
    <s v="L3"/>
    <m/>
    <s v="Terrain-Vague Bricolage | Herbarium in an abandoned quarry at Champaner"/>
    <n v="4"/>
    <x v="0"/>
    <x v="3"/>
    <n v="0"/>
    <n v="0.14000000000000001"/>
    <n v="1"/>
    <n v="0"/>
    <m/>
  </r>
  <r>
    <s v="2019-20"/>
    <x v="2"/>
    <x v="20"/>
    <s v="L3"/>
    <m/>
    <s v="Terrain-Vague Bricolage | Herbarium in an abandoned quarry at Champaner"/>
    <n v="4"/>
    <x v="1"/>
    <x v="3"/>
    <n v="0"/>
    <n v="0.14000000000000001"/>
    <n v="1"/>
    <n v="0"/>
    <s v="Presentation lacks in terms of clarity, without verbal explanation; difficult to understand the intent and outcome of the project. Student work does not show that they have been able to wrap their heads around concepts in this studio. only about 40%."/>
  </r>
  <r>
    <s v="2019-20"/>
    <x v="2"/>
    <x v="20"/>
    <s v="L3"/>
    <m/>
    <s v="Terrain-Vague Bricolage | Herbarium in an abandoned quarry at Champaner"/>
    <n v="5"/>
    <x v="0"/>
    <x v="4"/>
    <n v="0"/>
    <n v="0.11"/>
    <n v="1"/>
    <n v="0"/>
    <m/>
  </r>
  <r>
    <s v="2019-20"/>
    <x v="2"/>
    <x v="20"/>
    <s v="L3"/>
    <m/>
    <s v="Terrain-Vague Bricolage | Herbarium in an abandoned quarry at Champaner"/>
    <n v="5"/>
    <x v="1"/>
    <x v="4"/>
    <n v="-1"/>
    <n v="0.11"/>
    <n v="1"/>
    <n v="-0.11"/>
    <m/>
  </r>
  <r>
    <s v="2019-20"/>
    <x v="2"/>
    <x v="20"/>
    <s v="L3"/>
    <m/>
    <s v="Terrain-Vague Bricolage | Herbarium in an abandoned quarry at Champaner"/>
    <n v="6"/>
    <x v="0"/>
    <x v="5"/>
    <n v="0"/>
    <n v="0.15"/>
    <n v="1"/>
    <n v="0"/>
    <m/>
  </r>
  <r>
    <s v="2019-20"/>
    <x v="2"/>
    <x v="20"/>
    <s v="L3"/>
    <m/>
    <s v="Terrain-Vague Bricolage | Herbarium in an abandoned quarry at Champaner"/>
    <n v="6"/>
    <x v="1"/>
    <x v="5"/>
    <n v="0"/>
    <n v="0.15"/>
    <n v="1"/>
    <n v="0"/>
    <m/>
  </r>
  <r>
    <s v="2019-20"/>
    <x v="2"/>
    <x v="20"/>
    <s v="L3"/>
    <m/>
    <s v="Terrain-Vague Bricolage | Herbarium in an abandoned quarry at Champaner"/>
    <n v="7"/>
    <x v="0"/>
    <x v="6"/>
    <n v="0"/>
    <n v="0.1"/>
    <n v="1"/>
    <n v="0"/>
    <m/>
  </r>
  <r>
    <s v="2019-20"/>
    <x v="2"/>
    <x v="20"/>
    <s v="L3"/>
    <m/>
    <s v="Terrain-Vague Bricolage | Herbarium in an abandoned quarry at Champaner"/>
    <n v="7"/>
    <x v="1"/>
    <x v="6"/>
    <n v="0"/>
    <n v="0.1"/>
    <n v="1"/>
    <n v="0"/>
    <m/>
  </r>
  <r>
    <s v="2019-20"/>
    <x v="2"/>
    <x v="20"/>
    <s v="L3"/>
    <m/>
    <s v="Terrain-Vague Bricolage | Herbarium in an abandoned quarry at Champaner"/>
    <n v="8"/>
    <x v="0"/>
    <x v="7"/>
    <n v="0"/>
    <n v="0.1"/>
    <n v="1"/>
    <n v="0"/>
    <m/>
  </r>
  <r>
    <s v="2019-20"/>
    <x v="2"/>
    <x v="20"/>
    <s v="L3"/>
    <m/>
    <s v="Terrain-Vague Bricolage | Herbarium in an abandoned quarry at Champaner"/>
    <n v="8"/>
    <x v="1"/>
    <x v="7"/>
    <n v="0"/>
    <n v="0.1"/>
    <n v="1"/>
    <n v="0"/>
    <m/>
  </r>
  <r>
    <s v="2019-20"/>
    <x v="2"/>
    <x v="20"/>
    <s v="L3"/>
    <m/>
    <s v="Terrain-Vague Bricolage | Herbarium in an abandoned quarry at Champaner"/>
    <n v="9"/>
    <x v="0"/>
    <x v="8"/>
    <n v="0"/>
    <n v="0.05"/>
    <n v="0.85"/>
    <n v="0"/>
    <m/>
  </r>
  <r>
    <s v="2019-20"/>
    <x v="2"/>
    <x v="20"/>
    <s v="L3"/>
    <m/>
    <s v="Terrain-Vague Bricolage | Herbarium in an abandoned quarry at Champaner"/>
    <n v="9"/>
    <x v="1"/>
    <x v="8"/>
    <n v="0"/>
    <n v="0.05"/>
    <n v="0.85"/>
    <n v="0"/>
    <m/>
  </r>
  <r>
    <s v="2019-20"/>
    <x v="2"/>
    <x v="20"/>
    <s v="L3"/>
    <m/>
    <s v="Terrain-Vague Bricolage | Herbarium in an abandoned quarry at Champaner"/>
    <n v="10"/>
    <x v="0"/>
    <x v="8"/>
    <n v="0"/>
    <n v="0.05"/>
    <n v="0.85"/>
    <n v="0"/>
    <m/>
  </r>
  <r>
    <s v="2019-20"/>
    <x v="2"/>
    <x v="20"/>
    <s v="L3"/>
    <m/>
    <s v="Terrain-Vague Bricolage | Herbarium in an abandoned quarry at Champaner"/>
    <n v="10"/>
    <x v="1"/>
    <x v="8"/>
    <n v="0"/>
    <n v="0.05"/>
    <n v="0.85"/>
    <n v="0"/>
    <m/>
  </r>
  <r>
    <s v="2019-20"/>
    <x v="2"/>
    <x v="20"/>
    <s v="L3"/>
    <m/>
    <s v="Terrain-Vague Bricolage | Herbarium in an abandoned quarry at Champaner"/>
    <n v="11"/>
    <x v="0"/>
    <x v="9"/>
    <n v="-1"/>
    <n v="0.05"/>
    <n v="1"/>
    <n v="-0.05"/>
    <m/>
  </r>
  <r>
    <s v="2019-20"/>
    <x v="2"/>
    <x v="20"/>
    <s v="L3"/>
    <m/>
    <s v="Terrain-Vague Bricolage | Herbarium in an abandoned quarry at Champaner"/>
    <n v="11"/>
    <x v="1"/>
    <x v="9"/>
    <n v="-1"/>
    <n v="0.05"/>
    <n v="1"/>
    <n v="-0.05"/>
    <s v="There appears to have been a fair amount of learning and exploration in this studio but not enough work to show for this. Translation into an architectural process and out come is lost."/>
  </r>
  <r>
    <s v="2019-20"/>
    <x v="2"/>
    <x v="29"/>
    <s v="L3"/>
    <m/>
    <s v="Narratives in Architecture"/>
    <n v="1"/>
    <x v="0"/>
    <x v="0"/>
    <n v="1"/>
    <n v="0.12"/>
    <n v="1"/>
    <n v="0.12"/>
    <m/>
  </r>
  <r>
    <s v="2019-20"/>
    <x v="2"/>
    <x v="29"/>
    <s v="L3"/>
    <m/>
    <s v="Narratives in Architecture"/>
    <n v="1"/>
    <x v="1"/>
    <x v="0"/>
    <n v="1"/>
    <n v="0.12"/>
    <n v="1"/>
    <n v="0.12"/>
    <m/>
  </r>
  <r>
    <s v="2019-20"/>
    <x v="2"/>
    <x v="29"/>
    <s v="L3"/>
    <m/>
    <s v="Narratives in Architecture"/>
    <n v="2"/>
    <x v="0"/>
    <x v="1"/>
    <n v="1"/>
    <n v="0.08"/>
    <n v="0.8"/>
    <n v="6.4000000000000001E-2"/>
    <m/>
  </r>
  <r>
    <s v="2019-20"/>
    <x v="2"/>
    <x v="29"/>
    <s v="L3"/>
    <m/>
    <s v="Narratives in Architecture"/>
    <n v="2"/>
    <x v="1"/>
    <x v="1"/>
    <n v="1"/>
    <n v="0.08"/>
    <n v="0.8"/>
    <n v="6.4000000000000001E-2"/>
    <m/>
  </r>
  <r>
    <s v="2019-20"/>
    <x v="2"/>
    <x v="29"/>
    <s v="L3"/>
    <m/>
    <s v="Narratives in Architecture"/>
    <n v="3"/>
    <x v="0"/>
    <x v="2"/>
    <n v="1"/>
    <n v="0.05"/>
    <n v="1"/>
    <n v="0.05"/>
    <m/>
  </r>
  <r>
    <s v="2019-20"/>
    <x v="2"/>
    <x v="29"/>
    <s v="L3"/>
    <m/>
    <s v="Narratives in Architecture"/>
    <n v="3"/>
    <x v="1"/>
    <x v="2"/>
    <n v="1"/>
    <n v="0.05"/>
    <n v="1"/>
    <n v="0.05"/>
    <m/>
  </r>
  <r>
    <s v="2019-20"/>
    <x v="2"/>
    <x v="29"/>
    <s v="L3"/>
    <m/>
    <s v="Narratives in Architecture"/>
    <n v="4"/>
    <x v="0"/>
    <x v="3"/>
    <n v="0"/>
    <n v="0.14000000000000001"/>
    <n v="1"/>
    <n v="0"/>
    <m/>
  </r>
  <r>
    <s v="2019-20"/>
    <x v="2"/>
    <x v="29"/>
    <s v="L3"/>
    <m/>
    <s v="Narratives in Architecture"/>
    <n v="4"/>
    <x v="1"/>
    <x v="3"/>
    <n v="0"/>
    <n v="0.14000000000000001"/>
    <n v="1"/>
    <n v="0"/>
    <s v="Some of the work appeared to indicate some confusion and a lack of clarity. There appeared to be an overall lack of enthusiasm and vitality as well. However, we did not have enough time to go through their presentations and portfolios diligently and to give the benefit of doubt, I may have misjudged some of these factors."/>
  </r>
  <r>
    <s v="2019-20"/>
    <x v="2"/>
    <x v="29"/>
    <s v="L3"/>
    <m/>
    <s v="Narratives in Architecture"/>
    <n v="5"/>
    <x v="0"/>
    <x v="4"/>
    <n v="0"/>
    <n v="0.11"/>
    <n v="1"/>
    <n v="0"/>
    <m/>
  </r>
  <r>
    <s v="2019-20"/>
    <x v="2"/>
    <x v="29"/>
    <s v="L3"/>
    <m/>
    <s v="Narratives in Architecture"/>
    <n v="5"/>
    <x v="1"/>
    <x v="4"/>
    <n v="1"/>
    <n v="0.11"/>
    <n v="1"/>
    <n v="0.11"/>
    <m/>
  </r>
  <r>
    <s v="2019-20"/>
    <x v="2"/>
    <x v="29"/>
    <s v="L3"/>
    <m/>
    <s v="Narratives in Architecture"/>
    <n v="6"/>
    <x v="0"/>
    <x v="5"/>
    <n v="1"/>
    <n v="0.15"/>
    <n v="1"/>
    <n v="0.15"/>
    <m/>
  </r>
  <r>
    <s v="2019-20"/>
    <x v="2"/>
    <x v="29"/>
    <s v="L3"/>
    <m/>
    <s v="Narratives in Architecture"/>
    <n v="6"/>
    <x v="1"/>
    <x v="5"/>
    <n v="1"/>
    <n v="0.15"/>
    <n v="1"/>
    <n v="0.15"/>
    <m/>
  </r>
  <r>
    <s v="2019-20"/>
    <x v="2"/>
    <x v="29"/>
    <s v="L3"/>
    <m/>
    <s v="Narratives in Architecture"/>
    <n v="7"/>
    <x v="0"/>
    <x v="6"/>
    <n v="0"/>
    <n v="0.1"/>
    <n v="1"/>
    <n v="0"/>
    <m/>
  </r>
  <r>
    <s v="2019-20"/>
    <x v="2"/>
    <x v="29"/>
    <s v="L3"/>
    <m/>
    <s v="Narratives in Architecture"/>
    <n v="7"/>
    <x v="1"/>
    <x v="6"/>
    <n v="1"/>
    <n v="0.1"/>
    <n v="1"/>
    <n v="0.1"/>
    <m/>
  </r>
  <r>
    <s v="2019-20"/>
    <x v="2"/>
    <x v="29"/>
    <s v="L3"/>
    <m/>
    <s v="Narratives in Architecture"/>
    <n v="8"/>
    <x v="0"/>
    <x v="7"/>
    <n v="0"/>
    <n v="0.1"/>
    <n v="1"/>
    <n v="0"/>
    <m/>
  </r>
  <r>
    <s v="2019-20"/>
    <x v="2"/>
    <x v="29"/>
    <s v="L3"/>
    <m/>
    <s v="Narratives in Architecture"/>
    <n v="8"/>
    <x v="1"/>
    <x v="7"/>
    <n v="1"/>
    <n v="0.1"/>
    <n v="1"/>
    <n v="0.1"/>
    <m/>
  </r>
  <r>
    <s v="2019-20"/>
    <x v="2"/>
    <x v="29"/>
    <s v="L3"/>
    <m/>
    <s v="Narratives in Architecture"/>
    <n v="9"/>
    <x v="0"/>
    <x v="8"/>
    <n v="1"/>
    <n v="0.05"/>
    <n v="0.85"/>
    <n v="4.2500000000000003E-2"/>
    <m/>
  </r>
  <r>
    <s v="2019-20"/>
    <x v="2"/>
    <x v="29"/>
    <s v="L3"/>
    <m/>
    <s v="Narratives in Architecture"/>
    <n v="9"/>
    <x v="1"/>
    <x v="8"/>
    <n v="1"/>
    <n v="0.05"/>
    <n v="0.85"/>
    <n v="4.2500000000000003E-2"/>
    <s v="Yes, but it needed more time for review. This was clearly a different kind of studio with content that was not easily accessible."/>
  </r>
  <r>
    <s v="2019-20"/>
    <x v="2"/>
    <x v="29"/>
    <s v="L3"/>
    <m/>
    <s v="Narratives in Architecture"/>
    <n v="10"/>
    <x v="0"/>
    <x v="8"/>
    <n v="0"/>
    <n v="0.05"/>
    <n v="0.85"/>
    <n v="0"/>
    <m/>
  </r>
  <r>
    <s v="2019-20"/>
    <x v="2"/>
    <x v="29"/>
    <s v="L3"/>
    <m/>
    <s v="Narratives in Architecture"/>
    <n v="10"/>
    <x v="1"/>
    <x v="8"/>
    <n v="1"/>
    <n v="0.05"/>
    <n v="0.85"/>
    <n v="4.2500000000000003E-2"/>
    <m/>
  </r>
  <r>
    <s v="2019-20"/>
    <x v="2"/>
    <x v="29"/>
    <s v="L3"/>
    <m/>
    <s v="Narratives in Architecture"/>
    <n v="11"/>
    <x v="0"/>
    <x v="9"/>
    <n v="0"/>
    <n v="0.05"/>
    <n v="1"/>
    <n v="0"/>
    <m/>
  </r>
  <r>
    <s v="2019-20"/>
    <x v="2"/>
    <x v="29"/>
    <s v="L3"/>
    <m/>
    <s v="Narratives in Architecture"/>
    <n v="11"/>
    <x v="1"/>
    <x v="9"/>
    <n v="0"/>
    <n v="0.05"/>
    <n v="1"/>
    <n v="0"/>
    <s v="The depth and intensity in terms of engagement from students end is nowhere closer to what perhaps is appropriate and expected at L3."/>
  </r>
  <r>
    <s v="2019-20"/>
    <x v="2"/>
    <x v="30"/>
    <s v="L3"/>
    <m/>
    <s v="At the cusp of land and water"/>
    <n v="1"/>
    <x v="0"/>
    <x v="0"/>
    <n v="0"/>
    <n v="0.12"/>
    <n v="1"/>
    <n v="0"/>
    <m/>
  </r>
  <r>
    <s v="2019-20"/>
    <x v="2"/>
    <x v="30"/>
    <s v="L3"/>
    <m/>
    <s v="At the cusp of land and water"/>
    <n v="1"/>
    <x v="1"/>
    <x v="0"/>
    <n v="-1"/>
    <n v="0.12"/>
    <n v="1"/>
    <n v="-0.12"/>
    <s v="at level of L4 WE NEED MORE DEEPER EXPLORATION IN TERMS OF PROBLEM"/>
  </r>
  <r>
    <s v="2019-20"/>
    <x v="2"/>
    <x v="30"/>
    <s v="L3"/>
    <m/>
    <s v="At the cusp of land and water"/>
    <n v="2"/>
    <x v="0"/>
    <x v="1"/>
    <n v="-1"/>
    <n v="0.08"/>
    <n v="0.8"/>
    <n v="-6.4000000000000001E-2"/>
    <m/>
  </r>
  <r>
    <s v="2019-20"/>
    <x v="2"/>
    <x v="30"/>
    <s v="L3"/>
    <m/>
    <s v="At the cusp of land and water"/>
    <n v="2"/>
    <x v="1"/>
    <x v="1"/>
    <n v="-1"/>
    <n v="0.08"/>
    <n v="0.8"/>
    <n v="-6.4000000000000001E-2"/>
    <m/>
  </r>
  <r>
    <s v="2019-20"/>
    <x v="2"/>
    <x v="30"/>
    <s v="L3"/>
    <m/>
    <s v="At the cusp of land and water"/>
    <n v="3"/>
    <x v="0"/>
    <x v="2"/>
    <n v="1"/>
    <n v="0.05"/>
    <n v="1"/>
    <n v="0.05"/>
    <m/>
  </r>
  <r>
    <s v="2019-20"/>
    <x v="2"/>
    <x v="30"/>
    <s v="L3"/>
    <m/>
    <s v="At the cusp of land and water"/>
    <n v="3"/>
    <x v="1"/>
    <x v="2"/>
    <n v="-1"/>
    <n v="0.05"/>
    <n v="1"/>
    <n v="-0.05"/>
    <m/>
  </r>
  <r>
    <s v="2019-20"/>
    <x v="2"/>
    <x v="30"/>
    <s v="L3"/>
    <m/>
    <s v="At the cusp of land and water"/>
    <n v="4"/>
    <x v="0"/>
    <x v="3"/>
    <n v="-1"/>
    <n v="0.14000000000000001"/>
    <n v="1"/>
    <n v="-0.14000000000000001"/>
    <m/>
  </r>
  <r>
    <s v="2019-20"/>
    <x v="2"/>
    <x v="30"/>
    <s v="L3"/>
    <m/>
    <s v="At the cusp of land and water"/>
    <n v="4"/>
    <x v="1"/>
    <x v="3"/>
    <n v="0"/>
    <n v="0.14000000000000001"/>
    <n v="1"/>
    <n v="0"/>
    <s v="The relevant research and data collection is satisfactory, but the ultimate intent of the project seemed lost in some cases."/>
  </r>
  <r>
    <s v="2019-20"/>
    <x v="2"/>
    <x v="30"/>
    <s v="L3"/>
    <m/>
    <s v="At the cusp of land and water"/>
    <n v="5"/>
    <x v="0"/>
    <x v="4"/>
    <n v="-1"/>
    <n v="0.11"/>
    <n v="1"/>
    <n v="-0.11"/>
    <m/>
  </r>
  <r>
    <s v="2019-20"/>
    <x v="2"/>
    <x v="30"/>
    <s v="L3"/>
    <m/>
    <s v="At the cusp of land and water"/>
    <n v="5"/>
    <x v="1"/>
    <x v="4"/>
    <n v="-1"/>
    <n v="0.11"/>
    <n v="1"/>
    <n v="-0.11"/>
    <s v="No, because most of the work of this studio indicates that very few students have engaged with any of the issues such as importance of context, or programmatic linkage between what is existing and proposed intervention towards renewal, or response to the river, and so on as described in Learning Outcomes."/>
  </r>
  <r>
    <s v="2019-20"/>
    <x v="2"/>
    <x v="30"/>
    <s v="L3"/>
    <m/>
    <s v="At the cusp of land and water"/>
    <n v="6"/>
    <x v="0"/>
    <x v="5"/>
    <n v="0"/>
    <n v="0.15"/>
    <n v="1"/>
    <n v="0"/>
    <m/>
  </r>
  <r>
    <s v="2019-20"/>
    <x v="2"/>
    <x v="30"/>
    <s v="L3"/>
    <m/>
    <s v="At the cusp of land and water"/>
    <n v="6"/>
    <x v="1"/>
    <x v="5"/>
    <n v="0"/>
    <n v="0.15"/>
    <n v="1"/>
    <n v="0"/>
    <s v="The quality of drawings has scope of improvement, in depth knowledge of the same is not expressed as expected. Some of the drawings and models were reasonably good"/>
  </r>
  <r>
    <s v="2019-20"/>
    <x v="2"/>
    <x v="30"/>
    <s v="L3"/>
    <m/>
    <s v="At the cusp of land and water"/>
    <n v="7"/>
    <x v="0"/>
    <x v="6"/>
    <n v="-1"/>
    <n v="0.1"/>
    <n v="1"/>
    <n v="-0.1"/>
    <m/>
  </r>
  <r>
    <s v="2019-20"/>
    <x v="2"/>
    <x v="30"/>
    <s v="L3"/>
    <m/>
    <s v="At the cusp of land and water"/>
    <n v="7"/>
    <x v="1"/>
    <x v="6"/>
    <n v="0"/>
    <n v="0.1"/>
    <n v="1"/>
    <n v="0"/>
    <s v="Same as Q5"/>
  </r>
  <r>
    <s v="2019-20"/>
    <x v="2"/>
    <x v="30"/>
    <s v="L3"/>
    <m/>
    <s v="At the cusp of land and water"/>
    <n v="8"/>
    <x v="0"/>
    <x v="7"/>
    <n v="-1"/>
    <n v="0.1"/>
    <n v="1"/>
    <n v="-0.1"/>
    <m/>
  </r>
  <r>
    <s v="2019-20"/>
    <x v="2"/>
    <x v="30"/>
    <s v="L3"/>
    <m/>
    <s v="At the cusp of land and water"/>
    <n v="8"/>
    <x v="1"/>
    <x v="7"/>
    <n v="0"/>
    <n v="0.1"/>
    <n v="1"/>
    <n v="0"/>
    <s v="Same as Q6"/>
  </r>
  <r>
    <s v="2019-20"/>
    <x v="2"/>
    <x v="30"/>
    <s v="L3"/>
    <m/>
    <s v="At the cusp of land and water"/>
    <n v="9"/>
    <x v="0"/>
    <x v="8"/>
    <n v="0"/>
    <n v="0.05"/>
    <n v="0.85"/>
    <n v="0"/>
    <m/>
  </r>
  <r>
    <s v="2019-20"/>
    <x v="2"/>
    <x v="30"/>
    <s v="L3"/>
    <m/>
    <s v="At the cusp of land and water"/>
    <n v="9"/>
    <x v="1"/>
    <x v="8"/>
    <n v="-1"/>
    <n v="0.05"/>
    <n v="0.85"/>
    <n v="-4.2500000000000003E-2"/>
    <m/>
  </r>
  <r>
    <s v="2019-20"/>
    <x v="2"/>
    <x v="30"/>
    <s v="L3"/>
    <m/>
    <s v="At the cusp of land and water"/>
    <n v="10"/>
    <x v="0"/>
    <x v="8"/>
    <n v="0"/>
    <n v="0.05"/>
    <n v="0.85"/>
    <n v="0"/>
    <m/>
  </r>
  <r>
    <s v="2019-20"/>
    <x v="2"/>
    <x v="30"/>
    <s v="L3"/>
    <m/>
    <s v="At the cusp of land and water"/>
    <n v="10"/>
    <x v="1"/>
    <x v="8"/>
    <n v="0"/>
    <n v="0.05"/>
    <n v="0.85"/>
    <n v="0"/>
    <m/>
  </r>
  <r>
    <s v="2019-20"/>
    <x v="2"/>
    <x v="30"/>
    <s v="L3"/>
    <m/>
    <s v="At the cusp of land and water"/>
    <n v="11"/>
    <x v="0"/>
    <x v="9"/>
    <n v="-1"/>
    <n v="0.05"/>
    <n v="1"/>
    <n v="-0.05"/>
    <m/>
  </r>
  <r>
    <s v="2019-20"/>
    <x v="2"/>
    <x v="30"/>
    <s v="L3"/>
    <m/>
    <s v="At the cusp of land and water"/>
    <n v="11"/>
    <x v="1"/>
    <x v="9"/>
    <n v="-1"/>
    <n v="0.05"/>
    <n v="1"/>
    <n v="-0.05"/>
    <s v="Neither the process nor the resolution could be seen. The final outcome of architectural expression was way below average, both in terms of design and presentation or rather lack of it. ABIN: I COMPLETELY AGREE ."/>
  </r>
  <r>
    <s v="2019-20"/>
    <x v="2"/>
    <x v="31"/>
    <s v="L3"/>
    <m/>
    <s v="Urban Commons: A Place of Wellness in the city"/>
    <n v="1"/>
    <x v="0"/>
    <x v="0"/>
    <n v="1"/>
    <n v="0.12"/>
    <n v="1"/>
    <n v="0.12"/>
    <m/>
  </r>
  <r>
    <s v="2019-20"/>
    <x v="2"/>
    <x v="31"/>
    <s v="L3"/>
    <m/>
    <s v="Urban Commons: A Place of Wellness in the city"/>
    <n v="1"/>
    <x v="1"/>
    <x v="0"/>
    <n v="1"/>
    <n v="0.12"/>
    <n v="1"/>
    <n v="0.12"/>
    <m/>
  </r>
  <r>
    <s v="2019-20"/>
    <x v="2"/>
    <x v="31"/>
    <s v="L3"/>
    <m/>
    <s v="Urban Commons: A Place of Wellness in the city"/>
    <n v="2"/>
    <x v="0"/>
    <x v="1"/>
    <n v="1"/>
    <n v="0.08"/>
    <n v="0.8"/>
    <n v="6.4000000000000001E-2"/>
    <m/>
  </r>
  <r>
    <s v="2019-20"/>
    <x v="2"/>
    <x v="31"/>
    <s v="L3"/>
    <m/>
    <s v="Urban Commons: A Place of Wellness in the city"/>
    <n v="2"/>
    <x v="1"/>
    <x v="1"/>
    <n v="1"/>
    <n v="0.08"/>
    <n v="0.8"/>
    <n v="6.4000000000000001E-2"/>
    <s v="Upyo 50%"/>
  </r>
  <r>
    <s v="2019-20"/>
    <x v="2"/>
    <x v="31"/>
    <s v="L3"/>
    <m/>
    <s v="Urban Commons: A Place of Wellness in the city"/>
    <n v="3"/>
    <x v="0"/>
    <x v="2"/>
    <n v="1"/>
    <n v="0.05"/>
    <n v="1"/>
    <n v="0.05"/>
    <m/>
  </r>
  <r>
    <s v="2019-20"/>
    <x v="2"/>
    <x v="31"/>
    <s v="L3"/>
    <m/>
    <s v="Urban Commons: A Place of Wellness in the city"/>
    <n v="3"/>
    <x v="1"/>
    <x v="2"/>
    <n v="1"/>
    <n v="0.05"/>
    <n v="1"/>
    <n v="0.05"/>
    <s v="This is probably the core strength of this studio"/>
  </r>
  <r>
    <s v="2019-20"/>
    <x v="2"/>
    <x v="31"/>
    <s v="L3"/>
    <m/>
    <s v="Urban Commons: A Place of Wellness in the city"/>
    <n v="4"/>
    <x v="0"/>
    <x v="3"/>
    <n v="0"/>
    <n v="0.14000000000000001"/>
    <n v="1"/>
    <n v="0"/>
    <m/>
  </r>
  <r>
    <s v="2019-20"/>
    <x v="2"/>
    <x v="31"/>
    <s v="L3"/>
    <m/>
    <s v="Urban Commons: A Place of Wellness in the city"/>
    <n v="4"/>
    <x v="1"/>
    <x v="3"/>
    <n v="1"/>
    <n v="0.14000000000000001"/>
    <n v="1"/>
    <n v="0.14000000000000001"/>
    <s v="Probably 40-50%. ABIN: EXPLORATION OF SPACE NEEDS TO BE MORE PROFOUND. ALSO IN TERMS OF WELLNESS, EXHIBITION AND PROGRAMME."/>
  </r>
  <r>
    <s v="2019-20"/>
    <x v="2"/>
    <x v="31"/>
    <s v="L3"/>
    <m/>
    <s v="Urban Commons: A Place of Wellness in the city"/>
    <n v="5"/>
    <x v="0"/>
    <x v="4"/>
    <n v="0"/>
    <n v="0.11"/>
    <n v="1"/>
    <n v="0"/>
    <m/>
  </r>
  <r>
    <s v="2019-20"/>
    <x v="2"/>
    <x v="31"/>
    <s v="L3"/>
    <m/>
    <s v="Urban Commons: A Place of Wellness in the city"/>
    <n v="5"/>
    <x v="1"/>
    <x v="4"/>
    <n v="0"/>
    <n v="0.11"/>
    <n v="1"/>
    <n v="0"/>
    <s v="Some of the work indicates a struggle with lack of clarity and/ or direction."/>
  </r>
  <r>
    <s v="2019-20"/>
    <x v="2"/>
    <x v="31"/>
    <s v="L3"/>
    <m/>
    <s v="Urban Commons: A Place of Wellness in the city"/>
    <n v="6"/>
    <x v="0"/>
    <x v="5"/>
    <n v="0"/>
    <n v="0.15"/>
    <n v="1"/>
    <n v="0"/>
    <m/>
  </r>
  <r>
    <s v="2019-20"/>
    <x v="2"/>
    <x v="31"/>
    <s v="L3"/>
    <m/>
    <s v="Urban Commons: A Place of Wellness in the city"/>
    <n v="6"/>
    <x v="1"/>
    <x v="5"/>
    <n v="0"/>
    <n v="0.15"/>
    <n v="1"/>
    <n v="0"/>
    <s v="Some of the drawings and sketches were good and communicated well. Models were not made that well.."/>
  </r>
  <r>
    <s v="2019-20"/>
    <x v="2"/>
    <x v="31"/>
    <s v="L3"/>
    <m/>
    <s v="Urban Commons: A Place of Wellness in the city"/>
    <n v="7"/>
    <x v="0"/>
    <x v="6"/>
    <n v="0"/>
    <n v="0.1"/>
    <n v="1"/>
    <n v="0"/>
    <m/>
  </r>
  <r>
    <s v="2019-20"/>
    <x v="2"/>
    <x v="31"/>
    <s v="L3"/>
    <m/>
    <s v="Urban Commons: A Place of Wellness in the city"/>
    <n v="7"/>
    <x v="1"/>
    <x v="6"/>
    <n v="0"/>
    <n v="0.1"/>
    <n v="1"/>
    <n v="0"/>
    <s v="It does have loose ends"/>
  </r>
  <r>
    <s v="2019-20"/>
    <x v="2"/>
    <x v="31"/>
    <s v="L3"/>
    <m/>
    <s v="Urban Commons: A Place of Wellness in the city"/>
    <n v="8"/>
    <x v="0"/>
    <x v="7"/>
    <n v="0"/>
    <n v="0.1"/>
    <n v="1"/>
    <n v="0"/>
    <m/>
  </r>
  <r>
    <s v="2019-20"/>
    <x v="2"/>
    <x v="31"/>
    <s v="L3"/>
    <m/>
    <s v="Urban Commons: A Place of Wellness in the city"/>
    <n v="8"/>
    <x v="1"/>
    <x v="7"/>
    <n v="0"/>
    <n v="0.1"/>
    <n v="1"/>
    <n v="0"/>
    <s v="Same as Q6"/>
  </r>
  <r>
    <s v="2019-20"/>
    <x v="2"/>
    <x v="31"/>
    <s v="L3"/>
    <m/>
    <s v="Urban Commons: A Place of Wellness in the city"/>
    <n v="9"/>
    <x v="0"/>
    <x v="8"/>
    <n v="-1"/>
    <n v="0.05"/>
    <n v="0.85"/>
    <n v="-4.2500000000000003E-2"/>
    <m/>
  </r>
  <r>
    <s v="2019-20"/>
    <x v="2"/>
    <x v="31"/>
    <s v="L3"/>
    <m/>
    <s v="Urban Commons: A Place of Wellness in the city"/>
    <n v="9"/>
    <x v="1"/>
    <x v="8"/>
    <n v="1"/>
    <n v="0.05"/>
    <n v="0.85"/>
    <n v="4.2500000000000003E-2"/>
    <s v="Upto 70% yes"/>
  </r>
  <r>
    <s v="2019-20"/>
    <x v="2"/>
    <x v="31"/>
    <s v="L3"/>
    <m/>
    <s v="Urban Commons: A Place of Wellness in the city"/>
    <n v="10"/>
    <x v="0"/>
    <x v="8"/>
    <n v="-1"/>
    <n v="0.05"/>
    <n v="0.85"/>
    <n v="-4.2500000000000003E-2"/>
    <m/>
  </r>
  <r>
    <s v="2019-20"/>
    <x v="2"/>
    <x v="31"/>
    <s v="L3"/>
    <m/>
    <s v="Urban Commons: A Place of Wellness in the city"/>
    <n v="10"/>
    <x v="1"/>
    <x v="8"/>
    <n v="1"/>
    <n v="0.05"/>
    <n v="0.85"/>
    <n v="4.2500000000000003E-2"/>
    <s v="Upto 70% yes"/>
  </r>
  <r>
    <s v="2019-20"/>
    <x v="2"/>
    <x v="31"/>
    <s v="L3"/>
    <m/>
    <s v="Urban Commons: A Place of Wellness in the city"/>
    <n v="11"/>
    <x v="0"/>
    <x v="9"/>
    <n v="-1"/>
    <n v="0.05"/>
    <n v="1"/>
    <n v="-0.05"/>
    <m/>
  </r>
  <r>
    <s v="2019-20"/>
    <x v="2"/>
    <x v="31"/>
    <s v="L3"/>
    <m/>
    <s v="Urban Commons: A Place of Wellness in the city"/>
    <n v="11"/>
    <x v="1"/>
    <x v="9"/>
    <n v="0"/>
    <n v="0.05"/>
    <n v="1"/>
    <n v="0"/>
    <m/>
  </r>
  <r>
    <s v="2019-20"/>
    <x v="3"/>
    <x v="1"/>
    <s v="L2"/>
    <s v="Constructing and Specifying"/>
    <s v="Strange Details"/>
    <n v="1"/>
    <x v="0"/>
    <x v="0"/>
    <n v="1"/>
    <n v="0.12"/>
    <n v="1"/>
    <n v="0.12"/>
    <m/>
  </r>
  <r>
    <s v="2019-20"/>
    <x v="3"/>
    <x v="1"/>
    <s v="L2"/>
    <s v="Constructing and Specifying"/>
    <s v="Strange Details"/>
    <n v="1"/>
    <x v="1"/>
    <x v="0"/>
    <n v="1"/>
    <n v="0.12"/>
    <n v="1"/>
    <n v="0.12"/>
    <m/>
  </r>
  <r>
    <s v="2019-20"/>
    <x v="3"/>
    <x v="1"/>
    <s v="L2"/>
    <s v="Constructing and Specifying"/>
    <s v="Strange Details"/>
    <n v="2"/>
    <x v="0"/>
    <x v="1"/>
    <n v="1"/>
    <n v="0.08"/>
    <n v="0.8"/>
    <n v="6.4000000000000001E-2"/>
    <m/>
  </r>
  <r>
    <s v="2019-20"/>
    <x v="3"/>
    <x v="1"/>
    <s v="L2"/>
    <s v="Constructing and Specifying"/>
    <s v="Strange Details"/>
    <n v="2"/>
    <x v="1"/>
    <x v="1"/>
    <n v="-1"/>
    <n v="0.08"/>
    <n v="0.8"/>
    <n v="-6.4000000000000001E-2"/>
    <m/>
  </r>
  <r>
    <s v="2019-20"/>
    <x v="3"/>
    <x v="1"/>
    <s v="L2"/>
    <s v="Constructing and Specifying"/>
    <s v="Strange Details"/>
    <n v="3"/>
    <x v="0"/>
    <x v="2"/>
    <n v="1"/>
    <n v="0.05"/>
    <n v="1"/>
    <n v="0.05"/>
    <m/>
  </r>
  <r>
    <s v="2019-20"/>
    <x v="3"/>
    <x v="1"/>
    <s v="L2"/>
    <s v="Constructing and Specifying"/>
    <s v="Strange Details"/>
    <n v="3"/>
    <x v="1"/>
    <x v="2"/>
    <n v="1"/>
    <n v="0.05"/>
    <n v="1"/>
    <n v="0.05"/>
    <m/>
  </r>
  <r>
    <s v="2019-20"/>
    <x v="3"/>
    <x v="1"/>
    <s v="L2"/>
    <s v="Constructing and Specifying"/>
    <s v="Strange Details"/>
    <n v="4"/>
    <x v="0"/>
    <x v="3"/>
    <n v="0"/>
    <n v="0.14000000000000001"/>
    <n v="1"/>
    <n v="0"/>
    <m/>
  </r>
  <r>
    <s v="2019-20"/>
    <x v="3"/>
    <x v="1"/>
    <s v="L2"/>
    <s v="Constructing and Specifying"/>
    <s v="Strange Details"/>
    <n v="4"/>
    <x v="1"/>
    <x v="3"/>
    <n v="1"/>
    <n v="0.14000000000000001"/>
    <n v="1"/>
    <n v="0.14000000000000001"/>
    <m/>
  </r>
  <r>
    <s v="2019-20"/>
    <x v="3"/>
    <x v="1"/>
    <s v="L2"/>
    <s v="Constructing and Specifying"/>
    <s v="Strange Details"/>
    <n v="5"/>
    <x v="0"/>
    <x v="4"/>
    <n v="0"/>
    <n v="0.11"/>
    <n v="1"/>
    <n v="0"/>
    <m/>
  </r>
  <r>
    <s v="2019-20"/>
    <x v="3"/>
    <x v="1"/>
    <s v="L2"/>
    <s v="Constructing and Specifying"/>
    <s v="Strange Details"/>
    <n v="5"/>
    <x v="1"/>
    <x v="4"/>
    <n v="1"/>
    <n v="0.11"/>
    <n v="1"/>
    <n v="0.11"/>
    <m/>
  </r>
  <r>
    <s v="2019-20"/>
    <x v="3"/>
    <x v="1"/>
    <s v="L2"/>
    <s v="Constructing and Specifying"/>
    <s v="Strange Details"/>
    <n v="6"/>
    <x v="0"/>
    <x v="5"/>
    <n v="0"/>
    <n v="0.15"/>
    <n v="1"/>
    <n v="0"/>
    <m/>
  </r>
  <r>
    <s v="2019-20"/>
    <x v="3"/>
    <x v="1"/>
    <s v="L2"/>
    <s v="Constructing and Specifying"/>
    <s v="Strange Details"/>
    <n v="6"/>
    <x v="1"/>
    <x v="5"/>
    <n v="1"/>
    <n v="0.15"/>
    <n v="1"/>
    <n v="0.15"/>
    <m/>
  </r>
  <r>
    <s v="2019-20"/>
    <x v="3"/>
    <x v="1"/>
    <s v="L2"/>
    <s v="Constructing and Specifying"/>
    <s v="Strange Details"/>
    <n v="7"/>
    <x v="0"/>
    <x v="6"/>
    <n v="0"/>
    <n v="0.1"/>
    <n v="1"/>
    <n v="0"/>
    <m/>
  </r>
  <r>
    <s v="2019-20"/>
    <x v="3"/>
    <x v="1"/>
    <s v="L2"/>
    <s v="Constructing and Specifying"/>
    <s v="Strange Details"/>
    <n v="7"/>
    <x v="1"/>
    <x v="6"/>
    <n v="1"/>
    <n v="0.1"/>
    <n v="1"/>
    <n v="0.1"/>
    <s v="Meticulous yes, rigorous it could become more."/>
  </r>
  <r>
    <s v="2019-20"/>
    <x v="3"/>
    <x v="1"/>
    <s v="L2"/>
    <s v="Constructing and Specifying"/>
    <s v="Strange Details"/>
    <n v="8"/>
    <x v="0"/>
    <x v="7"/>
    <n v="0"/>
    <n v="0.1"/>
    <n v="1"/>
    <n v="0"/>
    <m/>
  </r>
  <r>
    <s v="2019-20"/>
    <x v="3"/>
    <x v="1"/>
    <s v="L2"/>
    <s v="Constructing and Specifying"/>
    <s v="Strange Details"/>
    <n v="8"/>
    <x v="1"/>
    <x v="7"/>
    <n v="1"/>
    <n v="0.1"/>
    <n v="1"/>
    <n v="0.1"/>
    <m/>
  </r>
  <r>
    <s v="2019-20"/>
    <x v="3"/>
    <x v="1"/>
    <s v="L2"/>
    <s v="Constructing and Specifying"/>
    <s v="Strange Details"/>
    <n v="9"/>
    <x v="0"/>
    <x v="8"/>
    <m/>
    <n v="0.05"/>
    <n v="0.85"/>
    <n v="0"/>
    <m/>
  </r>
  <r>
    <s v="2019-20"/>
    <x v="3"/>
    <x v="1"/>
    <s v="L2"/>
    <s v="Constructing and Specifying"/>
    <s v="Strange Details"/>
    <n v="9"/>
    <x v="1"/>
    <x v="8"/>
    <m/>
    <n v="0.05"/>
    <n v="0.85"/>
    <n v="0"/>
    <m/>
  </r>
  <r>
    <s v="2019-20"/>
    <x v="3"/>
    <x v="1"/>
    <s v="L2"/>
    <s v="Constructing and Specifying"/>
    <s v="Strange Details"/>
    <n v="10"/>
    <x v="0"/>
    <x v="8"/>
    <m/>
    <n v="0.05"/>
    <n v="0.85"/>
    <n v="0"/>
    <m/>
  </r>
  <r>
    <s v="2019-20"/>
    <x v="3"/>
    <x v="1"/>
    <s v="L2"/>
    <s v="Constructing and Specifying"/>
    <s v="Strange Details"/>
    <n v="10"/>
    <x v="1"/>
    <x v="8"/>
    <m/>
    <n v="0.05"/>
    <n v="0.85"/>
    <n v="0"/>
    <m/>
  </r>
  <r>
    <s v="2019-20"/>
    <x v="3"/>
    <x v="1"/>
    <s v="L2"/>
    <s v="Constructing and Specifying"/>
    <s v="Strange Details"/>
    <n v="11"/>
    <x v="0"/>
    <x v="9"/>
    <n v="0"/>
    <n v="0.05"/>
    <n v="1"/>
    <n v="0"/>
    <m/>
  </r>
  <r>
    <s v="2019-20"/>
    <x v="3"/>
    <x v="1"/>
    <s v="L2"/>
    <s v="Constructing and Specifying"/>
    <s v="Strange Details"/>
    <n v="11"/>
    <x v="1"/>
    <x v="9"/>
    <n v="1"/>
    <n v="0.05"/>
    <n v="1"/>
    <n v="0.05"/>
    <s v="Missed the physical models. Its been an inherent part of the process. Also now that physical models were absent, I wishthere were more drawings at enlarged scales of the details and wall sections, since the students had time.May be 3Dprinter is the call of the day, 3 D printers are not so expensive and affordable..Good, interesting, and high volume of work overall. This studio is an improvement over similar studio offered in Nov2019 since working drawings &amp; detailing were preceded by a complete and very involved process of design. Onlydrawback, if at all, was that all Art Museum floor plans seemed to be quite similar..Much better than earlier"/>
  </r>
  <r>
    <s v="2019-20"/>
    <x v="3"/>
    <x v="2"/>
    <s v="L2"/>
    <s v="Planning and Orgnizing"/>
    <s v="Of Immediate &amp; Afar X"/>
    <n v="1"/>
    <x v="0"/>
    <x v="0"/>
    <n v="1"/>
    <n v="0.12"/>
    <n v="1"/>
    <n v="0.12"/>
    <m/>
  </r>
  <r>
    <s v="2019-20"/>
    <x v="3"/>
    <x v="2"/>
    <s v="L2"/>
    <s v="Planning and Orgnizing"/>
    <s v="Of Immediate &amp; Afar X"/>
    <n v="1"/>
    <x v="1"/>
    <x v="0"/>
    <n v="1"/>
    <n v="0.12"/>
    <n v="1"/>
    <n v="0.12"/>
    <m/>
  </r>
  <r>
    <s v="2019-20"/>
    <x v="3"/>
    <x v="2"/>
    <s v="L2"/>
    <s v="Planning and Orgnizing"/>
    <s v="Of Immediate &amp; Afar X"/>
    <n v="2"/>
    <x v="0"/>
    <x v="1"/>
    <n v="1"/>
    <n v="0.08"/>
    <n v="0.8"/>
    <n v="6.4000000000000001E-2"/>
    <m/>
  </r>
  <r>
    <s v="2019-20"/>
    <x v="3"/>
    <x v="2"/>
    <s v="L2"/>
    <s v="Planning and Orgnizing"/>
    <s v="Of Immediate &amp; Afar X"/>
    <n v="2"/>
    <x v="1"/>
    <x v="1"/>
    <n v="1"/>
    <n v="0.08"/>
    <n v="0.8"/>
    <n v="6.4000000000000001E-2"/>
    <m/>
  </r>
  <r>
    <s v="2019-20"/>
    <x v="3"/>
    <x v="2"/>
    <s v="L2"/>
    <s v="Planning and Orgnizing"/>
    <s v="Of Immediate &amp; Afar X"/>
    <n v="3"/>
    <x v="0"/>
    <x v="2"/>
    <n v="1"/>
    <n v="0.05"/>
    <n v="1"/>
    <n v="0.05"/>
    <m/>
  </r>
  <r>
    <s v="2019-20"/>
    <x v="3"/>
    <x v="2"/>
    <s v="L2"/>
    <s v="Planning and Orgnizing"/>
    <s v="Of Immediate &amp; Afar X"/>
    <n v="3"/>
    <x v="1"/>
    <x v="2"/>
    <n v="1"/>
    <n v="0.05"/>
    <n v="1"/>
    <n v="0.05"/>
    <m/>
  </r>
  <r>
    <s v="2019-20"/>
    <x v="3"/>
    <x v="2"/>
    <s v="L2"/>
    <s v="Planning and Orgnizing"/>
    <s v="Of Immediate &amp; Afar X"/>
    <n v="4"/>
    <x v="0"/>
    <x v="3"/>
    <n v="0"/>
    <n v="0.14000000000000001"/>
    <n v="1"/>
    <n v="0"/>
    <m/>
  </r>
  <r>
    <s v="2019-20"/>
    <x v="3"/>
    <x v="2"/>
    <s v="L2"/>
    <s v="Planning and Orgnizing"/>
    <s v="Of Immediate &amp; Afar X"/>
    <n v="4"/>
    <x v="1"/>
    <x v="3"/>
    <n v="1"/>
    <n v="0.14000000000000001"/>
    <n v="1"/>
    <n v="0.14000000000000001"/>
    <m/>
  </r>
  <r>
    <s v="2019-20"/>
    <x v="3"/>
    <x v="2"/>
    <s v="L2"/>
    <s v="Planning and Orgnizing"/>
    <s v="Of Immediate &amp; Afar X"/>
    <n v="5"/>
    <x v="0"/>
    <x v="4"/>
    <n v="0"/>
    <n v="0.11"/>
    <n v="1"/>
    <n v="0"/>
    <m/>
  </r>
  <r>
    <s v="2019-20"/>
    <x v="3"/>
    <x v="2"/>
    <s v="L2"/>
    <s v="Planning and Orgnizing"/>
    <s v="Of Immediate &amp; Afar X"/>
    <n v="5"/>
    <x v="1"/>
    <x v="4"/>
    <n v="1"/>
    <n v="0.11"/>
    <n v="1"/>
    <n v="0.11"/>
    <m/>
  </r>
  <r>
    <s v="2019-20"/>
    <x v="3"/>
    <x v="2"/>
    <s v="L2"/>
    <s v="Planning and Orgnizing"/>
    <s v="Of Immediate &amp; Afar X"/>
    <n v="6"/>
    <x v="0"/>
    <x v="5"/>
    <n v="0"/>
    <n v="0.15"/>
    <n v="1"/>
    <n v="0"/>
    <m/>
  </r>
  <r>
    <s v="2019-20"/>
    <x v="3"/>
    <x v="2"/>
    <s v="L2"/>
    <s v="Planning and Orgnizing"/>
    <s v="Of Immediate &amp; Afar X"/>
    <n v="6"/>
    <x v="1"/>
    <x v="5"/>
    <n v="1"/>
    <n v="0.15"/>
    <n v="1"/>
    <n v="0.15"/>
    <m/>
  </r>
  <r>
    <s v="2019-20"/>
    <x v="3"/>
    <x v="2"/>
    <s v="L2"/>
    <s v="Planning and Orgnizing"/>
    <s v="Of Immediate &amp; Afar X"/>
    <n v="7"/>
    <x v="0"/>
    <x v="6"/>
    <n v="0"/>
    <n v="0.1"/>
    <n v="1"/>
    <n v="0"/>
    <m/>
  </r>
  <r>
    <s v="2019-20"/>
    <x v="3"/>
    <x v="2"/>
    <s v="L2"/>
    <s v="Planning and Orgnizing"/>
    <s v="Of Immediate &amp; Afar X"/>
    <n v="7"/>
    <x v="1"/>
    <x v="6"/>
    <n v="1"/>
    <n v="0.1"/>
    <n v="1"/>
    <n v="0.1"/>
    <m/>
  </r>
  <r>
    <s v="2019-20"/>
    <x v="3"/>
    <x v="2"/>
    <s v="L2"/>
    <s v="Planning and Orgnizing"/>
    <s v="Of Immediate &amp; Afar X"/>
    <n v="8"/>
    <x v="0"/>
    <x v="7"/>
    <n v="0"/>
    <n v="0.1"/>
    <n v="1"/>
    <n v="0"/>
    <m/>
  </r>
  <r>
    <s v="2019-20"/>
    <x v="3"/>
    <x v="2"/>
    <s v="L2"/>
    <s v="Planning and Orgnizing"/>
    <s v="Of Immediate &amp; Afar X"/>
    <n v="8"/>
    <x v="1"/>
    <x v="7"/>
    <n v="1"/>
    <n v="0.1"/>
    <n v="1"/>
    <n v="0.1"/>
    <m/>
  </r>
  <r>
    <s v="2019-20"/>
    <x v="3"/>
    <x v="2"/>
    <s v="L2"/>
    <s v="Planning and Orgnizing"/>
    <s v="Of Immediate &amp; Afar X"/>
    <n v="9"/>
    <x v="0"/>
    <x v="8"/>
    <m/>
    <n v="0.05"/>
    <n v="0.85"/>
    <n v="0"/>
    <m/>
  </r>
  <r>
    <s v="2019-20"/>
    <x v="3"/>
    <x v="2"/>
    <s v="L2"/>
    <s v="Planning and Orgnizing"/>
    <s v="Of Immediate &amp; Afar X"/>
    <n v="9"/>
    <x v="1"/>
    <x v="8"/>
    <m/>
    <n v="0.05"/>
    <n v="0.85"/>
    <n v="0"/>
    <m/>
  </r>
  <r>
    <s v="2019-20"/>
    <x v="3"/>
    <x v="2"/>
    <s v="L2"/>
    <s v="Planning and Orgnizing"/>
    <s v="Of Immediate &amp; Afar X"/>
    <n v="10"/>
    <x v="0"/>
    <x v="8"/>
    <m/>
    <n v="0.05"/>
    <n v="0.85"/>
    <n v="0"/>
    <m/>
  </r>
  <r>
    <s v="2019-20"/>
    <x v="3"/>
    <x v="2"/>
    <s v="L2"/>
    <s v="Planning and Orgnizing"/>
    <s v="Of Immediate &amp; Afar X"/>
    <n v="10"/>
    <x v="1"/>
    <x v="8"/>
    <m/>
    <n v="0.05"/>
    <n v="0.85"/>
    <n v="0"/>
    <m/>
  </r>
  <r>
    <s v="2019-20"/>
    <x v="3"/>
    <x v="2"/>
    <s v="L2"/>
    <s v="Planning and Orgnizing"/>
    <s v="Of Immediate &amp; Afar X"/>
    <n v="11"/>
    <x v="0"/>
    <x v="9"/>
    <n v="0"/>
    <n v="0.05"/>
    <n v="1"/>
    <n v="0"/>
    <m/>
  </r>
  <r>
    <s v="2019-20"/>
    <x v="3"/>
    <x v="2"/>
    <s v="L2"/>
    <s v="Planning and Orgnizing"/>
    <s v="Of Immediate &amp; Afar X"/>
    <n v="11"/>
    <x v="1"/>
    <x v="9"/>
    <n v="-1"/>
    <n v="0.05"/>
    <n v="1"/>
    <n v="-0.05"/>
    <m/>
  </r>
  <r>
    <s v="2019-20"/>
    <x v="3"/>
    <x v="6"/>
    <s v="L2"/>
    <s v="Planning and Orgnizing"/>
    <s v="Making Living Places: Craftsmanship, song and imagination"/>
    <n v="1"/>
    <x v="0"/>
    <x v="0"/>
    <n v="1"/>
    <n v="0.12"/>
    <n v="1"/>
    <n v="0.12"/>
    <m/>
  </r>
  <r>
    <s v="2019-20"/>
    <x v="3"/>
    <x v="6"/>
    <s v="L2"/>
    <s v="Planning and Orgnizing"/>
    <s v="Making Living Places: Craftsmanship, song and imagination"/>
    <n v="1"/>
    <x v="1"/>
    <x v="0"/>
    <n v="1"/>
    <n v="0.12"/>
    <n v="1"/>
    <n v="0.12"/>
    <m/>
  </r>
  <r>
    <s v="2019-20"/>
    <x v="3"/>
    <x v="6"/>
    <s v="L2"/>
    <s v="Planning and Orgnizing"/>
    <s v="Making Living Places: Craftsmanship, song and imagination"/>
    <n v="2"/>
    <x v="0"/>
    <x v="1"/>
    <n v="1"/>
    <n v="0.08"/>
    <n v="0.8"/>
    <n v="6.4000000000000001E-2"/>
    <m/>
  </r>
  <r>
    <s v="2019-20"/>
    <x v="3"/>
    <x v="6"/>
    <s v="L2"/>
    <s v="Planning and Orgnizing"/>
    <s v="Making Living Places: Craftsmanship, song and imagination"/>
    <n v="2"/>
    <x v="1"/>
    <x v="1"/>
    <n v="1"/>
    <n v="0.08"/>
    <n v="0.8"/>
    <n v="6.4000000000000001E-2"/>
    <m/>
  </r>
  <r>
    <s v="2019-20"/>
    <x v="3"/>
    <x v="6"/>
    <s v="L2"/>
    <s v="Planning and Orgnizing"/>
    <s v="Making Living Places: Craftsmanship, song and imagination"/>
    <n v="3"/>
    <x v="0"/>
    <x v="2"/>
    <n v="1"/>
    <n v="0.05"/>
    <n v="1"/>
    <n v="0.05"/>
    <m/>
  </r>
  <r>
    <s v="2019-20"/>
    <x v="3"/>
    <x v="6"/>
    <s v="L2"/>
    <s v="Planning and Orgnizing"/>
    <s v="Making Living Places: Craftsmanship, song and imagination"/>
    <n v="3"/>
    <x v="1"/>
    <x v="2"/>
    <n v="1"/>
    <n v="0.05"/>
    <n v="1"/>
    <n v="0.05"/>
    <m/>
  </r>
  <r>
    <s v="2019-20"/>
    <x v="3"/>
    <x v="6"/>
    <s v="L2"/>
    <s v="Planning and Orgnizing"/>
    <s v="Making Living Places: Craftsmanship, song and imagination"/>
    <n v="4"/>
    <x v="0"/>
    <x v="3"/>
    <n v="1"/>
    <n v="0.14000000000000001"/>
    <n v="1"/>
    <n v="0.14000000000000001"/>
    <m/>
  </r>
  <r>
    <s v="2019-20"/>
    <x v="3"/>
    <x v="6"/>
    <s v="L2"/>
    <s v="Planning and Orgnizing"/>
    <s v="Making Living Places: Craftsmanship, song and imagination"/>
    <n v="4"/>
    <x v="1"/>
    <x v="3"/>
    <n v="1"/>
    <n v="0.14000000000000001"/>
    <n v="1"/>
    <n v="0.14000000000000001"/>
    <m/>
  </r>
  <r>
    <s v="2019-20"/>
    <x v="3"/>
    <x v="6"/>
    <s v="L2"/>
    <s v="Planning and Orgnizing"/>
    <s v="Making Living Places: Craftsmanship, song and imagination"/>
    <n v="5"/>
    <x v="0"/>
    <x v="4"/>
    <n v="0"/>
    <n v="0.11"/>
    <n v="1"/>
    <n v="0"/>
    <m/>
  </r>
  <r>
    <s v="2019-20"/>
    <x v="3"/>
    <x v="6"/>
    <s v="L2"/>
    <s v="Planning and Orgnizing"/>
    <s v="Making Living Places: Craftsmanship, song and imagination"/>
    <n v="5"/>
    <x v="1"/>
    <x v="4"/>
    <n v="1"/>
    <n v="0.11"/>
    <n v="1"/>
    <n v="0.11"/>
    <m/>
  </r>
  <r>
    <s v="2019-20"/>
    <x v="3"/>
    <x v="6"/>
    <s v="L2"/>
    <s v="Planning and Orgnizing"/>
    <s v="Making Living Places: Craftsmanship, song and imagination"/>
    <n v="6"/>
    <x v="0"/>
    <x v="5"/>
    <n v="0"/>
    <n v="0.15"/>
    <n v="1"/>
    <n v="0"/>
    <m/>
  </r>
  <r>
    <s v="2019-20"/>
    <x v="3"/>
    <x v="6"/>
    <s v="L2"/>
    <s v="Planning and Orgnizing"/>
    <s v="Making Living Places: Craftsmanship, song and imagination"/>
    <n v="6"/>
    <x v="1"/>
    <x v="5"/>
    <n v="1"/>
    <n v="0.15"/>
    <n v="1"/>
    <n v="0.15"/>
    <m/>
  </r>
  <r>
    <s v="2019-20"/>
    <x v="3"/>
    <x v="6"/>
    <s v="L2"/>
    <s v="Planning and Orgnizing"/>
    <s v="Making Living Places: Craftsmanship, song and imagination"/>
    <n v="7"/>
    <x v="0"/>
    <x v="6"/>
    <n v="0"/>
    <n v="0.1"/>
    <n v="1"/>
    <n v="0"/>
    <m/>
  </r>
  <r>
    <s v="2019-20"/>
    <x v="3"/>
    <x v="6"/>
    <s v="L2"/>
    <s v="Planning and Orgnizing"/>
    <s v="Making Living Places: Craftsmanship, song and imagination"/>
    <n v="7"/>
    <x v="1"/>
    <x v="6"/>
    <n v="1"/>
    <n v="0.1"/>
    <n v="1"/>
    <n v="0.1"/>
    <m/>
  </r>
  <r>
    <s v="2019-20"/>
    <x v="3"/>
    <x v="6"/>
    <s v="L2"/>
    <s v="Planning and Orgnizing"/>
    <s v="Making Living Places: Craftsmanship, song and imagination"/>
    <n v="8"/>
    <x v="0"/>
    <x v="7"/>
    <n v="0"/>
    <n v="0.1"/>
    <n v="1"/>
    <n v="0"/>
    <m/>
  </r>
  <r>
    <s v="2019-20"/>
    <x v="3"/>
    <x v="6"/>
    <s v="L2"/>
    <s v="Planning and Orgnizing"/>
    <s v="Making Living Places: Craftsmanship, song and imagination"/>
    <n v="8"/>
    <x v="1"/>
    <x v="7"/>
    <n v="1"/>
    <n v="0.1"/>
    <n v="1"/>
    <n v="0.1"/>
    <m/>
  </r>
  <r>
    <s v="2019-20"/>
    <x v="3"/>
    <x v="6"/>
    <s v="L2"/>
    <s v="Planning and Orgnizing"/>
    <s v="Making Living Places: Craftsmanship, song and imagination"/>
    <n v="9"/>
    <x v="0"/>
    <x v="8"/>
    <m/>
    <n v="0.05"/>
    <n v="0.85"/>
    <n v="0"/>
    <m/>
  </r>
  <r>
    <s v="2019-20"/>
    <x v="3"/>
    <x v="6"/>
    <s v="L2"/>
    <s v="Planning and Orgnizing"/>
    <s v="Making Living Places: Craftsmanship, song and imagination"/>
    <n v="9"/>
    <x v="1"/>
    <x v="8"/>
    <m/>
    <n v="0.05"/>
    <n v="0.85"/>
    <n v="0"/>
    <m/>
  </r>
  <r>
    <s v="2019-20"/>
    <x v="3"/>
    <x v="6"/>
    <s v="L2"/>
    <s v="Planning and Orgnizing"/>
    <s v="Making Living Places: Craftsmanship, song and imagination"/>
    <n v="10"/>
    <x v="0"/>
    <x v="8"/>
    <m/>
    <n v="0.05"/>
    <n v="0.85"/>
    <n v="0"/>
    <m/>
  </r>
  <r>
    <s v="2019-20"/>
    <x v="3"/>
    <x v="6"/>
    <s v="L2"/>
    <s v="Planning and Orgnizing"/>
    <s v="Making Living Places: Craftsmanship, song and imagination"/>
    <n v="10"/>
    <x v="1"/>
    <x v="8"/>
    <m/>
    <n v="0.05"/>
    <n v="0.85"/>
    <n v="0"/>
    <m/>
  </r>
  <r>
    <s v="2019-20"/>
    <x v="3"/>
    <x v="6"/>
    <s v="L2"/>
    <s v="Planning and Orgnizing"/>
    <s v="Making Living Places: Craftsmanship, song and imagination"/>
    <n v="11"/>
    <x v="0"/>
    <x v="9"/>
    <n v="1"/>
    <n v="0.05"/>
    <n v="1"/>
    <n v="0.05"/>
    <m/>
  </r>
  <r>
    <s v="2019-20"/>
    <x v="3"/>
    <x v="6"/>
    <s v="L2"/>
    <s v="Planning and Orgnizing"/>
    <s v="Making Living Places: Craftsmanship, song and imagination"/>
    <n v="11"/>
    <x v="1"/>
    <x v="9"/>
    <n v="0"/>
    <n v="0.05"/>
    <n v="1"/>
    <n v="0"/>
    <m/>
  </r>
  <r>
    <s v="2019-20"/>
    <x v="3"/>
    <x v="9"/>
    <s v="L2"/>
    <s v="Constructing and Specifying"/>
    <s v="Tectonic Operations"/>
    <n v="1"/>
    <x v="0"/>
    <x v="0"/>
    <n v="1"/>
    <n v="0.12"/>
    <n v="1"/>
    <n v="0.12"/>
    <m/>
  </r>
  <r>
    <s v="2019-20"/>
    <x v="3"/>
    <x v="9"/>
    <s v="L2"/>
    <s v="Constructing and Specifying"/>
    <s v="Tectonic Operations"/>
    <n v="1"/>
    <x v="1"/>
    <x v="0"/>
    <n v="0"/>
    <n v="0.12"/>
    <n v="1"/>
    <n v="0"/>
    <m/>
  </r>
  <r>
    <s v="2019-20"/>
    <x v="3"/>
    <x v="9"/>
    <s v="L2"/>
    <s v="Constructing and Specifying"/>
    <s v="Tectonic Operations"/>
    <n v="2"/>
    <x v="0"/>
    <x v="1"/>
    <n v="1"/>
    <n v="0.08"/>
    <n v="0.8"/>
    <n v="6.4000000000000001E-2"/>
    <m/>
  </r>
  <r>
    <s v="2019-20"/>
    <x v="3"/>
    <x v="9"/>
    <s v="L2"/>
    <s v="Constructing and Specifying"/>
    <s v="Tectonic Operations"/>
    <n v="2"/>
    <x v="1"/>
    <x v="1"/>
    <n v="1"/>
    <n v="0.08"/>
    <n v="0.8"/>
    <n v="6.4000000000000001E-2"/>
    <m/>
  </r>
  <r>
    <s v="2019-20"/>
    <x v="3"/>
    <x v="9"/>
    <s v="L2"/>
    <s v="Constructing and Specifying"/>
    <s v="Tectonic Operations"/>
    <n v="3"/>
    <x v="0"/>
    <x v="2"/>
    <n v="0"/>
    <n v="0.05"/>
    <n v="1"/>
    <n v="0"/>
    <m/>
  </r>
  <r>
    <s v="2019-20"/>
    <x v="3"/>
    <x v="9"/>
    <s v="L2"/>
    <s v="Constructing and Specifying"/>
    <s v="Tectonic Operations"/>
    <n v="3"/>
    <x v="1"/>
    <x v="2"/>
    <n v="1"/>
    <n v="0.05"/>
    <n v="1"/>
    <n v="0.05"/>
    <m/>
  </r>
  <r>
    <s v="2019-20"/>
    <x v="3"/>
    <x v="9"/>
    <s v="L2"/>
    <s v="Constructing and Specifying"/>
    <s v="Tectonic Operations"/>
    <n v="4"/>
    <x v="0"/>
    <x v="3"/>
    <n v="0"/>
    <n v="0.14000000000000001"/>
    <n v="1"/>
    <n v="0"/>
    <m/>
  </r>
  <r>
    <s v="2019-20"/>
    <x v="3"/>
    <x v="9"/>
    <s v="L2"/>
    <s v="Constructing and Specifying"/>
    <s v="Tectonic Operations"/>
    <n v="4"/>
    <x v="1"/>
    <x v="3"/>
    <n v="0"/>
    <n v="0.14000000000000001"/>
    <n v="1"/>
    <n v="0"/>
    <m/>
  </r>
  <r>
    <s v="2019-20"/>
    <x v="3"/>
    <x v="9"/>
    <s v="L2"/>
    <s v="Constructing and Specifying"/>
    <s v="Tectonic Operations"/>
    <n v="5"/>
    <x v="0"/>
    <x v="4"/>
    <n v="0"/>
    <n v="0.11"/>
    <n v="1"/>
    <n v="0"/>
    <m/>
  </r>
  <r>
    <s v="2019-20"/>
    <x v="3"/>
    <x v="9"/>
    <s v="L2"/>
    <s v="Constructing and Specifying"/>
    <s v="Tectonic Operations"/>
    <n v="5"/>
    <x v="1"/>
    <x v="4"/>
    <n v="0"/>
    <n v="0.11"/>
    <n v="1"/>
    <n v="0"/>
    <m/>
  </r>
  <r>
    <s v="2019-20"/>
    <x v="3"/>
    <x v="9"/>
    <s v="L2"/>
    <s v="Constructing and Specifying"/>
    <s v="Tectonic Operations"/>
    <n v="6"/>
    <x v="0"/>
    <x v="5"/>
    <n v="0"/>
    <n v="0.15"/>
    <n v="1"/>
    <n v="0"/>
    <m/>
  </r>
  <r>
    <s v="2019-20"/>
    <x v="3"/>
    <x v="9"/>
    <s v="L2"/>
    <s v="Constructing and Specifying"/>
    <s v="Tectonic Operations"/>
    <n v="6"/>
    <x v="1"/>
    <x v="5"/>
    <n v="0"/>
    <n v="0.15"/>
    <n v="1"/>
    <n v="0"/>
    <m/>
  </r>
  <r>
    <s v="2019-20"/>
    <x v="3"/>
    <x v="9"/>
    <s v="L2"/>
    <s v="Constructing and Specifying"/>
    <s v="Tectonic Operations"/>
    <n v="7"/>
    <x v="0"/>
    <x v="6"/>
    <n v="0"/>
    <n v="0.1"/>
    <n v="1"/>
    <n v="0"/>
    <m/>
  </r>
  <r>
    <s v="2019-20"/>
    <x v="3"/>
    <x v="9"/>
    <s v="L2"/>
    <s v="Constructing and Specifying"/>
    <s v="Tectonic Operations"/>
    <n v="7"/>
    <x v="1"/>
    <x v="6"/>
    <n v="1"/>
    <n v="0.1"/>
    <n v="1"/>
    <n v="0.1"/>
    <m/>
  </r>
  <r>
    <s v="2019-20"/>
    <x v="3"/>
    <x v="9"/>
    <s v="L2"/>
    <s v="Constructing and Specifying"/>
    <s v="Tectonic Operations"/>
    <n v="8"/>
    <x v="0"/>
    <x v="7"/>
    <n v="0"/>
    <n v="0.1"/>
    <n v="1"/>
    <n v="0"/>
    <m/>
  </r>
  <r>
    <s v="2019-20"/>
    <x v="3"/>
    <x v="9"/>
    <s v="L2"/>
    <s v="Constructing and Specifying"/>
    <s v="Tectonic Operations"/>
    <n v="8"/>
    <x v="1"/>
    <x v="7"/>
    <n v="0"/>
    <n v="0.1"/>
    <n v="1"/>
    <n v="0"/>
    <m/>
  </r>
  <r>
    <s v="2019-20"/>
    <x v="3"/>
    <x v="9"/>
    <s v="L2"/>
    <s v="Constructing and Specifying"/>
    <s v="Tectonic Operations"/>
    <n v="9"/>
    <x v="0"/>
    <x v="8"/>
    <m/>
    <n v="0.05"/>
    <n v="0.85"/>
    <n v="0"/>
    <m/>
  </r>
  <r>
    <s v="2019-20"/>
    <x v="3"/>
    <x v="9"/>
    <s v="L2"/>
    <s v="Constructing and Specifying"/>
    <s v="Tectonic Operations"/>
    <n v="9"/>
    <x v="1"/>
    <x v="8"/>
    <m/>
    <n v="0.05"/>
    <n v="0.85"/>
    <n v="0"/>
    <m/>
  </r>
  <r>
    <s v="2019-20"/>
    <x v="3"/>
    <x v="9"/>
    <s v="L2"/>
    <s v="Constructing and Specifying"/>
    <s v="Tectonic Operations"/>
    <n v="10"/>
    <x v="0"/>
    <x v="8"/>
    <m/>
    <n v="0.05"/>
    <n v="0.85"/>
    <n v="0"/>
    <m/>
  </r>
  <r>
    <s v="2019-20"/>
    <x v="3"/>
    <x v="9"/>
    <s v="L2"/>
    <s v="Constructing and Specifying"/>
    <s v="Tectonic Operations"/>
    <n v="10"/>
    <x v="1"/>
    <x v="8"/>
    <m/>
    <n v="0.05"/>
    <n v="0.85"/>
    <n v="0"/>
    <m/>
  </r>
  <r>
    <s v="2019-20"/>
    <x v="3"/>
    <x v="9"/>
    <s v="L2"/>
    <s v="Constructing and Specifying"/>
    <s v="Tectonic Operations"/>
    <n v="11"/>
    <x v="0"/>
    <x v="9"/>
    <n v="0"/>
    <n v="0.05"/>
    <n v="1"/>
    <n v="0"/>
    <m/>
  </r>
  <r>
    <s v="2019-20"/>
    <x v="3"/>
    <x v="9"/>
    <s v="L2"/>
    <s v="Constructing and Specifying"/>
    <s v="Tectonic Operations"/>
    <n v="11"/>
    <x v="1"/>
    <x v="9"/>
    <n v="0"/>
    <n v="0.05"/>
    <n v="1"/>
    <n v="0"/>
    <m/>
  </r>
  <r>
    <s v="2019-20"/>
    <x v="3"/>
    <x v="17"/>
    <s v="L2"/>
    <s v="Planning and Orgnizing"/>
    <s v="Designing with People"/>
    <n v="1"/>
    <x v="0"/>
    <x v="0"/>
    <n v="1"/>
    <n v="0.12"/>
    <n v="1"/>
    <n v="0.12"/>
    <m/>
  </r>
  <r>
    <s v="2019-20"/>
    <x v="3"/>
    <x v="17"/>
    <s v="L2"/>
    <s v="Planning and Orgnizing"/>
    <s v="Designing with People"/>
    <n v="1"/>
    <x v="1"/>
    <x v="0"/>
    <n v="1"/>
    <n v="0.12"/>
    <n v="1"/>
    <n v="0.12"/>
    <m/>
  </r>
  <r>
    <s v="2019-20"/>
    <x v="3"/>
    <x v="17"/>
    <s v="L2"/>
    <s v="Planning and Orgnizing"/>
    <s v="Designing with People"/>
    <n v="2"/>
    <x v="0"/>
    <x v="1"/>
    <n v="1"/>
    <n v="0.08"/>
    <n v="0.8"/>
    <n v="6.4000000000000001E-2"/>
    <m/>
  </r>
  <r>
    <s v="2019-20"/>
    <x v="3"/>
    <x v="17"/>
    <s v="L2"/>
    <s v="Planning and Orgnizing"/>
    <s v="Designing with People"/>
    <n v="2"/>
    <x v="1"/>
    <x v="1"/>
    <n v="1"/>
    <n v="0.08"/>
    <n v="0.8"/>
    <n v="6.4000000000000001E-2"/>
    <m/>
  </r>
  <r>
    <s v="2019-20"/>
    <x v="3"/>
    <x v="17"/>
    <s v="L2"/>
    <s v="Planning and Orgnizing"/>
    <s v="Designing with People"/>
    <n v="3"/>
    <x v="0"/>
    <x v="2"/>
    <n v="0"/>
    <n v="0.05"/>
    <n v="1"/>
    <n v="0"/>
    <m/>
  </r>
  <r>
    <s v="2019-20"/>
    <x v="3"/>
    <x v="17"/>
    <s v="L2"/>
    <s v="Planning and Orgnizing"/>
    <s v="Designing with People"/>
    <n v="3"/>
    <x v="1"/>
    <x v="2"/>
    <n v="1"/>
    <n v="0.05"/>
    <n v="1"/>
    <n v="0.05"/>
    <m/>
  </r>
  <r>
    <s v="2019-20"/>
    <x v="3"/>
    <x v="17"/>
    <s v="L2"/>
    <s v="Planning and Orgnizing"/>
    <s v="Designing with People"/>
    <n v="4"/>
    <x v="0"/>
    <x v="3"/>
    <n v="0"/>
    <n v="0.14000000000000001"/>
    <n v="1"/>
    <n v="0"/>
    <m/>
  </r>
  <r>
    <s v="2019-20"/>
    <x v="3"/>
    <x v="17"/>
    <s v="L2"/>
    <s v="Planning and Orgnizing"/>
    <s v="Designing with People"/>
    <n v="4"/>
    <x v="1"/>
    <x v="3"/>
    <n v="1"/>
    <n v="0.14000000000000001"/>
    <n v="1"/>
    <n v="0.14000000000000001"/>
    <m/>
  </r>
  <r>
    <s v="2019-20"/>
    <x v="3"/>
    <x v="17"/>
    <s v="L2"/>
    <s v="Planning and Orgnizing"/>
    <s v="Designing with People"/>
    <n v="5"/>
    <x v="0"/>
    <x v="4"/>
    <n v="0"/>
    <n v="0.11"/>
    <n v="1"/>
    <n v="0"/>
    <m/>
  </r>
  <r>
    <s v="2019-20"/>
    <x v="3"/>
    <x v="17"/>
    <s v="L2"/>
    <s v="Planning and Orgnizing"/>
    <s v="Designing with People"/>
    <n v="5"/>
    <x v="1"/>
    <x v="4"/>
    <n v="1"/>
    <n v="0.11"/>
    <n v="1"/>
    <n v="0.11"/>
    <m/>
  </r>
  <r>
    <s v="2019-20"/>
    <x v="3"/>
    <x v="17"/>
    <s v="L2"/>
    <s v="Planning and Orgnizing"/>
    <s v="Designing with People"/>
    <n v="6"/>
    <x v="0"/>
    <x v="5"/>
    <n v="0"/>
    <n v="0.15"/>
    <n v="1"/>
    <n v="0"/>
    <m/>
  </r>
  <r>
    <s v="2019-20"/>
    <x v="3"/>
    <x v="17"/>
    <s v="L2"/>
    <s v="Planning and Orgnizing"/>
    <s v="Designing with People"/>
    <n v="6"/>
    <x v="1"/>
    <x v="5"/>
    <n v="1"/>
    <n v="0.15"/>
    <n v="1"/>
    <n v="0.15"/>
    <m/>
  </r>
  <r>
    <s v="2019-20"/>
    <x v="3"/>
    <x v="17"/>
    <s v="L2"/>
    <s v="Planning and Orgnizing"/>
    <s v="Designing with People"/>
    <n v="7"/>
    <x v="0"/>
    <x v="6"/>
    <n v="0"/>
    <n v="0.1"/>
    <n v="1"/>
    <n v="0"/>
    <m/>
  </r>
  <r>
    <s v="2019-20"/>
    <x v="3"/>
    <x v="17"/>
    <s v="L2"/>
    <s v="Planning and Orgnizing"/>
    <s v="Designing with People"/>
    <n v="7"/>
    <x v="1"/>
    <x v="6"/>
    <n v="1"/>
    <n v="0.1"/>
    <n v="1"/>
    <n v="0.1"/>
    <m/>
  </r>
  <r>
    <s v="2019-20"/>
    <x v="3"/>
    <x v="17"/>
    <s v="L2"/>
    <s v="Planning and Orgnizing"/>
    <s v="Designing with People"/>
    <n v="8"/>
    <x v="0"/>
    <x v="7"/>
    <n v="0"/>
    <n v="0.1"/>
    <n v="1"/>
    <n v="0"/>
    <m/>
  </r>
  <r>
    <s v="2019-20"/>
    <x v="3"/>
    <x v="17"/>
    <s v="L2"/>
    <s v="Planning and Orgnizing"/>
    <s v="Designing with People"/>
    <n v="8"/>
    <x v="1"/>
    <x v="7"/>
    <n v="1"/>
    <n v="0.1"/>
    <n v="1"/>
    <n v="0.1"/>
    <m/>
  </r>
  <r>
    <s v="2019-20"/>
    <x v="3"/>
    <x v="17"/>
    <s v="L2"/>
    <s v="Planning and Orgnizing"/>
    <s v="Designing with People"/>
    <n v="9"/>
    <x v="0"/>
    <x v="8"/>
    <m/>
    <n v="0.05"/>
    <n v="0.85"/>
    <n v="0"/>
    <m/>
  </r>
  <r>
    <s v="2019-20"/>
    <x v="3"/>
    <x v="17"/>
    <s v="L2"/>
    <s v="Planning and Orgnizing"/>
    <s v="Designing with People"/>
    <n v="9"/>
    <x v="1"/>
    <x v="8"/>
    <m/>
    <n v="0.05"/>
    <n v="0.85"/>
    <n v="0"/>
    <m/>
  </r>
  <r>
    <s v="2019-20"/>
    <x v="3"/>
    <x v="17"/>
    <s v="L2"/>
    <s v="Planning and Orgnizing"/>
    <s v="Designing with People"/>
    <n v="10"/>
    <x v="0"/>
    <x v="8"/>
    <m/>
    <n v="0.05"/>
    <n v="0.85"/>
    <n v="0"/>
    <m/>
  </r>
  <r>
    <s v="2019-20"/>
    <x v="3"/>
    <x v="17"/>
    <s v="L2"/>
    <s v="Planning and Orgnizing"/>
    <s v="Designing with People"/>
    <n v="10"/>
    <x v="1"/>
    <x v="8"/>
    <m/>
    <n v="0.05"/>
    <n v="0.85"/>
    <n v="0"/>
    <m/>
  </r>
  <r>
    <s v="2019-20"/>
    <x v="3"/>
    <x v="17"/>
    <s v="L2"/>
    <s v="Planning and Orgnizing"/>
    <s v="Designing with People"/>
    <n v="11"/>
    <x v="0"/>
    <x v="9"/>
    <n v="0"/>
    <n v="0.05"/>
    <n v="1"/>
    <n v="0"/>
    <m/>
  </r>
  <r>
    <s v="2019-20"/>
    <x v="3"/>
    <x v="17"/>
    <s v="L2"/>
    <s v="Planning and Orgnizing"/>
    <s v="Designing with People"/>
    <n v="11"/>
    <x v="1"/>
    <x v="9"/>
    <n v="1"/>
    <n v="0.05"/>
    <n v="1"/>
    <n v="0.05"/>
    <m/>
  </r>
  <r>
    <s v="2019-20"/>
    <x v="3"/>
    <x v="18"/>
    <s v="L2"/>
    <s v="Constructing and Specifying"/>
    <s v="Where Material Meets Design"/>
    <n v="1"/>
    <x v="0"/>
    <x v="0"/>
    <n v="1"/>
    <n v="0.12"/>
    <n v="1"/>
    <n v="0.12"/>
    <m/>
  </r>
  <r>
    <s v="2019-20"/>
    <x v="3"/>
    <x v="18"/>
    <s v="L2"/>
    <s v="Constructing and Specifying"/>
    <s v="Where Material Meets Design"/>
    <n v="1"/>
    <x v="1"/>
    <x v="0"/>
    <n v="1"/>
    <n v="0.12"/>
    <n v="1"/>
    <n v="0.12"/>
    <m/>
  </r>
  <r>
    <s v="2019-20"/>
    <x v="3"/>
    <x v="18"/>
    <s v="L2"/>
    <s v="Constructing and Specifying"/>
    <s v="Where Material Meets Design"/>
    <n v="2"/>
    <x v="0"/>
    <x v="1"/>
    <n v="1"/>
    <n v="0.08"/>
    <n v="0.8"/>
    <n v="6.4000000000000001E-2"/>
    <m/>
  </r>
  <r>
    <s v="2019-20"/>
    <x v="3"/>
    <x v="18"/>
    <s v="L2"/>
    <s v="Constructing and Specifying"/>
    <s v="Where Material Meets Design"/>
    <n v="2"/>
    <x v="1"/>
    <x v="1"/>
    <n v="1"/>
    <n v="0.08"/>
    <n v="0.8"/>
    <n v="6.4000000000000001E-2"/>
    <m/>
  </r>
  <r>
    <s v="2019-20"/>
    <x v="3"/>
    <x v="18"/>
    <s v="L2"/>
    <s v="Constructing and Specifying"/>
    <s v="Where Material Meets Design"/>
    <n v="3"/>
    <x v="0"/>
    <x v="2"/>
    <n v="1"/>
    <n v="0.05"/>
    <n v="1"/>
    <n v="0.05"/>
    <m/>
  </r>
  <r>
    <s v="2019-20"/>
    <x v="3"/>
    <x v="18"/>
    <s v="L2"/>
    <s v="Constructing and Specifying"/>
    <s v="Where Material Meets Design"/>
    <n v="3"/>
    <x v="1"/>
    <x v="2"/>
    <n v="0"/>
    <n v="0.05"/>
    <n v="1"/>
    <n v="0"/>
    <m/>
  </r>
  <r>
    <s v="2019-20"/>
    <x v="3"/>
    <x v="18"/>
    <s v="L2"/>
    <s v="Constructing and Specifying"/>
    <s v="Where Material Meets Design"/>
    <n v="4"/>
    <x v="0"/>
    <x v="3"/>
    <n v="1"/>
    <n v="0.14000000000000001"/>
    <n v="1"/>
    <n v="0.14000000000000001"/>
    <m/>
  </r>
  <r>
    <s v="2019-20"/>
    <x v="3"/>
    <x v="18"/>
    <s v="L2"/>
    <s v="Constructing and Specifying"/>
    <s v="Where Material Meets Design"/>
    <n v="4"/>
    <x v="1"/>
    <x v="3"/>
    <n v="0"/>
    <n v="0.14000000000000001"/>
    <n v="1"/>
    <n v="0"/>
    <m/>
  </r>
  <r>
    <s v="2019-20"/>
    <x v="3"/>
    <x v="18"/>
    <s v="L2"/>
    <s v="Constructing and Specifying"/>
    <s v="Where Material Meets Design"/>
    <n v="5"/>
    <x v="0"/>
    <x v="4"/>
    <n v="1"/>
    <n v="0.11"/>
    <n v="1"/>
    <n v="0.11"/>
    <m/>
  </r>
  <r>
    <s v="2019-20"/>
    <x v="3"/>
    <x v="18"/>
    <s v="L2"/>
    <s v="Constructing and Specifying"/>
    <s v="Where Material Meets Design"/>
    <n v="5"/>
    <x v="1"/>
    <x v="4"/>
    <n v="0"/>
    <n v="0.11"/>
    <n v="1"/>
    <n v="0"/>
    <m/>
  </r>
  <r>
    <s v="2019-20"/>
    <x v="3"/>
    <x v="18"/>
    <s v="L2"/>
    <s v="Constructing and Specifying"/>
    <s v="Where Material Meets Design"/>
    <n v="6"/>
    <x v="0"/>
    <x v="5"/>
    <n v="0"/>
    <n v="0.15"/>
    <n v="1"/>
    <n v="0"/>
    <m/>
  </r>
  <r>
    <s v="2019-20"/>
    <x v="3"/>
    <x v="18"/>
    <s v="L2"/>
    <s v="Constructing and Specifying"/>
    <s v="Where Material Meets Design"/>
    <n v="6"/>
    <x v="1"/>
    <x v="5"/>
    <n v="0"/>
    <n v="0.15"/>
    <n v="1"/>
    <n v="0"/>
    <s v="Some of the work is not so complete"/>
  </r>
  <r>
    <s v="2019-20"/>
    <x v="3"/>
    <x v="18"/>
    <s v="L2"/>
    <s v="Constructing and Specifying"/>
    <s v="Where Material Meets Design"/>
    <n v="7"/>
    <x v="0"/>
    <x v="6"/>
    <n v="0"/>
    <n v="0.1"/>
    <n v="1"/>
    <n v="0"/>
    <m/>
  </r>
  <r>
    <s v="2019-20"/>
    <x v="3"/>
    <x v="18"/>
    <s v="L2"/>
    <s v="Constructing and Specifying"/>
    <s v="Where Material Meets Design"/>
    <n v="7"/>
    <x v="1"/>
    <x v="6"/>
    <n v="0"/>
    <n v="0.1"/>
    <n v="1"/>
    <n v="0"/>
    <s v="Same as Q6"/>
  </r>
  <r>
    <s v="2019-20"/>
    <x v="3"/>
    <x v="18"/>
    <s v="L2"/>
    <s v="Constructing and Specifying"/>
    <s v="Where Material Meets Design"/>
    <n v="8"/>
    <x v="0"/>
    <x v="7"/>
    <n v="0"/>
    <n v="0.1"/>
    <n v="1"/>
    <n v="0"/>
    <m/>
  </r>
  <r>
    <s v="2019-20"/>
    <x v="3"/>
    <x v="18"/>
    <s v="L2"/>
    <s v="Constructing and Specifying"/>
    <s v="Where Material Meets Design"/>
    <n v="8"/>
    <x v="1"/>
    <x v="7"/>
    <n v="0"/>
    <n v="0.1"/>
    <n v="1"/>
    <n v="0"/>
    <m/>
  </r>
  <r>
    <s v="2019-20"/>
    <x v="3"/>
    <x v="18"/>
    <s v="L2"/>
    <s v="Constructing and Specifying"/>
    <s v="Where Material Meets Design"/>
    <n v="9"/>
    <x v="0"/>
    <x v="8"/>
    <m/>
    <n v="0.05"/>
    <n v="0.85"/>
    <n v="0"/>
    <m/>
  </r>
  <r>
    <s v="2019-20"/>
    <x v="3"/>
    <x v="18"/>
    <s v="L2"/>
    <s v="Constructing and Specifying"/>
    <s v="Where Material Meets Design"/>
    <n v="9"/>
    <x v="1"/>
    <x v="8"/>
    <m/>
    <n v="0.05"/>
    <n v="0.85"/>
    <n v="0"/>
    <m/>
  </r>
  <r>
    <s v="2019-20"/>
    <x v="3"/>
    <x v="18"/>
    <s v="L2"/>
    <s v="Constructing and Specifying"/>
    <s v="Where Material Meets Design"/>
    <n v="10"/>
    <x v="0"/>
    <x v="8"/>
    <m/>
    <n v="0.05"/>
    <n v="0.85"/>
    <n v="0"/>
    <m/>
  </r>
  <r>
    <s v="2019-20"/>
    <x v="3"/>
    <x v="18"/>
    <s v="L2"/>
    <s v="Constructing and Specifying"/>
    <s v="Where Material Meets Design"/>
    <n v="10"/>
    <x v="1"/>
    <x v="8"/>
    <m/>
    <n v="0.05"/>
    <n v="0.85"/>
    <n v="0"/>
    <m/>
  </r>
  <r>
    <s v="2019-20"/>
    <x v="3"/>
    <x v="18"/>
    <s v="L2"/>
    <s v="Constructing and Specifying"/>
    <s v="Where Material Meets Design"/>
    <n v="11"/>
    <x v="0"/>
    <x v="9"/>
    <n v="0"/>
    <n v="0.05"/>
    <n v="1"/>
    <n v="0"/>
    <m/>
  </r>
  <r>
    <s v="2019-20"/>
    <x v="3"/>
    <x v="18"/>
    <s v="L2"/>
    <s v="Constructing and Specifying"/>
    <s v="Where Material Meets Design"/>
    <n v="11"/>
    <x v="1"/>
    <x v="9"/>
    <n v="0"/>
    <n v="0.05"/>
    <n v="1"/>
    <n v="0"/>
    <s v="Some projects are not as good as some of the others. Perhaps this studio, with its dependence on model-making, was more affected by the Covid-19 lockdown."/>
  </r>
  <r>
    <s v="2019-20"/>
    <x v="3"/>
    <x v="25"/>
    <s v="L2"/>
    <s v="Constructing and Specifying"/>
    <s v="Space Kinematics"/>
    <n v="1"/>
    <x v="0"/>
    <x v="0"/>
    <n v="1"/>
    <n v="0.12"/>
    <n v="1"/>
    <n v="0.12"/>
    <m/>
  </r>
  <r>
    <s v="2019-20"/>
    <x v="3"/>
    <x v="25"/>
    <s v="L2"/>
    <s v="Constructing and Specifying"/>
    <s v="Space Kinematics"/>
    <n v="1"/>
    <x v="1"/>
    <x v="0"/>
    <n v="0"/>
    <n v="0.12"/>
    <n v="1"/>
    <n v="0.12"/>
    <m/>
  </r>
  <r>
    <s v="2019-20"/>
    <x v="3"/>
    <x v="25"/>
    <s v="L2"/>
    <s v="Constructing and Specifying"/>
    <s v="Space Kinematics"/>
    <n v="2"/>
    <x v="0"/>
    <x v="1"/>
    <n v="0"/>
    <n v="0.08"/>
    <n v="0.8"/>
    <n v="0"/>
    <m/>
  </r>
  <r>
    <s v="2019-20"/>
    <x v="3"/>
    <x v="25"/>
    <s v="L2"/>
    <s v="Constructing and Specifying"/>
    <s v="Space Kinematics"/>
    <n v="2"/>
    <x v="1"/>
    <x v="1"/>
    <n v="1"/>
    <n v="0.08"/>
    <n v="0.8"/>
    <n v="6.4000000000000001E-2"/>
    <m/>
  </r>
  <r>
    <s v="2019-20"/>
    <x v="3"/>
    <x v="25"/>
    <s v="L2"/>
    <s v="Constructing and Specifying"/>
    <s v="Space Kinematics"/>
    <n v="3"/>
    <x v="0"/>
    <x v="2"/>
    <n v="1"/>
    <n v="0.05"/>
    <n v="1"/>
    <n v="0.05"/>
    <m/>
  </r>
  <r>
    <s v="2019-20"/>
    <x v="3"/>
    <x v="25"/>
    <s v="L2"/>
    <s v="Constructing and Specifying"/>
    <s v="Space Kinematics"/>
    <n v="3"/>
    <x v="1"/>
    <x v="2"/>
    <n v="0"/>
    <n v="0.05"/>
    <n v="1"/>
    <n v="0"/>
    <m/>
  </r>
  <r>
    <s v="2019-20"/>
    <x v="3"/>
    <x v="25"/>
    <s v="L2"/>
    <s v="Constructing and Specifying"/>
    <s v="Space Kinematics"/>
    <n v="4"/>
    <x v="0"/>
    <x v="3"/>
    <n v="0"/>
    <n v="0.14000000000000001"/>
    <n v="1"/>
    <n v="0"/>
    <m/>
  </r>
  <r>
    <s v="2019-20"/>
    <x v="3"/>
    <x v="25"/>
    <s v="L2"/>
    <s v="Constructing and Specifying"/>
    <s v="Space Kinematics"/>
    <n v="4"/>
    <x v="1"/>
    <x v="3"/>
    <n v="1"/>
    <n v="0.14000000000000001"/>
    <n v="1"/>
    <n v="0.14000000000000001"/>
    <m/>
  </r>
  <r>
    <s v="2019-20"/>
    <x v="3"/>
    <x v="25"/>
    <s v="L2"/>
    <s v="Constructing and Specifying"/>
    <s v="Space Kinematics"/>
    <n v="5"/>
    <x v="0"/>
    <x v="4"/>
    <n v="0"/>
    <n v="0.11"/>
    <n v="1"/>
    <n v="0"/>
    <m/>
  </r>
  <r>
    <s v="2019-20"/>
    <x v="3"/>
    <x v="25"/>
    <s v="L2"/>
    <s v="Constructing and Specifying"/>
    <s v="Space Kinematics"/>
    <n v="5"/>
    <x v="1"/>
    <x v="4"/>
    <n v="0"/>
    <n v="0.11"/>
    <n v="1"/>
    <n v="0"/>
    <m/>
  </r>
  <r>
    <s v="2019-20"/>
    <x v="3"/>
    <x v="25"/>
    <s v="L2"/>
    <s v="Constructing and Specifying"/>
    <s v="Space Kinematics"/>
    <n v="6"/>
    <x v="0"/>
    <x v="5"/>
    <n v="0"/>
    <n v="0.15"/>
    <n v="1"/>
    <n v="0"/>
    <m/>
  </r>
  <r>
    <s v="2019-20"/>
    <x v="3"/>
    <x v="25"/>
    <s v="L2"/>
    <s v="Constructing and Specifying"/>
    <s v="Space Kinematics"/>
    <n v="6"/>
    <x v="1"/>
    <x v="5"/>
    <n v="0"/>
    <n v="0.15"/>
    <n v="1"/>
    <n v="0"/>
    <m/>
  </r>
  <r>
    <s v="2019-20"/>
    <x v="3"/>
    <x v="25"/>
    <s v="L2"/>
    <s v="Constructing and Specifying"/>
    <s v="Space Kinematics"/>
    <n v="7"/>
    <x v="0"/>
    <x v="6"/>
    <n v="0"/>
    <n v="0.1"/>
    <n v="1"/>
    <n v="0"/>
    <m/>
  </r>
  <r>
    <s v="2019-20"/>
    <x v="3"/>
    <x v="25"/>
    <s v="L2"/>
    <s v="Constructing and Specifying"/>
    <s v="Space Kinematics"/>
    <n v="7"/>
    <x v="1"/>
    <x v="6"/>
    <n v="1"/>
    <n v="0.1"/>
    <n v="1"/>
    <n v="0.1"/>
    <m/>
  </r>
  <r>
    <s v="2019-20"/>
    <x v="3"/>
    <x v="25"/>
    <s v="L2"/>
    <s v="Constructing and Specifying"/>
    <s v="Space Kinematics"/>
    <n v="8"/>
    <x v="0"/>
    <x v="7"/>
    <n v="0"/>
    <n v="0.1"/>
    <n v="1"/>
    <n v="0"/>
    <m/>
  </r>
  <r>
    <s v="2019-20"/>
    <x v="3"/>
    <x v="25"/>
    <s v="L2"/>
    <s v="Constructing and Specifying"/>
    <s v="Space Kinematics"/>
    <n v="8"/>
    <x v="1"/>
    <x v="7"/>
    <n v="1"/>
    <n v="0.1"/>
    <n v="1"/>
    <n v="0.1"/>
    <m/>
  </r>
  <r>
    <s v="2019-20"/>
    <x v="3"/>
    <x v="25"/>
    <s v="L2"/>
    <s v="Constructing and Specifying"/>
    <s v="Space Kinematics"/>
    <n v="9"/>
    <x v="0"/>
    <x v="8"/>
    <m/>
    <n v="0.05"/>
    <n v="0.85"/>
    <n v="0"/>
    <m/>
  </r>
  <r>
    <s v="2019-20"/>
    <x v="3"/>
    <x v="25"/>
    <s v="L2"/>
    <s v="Constructing and Specifying"/>
    <s v="Space Kinematics"/>
    <n v="9"/>
    <x v="1"/>
    <x v="8"/>
    <m/>
    <n v="0.05"/>
    <n v="0.85"/>
    <n v="0"/>
    <m/>
  </r>
  <r>
    <s v="2019-20"/>
    <x v="3"/>
    <x v="25"/>
    <s v="L2"/>
    <s v="Constructing and Specifying"/>
    <s v="Space Kinematics"/>
    <n v="10"/>
    <x v="0"/>
    <x v="8"/>
    <m/>
    <n v="0.05"/>
    <n v="0.85"/>
    <n v="0"/>
    <m/>
  </r>
  <r>
    <s v="2019-20"/>
    <x v="3"/>
    <x v="25"/>
    <s v="L2"/>
    <s v="Constructing and Specifying"/>
    <s v="Space Kinematics"/>
    <n v="10"/>
    <x v="1"/>
    <x v="8"/>
    <n v="0"/>
    <n v="0.05"/>
    <n v="0.85"/>
    <n v="0"/>
    <m/>
  </r>
  <r>
    <s v="2019-20"/>
    <x v="3"/>
    <x v="25"/>
    <s v="L2"/>
    <s v="Constructing and Specifying"/>
    <s v="Space Kinematics"/>
    <n v="11"/>
    <x v="0"/>
    <x v="9"/>
    <n v="0"/>
    <n v="0.05"/>
    <n v="1"/>
    <n v="0"/>
    <m/>
  </r>
  <r>
    <s v="2019-20"/>
    <x v="3"/>
    <x v="25"/>
    <s v="L2"/>
    <s v="Constructing and Specifying"/>
    <s v="Space Kinematics"/>
    <n v="11"/>
    <x v="1"/>
    <x v="9"/>
    <m/>
    <n v="0.05"/>
    <n v="1"/>
    <n v="0"/>
    <m/>
  </r>
  <r>
    <s v="2019-20"/>
    <x v="3"/>
    <x v="32"/>
    <s v="L2"/>
    <s v="Planning and Orgnizing"/>
    <s v="Humane Habitat: The alchemy of place, people and palimpsest"/>
    <n v="1"/>
    <x v="0"/>
    <x v="0"/>
    <n v="1"/>
    <n v="0.12"/>
    <n v="1"/>
    <n v="0.12"/>
    <m/>
  </r>
  <r>
    <s v="2019-20"/>
    <x v="3"/>
    <x v="32"/>
    <s v="L2"/>
    <s v="Planning and Orgnizing"/>
    <s v="Humane Habitat: The alchemy of place, people and palimpsest"/>
    <n v="1"/>
    <x v="1"/>
    <x v="0"/>
    <n v="0"/>
    <n v="0.12"/>
    <n v="1"/>
    <n v="0.12"/>
    <m/>
  </r>
  <r>
    <s v="2019-20"/>
    <x v="3"/>
    <x v="32"/>
    <s v="L2"/>
    <s v="Planning and Orgnizing"/>
    <s v="Humane Habitat: The alchemy of place, people and palimpsest"/>
    <n v="2"/>
    <x v="0"/>
    <x v="1"/>
    <n v="1"/>
    <n v="0.08"/>
    <n v="0.8"/>
    <n v="6.4000000000000001E-2"/>
    <m/>
  </r>
  <r>
    <s v="2019-20"/>
    <x v="3"/>
    <x v="32"/>
    <s v="L2"/>
    <s v="Planning and Orgnizing"/>
    <s v="Humane Habitat: The alchemy of place, people and palimpsest"/>
    <n v="2"/>
    <x v="1"/>
    <x v="1"/>
    <n v="0"/>
    <n v="0.08"/>
    <n v="0.8"/>
    <n v="0"/>
    <m/>
  </r>
  <r>
    <s v="2019-20"/>
    <x v="3"/>
    <x v="32"/>
    <s v="L2"/>
    <s v="Planning and Orgnizing"/>
    <s v="Humane Habitat: The alchemy of place, people and palimpsest"/>
    <n v="3"/>
    <x v="0"/>
    <x v="2"/>
    <n v="1"/>
    <n v="0.05"/>
    <n v="1"/>
    <n v="0.05"/>
    <m/>
  </r>
  <r>
    <s v="2019-20"/>
    <x v="3"/>
    <x v="32"/>
    <s v="L2"/>
    <s v="Planning and Orgnizing"/>
    <s v="Humane Habitat: The alchemy of place, people and palimpsest"/>
    <n v="3"/>
    <x v="1"/>
    <x v="2"/>
    <n v="0"/>
    <n v="0.05"/>
    <n v="1"/>
    <n v="0"/>
    <m/>
  </r>
  <r>
    <s v="2019-20"/>
    <x v="3"/>
    <x v="32"/>
    <s v="L2"/>
    <s v="Planning and Orgnizing"/>
    <s v="Humane Habitat: The alchemy of place, people and palimpsest"/>
    <n v="4"/>
    <x v="0"/>
    <x v="3"/>
    <n v="0"/>
    <n v="0.14000000000000001"/>
    <n v="1"/>
    <n v="0"/>
    <m/>
  </r>
  <r>
    <s v="2019-20"/>
    <x v="3"/>
    <x v="32"/>
    <s v="L2"/>
    <s v="Planning and Orgnizing"/>
    <s v="Humane Habitat: The alchemy of place, people and palimpsest"/>
    <n v="4"/>
    <x v="1"/>
    <x v="3"/>
    <n v="-1"/>
    <n v="0.14000000000000001"/>
    <n v="1"/>
    <n v="-0.14000000000000001"/>
    <m/>
  </r>
  <r>
    <s v="2019-20"/>
    <x v="3"/>
    <x v="32"/>
    <s v="L2"/>
    <s v="Planning and Orgnizing"/>
    <s v="Humane Habitat: The alchemy of place, people and palimpsest"/>
    <n v="5"/>
    <x v="0"/>
    <x v="4"/>
    <n v="0"/>
    <n v="0.11"/>
    <n v="1"/>
    <n v="0"/>
    <m/>
  </r>
  <r>
    <s v="2019-20"/>
    <x v="3"/>
    <x v="32"/>
    <s v="L2"/>
    <s v="Planning and Orgnizing"/>
    <s v="Humane Habitat: The alchemy of place, people and palimpsest"/>
    <n v="5"/>
    <x v="1"/>
    <x v="4"/>
    <n v="-1"/>
    <n v="0.11"/>
    <n v="1"/>
    <n v="-0.11"/>
    <m/>
  </r>
  <r>
    <s v="2019-20"/>
    <x v="3"/>
    <x v="32"/>
    <s v="L2"/>
    <s v="Planning and Orgnizing"/>
    <s v="Humane Habitat: The alchemy of place, people and palimpsest"/>
    <n v="6"/>
    <x v="0"/>
    <x v="5"/>
    <n v="0"/>
    <n v="0.15"/>
    <n v="1"/>
    <n v="0"/>
    <m/>
  </r>
  <r>
    <s v="2019-20"/>
    <x v="3"/>
    <x v="32"/>
    <s v="L2"/>
    <s v="Planning and Orgnizing"/>
    <s v="Humane Habitat: The alchemy of place, people and palimpsest"/>
    <n v="6"/>
    <x v="1"/>
    <x v="5"/>
    <n v="-1"/>
    <n v="0.15"/>
    <n v="1"/>
    <n v="-0.15"/>
    <m/>
  </r>
  <r>
    <s v="2019-20"/>
    <x v="3"/>
    <x v="32"/>
    <s v="L2"/>
    <s v="Planning and Orgnizing"/>
    <s v="Humane Habitat: The alchemy of place, people and palimpsest"/>
    <n v="7"/>
    <x v="0"/>
    <x v="6"/>
    <n v="0"/>
    <n v="0.1"/>
    <n v="1"/>
    <n v="0"/>
    <m/>
  </r>
  <r>
    <s v="2019-20"/>
    <x v="3"/>
    <x v="32"/>
    <s v="L2"/>
    <s v="Planning and Orgnizing"/>
    <s v="Humane Habitat: The alchemy of place, people and palimpsest"/>
    <n v="7"/>
    <x v="1"/>
    <x v="6"/>
    <n v="-1"/>
    <n v="0.1"/>
    <n v="1"/>
    <n v="-0.1"/>
    <m/>
  </r>
  <r>
    <s v="2019-20"/>
    <x v="3"/>
    <x v="32"/>
    <s v="L2"/>
    <s v="Planning and Orgnizing"/>
    <s v="Humane Habitat: The alchemy of place, people and palimpsest"/>
    <n v="8"/>
    <x v="0"/>
    <x v="7"/>
    <n v="1"/>
    <n v="0.1"/>
    <n v="1"/>
    <n v="0.1"/>
    <m/>
  </r>
  <r>
    <s v="2019-20"/>
    <x v="3"/>
    <x v="32"/>
    <s v="L2"/>
    <s v="Planning and Orgnizing"/>
    <s v="Humane Habitat: The alchemy of place, people and palimpsest"/>
    <n v="8"/>
    <x v="1"/>
    <x v="7"/>
    <n v="-1"/>
    <n v="0.1"/>
    <n v="1"/>
    <n v="-0.1"/>
    <m/>
  </r>
  <r>
    <s v="2019-20"/>
    <x v="3"/>
    <x v="32"/>
    <s v="L2"/>
    <s v="Planning and Orgnizing"/>
    <s v="Humane Habitat: The alchemy of place, people and palimpsest"/>
    <n v="9"/>
    <x v="0"/>
    <x v="8"/>
    <m/>
    <n v="0.05"/>
    <n v="0.85"/>
    <n v="0"/>
    <m/>
  </r>
  <r>
    <s v="2019-20"/>
    <x v="3"/>
    <x v="32"/>
    <s v="L2"/>
    <s v="Planning and Orgnizing"/>
    <s v="Humane Habitat: The alchemy of place, people and palimpsest"/>
    <n v="9"/>
    <x v="1"/>
    <x v="8"/>
    <m/>
    <n v="0.05"/>
    <n v="0.85"/>
    <n v="0"/>
    <m/>
  </r>
  <r>
    <s v="2019-20"/>
    <x v="3"/>
    <x v="32"/>
    <s v="L2"/>
    <s v="Planning and Orgnizing"/>
    <s v="Humane Habitat: The alchemy of place, people and palimpsest"/>
    <n v="10"/>
    <x v="0"/>
    <x v="8"/>
    <m/>
    <n v="0.05"/>
    <n v="0.85"/>
    <n v="0"/>
    <m/>
  </r>
  <r>
    <s v="2019-20"/>
    <x v="3"/>
    <x v="32"/>
    <s v="L2"/>
    <s v="Planning and Orgnizing"/>
    <s v="Humane Habitat: The alchemy of place, people and palimpsest"/>
    <n v="10"/>
    <x v="1"/>
    <x v="8"/>
    <m/>
    <n v="0.05"/>
    <n v="0.85"/>
    <n v="0"/>
    <m/>
  </r>
  <r>
    <s v="2019-20"/>
    <x v="3"/>
    <x v="32"/>
    <s v="L2"/>
    <s v="Planning and Orgnizing"/>
    <s v="Humane Habitat: The alchemy of place, people and palimpsest"/>
    <n v="11"/>
    <x v="0"/>
    <x v="9"/>
    <n v="0"/>
    <n v="0.05"/>
    <n v="1"/>
    <n v="0"/>
    <m/>
  </r>
  <r>
    <s v="2019-20"/>
    <x v="3"/>
    <x v="32"/>
    <s v="L2"/>
    <s v="Planning and Orgnizing"/>
    <s v="Humane Habitat: The alchemy of place, people and palimpsest"/>
    <n v="11"/>
    <x v="1"/>
    <x v="9"/>
    <n v="-1"/>
    <n v="0.05"/>
    <n v="1"/>
    <n v="-0.05"/>
    <m/>
  </r>
  <r>
    <s v="2019-20"/>
    <x v="3"/>
    <x v="27"/>
    <s v="L2"/>
    <s v="Planning and Orgnizing"/>
    <s v="The Joy of Architecture"/>
    <n v="1"/>
    <x v="0"/>
    <x v="0"/>
    <n v="1"/>
    <n v="0.12"/>
    <n v="1"/>
    <n v="0.12"/>
    <m/>
  </r>
  <r>
    <s v="2019-20"/>
    <x v="3"/>
    <x v="27"/>
    <s v="L2"/>
    <s v="Planning and Orgnizing"/>
    <s v="The Joy of Architecture"/>
    <n v="1"/>
    <x v="1"/>
    <x v="0"/>
    <n v="1"/>
    <n v="0.12"/>
    <n v="1"/>
    <n v="0.12"/>
    <m/>
  </r>
  <r>
    <s v="2019-20"/>
    <x v="3"/>
    <x v="27"/>
    <s v="L2"/>
    <s v="Planning and Orgnizing"/>
    <s v="The Joy of Architecture"/>
    <n v="2"/>
    <x v="0"/>
    <x v="1"/>
    <n v="1"/>
    <n v="0.08"/>
    <n v="0.8"/>
    <n v="6.4000000000000001E-2"/>
    <m/>
  </r>
  <r>
    <s v="2019-20"/>
    <x v="3"/>
    <x v="27"/>
    <s v="L2"/>
    <s v="Planning and Orgnizing"/>
    <s v="The Joy of Architecture"/>
    <n v="2"/>
    <x v="1"/>
    <x v="1"/>
    <n v="1"/>
    <n v="0.08"/>
    <n v="0.8"/>
    <n v="6.4000000000000001E-2"/>
    <m/>
  </r>
  <r>
    <s v="2019-20"/>
    <x v="3"/>
    <x v="27"/>
    <s v="L2"/>
    <s v="Planning and Orgnizing"/>
    <s v="The Joy of Architecture"/>
    <n v="3"/>
    <x v="0"/>
    <x v="2"/>
    <n v="1"/>
    <n v="0.05"/>
    <n v="1"/>
    <n v="0.05"/>
    <m/>
  </r>
  <r>
    <s v="2019-20"/>
    <x v="3"/>
    <x v="27"/>
    <s v="L2"/>
    <s v="Planning and Orgnizing"/>
    <s v="The Joy of Architecture"/>
    <n v="3"/>
    <x v="1"/>
    <x v="2"/>
    <n v="1"/>
    <n v="0.05"/>
    <n v="1"/>
    <n v="0.05"/>
    <m/>
  </r>
  <r>
    <s v="2019-20"/>
    <x v="3"/>
    <x v="27"/>
    <s v="L2"/>
    <s v="Planning and Orgnizing"/>
    <s v="The Joy of Architecture"/>
    <n v="4"/>
    <x v="0"/>
    <x v="3"/>
    <n v="1"/>
    <n v="0.14000000000000001"/>
    <n v="1"/>
    <n v="0.14000000000000001"/>
    <m/>
  </r>
  <r>
    <s v="2019-20"/>
    <x v="3"/>
    <x v="27"/>
    <s v="L2"/>
    <s v="Planning and Orgnizing"/>
    <s v="The Joy of Architecture"/>
    <n v="4"/>
    <x v="1"/>
    <x v="3"/>
    <n v="0"/>
    <n v="0.14000000000000001"/>
    <n v="1"/>
    <n v="0"/>
    <m/>
  </r>
  <r>
    <s v="2019-20"/>
    <x v="3"/>
    <x v="27"/>
    <s v="L2"/>
    <s v="Planning and Orgnizing"/>
    <s v="The Joy of Architecture"/>
    <n v="5"/>
    <x v="0"/>
    <x v="4"/>
    <n v="1"/>
    <n v="0.11"/>
    <n v="1"/>
    <n v="0.11"/>
    <m/>
  </r>
  <r>
    <s v="2019-20"/>
    <x v="3"/>
    <x v="27"/>
    <s v="L2"/>
    <s v="Planning and Orgnizing"/>
    <s v="The Joy of Architecture"/>
    <n v="5"/>
    <x v="1"/>
    <x v="4"/>
    <n v="0"/>
    <n v="0.11"/>
    <n v="1"/>
    <n v="0"/>
    <m/>
  </r>
  <r>
    <s v="2019-20"/>
    <x v="3"/>
    <x v="27"/>
    <s v="L2"/>
    <s v="Planning and Orgnizing"/>
    <s v="The Joy of Architecture"/>
    <n v="6"/>
    <x v="0"/>
    <x v="5"/>
    <n v="1"/>
    <n v="0.15"/>
    <n v="1"/>
    <n v="0.15"/>
    <m/>
  </r>
  <r>
    <s v="2019-20"/>
    <x v="3"/>
    <x v="27"/>
    <s v="L2"/>
    <s v="Planning and Orgnizing"/>
    <s v="The Joy of Architecture"/>
    <n v="6"/>
    <x v="1"/>
    <x v="5"/>
    <n v="0"/>
    <n v="0.15"/>
    <n v="1"/>
    <n v="0"/>
    <m/>
  </r>
  <r>
    <s v="2019-20"/>
    <x v="3"/>
    <x v="27"/>
    <s v="L2"/>
    <s v="Planning and Orgnizing"/>
    <s v="The Joy of Architecture"/>
    <n v="7"/>
    <x v="0"/>
    <x v="6"/>
    <n v="1"/>
    <n v="0.1"/>
    <n v="1"/>
    <n v="0.1"/>
    <m/>
  </r>
  <r>
    <s v="2019-20"/>
    <x v="3"/>
    <x v="27"/>
    <s v="L2"/>
    <s v="Planning and Orgnizing"/>
    <s v="The Joy of Architecture"/>
    <n v="7"/>
    <x v="1"/>
    <x v="6"/>
    <n v="0"/>
    <n v="0.1"/>
    <n v="1"/>
    <n v="0"/>
    <m/>
  </r>
  <r>
    <s v="2019-20"/>
    <x v="3"/>
    <x v="27"/>
    <s v="L2"/>
    <s v="Planning and Orgnizing"/>
    <s v="The Joy of Architecture"/>
    <n v="8"/>
    <x v="0"/>
    <x v="7"/>
    <n v="1"/>
    <n v="0.1"/>
    <n v="1"/>
    <n v="0.1"/>
    <m/>
  </r>
  <r>
    <s v="2019-20"/>
    <x v="3"/>
    <x v="27"/>
    <s v="L2"/>
    <s v="Planning and Orgnizing"/>
    <s v="The Joy of Architecture"/>
    <n v="8"/>
    <x v="1"/>
    <x v="7"/>
    <n v="0"/>
    <n v="0.1"/>
    <n v="1"/>
    <n v="0"/>
    <m/>
  </r>
  <r>
    <s v="2019-20"/>
    <x v="3"/>
    <x v="27"/>
    <s v="L2"/>
    <s v="Planning and Orgnizing"/>
    <s v="The Joy of Architecture"/>
    <n v="9"/>
    <x v="0"/>
    <x v="8"/>
    <m/>
    <n v="0.05"/>
    <n v="0.85"/>
    <n v="0"/>
    <m/>
  </r>
  <r>
    <s v="2019-20"/>
    <x v="3"/>
    <x v="27"/>
    <s v="L2"/>
    <s v="Planning and Orgnizing"/>
    <s v="The Joy of Architecture"/>
    <n v="9"/>
    <x v="1"/>
    <x v="8"/>
    <m/>
    <n v="0.05"/>
    <n v="0.85"/>
    <n v="0"/>
    <m/>
  </r>
  <r>
    <s v="2019-20"/>
    <x v="3"/>
    <x v="27"/>
    <s v="L2"/>
    <s v="Planning and Orgnizing"/>
    <s v="The Joy of Architecture"/>
    <n v="10"/>
    <x v="0"/>
    <x v="8"/>
    <m/>
    <n v="0.05"/>
    <n v="0.85"/>
    <n v="0"/>
    <m/>
  </r>
  <r>
    <s v="2019-20"/>
    <x v="3"/>
    <x v="27"/>
    <s v="L2"/>
    <s v="Planning and Orgnizing"/>
    <s v="The Joy of Architecture"/>
    <n v="10"/>
    <x v="1"/>
    <x v="8"/>
    <m/>
    <n v="0.05"/>
    <n v="0.85"/>
    <n v="0"/>
    <m/>
  </r>
  <r>
    <s v="2019-20"/>
    <x v="3"/>
    <x v="27"/>
    <s v="L2"/>
    <s v="Planning and Orgnizing"/>
    <s v="The Joy of Architecture"/>
    <n v="11"/>
    <x v="0"/>
    <x v="9"/>
    <n v="1"/>
    <n v="0.05"/>
    <n v="1"/>
    <n v="0.05"/>
    <m/>
  </r>
  <r>
    <s v="2019-20"/>
    <x v="3"/>
    <x v="27"/>
    <s v="L2"/>
    <s v="Planning and Orgnizing"/>
    <s v="The Joy of Architecture"/>
    <n v="11"/>
    <x v="1"/>
    <x v="9"/>
    <n v="0"/>
    <n v="0.05"/>
    <n v="1"/>
    <n v="0"/>
    <m/>
  </r>
  <r>
    <s v="2019-20"/>
    <x v="3"/>
    <x v="28"/>
    <s v="L2"/>
    <s v="Planning and Orgnizing"/>
    <s v="Climate Responsive Architecture"/>
    <n v="1"/>
    <x v="0"/>
    <x v="0"/>
    <n v="1"/>
    <n v="0.12"/>
    <n v="1"/>
    <n v="0.12"/>
    <m/>
  </r>
  <r>
    <s v="2019-20"/>
    <x v="3"/>
    <x v="28"/>
    <s v="L2"/>
    <s v="Planning and Orgnizing"/>
    <s v="Climate Responsive Architecture"/>
    <n v="1"/>
    <x v="1"/>
    <x v="0"/>
    <n v="1"/>
    <n v="0.12"/>
    <n v="1"/>
    <n v="0.12"/>
    <m/>
  </r>
  <r>
    <s v="2019-20"/>
    <x v="3"/>
    <x v="28"/>
    <s v="L2"/>
    <s v="Planning and Orgnizing"/>
    <s v="Climate Responsive Architecture"/>
    <n v="2"/>
    <x v="0"/>
    <x v="1"/>
    <n v="1"/>
    <n v="0.08"/>
    <n v="0.8"/>
    <n v="6.4000000000000001E-2"/>
    <m/>
  </r>
  <r>
    <s v="2019-20"/>
    <x v="3"/>
    <x v="28"/>
    <s v="L2"/>
    <s v="Planning and Orgnizing"/>
    <s v="Climate Responsive Architecture"/>
    <n v="2"/>
    <x v="1"/>
    <x v="1"/>
    <n v="1"/>
    <n v="0.08"/>
    <n v="0.8"/>
    <n v="6.4000000000000001E-2"/>
    <m/>
  </r>
  <r>
    <s v="2019-20"/>
    <x v="3"/>
    <x v="28"/>
    <s v="L2"/>
    <s v="Planning and Orgnizing"/>
    <s v="Climate Responsive Architecture"/>
    <n v="3"/>
    <x v="0"/>
    <x v="2"/>
    <n v="1"/>
    <n v="0.05"/>
    <n v="1"/>
    <n v="0.05"/>
    <m/>
  </r>
  <r>
    <s v="2019-20"/>
    <x v="3"/>
    <x v="28"/>
    <s v="L2"/>
    <s v="Planning and Orgnizing"/>
    <s v="Climate Responsive Architecture"/>
    <n v="3"/>
    <x v="1"/>
    <x v="2"/>
    <n v="1"/>
    <n v="0.05"/>
    <n v="1"/>
    <n v="0.05"/>
    <m/>
  </r>
  <r>
    <s v="2019-20"/>
    <x v="3"/>
    <x v="28"/>
    <s v="L2"/>
    <s v="Planning and Orgnizing"/>
    <s v="Climate Responsive Architecture"/>
    <n v="4"/>
    <x v="0"/>
    <x v="3"/>
    <n v="0"/>
    <n v="0.14000000000000001"/>
    <n v="1"/>
    <n v="0"/>
    <m/>
  </r>
  <r>
    <s v="2019-20"/>
    <x v="3"/>
    <x v="28"/>
    <s v="L2"/>
    <s v="Planning and Orgnizing"/>
    <s v="Climate Responsive Architecture"/>
    <n v="4"/>
    <x v="1"/>
    <x v="3"/>
    <n v="0"/>
    <n v="0.14000000000000001"/>
    <n v="1"/>
    <n v="0"/>
    <m/>
  </r>
  <r>
    <s v="2019-20"/>
    <x v="3"/>
    <x v="28"/>
    <s v="L2"/>
    <s v="Planning and Orgnizing"/>
    <s v="Climate Responsive Architecture"/>
    <n v="5"/>
    <x v="0"/>
    <x v="4"/>
    <n v="1"/>
    <n v="0.11"/>
    <n v="1"/>
    <n v="0.11"/>
    <m/>
  </r>
  <r>
    <s v="2019-20"/>
    <x v="3"/>
    <x v="28"/>
    <s v="L2"/>
    <s v="Planning and Orgnizing"/>
    <s v="Climate Responsive Architecture"/>
    <n v="5"/>
    <x v="1"/>
    <x v="4"/>
    <n v="0"/>
    <n v="0.11"/>
    <n v="1"/>
    <n v="0"/>
    <m/>
  </r>
  <r>
    <s v="2019-20"/>
    <x v="3"/>
    <x v="28"/>
    <s v="L2"/>
    <s v="Planning and Orgnizing"/>
    <s v="Climate Responsive Architecture"/>
    <n v="6"/>
    <x v="0"/>
    <x v="5"/>
    <n v="0"/>
    <n v="0.15"/>
    <n v="1"/>
    <n v="0"/>
    <m/>
  </r>
  <r>
    <s v="2019-20"/>
    <x v="3"/>
    <x v="28"/>
    <s v="L2"/>
    <s v="Planning and Orgnizing"/>
    <s v="Climate Responsive Architecture"/>
    <n v="6"/>
    <x v="1"/>
    <x v="5"/>
    <n v="0"/>
    <n v="0.15"/>
    <n v="1"/>
    <n v="0"/>
    <m/>
  </r>
  <r>
    <s v="2019-20"/>
    <x v="3"/>
    <x v="28"/>
    <s v="L2"/>
    <s v="Planning and Orgnizing"/>
    <s v="Climate Responsive Architecture"/>
    <n v="7"/>
    <x v="0"/>
    <x v="6"/>
    <n v="0"/>
    <n v="0.1"/>
    <n v="1"/>
    <n v="0"/>
    <m/>
  </r>
  <r>
    <s v="2019-20"/>
    <x v="3"/>
    <x v="28"/>
    <s v="L2"/>
    <s v="Planning and Orgnizing"/>
    <s v="Climate Responsive Architecture"/>
    <n v="7"/>
    <x v="1"/>
    <x v="6"/>
    <n v="0"/>
    <n v="0.1"/>
    <n v="1"/>
    <n v="0"/>
    <m/>
  </r>
  <r>
    <s v="2019-20"/>
    <x v="3"/>
    <x v="28"/>
    <s v="L2"/>
    <s v="Planning and Orgnizing"/>
    <s v="Climate Responsive Architecture"/>
    <n v="8"/>
    <x v="0"/>
    <x v="7"/>
    <n v="1"/>
    <n v="0.1"/>
    <n v="1"/>
    <n v="0.1"/>
    <m/>
  </r>
  <r>
    <s v="2019-20"/>
    <x v="3"/>
    <x v="28"/>
    <s v="L2"/>
    <s v="Planning and Orgnizing"/>
    <s v="Climate Responsive Architecture"/>
    <n v="8"/>
    <x v="1"/>
    <x v="7"/>
    <n v="0"/>
    <n v="0.1"/>
    <n v="1"/>
    <n v="0"/>
    <m/>
  </r>
  <r>
    <s v="2019-20"/>
    <x v="3"/>
    <x v="28"/>
    <s v="L2"/>
    <s v="Planning and Orgnizing"/>
    <s v="Climate Responsive Architecture"/>
    <n v="9"/>
    <x v="0"/>
    <x v="8"/>
    <m/>
    <n v="0.05"/>
    <n v="0.85"/>
    <n v="0"/>
    <m/>
  </r>
  <r>
    <s v="2019-20"/>
    <x v="3"/>
    <x v="28"/>
    <s v="L2"/>
    <s v="Planning and Orgnizing"/>
    <s v="Climate Responsive Architecture"/>
    <n v="9"/>
    <x v="1"/>
    <x v="8"/>
    <m/>
    <n v="0.05"/>
    <n v="0.85"/>
    <n v="0"/>
    <m/>
  </r>
  <r>
    <s v="2019-20"/>
    <x v="3"/>
    <x v="28"/>
    <s v="L2"/>
    <s v="Planning and Orgnizing"/>
    <s v="Climate Responsive Architecture"/>
    <n v="10"/>
    <x v="0"/>
    <x v="8"/>
    <m/>
    <n v="0.05"/>
    <n v="0.85"/>
    <n v="0"/>
    <m/>
  </r>
  <r>
    <s v="2019-20"/>
    <x v="3"/>
    <x v="28"/>
    <s v="L2"/>
    <s v="Planning and Orgnizing"/>
    <s v="Climate Responsive Architecture"/>
    <n v="10"/>
    <x v="1"/>
    <x v="8"/>
    <m/>
    <n v="0.05"/>
    <n v="0.85"/>
    <n v="0"/>
    <m/>
  </r>
  <r>
    <s v="2019-20"/>
    <x v="3"/>
    <x v="28"/>
    <s v="L2"/>
    <s v="Planning and Orgnizing"/>
    <s v="Climate Responsive Architecture"/>
    <n v="11"/>
    <x v="0"/>
    <x v="9"/>
    <n v="0"/>
    <n v="0.05"/>
    <n v="1"/>
    <n v="0"/>
    <m/>
  </r>
  <r>
    <s v="2019-20"/>
    <x v="3"/>
    <x v="28"/>
    <s v="L2"/>
    <s v="Planning and Orgnizing"/>
    <s v="Climate Responsive Architecture"/>
    <n v="11"/>
    <x v="1"/>
    <x v="9"/>
    <n v="-1"/>
    <n v="0.05"/>
    <n v="1"/>
    <n v="-0.05"/>
    <m/>
  </r>
  <r>
    <s v="2019-20"/>
    <x v="3"/>
    <x v="33"/>
    <s v="L2"/>
    <s v="Visualization &amp; Communication, Spatial Planning &amp; Organisation"/>
    <s v="Building Anti-building"/>
    <n v="1"/>
    <x v="0"/>
    <x v="0"/>
    <n v="1"/>
    <n v="0.12"/>
    <n v="1"/>
    <n v="0.12"/>
    <m/>
  </r>
  <r>
    <s v="2019-20"/>
    <x v="3"/>
    <x v="33"/>
    <s v="L2"/>
    <s v="Visualization &amp; Communication, Spatial Planning &amp; Organisation"/>
    <s v="Building Anti-building"/>
    <n v="1"/>
    <x v="1"/>
    <x v="0"/>
    <n v="0"/>
    <n v="0.12"/>
    <n v="1"/>
    <n v="0.12"/>
    <m/>
  </r>
  <r>
    <s v="2019-20"/>
    <x v="3"/>
    <x v="33"/>
    <s v="L2"/>
    <s v="Visualization &amp; Communication, Spatial Planning &amp; Organisation"/>
    <s v="Building Anti-building"/>
    <n v="2"/>
    <x v="0"/>
    <x v="1"/>
    <n v="1"/>
    <n v="0.08"/>
    <n v="0.8"/>
    <n v="6.4000000000000001E-2"/>
    <m/>
  </r>
  <r>
    <s v="2019-20"/>
    <x v="3"/>
    <x v="33"/>
    <s v="L2"/>
    <s v="Visualization &amp; Communication, Spatial Planning &amp; Organisation"/>
    <s v="Building Anti-building"/>
    <n v="2"/>
    <x v="1"/>
    <x v="1"/>
    <n v="0"/>
    <n v="0.08"/>
    <n v="0.8"/>
    <n v="0"/>
    <m/>
  </r>
  <r>
    <s v="2019-20"/>
    <x v="3"/>
    <x v="33"/>
    <s v="L2"/>
    <s v="Visualization &amp; Communication, Spatial Planning &amp; Organisation"/>
    <s v="Building Anti-building"/>
    <n v="3"/>
    <x v="0"/>
    <x v="2"/>
    <n v="1"/>
    <n v="0.05"/>
    <n v="1"/>
    <n v="0.05"/>
    <m/>
  </r>
  <r>
    <s v="2019-20"/>
    <x v="3"/>
    <x v="33"/>
    <s v="L2"/>
    <s v="Visualization &amp; Communication, Spatial Planning &amp; Organisation"/>
    <s v="Building Anti-building"/>
    <n v="3"/>
    <x v="1"/>
    <x v="2"/>
    <n v="0"/>
    <n v="0.05"/>
    <n v="1"/>
    <n v="0"/>
    <m/>
  </r>
  <r>
    <s v="2019-20"/>
    <x v="3"/>
    <x v="33"/>
    <s v="L2"/>
    <s v="Visualization &amp; Communication, Spatial Planning &amp; Organisation"/>
    <s v="Building Anti-building"/>
    <n v="4"/>
    <x v="0"/>
    <x v="3"/>
    <n v="1"/>
    <n v="0.14000000000000001"/>
    <n v="1"/>
    <n v="0.14000000000000001"/>
    <m/>
  </r>
  <r>
    <s v="2019-20"/>
    <x v="3"/>
    <x v="33"/>
    <s v="L2"/>
    <s v="Visualization &amp; Communication, Spatial Planning &amp; Organisation"/>
    <s v="Building Anti-building"/>
    <n v="4"/>
    <x v="1"/>
    <x v="3"/>
    <n v="0"/>
    <n v="0.14000000000000001"/>
    <n v="1"/>
    <n v="0"/>
    <m/>
  </r>
  <r>
    <s v="2019-20"/>
    <x v="3"/>
    <x v="33"/>
    <s v="L2"/>
    <s v="Visualization &amp; Communication, Spatial Planning &amp; Organisation"/>
    <s v="Building Anti-building"/>
    <n v="5"/>
    <x v="0"/>
    <x v="4"/>
    <n v="1"/>
    <n v="0.11"/>
    <n v="1"/>
    <n v="0.11"/>
    <m/>
  </r>
  <r>
    <s v="2019-20"/>
    <x v="3"/>
    <x v="33"/>
    <s v="L2"/>
    <s v="Visualization &amp; Communication, Spatial Planning &amp; Organisation"/>
    <s v="Building Anti-building"/>
    <n v="5"/>
    <x v="1"/>
    <x v="4"/>
    <n v="0"/>
    <n v="0.11"/>
    <n v="1"/>
    <n v="0"/>
    <m/>
  </r>
  <r>
    <s v="2019-20"/>
    <x v="3"/>
    <x v="33"/>
    <s v="L2"/>
    <s v="Visualization &amp; Communication, Spatial Planning &amp; Organisation"/>
    <s v="Building Anti-building"/>
    <n v="6"/>
    <x v="0"/>
    <x v="5"/>
    <n v="0"/>
    <n v="0.15"/>
    <n v="1"/>
    <n v="0"/>
    <m/>
  </r>
  <r>
    <s v="2019-20"/>
    <x v="3"/>
    <x v="33"/>
    <s v="L2"/>
    <s v="Visualization &amp; Communication, Spatial Planning &amp; Organisation"/>
    <s v="Building Anti-building"/>
    <n v="6"/>
    <x v="1"/>
    <x v="5"/>
    <n v="0"/>
    <n v="0.15"/>
    <n v="1"/>
    <n v="0"/>
    <m/>
  </r>
  <r>
    <s v="2019-20"/>
    <x v="3"/>
    <x v="33"/>
    <s v="L2"/>
    <s v="Visualization &amp; Communication, Spatial Planning &amp; Organisation"/>
    <s v="Building Anti-building"/>
    <n v="7"/>
    <x v="0"/>
    <x v="6"/>
    <n v="0"/>
    <n v="0.1"/>
    <n v="1"/>
    <n v="0"/>
    <m/>
  </r>
  <r>
    <s v="2019-20"/>
    <x v="3"/>
    <x v="33"/>
    <s v="L2"/>
    <s v="Visualization &amp; Communication, Spatial Planning &amp; Organisation"/>
    <s v="Building Anti-building"/>
    <n v="7"/>
    <x v="1"/>
    <x v="6"/>
    <n v="0"/>
    <n v="0.1"/>
    <n v="1"/>
    <n v="0"/>
    <m/>
  </r>
  <r>
    <s v="2019-20"/>
    <x v="3"/>
    <x v="33"/>
    <s v="L2"/>
    <s v="Visualization &amp; Communication, Spatial Planning &amp; Organisation"/>
    <s v="Building Anti-building"/>
    <n v="8"/>
    <x v="0"/>
    <x v="7"/>
    <n v="0"/>
    <n v="0.1"/>
    <n v="1"/>
    <n v="0"/>
    <m/>
  </r>
  <r>
    <s v="2019-20"/>
    <x v="3"/>
    <x v="33"/>
    <s v="L2"/>
    <s v="Visualization &amp; Communication, Spatial Planning &amp; Organisation"/>
    <s v="Building Anti-building"/>
    <n v="8"/>
    <x v="1"/>
    <x v="7"/>
    <n v="0"/>
    <n v="0.1"/>
    <n v="1"/>
    <n v="0"/>
    <m/>
  </r>
  <r>
    <s v="2019-20"/>
    <x v="3"/>
    <x v="33"/>
    <s v="L2"/>
    <s v="Visualization &amp; Communication, Spatial Planning &amp; Organisation"/>
    <s v="Building Anti-building"/>
    <n v="9"/>
    <x v="0"/>
    <x v="8"/>
    <m/>
    <n v="0.05"/>
    <n v="0.85"/>
    <n v="0"/>
    <m/>
  </r>
  <r>
    <s v="2019-20"/>
    <x v="3"/>
    <x v="33"/>
    <s v="L2"/>
    <s v="Visualization &amp; Communication, Spatial Planning &amp; Organisation"/>
    <s v="Building Anti-building"/>
    <n v="9"/>
    <x v="1"/>
    <x v="8"/>
    <m/>
    <n v="0.05"/>
    <n v="0.85"/>
    <n v="0"/>
    <m/>
  </r>
  <r>
    <s v="2019-20"/>
    <x v="3"/>
    <x v="33"/>
    <s v="L2"/>
    <s v="Visualization &amp; Communication, Spatial Planning &amp; Organisation"/>
    <s v="Building Anti-building"/>
    <n v="10"/>
    <x v="0"/>
    <x v="8"/>
    <m/>
    <n v="0.05"/>
    <n v="0.85"/>
    <n v="0"/>
    <m/>
  </r>
  <r>
    <s v="2019-20"/>
    <x v="3"/>
    <x v="33"/>
    <s v="L2"/>
    <s v="Visualization &amp; Communication, Spatial Planning &amp; Organisation"/>
    <s v="Building Anti-building"/>
    <n v="10"/>
    <x v="1"/>
    <x v="8"/>
    <m/>
    <n v="0.05"/>
    <n v="0.85"/>
    <n v="0"/>
    <m/>
  </r>
  <r>
    <s v="2019-20"/>
    <x v="3"/>
    <x v="33"/>
    <s v="L2"/>
    <s v="Visualization &amp; Communication, Spatial Planning &amp; Organisation"/>
    <s v="Building Anti-building"/>
    <n v="11"/>
    <x v="0"/>
    <x v="9"/>
    <n v="0"/>
    <n v="0.05"/>
    <n v="1"/>
    <n v="0"/>
    <m/>
  </r>
  <r>
    <s v="2019-20"/>
    <x v="3"/>
    <x v="33"/>
    <s v="L2"/>
    <s v="Visualization &amp; Communication, Spatial Planning &amp; Organisation"/>
    <s v="Building Anti-building"/>
    <n v="11"/>
    <x v="1"/>
    <x v="9"/>
    <n v="-1"/>
    <n v="0.05"/>
    <n v="1"/>
    <n v="-0.05"/>
    <m/>
  </r>
  <r>
    <s v="2019-20"/>
    <x v="3"/>
    <x v="34"/>
    <s v="L2"/>
    <s v="Visualization &amp; Communication"/>
    <s v="Dissolving Boundaries: Children Library at Loving Community"/>
    <n v="1"/>
    <x v="0"/>
    <x v="0"/>
    <n v="1"/>
    <n v="0.12"/>
    <n v="1"/>
    <n v="0.12"/>
    <m/>
  </r>
  <r>
    <s v="2019-20"/>
    <x v="3"/>
    <x v="34"/>
    <s v="L2"/>
    <s v="Visualization &amp; Communication"/>
    <s v="Dissolving Boundaries: Children Library at Loving Community"/>
    <n v="1"/>
    <x v="1"/>
    <x v="0"/>
    <n v="1"/>
    <n v="0.12"/>
    <n v="1"/>
    <n v="0.12"/>
    <m/>
  </r>
  <r>
    <s v="2019-20"/>
    <x v="3"/>
    <x v="34"/>
    <s v="L2"/>
    <s v="Visualization &amp; Communication"/>
    <s v="Dissolving Boundaries: Children Library at Loving Community"/>
    <n v="2"/>
    <x v="0"/>
    <x v="1"/>
    <n v="1"/>
    <n v="0.08"/>
    <n v="0.8"/>
    <n v="6.4000000000000001E-2"/>
    <m/>
  </r>
  <r>
    <s v="2019-20"/>
    <x v="3"/>
    <x v="34"/>
    <s v="L2"/>
    <s v="Visualization &amp; Communication"/>
    <s v="Dissolving Boundaries: Children Library at Loving Community"/>
    <n v="2"/>
    <x v="1"/>
    <x v="1"/>
    <n v="1"/>
    <n v="0.08"/>
    <n v="0.8"/>
    <n v="6.4000000000000001E-2"/>
    <m/>
  </r>
  <r>
    <s v="2019-20"/>
    <x v="3"/>
    <x v="34"/>
    <s v="L2"/>
    <s v="Visualization &amp; Communication"/>
    <s v="Dissolving Boundaries: Children Library at Loving Community"/>
    <n v="3"/>
    <x v="0"/>
    <x v="2"/>
    <n v="1"/>
    <n v="0.05"/>
    <n v="1"/>
    <n v="0.05"/>
    <m/>
  </r>
  <r>
    <s v="2019-20"/>
    <x v="3"/>
    <x v="34"/>
    <s v="L2"/>
    <s v="Visualization &amp; Communication"/>
    <s v="Dissolving Boundaries: Children Library at Loving Community"/>
    <n v="3"/>
    <x v="1"/>
    <x v="2"/>
    <n v="1"/>
    <n v="0.05"/>
    <n v="1"/>
    <n v="0.05"/>
    <m/>
  </r>
  <r>
    <s v="2019-20"/>
    <x v="3"/>
    <x v="34"/>
    <s v="L2"/>
    <s v="Visualization &amp; Communication"/>
    <s v="Dissolving Boundaries: Children Library at Loving Community"/>
    <n v="4"/>
    <x v="0"/>
    <x v="3"/>
    <n v="0"/>
    <n v="0.14000000000000001"/>
    <n v="1"/>
    <n v="0"/>
    <m/>
  </r>
  <r>
    <s v="2019-20"/>
    <x v="3"/>
    <x v="34"/>
    <s v="L2"/>
    <s v="Visualization &amp; Communication"/>
    <s v="Dissolving Boundaries: Children Library at Loving Community"/>
    <n v="4"/>
    <x v="1"/>
    <x v="3"/>
    <n v="1"/>
    <n v="0.14000000000000001"/>
    <n v="1"/>
    <n v="0.14000000000000001"/>
    <m/>
  </r>
  <r>
    <s v="2019-20"/>
    <x v="3"/>
    <x v="34"/>
    <s v="L2"/>
    <s v="Visualization &amp; Communication"/>
    <s v="Dissolving Boundaries: Children Library at Loving Community"/>
    <n v="5"/>
    <x v="0"/>
    <x v="4"/>
    <n v="0"/>
    <n v="0.11"/>
    <n v="1"/>
    <n v="0"/>
    <m/>
  </r>
  <r>
    <s v="2019-20"/>
    <x v="3"/>
    <x v="34"/>
    <s v="L2"/>
    <s v="Visualization &amp; Communication"/>
    <s v="Dissolving Boundaries: Children Library at Loving Community"/>
    <n v="5"/>
    <x v="1"/>
    <x v="4"/>
    <n v="1"/>
    <n v="0.11"/>
    <n v="1"/>
    <n v="0.11"/>
    <m/>
  </r>
  <r>
    <s v="2019-20"/>
    <x v="3"/>
    <x v="34"/>
    <s v="L2"/>
    <s v="Visualization &amp; Communication"/>
    <s v="Dissolving Boundaries: Children Library at Loving Community"/>
    <n v="6"/>
    <x v="0"/>
    <x v="5"/>
    <n v="1"/>
    <n v="0.15"/>
    <n v="1"/>
    <n v="0.15"/>
    <m/>
  </r>
  <r>
    <s v="2019-20"/>
    <x v="3"/>
    <x v="34"/>
    <s v="L2"/>
    <s v="Visualization &amp; Communication"/>
    <s v="Dissolving Boundaries: Children Library at Loving Community"/>
    <n v="6"/>
    <x v="1"/>
    <x v="5"/>
    <n v="1"/>
    <n v="0.15"/>
    <n v="1"/>
    <n v="0.15"/>
    <m/>
  </r>
  <r>
    <s v="2019-20"/>
    <x v="3"/>
    <x v="34"/>
    <s v="L2"/>
    <s v="Visualization &amp; Communication"/>
    <s v="Dissolving Boundaries: Children Library at Loving Community"/>
    <n v="7"/>
    <x v="0"/>
    <x v="6"/>
    <n v="1"/>
    <n v="0.1"/>
    <n v="1"/>
    <n v="0.1"/>
    <m/>
  </r>
  <r>
    <s v="2019-20"/>
    <x v="3"/>
    <x v="34"/>
    <s v="L2"/>
    <s v="Visualization &amp; Communication"/>
    <s v="Dissolving Boundaries: Children Library at Loving Community"/>
    <n v="7"/>
    <x v="1"/>
    <x v="6"/>
    <n v="1"/>
    <n v="0.1"/>
    <n v="1"/>
    <n v="0.1"/>
    <m/>
  </r>
  <r>
    <s v="2019-20"/>
    <x v="3"/>
    <x v="34"/>
    <s v="L2"/>
    <s v="Visualization &amp; Communication"/>
    <s v="Dissolving Boundaries: Children Library at Loving Community"/>
    <n v="8"/>
    <x v="0"/>
    <x v="7"/>
    <n v="1"/>
    <n v="0.1"/>
    <n v="1"/>
    <n v="0.1"/>
    <m/>
  </r>
  <r>
    <s v="2019-20"/>
    <x v="3"/>
    <x v="34"/>
    <s v="L2"/>
    <s v="Visualization &amp; Communication"/>
    <s v="Dissolving Boundaries: Children Library at Loving Community"/>
    <n v="8"/>
    <x v="1"/>
    <x v="7"/>
    <n v="1"/>
    <n v="0.1"/>
    <n v="1"/>
    <n v="0.1"/>
    <m/>
  </r>
  <r>
    <s v="2019-20"/>
    <x v="3"/>
    <x v="34"/>
    <s v="L2"/>
    <s v="Visualization &amp; Communication"/>
    <s v="Dissolving Boundaries: Children Library at Loving Community"/>
    <n v="9"/>
    <x v="0"/>
    <x v="8"/>
    <m/>
    <n v="0.05"/>
    <n v="0.85"/>
    <n v="0"/>
    <m/>
  </r>
  <r>
    <s v="2019-20"/>
    <x v="3"/>
    <x v="34"/>
    <s v="L2"/>
    <s v="Visualization &amp; Communication"/>
    <s v="Dissolving Boundaries: Children Library at Loving Community"/>
    <n v="9"/>
    <x v="1"/>
    <x v="8"/>
    <m/>
    <n v="0.05"/>
    <n v="0.85"/>
    <n v="0"/>
    <m/>
  </r>
  <r>
    <s v="2019-20"/>
    <x v="3"/>
    <x v="34"/>
    <s v="L2"/>
    <s v="Visualization &amp; Communication"/>
    <s v="Dissolving Boundaries: Children Library at Loving Community"/>
    <n v="10"/>
    <x v="0"/>
    <x v="8"/>
    <m/>
    <n v="0.05"/>
    <n v="0.85"/>
    <n v="0"/>
    <m/>
  </r>
  <r>
    <s v="2019-20"/>
    <x v="3"/>
    <x v="34"/>
    <s v="L2"/>
    <s v="Visualization &amp; Communication"/>
    <s v="Dissolving Boundaries: Children Library at Loving Community"/>
    <n v="10"/>
    <x v="1"/>
    <x v="8"/>
    <m/>
    <n v="0.05"/>
    <n v="0.85"/>
    <n v="0"/>
    <m/>
  </r>
  <r>
    <s v="2019-20"/>
    <x v="3"/>
    <x v="34"/>
    <s v="L2"/>
    <s v="Visualization &amp; Communication"/>
    <s v="Dissolving Boundaries: Children Library at Loving Community"/>
    <n v="11"/>
    <x v="0"/>
    <x v="9"/>
    <n v="1"/>
    <n v="0.05"/>
    <n v="1"/>
    <n v="0.05"/>
    <m/>
  </r>
  <r>
    <s v="2019-20"/>
    <x v="3"/>
    <x v="34"/>
    <s v="L2"/>
    <s v="Visualization &amp; Communication"/>
    <s v="Dissolving Boundaries: Children Library at Loving Community"/>
    <n v="11"/>
    <x v="1"/>
    <x v="9"/>
    <n v="1"/>
    <n v="0.05"/>
    <n v="1"/>
    <n v="0.05"/>
    <s v="Studio has done wonderful job . quality of each student work is amazing ."/>
  </r>
  <r>
    <s v="2019-20"/>
    <x v="3"/>
    <x v="30"/>
    <s v="L3"/>
    <m/>
    <s v="At the cusp of land and water"/>
    <n v="1"/>
    <x v="0"/>
    <x v="0"/>
    <n v="1"/>
    <n v="0.12"/>
    <n v="1"/>
    <n v="0.12"/>
    <m/>
  </r>
  <r>
    <s v="2019-20"/>
    <x v="3"/>
    <x v="30"/>
    <s v="L3"/>
    <m/>
    <s v="At the cusp of land and water"/>
    <n v="1"/>
    <x v="1"/>
    <x v="0"/>
    <n v="0"/>
    <n v="0.12"/>
    <n v="1"/>
    <n v="0.12"/>
    <m/>
  </r>
  <r>
    <s v="2019-20"/>
    <x v="3"/>
    <x v="30"/>
    <s v="L3"/>
    <m/>
    <s v="At the cusp of land and water"/>
    <n v="2"/>
    <x v="0"/>
    <x v="1"/>
    <n v="0"/>
    <n v="0.08"/>
    <n v="0.8"/>
    <n v="0"/>
    <m/>
  </r>
  <r>
    <s v="2019-20"/>
    <x v="3"/>
    <x v="30"/>
    <s v="L3"/>
    <m/>
    <s v="At the cusp of land and water"/>
    <n v="2"/>
    <x v="1"/>
    <x v="1"/>
    <n v="-1"/>
    <n v="0.08"/>
    <n v="0.8"/>
    <n v="-6.4000000000000001E-2"/>
    <s v="Case studies and Project 1 were not completely relevant."/>
  </r>
  <r>
    <s v="2019-20"/>
    <x v="3"/>
    <x v="30"/>
    <s v="L3"/>
    <m/>
    <s v="At the cusp of land and water"/>
    <n v="3"/>
    <x v="0"/>
    <x v="2"/>
    <n v="1"/>
    <n v="0.05"/>
    <n v="1"/>
    <n v="0.05"/>
    <m/>
  </r>
  <r>
    <s v="2019-20"/>
    <x v="3"/>
    <x v="30"/>
    <s v="L3"/>
    <m/>
    <s v="At the cusp of land and water"/>
    <n v="3"/>
    <x v="1"/>
    <x v="2"/>
    <n v="0"/>
    <n v="0.05"/>
    <n v="1"/>
    <n v="0"/>
    <m/>
  </r>
  <r>
    <s v="2019-20"/>
    <x v="3"/>
    <x v="30"/>
    <s v="L3"/>
    <m/>
    <s v="At the cusp of land and water"/>
    <n v="4"/>
    <x v="0"/>
    <x v="3"/>
    <n v="0"/>
    <n v="0.14000000000000001"/>
    <n v="1"/>
    <n v="0"/>
    <m/>
  </r>
  <r>
    <s v="2019-20"/>
    <x v="3"/>
    <x v="30"/>
    <s v="L3"/>
    <m/>
    <s v="At the cusp of land and water"/>
    <n v="4"/>
    <x v="1"/>
    <x v="3"/>
    <n v="0"/>
    <n v="0.14000000000000001"/>
    <n v="1"/>
    <n v="0"/>
    <m/>
  </r>
  <r>
    <s v="2019-20"/>
    <x v="3"/>
    <x v="30"/>
    <s v="L3"/>
    <m/>
    <s v="At the cusp of land and water"/>
    <n v="5"/>
    <x v="0"/>
    <x v="4"/>
    <n v="0"/>
    <n v="0.11"/>
    <n v="1"/>
    <n v="0"/>
    <m/>
  </r>
  <r>
    <s v="2019-20"/>
    <x v="3"/>
    <x v="30"/>
    <s v="L3"/>
    <m/>
    <s v="At the cusp of land and water"/>
    <n v="5"/>
    <x v="1"/>
    <x v="4"/>
    <n v="0"/>
    <n v="0.11"/>
    <n v="1"/>
    <n v="0"/>
    <m/>
  </r>
  <r>
    <s v="2019-20"/>
    <x v="3"/>
    <x v="30"/>
    <s v="L3"/>
    <m/>
    <s v="At the cusp of land and water"/>
    <n v="6"/>
    <x v="0"/>
    <x v="5"/>
    <n v="0"/>
    <n v="0.15"/>
    <n v="1"/>
    <n v="0"/>
    <m/>
  </r>
  <r>
    <s v="2019-20"/>
    <x v="3"/>
    <x v="30"/>
    <s v="L3"/>
    <m/>
    <s v="At the cusp of land and water"/>
    <n v="6"/>
    <x v="1"/>
    <x v="5"/>
    <n v="0"/>
    <n v="0.15"/>
    <n v="1"/>
    <n v="0"/>
    <s v="Not all."/>
  </r>
  <r>
    <s v="2019-20"/>
    <x v="3"/>
    <x v="30"/>
    <s v="L3"/>
    <m/>
    <s v="At the cusp of land and water"/>
    <n v="7"/>
    <x v="0"/>
    <x v="6"/>
    <n v="0"/>
    <n v="0.1"/>
    <n v="1"/>
    <n v="0"/>
    <m/>
  </r>
  <r>
    <s v="2019-20"/>
    <x v="3"/>
    <x v="30"/>
    <s v="L3"/>
    <m/>
    <s v="At the cusp of land and water"/>
    <n v="7"/>
    <x v="1"/>
    <x v="6"/>
    <n v="0"/>
    <n v="0.1"/>
    <n v="1"/>
    <n v="0"/>
    <s v="Not all."/>
  </r>
  <r>
    <s v="2019-20"/>
    <x v="3"/>
    <x v="30"/>
    <s v="L3"/>
    <m/>
    <s v="At the cusp of land and water"/>
    <n v="8"/>
    <x v="0"/>
    <x v="7"/>
    <n v="0"/>
    <n v="0.1"/>
    <n v="1"/>
    <n v="0"/>
    <m/>
  </r>
  <r>
    <s v="2019-20"/>
    <x v="3"/>
    <x v="30"/>
    <s v="L3"/>
    <m/>
    <s v="At the cusp of land and water"/>
    <n v="8"/>
    <x v="1"/>
    <x v="7"/>
    <n v="0"/>
    <n v="0.1"/>
    <n v="1"/>
    <n v="0"/>
    <s v="Not all."/>
  </r>
  <r>
    <s v="2019-20"/>
    <x v="3"/>
    <x v="30"/>
    <s v="L3"/>
    <m/>
    <s v="At the cusp of land and water"/>
    <n v="9"/>
    <x v="0"/>
    <x v="8"/>
    <m/>
    <n v="0.05"/>
    <n v="0.85"/>
    <n v="0"/>
    <m/>
  </r>
  <r>
    <s v="2019-20"/>
    <x v="3"/>
    <x v="30"/>
    <s v="L3"/>
    <m/>
    <s v="At the cusp of land and water"/>
    <n v="9"/>
    <x v="1"/>
    <x v="8"/>
    <m/>
    <n v="0.05"/>
    <n v="0.85"/>
    <n v="0"/>
    <m/>
  </r>
  <r>
    <s v="2019-20"/>
    <x v="3"/>
    <x v="30"/>
    <s v="L3"/>
    <m/>
    <s v="At the cusp of land and water"/>
    <n v="10"/>
    <x v="0"/>
    <x v="8"/>
    <m/>
    <n v="0.05"/>
    <n v="0.85"/>
    <n v="0"/>
    <m/>
  </r>
  <r>
    <s v="2019-20"/>
    <x v="3"/>
    <x v="30"/>
    <s v="L3"/>
    <m/>
    <s v="At the cusp of land and water"/>
    <n v="10"/>
    <x v="1"/>
    <x v="8"/>
    <m/>
    <n v="0.05"/>
    <n v="0.85"/>
    <n v="0"/>
    <m/>
  </r>
  <r>
    <s v="2019-20"/>
    <x v="3"/>
    <x v="30"/>
    <s v="L3"/>
    <m/>
    <s v="At the cusp of land and water"/>
    <n v="11"/>
    <x v="0"/>
    <x v="9"/>
    <n v="0"/>
    <n v="0.05"/>
    <n v="1"/>
    <n v="0"/>
    <m/>
  </r>
  <r>
    <s v="2019-20"/>
    <x v="3"/>
    <x v="30"/>
    <s v="L3"/>
    <m/>
    <s v="At the cusp of land and water"/>
    <n v="11"/>
    <x v="1"/>
    <x v="9"/>
    <n v="-1"/>
    <n v="0.05"/>
    <n v="1"/>
    <n v="-0.05"/>
    <m/>
  </r>
  <r>
    <s v="2019-20"/>
    <x v="3"/>
    <x v="35"/>
    <s v="L3"/>
    <m/>
    <s v="Realizing Nollis Dream: Embedding Architecture in the City"/>
    <n v="1"/>
    <x v="0"/>
    <x v="0"/>
    <n v="1"/>
    <n v="0.12"/>
    <n v="1"/>
    <n v="0.12"/>
    <m/>
  </r>
  <r>
    <s v="2019-20"/>
    <x v="3"/>
    <x v="35"/>
    <s v="L3"/>
    <m/>
    <s v="Realizing Nollis Dream: Embedding Architecture in the City"/>
    <n v="1"/>
    <x v="1"/>
    <x v="0"/>
    <n v="1"/>
    <n v="0.12"/>
    <n v="1"/>
    <n v="0.12"/>
    <m/>
  </r>
  <r>
    <s v="2019-20"/>
    <x v="3"/>
    <x v="35"/>
    <s v="L3"/>
    <m/>
    <s v="Realizing Nollis Dream: Embedding Architecture in the City"/>
    <n v="2"/>
    <x v="0"/>
    <x v="1"/>
    <n v="1"/>
    <n v="0.08"/>
    <n v="0.8"/>
    <n v="6.4000000000000001E-2"/>
    <m/>
  </r>
  <r>
    <s v="2019-20"/>
    <x v="3"/>
    <x v="35"/>
    <s v="L3"/>
    <m/>
    <s v="Realizing Nollis Dream: Embedding Architecture in the City"/>
    <n v="2"/>
    <x v="1"/>
    <x v="1"/>
    <n v="1"/>
    <n v="0.08"/>
    <n v="0.8"/>
    <n v="6.4000000000000001E-2"/>
    <m/>
  </r>
  <r>
    <s v="2019-20"/>
    <x v="3"/>
    <x v="35"/>
    <s v="L3"/>
    <m/>
    <s v="Realizing Nollis Dream: Embedding Architecture in the City"/>
    <n v="3"/>
    <x v="0"/>
    <x v="2"/>
    <n v="1"/>
    <n v="0.05"/>
    <n v="1"/>
    <n v="0.05"/>
    <m/>
  </r>
  <r>
    <s v="2019-20"/>
    <x v="3"/>
    <x v="35"/>
    <s v="L3"/>
    <m/>
    <s v="Realizing Nollis Dream: Embedding Architecture in the City"/>
    <n v="3"/>
    <x v="1"/>
    <x v="2"/>
    <n v="1"/>
    <n v="0.05"/>
    <n v="1"/>
    <n v="0.05"/>
    <m/>
  </r>
  <r>
    <s v="2019-20"/>
    <x v="3"/>
    <x v="35"/>
    <s v="L3"/>
    <m/>
    <s v="Realizing Nollis Dream: Embedding Architecture in the City"/>
    <n v="4"/>
    <x v="0"/>
    <x v="3"/>
    <n v="1"/>
    <n v="0.14000000000000001"/>
    <n v="1"/>
    <n v="0.14000000000000001"/>
    <m/>
  </r>
  <r>
    <s v="2019-20"/>
    <x v="3"/>
    <x v="35"/>
    <s v="L3"/>
    <m/>
    <s v="Realizing Nollis Dream: Embedding Architecture in the City"/>
    <n v="4"/>
    <x v="1"/>
    <x v="3"/>
    <n v="0"/>
    <n v="0.14000000000000001"/>
    <n v="1"/>
    <n v="0"/>
    <m/>
  </r>
  <r>
    <s v="2019-20"/>
    <x v="3"/>
    <x v="35"/>
    <s v="L3"/>
    <m/>
    <s v="Realizing Nollis Dream: Embedding Architecture in the City"/>
    <n v="5"/>
    <x v="0"/>
    <x v="4"/>
    <n v="1"/>
    <n v="0.11"/>
    <n v="1"/>
    <n v="0.11"/>
    <m/>
  </r>
  <r>
    <s v="2019-20"/>
    <x v="3"/>
    <x v="35"/>
    <s v="L3"/>
    <m/>
    <s v="Realizing Nollis Dream: Embedding Architecture in the City"/>
    <n v="5"/>
    <x v="1"/>
    <x v="4"/>
    <n v="0"/>
    <n v="0.11"/>
    <n v="1"/>
    <n v="0"/>
    <m/>
  </r>
  <r>
    <s v="2019-20"/>
    <x v="3"/>
    <x v="35"/>
    <s v="L3"/>
    <m/>
    <s v="Realizing Nollis Dream: Embedding Architecture in the City"/>
    <n v="6"/>
    <x v="0"/>
    <x v="5"/>
    <n v="1"/>
    <n v="0.15"/>
    <n v="1"/>
    <n v="0.15"/>
    <m/>
  </r>
  <r>
    <s v="2019-20"/>
    <x v="3"/>
    <x v="35"/>
    <s v="L3"/>
    <m/>
    <s v="Realizing Nollis Dream: Embedding Architecture in the City"/>
    <n v="6"/>
    <x v="1"/>
    <x v="5"/>
    <n v="0"/>
    <n v="0.15"/>
    <n v="1"/>
    <n v="0"/>
    <m/>
  </r>
  <r>
    <s v="2019-20"/>
    <x v="3"/>
    <x v="35"/>
    <s v="L3"/>
    <m/>
    <s v="Realizing Nollis Dream: Embedding Architecture in the City"/>
    <n v="7"/>
    <x v="0"/>
    <x v="6"/>
    <n v="1"/>
    <n v="0.1"/>
    <n v="1"/>
    <n v="0.1"/>
    <m/>
  </r>
  <r>
    <s v="2019-20"/>
    <x v="3"/>
    <x v="35"/>
    <s v="L3"/>
    <m/>
    <s v="Realizing Nollis Dream: Embedding Architecture in the City"/>
    <n v="7"/>
    <x v="1"/>
    <x v="6"/>
    <n v="0"/>
    <n v="0.1"/>
    <n v="1"/>
    <n v="0"/>
    <m/>
  </r>
  <r>
    <s v="2019-20"/>
    <x v="3"/>
    <x v="35"/>
    <s v="L3"/>
    <m/>
    <s v="Realizing Nollis Dream: Embedding Architecture in the City"/>
    <n v="8"/>
    <x v="0"/>
    <x v="7"/>
    <n v="1"/>
    <n v="0.1"/>
    <n v="1"/>
    <n v="0.1"/>
    <m/>
  </r>
  <r>
    <s v="2019-20"/>
    <x v="3"/>
    <x v="35"/>
    <s v="L3"/>
    <m/>
    <s v="Realizing Nollis Dream: Embedding Architecture in the City"/>
    <n v="8"/>
    <x v="1"/>
    <x v="7"/>
    <n v="0"/>
    <n v="0.1"/>
    <n v="1"/>
    <n v="0"/>
    <m/>
  </r>
  <r>
    <s v="2019-20"/>
    <x v="3"/>
    <x v="35"/>
    <s v="L3"/>
    <m/>
    <s v="Realizing Nollis Dream: Embedding Architecture in the City"/>
    <n v="9"/>
    <x v="0"/>
    <x v="8"/>
    <m/>
    <n v="0.05"/>
    <n v="0.85"/>
    <n v="0"/>
    <m/>
  </r>
  <r>
    <s v="2019-20"/>
    <x v="3"/>
    <x v="35"/>
    <s v="L3"/>
    <m/>
    <s v="Realizing Nollis Dream: Embedding Architecture in the City"/>
    <n v="9"/>
    <x v="1"/>
    <x v="8"/>
    <m/>
    <n v="0.05"/>
    <n v="0.85"/>
    <n v="0"/>
    <m/>
  </r>
  <r>
    <s v="2019-20"/>
    <x v="3"/>
    <x v="35"/>
    <s v="L3"/>
    <m/>
    <s v="Realizing Nollis Dream: Embedding Architecture in the City"/>
    <n v="10"/>
    <x v="0"/>
    <x v="8"/>
    <m/>
    <n v="0.05"/>
    <n v="0.85"/>
    <n v="0"/>
    <m/>
  </r>
  <r>
    <s v="2019-20"/>
    <x v="3"/>
    <x v="35"/>
    <s v="L3"/>
    <m/>
    <s v="Realizing Nollis Dream: Embedding Architecture in the City"/>
    <n v="10"/>
    <x v="1"/>
    <x v="8"/>
    <m/>
    <n v="0.05"/>
    <n v="0.85"/>
    <n v="0"/>
    <m/>
  </r>
  <r>
    <s v="2019-20"/>
    <x v="3"/>
    <x v="35"/>
    <s v="L3"/>
    <m/>
    <s v="Realizing Nollis Dream: Embedding Architecture in the City"/>
    <n v="11"/>
    <x v="0"/>
    <x v="9"/>
    <n v="1"/>
    <n v="0.05"/>
    <n v="1"/>
    <n v="0.05"/>
    <m/>
  </r>
  <r>
    <s v="2019-20"/>
    <x v="3"/>
    <x v="35"/>
    <s v="L3"/>
    <m/>
    <s v="Realizing Nollis Dream: Embedding Architecture in the City"/>
    <n v="11"/>
    <x v="1"/>
    <x v="9"/>
    <n v="0"/>
    <n v="0.05"/>
    <n v="1"/>
    <n v="0"/>
    <s v="this vey fantastic studio , much deeper understanding , Interesting part of that choice of site ."/>
  </r>
  <r>
    <s v="2019-20"/>
    <x v="3"/>
    <x v="36"/>
    <s v="L3"/>
    <m/>
    <s v="The City and Performance spaces – Performance spaces as Urban catalysts"/>
    <n v="1"/>
    <x v="0"/>
    <x v="0"/>
    <n v="1"/>
    <n v="0.12"/>
    <n v="1"/>
    <n v="0.12"/>
    <m/>
  </r>
  <r>
    <s v="2019-20"/>
    <x v="3"/>
    <x v="36"/>
    <s v="L3"/>
    <m/>
    <s v="The City and Performance spaces – Performance spaces as Urban catalysts"/>
    <n v="1"/>
    <x v="1"/>
    <x v="0"/>
    <n v="0"/>
    <n v="0.12"/>
    <n v="1"/>
    <n v="0.12"/>
    <m/>
  </r>
  <r>
    <s v="2019-20"/>
    <x v="3"/>
    <x v="36"/>
    <s v="L3"/>
    <m/>
    <s v="The City and Performance spaces – Performance spaces as Urban catalysts"/>
    <n v="2"/>
    <x v="0"/>
    <x v="1"/>
    <n v="1"/>
    <n v="0.08"/>
    <n v="0.8"/>
    <n v="6.4000000000000001E-2"/>
    <m/>
  </r>
  <r>
    <s v="2019-20"/>
    <x v="3"/>
    <x v="36"/>
    <s v="L3"/>
    <m/>
    <s v="The City and Performance spaces – Performance spaces as Urban catalysts"/>
    <n v="2"/>
    <x v="1"/>
    <x v="1"/>
    <n v="0"/>
    <n v="0.08"/>
    <n v="0.8"/>
    <n v="0"/>
    <m/>
  </r>
  <r>
    <s v="2019-20"/>
    <x v="3"/>
    <x v="36"/>
    <s v="L3"/>
    <m/>
    <s v="The City and Performance spaces – Performance spaces as Urban catalysts"/>
    <n v="3"/>
    <x v="0"/>
    <x v="2"/>
    <n v="1"/>
    <n v="0.05"/>
    <n v="1"/>
    <n v="0.05"/>
    <m/>
  </r>
  <r>
    <s v="2019-20"/>
    <x v="3"/>
    <x v="36"/>
    <s v="L3"/>
    <m/>
    <s v="The City and Performance spaces – Performance spaces as Urban catalysts"/>
    <n v="3"/>
    <x v="1"/>
    <x v="2"/>
    <n v="0"/>
    <n v="0.05"/>
    <n v="1"/>
    <n v="0"/>
    <m/>
  </r>
  <r>
    <s v="2019-20"/>
    <x v="3"/>
    <x v="36"/>
    <s v="L3"/>
    <m/>
    <s v="The City and Performance spaces – Performance spaces as Urban catalysts"/>
    <n v="4"/>
    <x v="0"/>
    <x v="3"/>
    <n v="1"/>
    <n v="0.14000000000000001"/>
    <n v="1"/>
    <n v="0.14000000000000001"/>
    <m/>
  </r>
  <r>
    <s v="2019-20"/>
    <x v="3"/>
    <x v="36"/>
    <s v="L3"/>
    <m/>
    <s v="The City and Performance spaces – Performance spaces as Urban catalysts"/>
    <n v="4"/>
    <x v="1"/>
    <x v="3"/>
    <n v="0"/>
    <n v="0.14000000000000001"/>
    <n v="1"/>
    <n v="0"/>
    <m/>
  </r>
  <r>
    <s v="2019-20"/>
    <x v="3"/>
    <x v="36"/>
    <s v="L3"/>
    <m/>
    <s v="The City and Performance spaces – Performance spaces as Urban catalysts"/>
    <n v="5"/>
    <x v="0"/>
    <x v="4"/>
    <n v="1"/>
    <n v="0.11"/>
    <n v="1"/>
    <n v="0.11"/>
    <m/>
  </r>
  <r>
    <s v="2019-20"/>
    <x v="3"/>
    <x v="36"/>
    <s v="L3"/>
    <m/>
    <s v="The City and Performance spaces – Performance spaces as Urban catalysts"/>
    <n v="5"/>
    <x v="1"/>
    <x v="4"/>
    <n v="0"/>
    <n v="0.11"/>
    <n v="1"/>
    <n v="0"/>
    <m/>
  </r>
  <r>
    <s v="2019-20"/>
    <x v="3"/>
    <x v="36"/>
    <s v="L3"/>
    <m/>
    <s v="The City and Performance spaces – Performance spaces as Urban catalysts"/>
    <n v="6"/>
    <x v="0"/>
    <x v="5"/>
    <n v="1"/>
    <n v="0.15"/>
    <n v="1"/>
    <n v="0.15"/>
    <m/>
  </r>
  <r>
    <s v="2019-20"/>
    <x v="3"/>
    <x v="36"/>
    <s v="L3"/>
    <m/>
    <s v="The City and Performance spaces – Performance spaces as Urban catalysts"/>
    <n v="6"/>
    <x v="1"/>
    <x v="5"/>
    <n v="-1"/>
    <n v="0.15"/>
    <n v="1"/>
    <n v="-0.15"/>
    <m/>
  </r>
  <r>
    <s v="2019-20"/>
    <x v="3"/>
    <x v="36"/>
    <s v="L3"/>
    <m/>
    <s v="The City and Performance spaces – Performance spaces as Urban catalysts"/>
    <n v="7"/>
    <x v="0"/>
    <x v="6"/>
    <n v="1"/>
    <n v="0.1"/>
    <n v="1"/>
    <n v="0.1"/>
    <m/>
  </r>
  <r>
    <s v="2019-20"/>
    <x v="3"/>
    <x v="36"/>
    <s v="L3"/>
    <m/>
    <s v="The City and Performance spaces – Performance spaces as Urban catalysts"/>
    <n v="7"/>
    <x v="1"/>
    <x v="6"/>
    <n v="-1"/>
    <n v="0.1"/>
    <n v="1"/>
    <n v="-0.1"/>
    <m/>
  </r>
  <r>
    <s v="2019-20"/>
    <x v="3"/>
    <x v="36"/>
    <s v="L3"/>
    <m/>
    <s v="The City and Performance spaces – Performance spaces as Urban catalysts"/>
    <n v="8"/>
    <x v="0"/>
    <x v="7"/>
    <n v="1"/>
    <n v="0.1"/>
    <n v="1"/>
    <n v="0.1"/>
    <m/>
  </r>
  <r>
    <s v="2019-20"/>
    <x v="3"/>
    <x v="36"/>
    <s v="L3"/>
    <m/>
    <s v="The City and Performance spaces – Performance spaces as Urban catalysts"/>
    <n v="8"/>
    <x v="1"/>
    <x v="7"/>
    <n v="-1"/>
    <n v="0.1"/>
    <n v="1"/>
    <n v="-0.1"/>
    <m/>
  </r>
  <r>
    <s v="2019-20"/>
    <x v="3"/>
    <x v="36"/>
    <s v="L3"/>
    <m/>
    <s v="The City and Performance spaces – Performance spaces as Urban catalysts"/>
    <n v="9"/>
    <x v="0"/>
    <x v="8"/>
    <m/>
    <n v="0.05"/>
    <n v="0.85"/>
    <n v="0"/>
    <m/>
  </r>
  <r>
    <s v="2019-20"/>
    <x v="3"/>
    <x v="36"/>
    <s v="L3"/>
    <m/>
    <s v="The City and Performance spaces – Performance spaces as Urban catalysts"/>
    <n v="9"/>
    <x v="1"/>
    <x v="8"/>
    <m/>
    <n v="0.05"/>
    <n v="0.85"/>
    <n v="0"/>
    <m/>
  </r>
  <r>
    <s v="2019-20"/>
    <x v="3"/>
    <x v="36"/>
    <s v="L3"/>
    <m/>
    <s v="The City and Performance spaces – Performance spaces as Urban catalysts"/>
    <n v="10"/>
    <x v="0"/>
    <x v="8"/>
    <m/>
    <n v="0.05"/>
    <n v="0.85"/>
    <n v="0"/>
    <m/>
  </r>
  <r>
    <s v="2019-20"/>
    <x v="3"/>
    <x v="36"/>
    <s v="L3"/>
    <m/>
    <s v="The City and Performance spaces – Performance spaces as Urban catalysts"/>
    <n v="10"/>
    <x v="1"/>
    <x v="8"/>
    <m/>
    <n v="0.05"/>
    <n v="0.85"/>
    <n v="0"/>
    <m/>
  </r>
  <r>
    <s v="2019-20"/>
    <x v="3"/>
    <x v="36"/>
    <s v="L3"/>
    <m/>
    <s v="The City and Performance spaces – Performance spaces as Urban catalysts"/>
    <n v="11"/>
    <x v="0"/>
    <x v="9"/>
    <n v="1"/>
    <n v="0.05"/>
    <n v="1"/>
    <n v="0.05"/>
    <m/>
  </r>
  <r>
    <s v="2019-20"/>
    <x v="3"/>
    <x v="36"/>
    <s v="L3"/>
    <m/>
    <s v="The City and Performance spaces – Performance spaces as Urban catalysts"/>
    <n v="11"/>
    <x v="1"/>
    <x v="9"/>
    <n v="-1"/>
    <n v="0.05"/>
    <n v="1"/>
    <n v="-0.05"/>
    <m/>
  </r>
  <r>
    <s v="2019-20"/>
    <x v="3"/>
    <x v="37"/>
    <s v="L3"/>
    <m/>
    <s v="Algorithmic Thinking – A Parametric Approach to Problem Solving"/>
    <n v="1"/>
    <x v="0"/>
    <x v="0"/>
    <n v="1"/>
    <n v="0.12"/>
    <n v="1"/>
    <n v="0.12"/>
    <m/>
  </r>
  <r>
    <s v="2019-20"/>
    <x v="3"/>
    <x v="37"/>
    <s v="L3"/>
    <m/>
    <s v="Algorithmic Thinking – A Parametric Approach to Problem Solving"/>
    <n v="1"/>
    <x v="1"/>
    <x v="0"/>
    <n v="0"/>
    <n v="0.12"/>
    <n v="1"/>
    <n v="0.12"/>
    <m/>
  </r>
  <r>
    <s v="2019-20"/>
    <x v="3"/>
    <x v="37"/>
    <s v="L3"/>
    <m/>
    <s v="Algorithmic Thinking – A Parametric Approach to Problem Solving"/>
    <n v="2"/>
    <x v="0"/>
    <x v="1"/>
    <n v="1"/>
    <n v="0.08"/>
    <n v="0.8"/>
    <n v="6.4000000000000001E-2"/>
    <m/>
  </r>
  <r>
    <s v="2019-20"/>
    <x v="3"/>
    <x v="37"/>
    <s v="L3"/>
    <m/>
    <s v="Algorithmic Thinking – A Parametric Approach to Problem Solving"/>
    <n v="2"/>
    <x v="1"/>
    <x v="1"/>
    <n v="0"/>
    <n v="0.08"/>
    <n v="0.8"/>
    <n v="0"/>
    <m/>
  </r>
  <r>
    <s v="2019-20"/>
    <x v="3"/>
    <x v="37"/>
    <s v="L3"/>
    <m/>
    <s v="Algorithmic Thinking – A Parametric Approach to Problem Solving"/>
    <n v="3"/>
    <x v="0"/>
    <x v="2"/>
    <n v="1"/>
    <n v="0.05"/>
    <n v="1"/>
    <n v="0.05"/>
    <m/>
  </r>
  <r>
    <s v="2019-20"/>
    <x v="3"/>
    <x v="37"/>
    <s v="L3"/>
    <m/>
    <s v="Algorithmic Thinking – A Parametric Approach to Problem Solving"/>
    <n v="3"/>
    <x v="1"/>
    <x v="2"/>
    <n v="0"/>
    <n v="0.05"/>
    <n v="1"/>
    <n v="0"/>
    <m/>
  </r>
  <r>
    <s v="2019-20"/>
    <x v="3"/>
    <x v="37"/>
    <s v="L3"/>
    <m/>
    <s v="Algorithmic Thinking – A Parametric Approach to Problem Solving"/>
    <n v="4"/>
    <x v="0"/>
    <x v="3"/>
    <n v="1"/>
    <n v="0.14000000000000001"/>
    <n v="1"/>
    <n v="0.14000000000000001"/>
    <m/>
  </r>
  <r>
    <s v="2019-20"/>
    <x v="3"/>
    <x v="37"/>
    <s v="L3"/>
    <m/>
    <s v="Algorithmic Thinking – A Parametric Approach to Problem Solving"/>
    <n v="4"/>
    <x v="1"/>
    <x v="3"/>
    <n v="0"/>
    <n v="0.14000000000000001"/>
    <n v="1"/>
    <n v="0"/>
    <m/>
  </r>
  <r>
    <s v="2019-20"/>
    <x v="3"/>
    <x v="37"/>
    <s v="L3"/>
    <m/>
    <s v="Algorithmic Thinking – A Parametric Approach to Problem Solving"/>
    <n v="5"/>
    <x v="0"/>
    <x v="4"/>
    <n v="1"/>
    <n v="0.11"/>
    <n v="1"/>
    <n v="0.11"/>
    <m/>
  </r>
  <r>
    <s v="2019-20"/>
    <x v="3"/>
    <x v="37"/>
    <s v="L3"/>
    <m/>
    <s v="Algorithmic Thinking – A Parametric Approach to Problem Solving"/>
    <n v="5"/>
    <x v="1"/>
    <x v="4"/>
    <n v="-1"/>
    <n v="0.11"/>
    <n v="1"/>
    <n v="-0.11"/>
    <m/>
  </r>
  <r>
    <s v="2019-20"/>
    <x v="3"/>
    <x v="37"/>
    <s v="L3"/>
    <m/>
    <s v="Algorithmic Thinking – A Parametric Approach to Problem Solving"/>
    <n v="6"/>
    <x v="0"/>
    <x v="5"/>
    <n v="0"/>
    <n v="0.15"/>
    <n v="1"/>
    <n v="0"/>
    <m/>
  </r>
  <r>
    <s v="2019-20"/>
    <x v="3"/>
    <x v="37"/>
    <s v="L3"/>
    <m/>
    <s v="Algorithmic Thinking – A Parametric Approach to Problem Solving"/>
    <n v="6"/>
    <x v="1"/>
    <x v="5"/>
    <n v="-1"/>
    <n v="0.15"/>
    <n v="1"/>
    <n v="-0.15"/>
    <m/>
  </r>
  <r>
    <s v="2019-20"/>
    <x v="3"/>
    <x v="37"/>
    <s v="L3"/>
    <m/>
    <s v="Algorithmic Thinking – A Parametric Approach to Problem Solving"/>
    <n v="7"/>
    <x v="0"/>
    <x v="6"/>
    <n v="1"/>
    <n v="0.1"/>
    <n v="1"/>
    <n v="0.1"/>
    <m/>
  </r>
  <r>
    <s v="2019-20"/>
    <x v="3"/>
    <x v="37"/>
    <s v="L3"/>
    <m/>
    <s v="Algorithmic Thinking – A Parametric Approach to Problem Solving"/>
    <n v="7"/>
    <x v="1"/>
    <x v="6"/>
    <n v="0"/>
    <n v="0.1"/>
    <n v="1"/>
    <n v="0"/>
    <m/>
  </r>
  <r>
    <s v="2019-20"/>
    <x v="3"/>
    <x v="37"/>
    <s v="L3"/>
    <m/>
    <s v="Algorithmic Thinking – A Parametric Approach to Problem Solving"/>
    <n v="8"/>
    <x v="0"/>
    <x v="7"/>
    <n v="0"/>
    <n v="0.1"/>
    <n v="1"/>
    <n v="0"/>
    <m/>
  </r>
  <r>
    <s v="2019-20"/>
    <x v="3"/>
    <x v="37"/>
    <s v="L3"/>
    <m/>
    <s v="Algorithmic Thinking – A Parametric Approach to Problem Solving"/>
    <n v="8"/>
    <x v="1"/>
    <x v="7"/>
    <n v="-1"/>
    <n v="0.1"/>
    <n v="1"/>
    <n v="-0.1"/>
    <m/>
  </r>
  <r>
    <s v="2019-20"/>
    <x v="3"/>
    <x v="37"/>
    <s v="L3"/>
    <m/>
    <s v="Algorithmic Thinking – A Parametric Approach to Problem Solving"/>
    <n v="9"/>
    <x v="0"/>
    <x v="8"/>
    <m/>
    <n v="0.05"/>
    <n v="0.85"/>
    <n v="0"/>
    <m/>
  </r>
  <r>
    <s v="2019-20"/>
    <x v="3"/>
    <x v="37"/>
    <s v="L3"/>
    <m/>
    <s v="Algorithmic Thinking – A Parametric Approach to Problem Solving"/>
    <n v="9"/>
    <x v="1"/>
    <x v="8"/>
    <m/>
    <n v="0.05"/>
    <n v="0.85"/>
    <n v="0"/>
    <m/>
  </r>
  <r>
    <s v="2019-20"/>
    <x v="3"/>
    <x v="37"/>
    <s v="L3"/>
    <m/>
    <s v="Algorithmic Thinking – A Parametric Approach to Problem Solving"/>
    <n v="10"/>
    <x v="0"/>
    <x v="8"/>
    <m/>
    <n v="0.05"/>
    <n v="0.85"/>
    <n v="0"/>
    <m/>
  </r>
  <r>
    <s v="2019-20"/>
    <x v="3"/>
    <x v="37"/>
    <s v="L3"/>
    <m/>
    <s v="Algorithmic Thinking – A Parametric Approach to Problem Solving"/>
    <n v="10"/>
    <x v="1"/>
    <x v="8"/>
    <m/>
    <n v="0.05"/>
    <n v="0.85"/>
    <n v="0"/>
    <m/>
  </r>
  <r>
    <s v="2019-20"/>
    <x v="3"/>
    <x v="37"/>
    <s v="L3"/>
    <m/>
    <s v="Algorithmic Thinking – A Parametric Approach to Problem Solving"/>
    <n v="11"/>
    <x v="0"/>
    <x v="9"/>
    <n v="0"/>
    <n v="0.05"/>
    <n v="1"/>
    <n v="0"/>
    <m/>
  </r>
  <r>
    <s v="2019-20"/>
    <x v="3"/>
    <x v="37"/>
    <s v="L3"/>
    <m/>
    <s v="Algorithmic Thinking – A Parametric Approach to Problem Solving"/>
    <n v="11"/>
    <x v="1"/>
    <x v="9"/>
    <n v="-1"/>
    <n v="0.05"/>
    <n v="1"/>
    <n v="-0.05"/>
    <m/>
  </r>
  <r>
    <s v="2019-20"/>
    <x v="3"/>
    <x v="38"/>
    <s v="L3"/>
    <m/>
    <s v="Vertical Living"/>
    <n v="1"/>
    <x v="0"/>
    <x v="0"/>
    <n v="1"/>
    <n v="0.12"/>
    <n v="1"/>
    <n v="0.12"/>
    <m/>
  </r>
  <r>
    <s v="2019-20"/>
    <x v="3"/>
    <x v="38"/>
    <s v="L3"/>
    <m/>
    <s v="Vertical Living"/>
    <n v="1"/>
    <x v="1"/>
    <x v="0"/>
    <n v="0"/>
    <n v="0.12"/>
    <n v="1"/>
    <n v="0.12"/>
    <m/>
  </r>
  <r>
    <s v="2019-20"/>
    <x v="3"/>
    <x v="38"/>
    <s v="L3"/>
    <m/>
    <s v="Vertical Living"/>
    <n v="2"/>
    <x v="0"/>
    <x v="1"/>
    <n v="0"/>
    <n v="0.08"/>
    <n v="0.8"/>
    <n v="0"/>
    <m/>
  </r>
  <r>
    <s v="2019-20"/>
    <x v="3"/>
    <x v="38"/>
    <s v="L3"/>
    <m/>
    <s v="Vertical Living"/>
    <n v="2"/>
    <x v="1"/>
    <x v="1"/>
    <n v="-1"/>
    <n v="0.08"/>
    <n v="0.8"/>
    <n v="-6.4000000000000001E-2"/>
    <s v="Too large"/>
  </r>
  <r>
    <s v="2019-20"/>
    <x v="3"/>
    <x v="38"/>
    <s v="L3"/>
    <m/>
    <s v="Vertical Living"/>
    <n v="3"/>
    <x v="0"/>
    <x v="2"/>
    <n v="0"/>
    <n v="0.05"/>
    <n v="1"/>
    <n v="0"/>
    <m/>
  </r>
  <r>
    <s v="2019-20"/>
    <x v="3"/>
    <x v="38"/>
    <s v="L3"/>
    <m/>
    <s v="Vertical Living"/>
    <n v="3"/>
    <x v="1"/>
    <x v="2"/>
    <n v="-1"/>
    <n v="0.05"/>
    <n v="1"/>
    <n v="-0.05"/>
    <s v="Too broad"/>
  </r>
  <r>
    <s v="2019-20"/>
    <x v="3"/>
    <x v="38"/>
    <s v="L3"/>
    <m/>
    <s v="Vertical Living"/>
    <n v="4"/>
    <x v="0"/>
    <x v="3"/>
    <n v="0"/>
    <n v="0.14000000000000001"/>
    <n v="1"/>
    <n v="0"/>
    <m/>
  </r>
  <r>
    <s v="2019-20"/>
    <x v="3"/>
    <x v="38"/>
    <s v="L3"/>
    <m/>
    <s v="Vertical Living"/>
    <n v="4"/>
    <x v="1"/>
    <x v="3"/>
    <n v="-1"/>
    <n v="0.14000000000000001"/>
    <n v="1"/>
    <n v="-0.14000000000000001"/>
    <s v="Very few"/>
  </r>
  <r>
    <s v="2019-20"/>
    <x v="3"/>
    <x v="38"/>
    <s v="L3"/>
    <m/>
    <s v="Vertical Living"/>
    <n v="5"/>
    <x v="0"/>
    <x v="4"/>
    <n v="0"/>
    <n v="0.11"/>
    <n v="1"/>
    <n v="0"/>
    <m/>
  </r>
  <r>
    <s v="2019-20"/>
    <x v="3"/>
    <x v="38"/>
    <s v="L3"/>
    <m/>
    <s v="Vertical Living"/>
    <n v="5"/>
    <x v="1"/>
    <x v="4"/>
    <n v="-1"/>
    <n v="0.11"/>
    <n v="1"/>
    <n v="-0.11"/>
    <s v="Same as !4"/>
  </r>
  <r>
    <s v="2019-20"/>
    <x v="3"/>
    <x v="38"/>
    <s v="L3"/>
    <m/>
    <s v="Vertical Living"/>
    <n v="6"/>
    <x v="0"/>
    <x v="5"/>
    <n v="0"/>
    <n v="0.15"/>
    <n v="1"/>
    <n v="0"/>
    <m/>
  </r>
  <r>
    <s v="2019-20"/>
    <x v="3"/>
    <x v="38"/>
    <s v="L3"/>
    <m/>
    <s v="Vertical Living"/>
    <n v="6"/>
    <x v="1"/>
    <x v="5"/>
    <n v="-1"/>
    <n v="0.15"/>
    <n v="1"/>
    <n v="-0.15"/>
    <s v="Some"/>
  </r>
  <r>
    <s v="2019-20"/>
    <x v="3"/>
    <x v="38"/>
    <s v="L3"/>
    <m/>
    <s v="Vertical Living"/>
    <n v="7"/>
    <x v="0"/>
    <x v="6"/>
    <n v="0"/>
    <n v="0.1"/>
    <n v="1"/>
    <n v="0"/>
    <m/>
  </r>
  <r>
    <s v="2019-20"/>
    <x v="3"/>
    <x v="38"/>
    <s v="L3"/>
    <m/>
    <s v="Vertical Living"/>
    <n v="7"/>
    <x v="1"/>
    <x v="6"/>
    <n v="-1"/>
    <n v="0.1"/>
    <n v="1"/>
    <n v="-0.1"/>
    <m/>
  </r>
  <r>
    <s v="2019-20"/>
    <x v="3"/>
    <x v="38"/>
    <s v="L3"/>
    <m/>
    <s v="Vertical Living"/>
    <n v="8"/>
    <x v="0"/>
    <x v="7"/>
    <n v="0"/>
    <n v="0.1"/>
    <n v="1"/>
    <n v="0"/>
    <m/>
  </r>
  <r>
    <s v="2019-20"/>
    <x v="3"/>
    <x v="38"/>
    <s v="L3"/>
    <m/>
    <s v="Vertical Living"/>
    <n v="8"/>
    <x v="1"/>
    <x v="7"/>
    <n v="-1"/>
    <n v="0.1"/>
    <n v="1"/>
    <n v="-0.1"/>
    <m/>
  </r>
  <r>
    <s v="2019-20"/>
    <x v="3"/>
    <x v="38"/>
    <s v="L3"/>
    <m/>
    <s v="Vertical Living"/>
    <n v="9"/>
    <x v="0"/>
    <x v="8"/>
    <m/>
    <n v="0.05"/>
    <n v="0.85"/>
    <n v="0"/>
    <m/>
  </r>
  <r>
    <s v="2019-20"/>
    <x v="3"/>
    <x v="38"/>
    <s v="L3"/>
    <m/>
    <s v="Vertical Living"/>
    <n v="9"/>
    <x v="1"/>
    <x v="8"/>
    <m/>
    <n v="0.05"/>
    <n v="0.85"/>
    <n v="0"/>
    <m/>
  </r>
  <r>
    <s v="2019-20"/>
    <x v="3"/>
    <x v="38"/>
    <s v="L3"/>
    <m/>
    <s v="Vertical Living"/>
    <n v="10"/>
    <x v="0"/>
    <x v="8"/>
    <m/>
    <n v="0.05"/>
    <n v="0.85"/>
    <n v="0"/>
    <m/>
  </r>
  <r>
    <s v="2019-20"/>
    <x v="3"/>
    <x v="38"/>
    <s v="L3"/>
    <m/>
    <s v="Vertical Living"/>
    <n v="10"/>
    <x v="1"/>
    <x v="8"/>
    <m/>
    <n v="0.05"/>
    <n v="0.85"/>
    <n v="0"/>
    <m/>
  </r>
  <r>
    <s v="2019-20"/>
    <x v="3"/>
    <x v="38"/>
    <s v="L3"/>
    <m/>
    <s v="Vertical Living"/>
    <n v="11"/>
    <x v="0"/>
    <x v="9"/>
    <n v="0"/>
    <n v="0.05"/>
    <n v="1"/>
    <n v="0"/>
    <m/>
  </r>
  <r>
    <s v="2019-20"/>
    <x v="3"/>
    <x v="38"/>
    <s v="L3"/>
    <m/>
    <s v="Vertical Living"/>
    <n v="11"/>
    <x v="1"/>
    <x v="9"/>
    <n v="-1"/>
    <n v="0.05"/>
    <n v="1"/>
    <n v="-0.05"/>
    <m/>
  </r>
  <r>
    <s v="2020-21"/>
    <x v="4"/>
    <x v="1"/>
    <s v="L2"/>
    <s v="Constructing and Specifying"/>
    <s v="Strange Details"/>
    <n v="1"/>
    <x v="0"/>
    <x v="0"/>
    <n v="1"/>
    <n v="0.12"/>
    <n v="1"/>
    <n v="0.12"/>
    <m/>
  </r>
  <r>
    <s v="2020-21"/>
    <x v="4"/>
    <x v="1"/>
    <s v="L2"/>
    <s v="Constructing and Specifying"/>
    <s v="Strange Details"/>
    <n v="1"/>
    <x v="1"/>
    <x v="0"/>
    <n v="0"/>
    <n v="0.12"/>
    <n v="1"/>
    <n v="0.12"/>
    <m/>
  </r>
  <r>
    <s v="2020-21"/>
    <x v="4"/>
    <x v="1"/>
    <s v="L2"/>
    <s v="Constructing and Specifying"/>
    <s v="Strange Details"/>
    <n v="2"/>
    <x v="0"/>
    <x v="1"/>
    <n v="1"/>
    <n v="0.08"/>
    <n v="0.9"/>
    <n v="7.2000000000000008E-2"/>
    <m/>
  </r>
  <r>
    <s v="2020-21"/>
    <x v="4"/>
    <x v="1"/>
    <s v="L2"/>
    <s v="Constructing and Specifying"/>
    <s v="Strange Details"/>
    <n v="2"/>
    <x v="1"/>
    <x v="1"/>
    <n v="0"/>
    <n v="0.08"/>
    <n v="0.9"/>
    <n v="0"/>
    <m/>
  </r>
  <r>
    <s v="2020-21"/>
    <x v="4"/>
    <x v="1"/>
    <s v="L2"/>
    <s v="Constructing and Specifying"/>
    <s v="Strange Details"/>
    <n v="3"/>
    <x v="0"/>
    <x v="2"/>
    <n v="1"/>
    <n v="0.05"/>
    <n v="1"/>
    <n v="0.05"/>
    <m/>
  </r>
  <r>
    <s v="2020-21"/>
    <x v="4"/>
    <x v="1"/>
    <s v="L2"/>
    <s v="Constructing and Specifying"/>
    <s v="Strange Details"/>
    <n v="3"/>
    <x v="1"/>
    <x v="2"/>
    <n v="1"/>
    <n v="0.05"/>
    <n v="1"/>
    <n v="0.05"/>
    <m/>
  </r>
  <r>
    <s v="2020-21"/>
    <x v="4"/>
    <x v="1"/>
    <s v="L2"/>
    <s v="Constructing and Specifying"/>
    <s v="Strange Details"/>
    <n v="4"/>
    <x v="0"/>
    <x v="3"/>
    <n v="0"/>
    <n v="0.1"/>
    <n v="1"/>
    <n v="0"/>
    <m/>
  </r>
  <r>
    <s v="2020-21"/>
    <x v="4"/>
    <x v="1"/>
    <s v="L2"/>
    <s v="Constructing and Specifying"/>
    <s v="Strange Details"/>
    <n v="4"/>
    <x v="1"/>
    <x v="3"/>
    <n v="0"/>
    <n v="0.1"/>
    <n v="1"/>
    <n v="0"/>
    <s v="While the problem statement included the aspect of the future of school design, how this translated into the designs was not clear."/>
  </r>
  <r>
    <s v="2020-21"/>
    <x v="4"/>
    <x v="1"/>
    <s v="L2"/>
    <s v="Constructing and Specifying"/>
    <s v="Strange Details"/>
    <n v="5"/>
    <x v="0"/>
    <x v="10"/>
    <n v="0"/>
    <n v="0.08"/>
    <n v="1"/>
    <n v="0"/>
    <m/>
  </r>
  <r>
    <s v="2020-21"/>
    <x v="4"/>
    <x v="1"/>
    <s v="L2"/>
    <s v="Constructing and Specifying"/>
    <s v="Strange Details"/>
    <n v="5"/>
    <x v="1"/>
    <x v="10"/>
    <n v="0"/>
    <n v="0.08"/>
    <n v="1"/>
    <n v="0"/>
    <s v="The studio was a missed opportunity to really explore new morphologies in architecture of learning, especially in/after the post covid era - as the problem statement stated"/>
  </r>
  <r>
    <s v="2020-21"/>
    <x v="4"/>
    <x v="1"/>
    <s v="L2"/>
    <s v="Constructing and Specifying"/>
    <s v="Strange Details"/>
    <n v="6"/>
    <x v="0"/>
    <x v="4"/>
    <n v="-1"/>
    <n v="7.0000000000000007E-2"/>
    <n v="1"/>
    <n v="-7.0000000000000007E-2"/>
    <m/>
  </r>
  <r>
    <s v="2020-21"/>
    <x v="4"/>
    <x v="1"/>
    <s v="L2"/>
    <s v="Constructing and Specifying"/>
    <s v="Strange Details"/>
    <n v="6"/>
    <x v="1"/>
    <x v="4"/>
    <n v="0"/>
    <n v="7.0000000000000007E-2"/>
    <n v="1"/>
    <n v="0"/>
    <m/>
  </r>
  <r>
    <s v="2020-21"/>
    <x v="4"/>
    <x v="1"/>
    <s v="L2"/>
    <s v="Constructing and Specifying"/>
    <s v="Strange Details"/>
    <n v="7"/>
    <x v="0"/>
    <x v="5"/>
    <n v="-1"/>
    <n v="0.15"/>
    <n v="1"/>
    <n v="-0.15"/>
    <m/>
  </r>
  <r>
    <s v="2020-21"/>
    <x v="4"/>
    <x v="1"/>
    <s v="L2"/>
    <s v="Constructing and Specifying"/>
    <s v="Strange Details"/>
    <n v="7"/>
    <x v="1"/>
    <x v="5"/>
    <n v="1"/>
    <n v="0.15"/>
    <n v="1"/>
    <n v="0.15"/>
    <m/>
  </r>
  <r>
    <s v="2020-21"/>
    <x v="4"/>
    <x v="1"/>
    <s v="L2"/>
    <s v="Constructing and Specifying"/>
    <s v="Strange Details"/>
    <n v="8"/>
    <x v="0"/>
    <x v="6"/>
    <n v="0"/>
    <n v="0.1"/>
    <n v="1"/>
    <n v="0"/>
    <m/>
  </r>
  <r>
    <s v="2020-21"/>
    <x v="4"/>
    <x v="1"/>
    <s v="L2"/>
    <s v="Constructing and Specifying"/>
    <s v="Strange Details"/>
    <n v="8"/>
    <x v="1"/>
    <x v="6"/>
    <n v="0"/>
    <n v="0.1"/>
    <n v="1"/>
    <n v="0"/>
    <m/>
  </r>
  <r>
    <s v="2020-21"/>
    <x v="4"/>
    <x v="1"/>
    <s v="L2"/>
    <s v="Constructing and Specifying"/>
    <s v="Strange Details"/>
    <n v="9"/>
    <x v="0"/>
    <x v="7"/>
    <n v="0"/>
    <n v="0.1"/>
    <n v="1"/>
    <n v="0"/>
    <m/>
  </r>
  <r>
    <s v="2020-21"/>
    <x v="4"/>
    <x v="1"/>
    <s v="L2"/>
    <s v="Constructing and Specifying"/>
    <s v="Strange Details"/>
    <n v="9"/>
    <x v="1"/>
    <x v="7"/>
    <n v="-1"/>
    <n v="0.1"/>
    <n v="1"/>
    <n v="-0.1"/>
    <m/>
  </r>
  <r>
    <s v="2020-21"/>
    <x v="4"/>
    <x v="1"/>
    <s v="L2"/>
    <s v="Constructing and Specifying"/>
    <s v="Strange Details"/>
    <n v="10"/>
    <x v="0"/>
    <x v="8"/>
    <n v="0"/>
    <n v="0.05"/>
    <n v="0.9"/>
    <n v="0"/>
    <m/>
  </r>
  <r>
    <s v="2020-21"/>
    <x v="4"/>
    <x v="1"/>
    <s v="L2"/>
    <s v="Constructing and Specifying"/>
    <s v="Strange Details"/>
    <n v="10"/>
    <x v="1"/>
    <x v="8"/>
    <n v="1"/>
    <n v="0.05"/>
    <n v="0.9"/>
    <n v="4.5000000000000005E-2"/>
    <s v="Studio explanations (by the faculty) need to be time bound and to the point. The student work needed some more explanations OR perhaps a short explanation video on their thinking"/>
  </r>
  <r>
    <s v="2020-21"/>
    <x v="4"/>
    <x v="1"/>
    <s v="L2"/>
    <s v="Constructing and Specifying"/>
    <s v="Strange Details"/>
    <n v="11"/>
    <x v="0"/>
    <x v="8"/>
    <n v="1"/>
    <n v="0.05"/>
    <n v="0.9"/>
    <n v="4.5000000000000005E-2"/>
    <m/>
  </r>
  <r>
    <s v="2020-21"/>
    <x v="4"/>
    <x v="1"/>
    <s v="L2"/>
    <s v="Constructing and Specifying"/>
    <s v="Strange Details"/>
    <n v="11"/>
    <x v="1"/>
    <x v="8"/>
    <n v="-1"/>
    <n v="0.05"/>
    <n v="0.9"/>
    <n v="-4.5000000000000005E-2"/>
    <m/>
  </r>
  <r>
    <s v="2020-21"/>
    <x v="4"/>
    <x v="1"/>
    <s v="L2"/>
    <s v="Constructing and Specifying"/>
    <s v="Strange Details"/>
    <n v="12"/>
    <x v="0"/>
    <x v="9"/>
    <n v="0"/>
    <n v="0.05"/>
    <n v="1"/>
    <n v="0"/>
    <m/>
  </r>
  <r>
    <s v="2020-21"/>
    <x v="4"/>
    <x v="1"/>
    <s v="L2"/>
    <s v="Constructing and Specifying"/>
    <s v="Strange Details"/>
    <n v="12"/>
    <x v="1"/>
    <x v="9"/>
    <n v="0"/>
    <n v="0.05"/>
    <n v="1"/>
    <n v="0"/>
    <s v="Missed the physical models. Its been an inherent part of the process. Also now that physical models were absent, I wishthere were more drawings at enlarged scales of the details and wall sections, since the students had time.May be 3Dprinter is the call of the day, 3 D printers are not so expensive and affordable..Good, interesting, and high volume of work overall. This studio is an improvement over similar studio offered in Nov2019 since working drawings &amp; detailing were preceded by a complete and very involved process of design. Onlydrawback, if at all, was that all Art Museum floor plans seemed to be quite similar..Much better than earlier"/>
  </r>
  <r>
    <s v="2020-21"/>
    <x v="4"/>
    <x v="4"/>
    <s v="L2"/>
    <s v="Constructing and Specifying"/>
    <s v="From Drawing Board to Construction Sites"/>
    <n v="1"/>
    <x v="0"/>
    <x v="0"/>
    <n v="1"/>
    <n v="0.12"/>
    <n v="1"/>
    <n v="0.12"/>
    <m/>
  </r>
  <r>
    <s v="2020-21"/>
    <x v="4"/>
    <x v="4"/>
    <s v="L2"/>
    <s v="Constructing and Specifying"/>
    <s v="From Drawing Board to Construction Sites"/>
    <n v="1"/>
    <x v="1"/>
    <x v="0"/>
    <n v="1"/>
    <n v="0.12"/>
    <n v="1"/>
    <n v="0.12"/>
    <m/>
  </r>
  <r>
    <s v="2020-21"/>
    <x v="4"/>
    <x v="4"/>
    <s v="L2"/>
    <s v="Constructing and Specifying"/>
    <s v="From Drawing Board to Construction Sites"/>
    <n v="2"/>
    <x v="0"/>
    <x v="1"/>
    <n v="1"/>
    <n v="0.08"/>
    <n v="0.9"/>
    <n v="7.2000000000000008E-2"/>
    <m/>
  </r>
  <r>
    <s v="2020-21"/>
    <x v="4"/>
    <x v="4"/>
    <s v="L2"/>
    <s v="Constructing and Specifying"/>
    <s v="From Drawing Board to Construction Sites"/>
    <n v="2"/>
    <x v="1"/>
    <x v="1"/>
    <n v="1"/>
    <n v="0.08"/>
    <n v="0.9"/>
    <n v="7.2000000000000008E-2"/>
    <m/>
  </r>
  <r>
    <s v="2020-21"/>
    <x v="4"/>
    <x v="4"/>
    <s v="L2"/>
    <s v="Constructing and Specifying"/>
    <s v="From Drawing Board to Construction Sites"/>
    <n v="3"/>
    <x v="0"/>
    <x v="2"/>
    <n v="1"/>
    <n v="0.05"/>
    <n v="1"/>
    <n v="0.05"/>
    <m/>
  </r>
  <r>
    <s v="2020-21"/>
    <x v="4"/>
    <x v="4"/>
    <s v="L2"/>
    <s v="Constructing and Specifying"/>
    <s v="From Drawing Board to Construction Sites"/>
    <n v="3"/>
    <x v="1"/>
    <x v="2"/>
    <n v="0"/>
    <n v="0.05"/>
    <n v="1"/>
    <n v="0"/>
    <m/>
  </r>
  <r>
    <s v="2020-21"/>
    <x v="4"/>
    <x v="4"/>
    <s v="L2"/>
    <s v="Constructing and Specifying"/>
    <s v="From Drawing Board to Construction Sites"/>
    <n v="4"/>
    <x v="0"/>
    <x v="3"/>
    <n v="1"/>
    <n v="0.1"/>
    <n v="1"/>
    <n v="0.1"/>
    <m/>
  </r>
  <r>
    <s v="2020-21"/>
    <x v="4"/>
    <x v="4"/>
    <s v="L2"/>
    <s v="Constructing and Specifying"/>
    <s v="From Drawing Board to Construction Sites"/>
    <n v="4"/>
    <x v="1"/>
    <x v="3"/>
    <n v="0"/>
    <n v="0.1"/>
    <n v="1"/>
    <n v="0"/>
    <s v="If seen in isolation, yes. If compared to previous semesters, then its not at par."/>
  </r>
  <r>
    <s v="2020-21"/>
    <x v="4"/>
    <x v="4"/>
    <s v="L2"/>
    <s v="Constructing and Specifying"/>
    <s v="From Drawing Board to Construction Sites"/>
    <n v="5"/>
    <x v="0"/>
    <x v="10"/>
    <n v="1"/>
    <n v="0.08"/>
    <n v="1"/>
    <n v="0.08"/>
    <m/>
  </r>
  <r>
    <s v="2020-21"/>
    <x v="4"/>
    <x v="4"/>
    <s v="L2"/>
    <s v="Constructing and Specifying"/>
    <s v="From Drawing Board to Construction Sites"/>
    <n v="5"/>
    <x v="1"/>
    <x v="10"/>
    <n v="1"/>
    <n v="0.08"/>
    <n v="1"/>
    <n v="0.08"/>
    <m/>
  </r>
  <r>
    <s v="2020-21"/>
    <x v="4"/>
    <x v="4"/>
    <s v="L2"/>
    <s v="Constructing and Specifying"/>
    <s v="From Drawing Board to Construction Sites"/>
    <n v="6"/>
    <x v="0"/>
    <x v="4"/>
    <n v="1"/>
    <n v="7.0000000000000007E-2"/>
    <n v="1"/>
    <n v="7.0000000000000007E-2"/>
    <m/>
  </r>
  <r>
    <s v="2020-21"/>
    <x v="4"/>
    <x v="4"/>
    <s v="L2"/>
    <s v="Constructing and Specifying"/>
    <s v="From Drawing Board to Construction Sites"/>
    <n v="6"/>
    <x v="1"/>
    <x v="4"/>
    <n v="1"/>
    <n v="7.0000000000000007E-2"/>
    <n v="1"/>
    <n v="7.0000000000000007E-2"/>
    <m/>
  </r>
  <r>
    <s v="2020-21"/>
    <x v="4"/>
    <x v="4"/>
    <s v="L2"/>
    <s v="Constructing and Specifying"/>
    <s v="From Drawing Board to Construction Sites"/>
    <n v="7"/>
    <x v="0"/>
    <x v="5"/>
    <n v="1"/>
    <n v="0.15"/>
    <n v="1"/>
    <n v="0.15"/>
    <m/>
  </r>
  <r>
    <s v="2020-21"/>
    <x v="4"/>
    <x v="4"/>
    <s v="L2"/>
    <s v="Constructing and Specifying"/>
    <s v="From Drawing Board to Construction Sites"/>
    <n v="7"/>
    <x v="1"/>
    <x v="5"/>
    <n v="1"/>
    <n v="0.15"/>
    <n v="1"/>
    <n v="0.15"/>
    <m/>
  </r>
  <r>
    <s v="2020-21"/>
    <x v="4"/>
    <x v="4"/>
    <s v="L2"/>
    <s v="Constructing and Specifying"/>
    <s v="From Drawing Board to Construction Sites"/>
    <n v="8"/>
    <x v="0"/>
    <x v="6"/>
    <n v="1"/>
    <n v="0.1"/>
    <n v="1"/>
    <n v="0.1"/>
    <m/>
  </r>
  <r>
    <s v="2020-21"/>
    <x v="4"/>
    <x v="4"/>
    <s v="L2"/>
    <s v="Constructing and Specifying"/>
    <s v="From Drawing Board to Construction Sites"/>
    <n v="8"/>
    <x v="1"/>
    <x v="6"/>
    <n v="0"/>
    <n v="0.1"/>
    <n v="1"/>
    <n v="0"/>
    <s v="There are errors but its mostly owing to the absence of one on one interaction."/>
  </r>
  <r>
    <s v="2020-21"/>
    <x v="4"/>
    <x v="4"/>
    <s v="L2"/>
    <s v="Constructing and Specifying"/>
    <s v="From Drawing Board to Construction Sites"/>
    <n v="9"/>
    <x v="0"/>
    <x v="7"/>
    <n v="1"/>
    <n v="0.1"/>
    <n v="1"/>
    <n v="0.1"/>
    <m/>
  </r>
  <r>
    <s v="2020-21"/>
    <x v="4"/>
    <x v="4"/>
    <s v="L2"/>
    <s v="Constructing and Specifying"/>
    <s v="From Drawing Board to Construction Sites"/>
    <n v="9"/>
    <x v="1"/>
    <x v="7"/>
    <n v="0"/>
    <n v="0.1"/>
    <n v="1"/>
    <n v="0"/>
    <s v="Again its good, but not at par with previous semesters."/>
  </r>
  <r>
    <s v="2020-21"/>
    <x v="4"/>
    <x v="4"/>
    <s v="L2"/>
    <s v="Constructing and Specifying"/>
    <s v="From Drawing Board to Construction Sites"/>
    <n v="10"/>
    <x v="0"/>
    <x v="8"/>
    <n v="1"/>
    <n v="0.05"/>
    <n v="0.9"/>
    <n v="4.5000000000000005E-2"/>
    <m/>
  </r>
  <r>
    <s v="2020-21"/>
    <x v="4"/>
    <x v="4"/>
    <s v="L2"/>
    <s v="Constructing and Specifying"/>
    <s v="From Drawing Board to Construction Sites"/>
    <n v="10"/>
    <x v="1"/>
    <x v="8"/>
    <n v="0"/>
    <n v="0.05"/>
    <n v="0.9"/>
    <n v="0"/>
    <s v="Limitation of screen size, made it a bit difficult to read the drawings. The drawings need to be  projected, which is not always possible."/>
  </r>
  <r>
    <s v="2020-21"/>
    <x v="4"/>
    <x v="4"/>
    <s v="L2"/>
    <s v="Constructing and Specifying"/>
    <s v="From Drawing Board to Construction Sites"/>
    <n v="11"/>
    <x v="0"/>
    <x v="8"/>
    <n v="1"/>
    <n v="0.05"/>
    <n v="0.9"/>
    <n v="4.5000000000000005E-2"/>
    <m/>
  </r>
  <r>
    <s v="2020-21"/>
    <x v="4"/>
    <x v="4"/>
    <s v="L2"/>
    <s v="Constructing and Specifying"/>
    <s v="From Drawing Board to Construction Sites"/>
    <n v="11"/>
    <x v="1"/>
    <x v="8"/>
    <n v="1"/>
    <n v="0.05"/>
    <n v="0.9"/>
    <n v="4.5000000000000005E-2"/>
    <m/>
  </r>
  <r>
    <s v="2020-21"/>
    <x v="4"/>
    <x v="4"/>
    <s v="L2"/>
    <s v="Constructing and Specifying"/>
    <s v="From Drawing Board to Construction Sites"/>
    <n v="12"/>
    <x v="0"/>
    <x v="9"/>
    <n v="1"/>
    <n v="0.05"/>
    <n v="1"/>
    <n v="0.05"/>
    <m/>
  </r>
  <r>
    <s v="2020-21"/>
    <x v="4"/>
    <x v="4"/>
    <s v="L2"/>
    <s v="Constructing and Specifying"/>
    <s v="From Drawing Board to Construction Sites"/>
    <n v="12"/>
    <x v="1"/>
    <x v="9"/>
    <n v="0"/>
    <n v="0.05"/>
    <n v="1"/>
    <n v="0"/>
    <m/>
  </r>
  <r>
    <s v="2020-21"/>
    <x v="4"/>
    <x v="6"/>
    <s v="L2"/>
    <s v="Planning and Orgnizing"/>
    <s v="Making Living Places: Craftsmanship, song and imagination"/>
    <n v="1"/>
    <x v="0"/>
    <x v="0"/>
    <n v="1"/>
    <n v="0.12"/>
    <n v="1"/>
    <n v="0.12"/>
    <m/>
  </r>
  <r>
    <s v="2020-21"/>
    <x v="4"/>
    <x v="6"/>
    <s v="L2"/>
    <s v="Planning and Orgnizing"/>
    <s v="Making Living Places: Craftsmanship, song and imagination"/>
    <n v="1"/>
    <x v="1"/>
    <x v="0"/>
    <n v="0"/>
    <n v="0.12"/>
    <n v="1"/>
    <n v="0.12"/>
    <m/>
  </r>
  <r>
    <s v="2020-21"/>
    <x v="4"/>
    <x v="6"/>
    <s v="L2"/>
    <s v="Planning and Orgnizing"/>
    <s v="Making Living Places: Craftsmanship, song and imagination"/>
    <n v="2"/>
    <x v="0"/>
    <x v="1"/>
    <n v="0"/>
    <n v="0.08"/>
    <n v="0.9"/>
    <n v="0"/>
    <m/>
  </r>
  <r>
    <s v="2020-21"/>
    <x v="4"/>
    <x v="6"/>
    <s v="L2"/>
    <s v="Planning and Orgnizing"/>
    <s v="Making Living Places: Craftsmanship, song and imagination"/>
    <n v="2"/>
    <x v="1"/>
    <x v="1"/>
    <n v="1"/>
    <n v="0.08"/>
    <n v="0.9"/>
    <n v="7.2000000000000008E-2"/>
    <m/>
  </r>
  <r>
    <s v="2020-21"/>
    <x v="4"/>
    <x v="6"/>
    <s v="L2"/>
    <s v="Planning and Orgnizing"/>
    <s v="Making Living Places: Craftsmanship, song and imagination"/>
    <n v="3"/>
    <x v="0"/>
    <x v="2"/>
    <n v="1"/>
    <n v="0.05"/>
    <n v="1"/>
    <n v="0.05"/>
    <m/>
  </r>
  <r>
    <s v="2020-21"/>
    <x v="4"/>
    <x v="6"/>
    <s v="L2"/>
    <s v="Planning and Orgnizing"/>
    <s v="Making Living Places: Craftsmanship, song and imagination"/>
    <n v="3"/>
    <x v="1"/>
    <x v="2"/>
    <n v="1"/>
    <n v="0.05"/>
    <n v="1"/>
    <n v="0.05"/>
    <m/>
  </r>
  <r>
    <s v="2020-21"/>
    <x v="4"/>
    <x v="6"/>
    <s v="L2"/>
    <s v="Planning and Orgnizing"/>
    <s v="Making Living Places: Craftsmanship, song and imagination"/>
    <n v="4"/>
    <x v="0"/>
    <x v="3"/>
    <n v="0"/>
    <n v="0.1"/>
    <n v="1"/>
    <n v="0"/>
    <m/>
  </r>
  <r>
    <s v="2020-21"/>
    <x v="4"/>
    <x v="6"/>
    <s v="L2"/>
    <s v="Planning and Orgnizing"/>
    <s v="Making Living Places: Craftsmanship, song and imagination"/>
    <n v="4"/>
    <x v="1"/>
    <x v="3"/>
    <n v="-1"/>
    <n v="0.1"/>
    <n v="1"/>
    <n v="-0.1"/>
    <s v="With exception of may be one or two students, rest have lost an opportunity by not engaging."/>
  </r>
  <r>
    <s v="2020-21"/>
    <x v="4"/>
    <x v="6"/>
    <s v="L2"/>
    <s v="Planning and Orgnizing"/>
    <s v="Making Living Places: Craftsmanship, song and imagination"/>
    <n v="5"/>
    <x v="0"/>
    <x v="10"/>
    <n v="0"/>
    <n v="0.08"/>
    <n v="1"/>
    <n v="0"/>
    <m/>
  </r>
  <r>
    <s v="2020-21"/>
    <x v="4"/>
    <x v="6"/>
    <s v="L2"/>
    <s v="Planning and Orgnizing"/>
    <s v="Making Living Places: Craftsmanship, song and imagination"/>
    <n v="5"/>
    <x v="1"/>
    <x v="10"/>
    <n v="-1"/>
    <n v="0.08"/>
    <n v="1"/>
    <n v="-0.08"/>
    <s v="With exception of may be one or two students, over all the depth of understanding seems to be missing this time."/>
  </r>
  <r>
    <s v="2020-21"/>
    <x v="4"/>
    <x v="6"/>
    <s v="L2"/>
    <s v="Planning and Orgnizing"/>
    <s v="Making Living Places: Craftsmanship, song and imagination"/>
    <n v="6"/>
    <x v="0"/>
    <x v="4"/>
    <n v="0"/>
    <n v="7.0000000000000007E-2"/>
    <n v="1"/>
    <n v="0"/>
    <m/>
  </r>
  <r>
    <s v="2020-21"/>
    <x v="4"/>
    <x v="6"/>
    <s v="L2"/>
    <s v="Planning and Orgnizing"/>
    <s v="Making Living Places: Craftsmanship, song and imagination"/>
    <n v="6"/>
    <x v="1"/>
    <x v="4"/>
    <n v="-1"/>
    <n v="7.0000000000000007E-2"/>
    <n v="1"/>
    <n v="-7.0000000000000007E-2"/>
    <s v="This time no."/>
  </r>
  <r>
    <s v="2020-21"/>
    <x v="4"/>
    <x v="6"/>
    <s v="L2"/>
    <s v="Planning and Orgnizing"/>
    <s v="Making Living Places: Craftsmanship, song and imagination"/>
    <n v="7"/>
    <x v="0"/>
    <x v="5"/>
    <n v="0"/>
    <n v="0.15"/>
    <n v="1"/>
    <n v="0"/>
    <m/>
  </r>
  <r>
    <s v="2020-21"/>
    <x v="4"/>
    <x v="6"/>
    <s v="L2"/>
    <s v="Planning and Orgnizing"/>
    <s v="Making Living Places: Craftsmanship, song and imagination"/>
    <n v="7"/>
    <x v="1"/>
    <x v="5"/>
    <n v="-1"/>
    <n v="0.15"/>
    <n v="1"/>
    <n v="-0.15"/>
    <m/>
  </r>
  <r>
    <s v="2020-21"/>
    <x v="4"/>
    <x v="6"/>
    <s v="L2"/>
    <s v="Planning and Orgnizing"/>
    <s v="Making Living Places: Craftsmanship, song and imagination"/>
    <n v="8"/>
    <x v="0"/>
    <x v="6"/>
    <n v="0"/>
    <n v="0.1"/>
    <n v="1"/>
    <n v="0"/>
    <m/>
  </r>
  <r>
    <s v="2020-21"/>
    <x v="4"/>
    <x v="6"/>
    <s v="L2"/>
    <s v="Planning and Orgnizing"/>
    <s v="Making Living Places: Craftsmanship, song and imagination"/>
    <n v="8"/>
    <x v="1"/>
    <x v="6"/>
    <n v="-1"/>
    <n v="0.1"/>
    <n v="1"/>
    <n v="-0.1"/>
    <m/>
  </r>
  <r>
    <s v="2020-21"/>
    <x v="4"/>
    <x v="6"/>
    <s v="L2"/>
    <s v="Planning and Orgnizing"/>
    <s v="Making Living Places: Craftsmanship, song and imagination"/>
    <n v="9"/>
    <x v="0"/>
    <x v="7"/>
    <n v="-1"/>
    <n v="0.1"/>
    <n v="1"/>
    <n v="-0.1"/>
    <m/>
  </r>
  <r>
    <s v="2020-21"/>
    <x v="4"/>
    <x v="6"/>
    <s v="L2"/>
    <s v="Planning and Orgnizing"/>
    <s v="Making Living Places: Craftsmanship, song and imagination"/>
    <n v="9"/>
    <x v="1"/>
    <x v="7"/>
    <n v="0"/>
    <n v="0.1"/>
    <n v="1"/>
    <n v="0"/>
    <m/>
  </r>
  <r>
    <s v="2020-21"/>
    <x v="4"/>
    <x v="6"/>
    <s v="L2"/>
    <s v="Planning and Orgnizing"/>
    <s v="Making Living Places: Craftsmanship, song and imagination"/>
    <n v="10"/>
    <x v="0"/>
    <x v="8"/>
    <n v="0"/>
    <n v="0.05"/>
    <n v="0.9"/>
    <n v="0"/>
    <m/>
  </r>
  <r>
    <s v="2020-21"/>
    <x v="4"/>
    <x v="6"/>
    <s v="L2"/>
    <s v="Planning and Orgnizing"/>
    <s v="Making Living Places: Craftsmanship, song and imagination"/>
    <n v="10"/>
    <x v="1"/>
    <x v="8"/>
    <n v="0"/>
    <n v="0.05"/>
    <n v="0.9"/>
    <n v="0"/>
    <m/>
  </r>
  <r>
    <s v="2020-21"/>
    <x v="4"/>
    <x v="6"/>
    <s v="L2"/>
    <s v="Planning and Orgnizing"/>
    <s v="Making Living Places: Craftsmanship, song and imagination"/>
    <n v="11"/>
    <x v="0"/>
    <x v="8"/>
    <n v="-1"/>
    <n v="0.05"/>
    <n v="0.9"/>
    <n v="-4.5000000000000005E-2"/>
    <m/>
  </r>
  <r>
    <s v="2020-21"/>
    <x v="4"/>
    <x v="6"/>
    <s v="L2"/>
    <s v="Planning and Orgnizing"/>
    <s v="Making Living Places: Craftsmanship, song and imagination"/>
    <n v="11"/>
    <x v="1"/>
    <x v="8"/>
    <n v="0"/>
    <n v="0.05"/>
    <n v="0.9"/>
    <n v="0"/>
    <m/>
  </r>
  <r>
    <s v="2020-21"/>
    <x v="4"/>
    <x v="6"/>
    <s v="L2"/>
    <s v="Planning and Orgnizing"/>
    <s v="Making Living Places: Craftsmanship, song and imagination"/>
    <n v="12"/>
    <x v="0"/>
    <x v="9"/>
    <n v="-1"/>
    <n v="0.05"/>
    <n v="1"/>
    <n v="-0.05"/>
    <m/>
  </r>
  <r>
    <s v="2020-21"/>
    <x v="4"/>
    <x v="6"/>
    <s v="L2"/>
    <s v="Planning and Orgnizing"/>
    <s v="Making Living Places: Craftsmanship, song and imagination"/>
    <n v="12"/>
    <x v="1"/>
    <x v="9"/>
    <n v="0"/>
    <n v="0.05"/>
    <n v="1"/>
    <n v="0"/>
    <s v="Been observing the processes and the outcomes over previous three semesters of the same unit, the expectations were high. The quality of students work, both in terms of drawings, sketches and the engagement with design development and the outcome eventually has been a disappointment."/>
  </r>
  <r>
    <s v="2020-21"/>
    <x v="4"/>
    <x v="9"/>
    <s v="L2"/>
    <s v="Constructing and Specifying"/>
    <s v="Tectonic Operations"/>
    <n v="1"/>
    <x v="0"/>
    <x v="0"/>
    <n v="1"/>
    <n v="0.12"/>
    <n v="1"/>
    <n v="0.12"/>
    <m/>
  </r>
  <r>
    <s v="2020-21"/>
    <x v="4"/>
    <x v="9"/>
    <s v="L2"/>
    <s v="Constructing and Specifying"/>
    <s v="Tectonic Operations"/>
    <n v="1"/>
    <x v="1"/>
    <x v="0"/>
    <n v="1"/>
    <n v="0.12"/>
    <n v="1"/>
    <n v="0.12"/>
    <m/>
  </r>
  <r>
    <s v="2020-21"/>
    <x v="4"/>
    <x v="9"/>
    <s v="L2"/>
    <s v="Constructing and Specifying"/>
    <s v="Tectonic Operations"/>
    <n v="2"/>
    <x v="0"/>
    <x v="1"/>
    <n v="1"/>
    <n v="0.08"/>
    <n v="0.9"/>
    <n v="7.2000000000000008E-2"/>
    <m/>
  </r>
  <r>
    <s v="2020-21"/>
    <x v="4"/>
    <x v="9"/>
    <s v="L2"/>
    <s v="Constructing and Specifying"/>
    <s v="Tectonic Operations"/>
    <n v="2"/>
    <x v="1"/>
    <x v="1"/>
    <n v="1"/>
    <n v="0.08"/>
    <n v="0.9"/>
    <n v="7.2000000000000008E-2"/>
    <m/>
  </r>
  <r>
    <s v="2020-21"/>
    <x v="4"/>
    <x v="9"/>
    <s v="L2"/>
    <s v="Constructing and Specifying"/>
    <s v="Tectonic Operations"/>
    <n v="3"/>
    <x v="0"/>
    <x v="2"/>
    <n v="1"/>
    <n v="0.05"/>
    <n v="1"/>
    <n v="0.05"/>
    <m/>
  </r>
  <r>
    <s v="2020-21"/>
    <x v="4"/>
    <x v="9"/>
    <s v="L2"/>
    <s v="Constructing and Specifying"/>
    <s v="Tectonic Operations"/>
    <n v="3"/>
    <x v="1"/>
    <x v="2"/>
    <n v="1"/>
    <n v="0.05"/>
    <n v="1"/>
    <n v="0.05"/>
    <m/>
  </r>
  <r>
    <s v="2020-21"/>
    <x v="4"/>
    <x v="9"/>
    <s v="L2"/>
    <s v="Constructing and Specifying"/>
    <s v="Tectonic Operations"/>
    <n v="4"/>
    <x v="0"/>
    <x v="3"/>
    <n v="1"/>
    <n v="0.1"/>
    <n v="1"/>
    <n v="0.1"/>
    <m/>
  </r>
  <r>
    <s v="2020-21"/>
    <x v="4"/>
    <x v="9"/>
    <s v="L2"/>
    <s v="Constructing and Specifying"/>
    <s v="Tectonic Operations"/>
    <n v="4"/>
    <x v="1"/>
    <x v="3"/>
    <n v="0"/>
    <n v="0.1"/>
    <n v="1"/>
    <n v="0"/>
    <m/>
  </r>
  <r>
    <s v="2020-21"/>
    <x v="4"/>
    <x v="9"/>
    <s v="L2"/>
    <s v="Constructing and Specifying"/>
    <s v="Tectonic Operations"/>
    <n v="5"/>
    <x v="0"/>
    <x v="10"/>
    <n v="1"/>
    <n v="0.08"/>
    <n v="1"/>
    <n v="0.08"/>
    <m/>
  </r>
  <r>
    <s v="2020-21"/>
    <x v="4"/>
    <x v="9"/>
    <s v="L2"/>
    <s v="Constructing and Specifying"/>
    <s v="Tectonic Operations"/>
    <n v="5"/>
    <x v="1"/>
    <x v="10"/>
    <n v="0"/>
    <n v="0.08"/>
    <n v="1"/>
    <n v="0"/>
    <m/>
  </r>
  <r>
    <s v="2020-21"/>
    <x v="4"/>
    <x v="9"/>
    <s v="L2"/>
    <s v="Constructing and Specifying"/>
    <s v="Tectonic Operations"/>
    <n v="6"/>
    <x v="0"/>
    <x v="4"/>
    <n v="1"/>
    <n v="7.0000000000000007E-2"/>
    <n v="1"/>
    <n v="7.0000000000000007E-2"/>
    <m/>
  </r>
  <r>
    <s v="2020-21"/>
    <x v="4"/>
    <x v="9"/>
    <s v="L2"/>
    <s v="Constructing and Specifying"/>
    <s v="Tectonic Operations"/>
    <n v="6"/>
    <x v="1"/>
    <x v="4"/>
    <n v="0"/>
    <n v="7.0000000000000007E-2"/>
    <n v="1"/>
    <n v="0"/>
    <m/>
  </r>
  <r>
    <s v="2020-21"/>
    <x v="4"/>
    <x v="9"/>
    <s v="L2"/>
    <s v="Constructing and Specifying"/>
    <s v="Tectonic Operations"/>
    <n v="7"/>
    <x v="0"/>
    <x v="5"/>
    <n v="1"/>
    <n v="0.15"/>
    <n v="1"/>
    <n v="0.15"/>
    <m/>
  </r>
  <r>
    <s v="2020-21"/>
    <x v="4"/>
    <x v="9"/>
    <s v="L2"/>
    <s v="Constructing and Specifying"/>
    <s v="Tectonic Operations"/>
    <n v="7"/>
    <x v="1"/>
    <x v="5"/>
    <n v="0"/>
    <n v="0.15"/>
    <n v="1"/>
    <n v="0"/>
    <s v="Not as good as the previous semesters."/>
  </r>
  <r>
    <s v="2020-21"/>
    <x v="4"/>
    <x v="9"/>
    <s v="L2"/>
    <s v="Constructing and Specifying"/>
    <s v="Tectonic Operations"/>
    <n v="8"/>
    <x v="0"/>
    <x v="6"/>
    <n v="1"/>
    <n v="0.1"/>
    <n v="1"/>
    <n v="0.1"/>
    <m/>
  </r>
  <r>
    <s v="2020-21"/>
    <x v="4"/>
    <x v="9"/>
    <s v="L2"/>
    <s v="Constructing and Specifying"/>
    <s v="Tectonic Operations"/>
    <n v="8"/>
    <x v="1"/>
    <x v="6"/>
    <n v="0"/>
    <n v="0.1"/>
    <n v="1"/>
    <n v="0"/>
    <s v="Not as rigorous as the previous semesters."/>
  </r>
  <r>
    <s v="2020-21"/>
    <x v="4"/>
    <x v="9"/>
    <s v="L2"/>
    <s v="Constructing and Specifying"/>
    <s v="Tectonic Operations"/>
    <n v="9"/>
    <x v="0"/>
    <x v="7"/>
    <n v="1"/>
    <n v="0.1"/>
    <n v="1"/>
    <n v="0.1"/>
    <m/>
  </r>
  <r>
    <s v="2020-21"/>
    <x v="4"/>
    <x v="9"/>
    <s v="L2"/>
    <s v="Constructing and Specifying"/>
    <s v="Tectonic Operations"/>
    <n v="9"/>
    <x v="1"/>
    <x v="7"/>
    <n v="0"/>
    <n v="0.1"/>
    <n v="1"/>
    <n v="0"/>
    <m/>
  </r>
  <r>
    <s v="2020-21"/>
    <x v="4"/>
    <x v="9"/>
    <s v="L2"/>
    <s v="Constructing and Specifying"/>
    <s v="Tectonic Operations"/>
    <n v="10"/>
    <x v="0"/>
    <x v="8"/>
    <n v="1"/>
    <n v="0.05"/>
    <n v="0.9"/>
    <n v="4.5000000000000005E-2"/>
    <m/>
  </r>
  <r>
    <s v="2020-21"/>
    <x v="4"/>
    <x v="9"/>
    <s v="L2"/>
    <s v="Constructing and Specifying"/>
    <s v="Tectonic Operations"/>
    <n v="10"/>
    <x v="1"/>
    <x v="8"/>
    <n v="1"/>
    <n v="0.05"/>
    <n v="0.9"/>
    <n v="4.5000000000000005E-2"/>
    <m/>
  </r>
  <r>
    <s v="2020-21"/>
    <x v="4"/>
    <x v="9"/>
    <s v="L2"/>
    <s v="Constructing and Specifying"/>
    <s v="Tectonic Operations"/>
    <n v="11"/>
    <x v="0"/>
    <x v="8"/>
    <n v="1"/>
    <n v="0.05"/>
    <n v="0.9"/>
    <n v="4.5000000000000005E-2"/>
    <m/>
  </r>
  <r>
    <s v="2020-21"/>
    <x v="4"/>
    <x v="9"/>
    <s v="L2"/>
    <s v="Constructing and Specifying"/>
    <s v="Tectonic Operations"/>
    <n v="11"/>
    <x v="1"/>
    <x v="8"/>
    <n v="1"/>
    <n v="0.05"/>
    <n v="0.9"/>
    <n v="4.5000000000000005E-2"/>
    <m/>
  </r>
  <r>
    <s v="2020-21"/>
    <x v="4"/>
    <x v="9"/>
    <s v="L2"/>
    <s v="Constructing and Specifying"/>
    <s v="Tectonic Operations"/>
    <n v="12"/>
    <x v="0"/>
    <x v="9"/>
    <n v="1"/>
    <n v="0.05"/>
    <n v="1"/>
    <n v="0.05"/>
    <m/>
  </r>
  <r>
    <s v="2020-21"/>
    <x v="4"/>
    <x v="9"/>
    <s v="L2"/>
    <s v="Constructing and Specifying"/>
    <s v="Tectonic Operations"/>
    <n v="12"/>
    <x v="1"/>
    <x v="9"/>
    <n v="0"/>
    <n v="0.05"/>
    <n v="1"/>
    <n v="0"/>
    <s v="This studio has been very consistent and has been able to raise the bar of all the students and extract a desirable quality befitting the status of FA, CEPT over last 4-5 semester of work that I have been able to see.The studio combined the complexity of understanding an existing structure and explored the addition of a new one well. As usual fantastic work."/>
  </r>
  <r>
    <s v="2020-21"/>
    <x v="4"/>
    <x v="17"/>
    <s v="L2"/>
    <s v="Planning and Orgnizing"/>
    <s v="Designing with people: Exploring collaborative design at neighbourhood level"/>
    <n v="1"/>
    <x v="0"/>
    <x v="0"/>
    <n v="1"/>
    <n v="0.12"/>
    <n v="1"/>
    <n v="0.12"/>
    <m/>
  </r>
  <r>
    <s v="2020-21"/>
    <x v="4"/>
    <x v="17"/>
    <s v="L2"/>
    <s v="Planning and Orgnizing"/>
    <s v="Designing with people: Exploring collaborative design at neighbourhood level"/>
    <n v="1"/>
    <x v="1"/>
    <x v="0"/>
    <n v="0"/>
    <n v="0.12"/>
    <n v="1"/>
    <n v="0.12"/>
    <m/>
  </r>
  <r>
    <s v="2020-21"/>
    <x v="4"/>
    <x v="17"/>
    <s v="L2"/>
    <s v="Planning and Orgnizing"/>
    <s v="Designing with people: Exploring collaborative design at neighbourhood level"/>
    <n v="2"/>
    <x v="0"/>
    <x v="1"/>
    <n v="0"/>
    <n v="0.08"/>
    <n v="0.9"/>
    <n v="0"/>
    <m/>
  </r>
  <r>
    <s v="2020-21"/>
    <x v="4"/>
    <x v="17"/>
    <s v="L2"/>
    <s v="Planning and Orgnizing"/>
    <s v="Designing with people: Exploring collaborative design at neighbourhood level"/>
    <n v="2"/>
    <x v="1"/>
    <x v="1"/>
    <n v="-1"/>
    <n v="0.08"/>
    <n v="0.9"/>
    <n v="-7.2000000000000008E-2"/>
    <m/>
  </r>
  <r>
    <s v="2020-21"/>
    <x v="4"/>
    <x v="17"/>
    <s v="L2"/>
    <s v="Planning and Orgnizing"/>
    <s v="Designing with people: Exploring collaborative design at neighbourhood level"/>
    <n v="3"/>
    <x v="0"/>
    <x v="2"/>
    <n v="1"/>
    <n v="0.05"/>
    <n v="1"/>
    <n v="0.05"/>
    <m/>
  </r>
  <r>
    <s v="2020-21"/>
    <x v="4"/>
    <x v="17"/>
    <s v="L2"/>
    <s v="Planning and Orgnizing"/>
    <s v="Designing with people: Exploring collaborative design at neighbourhood level"/>
    <n v="3"/>
    <x v="1"/>
    <x v="2"/>
    <n v="-1"/>
    <n v="0.05"/>
    <n v="1"/>
    <n v="-0.05"/>
    <m/>
  </r>
  <r>
    <s v="2020-21"/>
    <x v="4"/>
    <x v="17"/>
    <s v="L2"/>
    <s v="Planning and Orgnizing"/>
    <s v="Designing with people: Exploring collaborative design at neighbourhood level"/>
    <n v="4"/>
    <x v="0"/>
    <x v="3"/>
    <n v="0"/>
    <n v="0.1"/>
    <n v="1"/>
    <n v="0"/>
    <m/>
  </r>
  <r>
    <s v="2020-21"/>
    <x v="4"/>
    <x v="17"/>
    <s v="L2"/>
    <s v="Planning and Orgnizing"/>
    <s v="Designing with people: Exploring collaborative design at neighbourhood level"/>
    <n v="4"/>
    <x v="1"/>
    <x v="3"/>
    <n v="0"/>
    <n v="0.1"/>
    <n v="1"/>
    <n v="0"/>
    <m/>
  </r>
  <r>
    <s v="2020-21"/>
    <x v="4"/>
    <x v="17"/>
    <s v="L2"/>
    <s v="Planning and Orgnizing"/>
    <s v="Designing with people: Exploring collaborative design at neighbourhood level"/>
    <n v="5"/>
    <x v="0"/>
    <x v="10"/>
    <n v="0"/>
    <n v="0.08"/>
    <n v="1"/>
    <n v="0"/>
    <m/>
  </r>
  <r>
    <s v="2020-21"/>
    <x v="4"/>
    <x v="17"/>
    <s v="L2"/>
    <s v="Planning and Orgnizing"/>
    <s v="Designing with people: Exploring collaborative design at neighbourhood level"/>
    <n v="5"/>
    <x v="1"/>
    <x v="10"/>
    <n v="-1"/>
    <n v="0.08"/>
    <n v="1"/>
    <n v="-0.08"/>
    <s v="between 1 and 2."/>
  </r>
  <r>
    <s v="2020-21"/>
    <x v="4"/>
    <x v="17"/>
    <s v="L2"/>
    <s v="Planning and Orgnizing"/>
    <s v="Designing with people: Exploring collaborative design at neighbourhood level"/>
    <n v="6"/>
    <x v="0"/>
    <x v="4"/>
    <n v="0"/>
    <n v="7.0000000000000007E-2"/>
    <n v="1"/>
    <n v="0"/>
    <m/>
  </r>
  <r>
    <s v="2020-21"/>
    <x v="4"/>
    <x v="17"/>
    <s v="L2"/>
    <s v="Planning and Orgnizing"/>
    <s v="Designing with people: Exploring collaborative design at neighbourhood level"/>
    <n v="6"/>
    <x v="1"/>
    <x v="4"/>
    <n v="-1"/>
    <n v="7.0000000000000007E-2"/>
    <n v="1"/>
    <n v="-7.0000000000000007E-2"/>
    <s v="between 1 and 2."/>
  </r>
  <r>
    <s v="2020-21"/>
    <x v="4"/>
    <x v="17"/>
    <s v="L2"/>
    <s v="Planning and Orgnizing"/>
    <s v="Designing with people: Exploring collaborative design at neighbourhood level"/>
    <n v="7"/>
    <x v="0"/>
    <x v="5"/>
    <n v="0"/>
    <n v="0.15"/>
    <n v="1"/>
    <n v="0"/>
    <m/>
  </r>
  <r>
    <s v="2020-21"/>
    <x v="4"/>
    <x v="17"/>
    <s v="L2"/>
    <s v="Planning and Orgnizing"/>
    <s v="Designing with people: Exploring collaborative design at neighbourhood level"/>
    <n v="7"/>
    <x v="1"/>
    <x v="5"/>
    <n v="0"/>
    <n v="0.15"/>
    <n v="1"/>
    <n v="0"/>
    <s v="between 1 and 2."/>
  </r>
  <r>
    <s v="2020-21"/>
    <x v="4"/>
    <x v="17"/>
    <s v="L2"/>
    <s v="Planning and Orgnizing"/>
    <s v="Designing with people: Exploring collaborative design at neighbourhood level"/>
    <n v="8"/>
    <x v="0"/>
    <x v="6"/>
    <n v="0"/>
    <n v="0.1"/>
    <n v="1"/>
    <n v="0"/>
    <m/>
  </r>
  <r>
    <s v="2020-21"/>
    <x v="4"/>
    <x v="17"/>
    <s v="L2"/>
    <s v="Planning and Orgnizing"/>
    <s v="Designing with people: Exploring collaborative design at neighbourhood level"/>
    <n v="8"/>
    <x v="1"/>
    <x v="6"/>
    <n v="0"/>
    <n v="0.1"/>
    <n v="1"/>
    <n v="0"/>
    <m/>
  </r>
  <r>
    <s v="2020-21"/>
    <x v="4"/>
    <x v="17"/>
    <s v="L2"/>
    <s v="Planning and Orgnizing"/>
    <s v="Designing with people: Exploring collaborative design at neighbourhood level"/>
    <n v="9"/>
    <x v="0"/>
    <x v="7"/>
    <n v="0"/>
    <n v="0.1"/>
    <n v="1"/>
    <n v="0"/>
    <m/>
  </r>
  <r>
    <s v="2020-21"/>
    <x v="4"/>
    <x v="17"/>
    <s v="L2"/>
    <s v="Planning and Orgnizing"/>
    <s v="Designing with people: Exploring collaborative design at neighbourhood level"/>
    <n v="9"/>
    <x v="1"/>
    <x v="7"/>
    <n v="-1"/>
    <n v="0.1"/>
    <n v="1"/>
    <n v="-0.1"/>
    <m/>
  </r>
  <r>
    <s v="2020-21"/>
    <x v="4"/>
    <x v="17"/>
    <s v="L2"/>
    <s v="Planning and Orgnizing"/>
    <s v="Designing with people: Exploring collaborative design at neighbourhood level"/>
    <n v="10"/>
    <x v="0"/>
    <x v="8"/>
    <n v="-1"/>
    <n v="0.05"/>
    <n v="0.9"/>
    <n v="-4.5000000000000005E-2"/>
    <m/>
  </r>
  <r>
    <s v="2020-21"/>
    <x v="4"/>
    <x v="17"/>
    <s v="L2"/>
    <s v="Planning and Orgnizing"/>
    <s v="Designing with people: Exploring collaborative design at neighbourhood level"/>
    <n v="10"/>
    <x v="1"/>
    <x v="8"/>
    <n v="0"/>
    <n v="0.05"/>
    <n v="0.9"/>
    <n v="0"/>
    <m/>
  </r>
  <r>
    <s v="2020-21"/>
    <x v="4"/>
    <x v="17"/>
    <s v="L2"/>
    <s v="Planning and Orgnizing"/>
    <s v="Designing with people: Exploring collaborative design at neighbourhood level"/>
    <n v="11"/>
    <x v="0"/>
    <x v="8"/>
    <n v="0"/>
    <n v="0.05"/>
    <n v="0.9"/>
    <n v="0"/>
    <m/>
  </r>
  <r>
    <s v="2020-21"/>
    <x v="4"/>
    <x v="17"/>
    <s v="L2"/>
    <s v="Planning and Orgnizing"/>
    <s v="Designing with people: Exploring collaborative design at neighbourhood level"/>
    <n v="11"/>
    <x v="1"/>
    <x v="8"/>
    <n v="-1"/>
    <n v="0.05"/>
    <n v="0.9"/>
    <n v="-4.5000000000000005E-2"/>
    <m/>
  </r>
  <r>
    <s v="2020-21"/>
    <x v="4"/>
    <x v="17"/>
    <s v="L2"/>
    <s v="Planning and Orgnizing"/>
    <s v="Designing with people: Exploring collaborative design at neighbourhood level"/>
    <n v="12"/>
    <x v="0"/>
    <x v="9"/>
    <n v="0"/>
    <n v="0.05"/>
    <n v="1"/>
    <n v="0"/>
    <m/>
  </r>
  <r>
    <s v="2020-21"/>
    <x v="4"/>
    <x v="17"/>
    <s v="L2"/>
    <s v="Planning and Orgnizing"/>
    <s v="Designing with people: Exploring collaborative design at neighbourhood level"/>
    <n v="12"/>
    <x v="1"/>
    <x v="9"/>
    <n v="-1"/>
    <n v="0.05"/>
    <n v="1"/>
    <n v="-0.05"/>
    <s v="Well, there are lot of loose ends. The very basic intent of this studio and program is collaborative in nature, only line platform allows a very limited nature of collaboration, without the involvement and interaction of various stake holders and local people, its appears to have remained as a mere academic exercise."/>
  </r>
  <r>
    <s v="2020-21"/>
    <x v="4"/>
    <x v="18"/>
    <s v="L2"/>
    <s v="Constructing and Specifying"/>
    <s v="Where Material Meets Design"/>
    <n v="1"/>
    <x v="0"/>
    <x v="0"/>
    <n v="1"/>
    <n v="0.12"/>
    <n v="1"/>
    <n v="0.12"/>
    <m/>
  </r>
  <r>
    <s v="2020-21"/>
    <x v="4"/>
    <x v="18"/>
    <s v="L2"/>
    <s v="Constructing and Specifying"/>
    <s v="Where Material Meets Design"/>
    <n v="1"/>
    <x v="1"/>
    <x v="0"/>
    <n v="1"/>
    <n v="0.12"/>
    <n v="1"/>
    <n v="0.12"/>
    <m/>
  </r>
  <r>
    <s v="2020-21"/>
    <x v="4"/>
    <x v="18"/>
    <s v="L2"/>
    <s v="Constructing and Specifying"/>
    <s v="Where Material Meets Design"/>
    <n v="2"/>
    <x v="0"/>
    <x v="1"/>
    <n v="1"/>
    <n v="0.08"/>
    <n v="0.9"/>
    <n v="7.2000000000000008E-2"/>
    <m/>
  </r>
  <r>
    <s v="2020-21"/>
    <x v="4"/>
    <x v="18"/>
    <s v="L2"/>
    <s v="Constructing and Specifying"/>
    <s v="Where Material Meets Design"/>
    <n v="2"/>
    <x v="1"/>
    <x v="1"/>
    <n v="1"/>
    <n v="0.08"/>
    <n v="0.9"/>
    <n v="7.2000000000000008E-2"/>
    <m/>
  </r>
  <r>
    <s v="2020-21"/>
    <x v="4"/>
    <x v="18"/>
    <s v="L2"/>
    <s v="Constructing and Specifying"/>
    <s v="Where Material Meets Design"/>
    <n v="3"/>
    <x v="0"/>
    <x v="2"/>
    <n v="1"/>
    <n v="0.05"/>
    <n v="1"/>
    <n v="0.05"/>
    <m/>
  </r>
  <r>
    <s v="2020-21"/>
    <x v="4"/>
    <x v="18"/>
    <s v="L2"/>
    <s v="Constructing and Specifying"/>
    <s v="Where Material Meets Design"/>
    <n v="3"/>
    <x v="1"/>
    <x v="2"/>
    <n v="1"/>
    <n v="0.05"/>
    <n v="1"/>
    <n v="0.05"/>
    <m/>
  </r>
  <r>
    <s v="2020-21"/>
    <x v="4"/>
    <x v="18"/>
    <s v="L2"/>
    <s v="Constructing and Specifying"/>
    <s v="Where Material Meets Design"/>
    <n v="4"/>
    <x v="0"/>
    <x v="3"/>
    <n v="0"/>
    <n v="0.1"/>
    <n v="1"/>
    <n v="0"/>
    <m/>
  </r>
  <r>
    <s v="2020-21"/>
    <x v="4"/>
    <x v="18"/>
    <s v="L2"/>
    <s v="Constructing and Specifying"/>
    <s v="Where Material Meets Design"/>
    <n v="4"/>
    <x v="1"/>
    <x v="3"/>
    <n v="1"/>
    <n v="0.1"/>
    <n v="1"/>
    <n v="0.1"/>
    <s v="Between 2 nd 3."/>
  </r>
  <r>
    <s v="2020-21"/>
    <x v="4"/>
    <x v="18"/>
    <s v="L2"/>
    <s v="Constructing and Specifying"/>
    <s v="Where Material Meets Design"/>
    <n v="5"/>
    <x v="0"/>
    <x v="10"/>
    <n v="0"/>
    <n v="0.08"/>
    <n v="1"/>
    <n v="0"/>
    <m/>
  </r>
  <r>
    <s v="2020-21"/>
    <x v="4"/>
    <x v="18"/>
    <s v="L2"/>
    <s v="Constructing and Specifying"/>
    <s v="Where Material Meets Design"/>
    <n v="5"/>
    <x v="1"/>
    <x v="10"/>
    <n v="1"/>
    <n v="0.08"/>
    <n v="1"/>
    <n v="0.08"/>
    <s v="Between 2 nd 3."/>
  </r>
  <r>
    <s v="2020-21"/>
    <x v="4"/>
    <x v="18"/>
    <s v="L2"/>
    <s v="Constructing and Specifying"/>
    <s v="Where Material Meets Design"/>
    <n v="6"/>
    <x v="0"/>
    <x v="4"/>
    <n v="0"/>
    <n v="7.0000000000000007E-2"/>
    <n v="1"/>
    <n v="0"/>
    <m/>
  </r>
  <r>
    <s v="2020-21"/>
    <x v="4"/>
    <x v="18"/>
    <s v="L2"/>
    <s v="Constructing and Specifying"/>
    <s v="Where Material Meets Design"/>
    <n v="6"/>
    <x v="1"/>
    <x v="4"/>
    <n v="1"/>
    <n v="7.0000000000000007E-2"/>
    <n v="1"/>
    <n v="7.0000000000000007E-2"/>
    <s v="Between 2 nd 3."/>
  </r>
  <r>
    <s v="2020-21"/>
    <x v="4"/>
    <x v="18"/>
    <s v="L2"/>
    <s v="Constructing and Specifying"/>
    <s v="Where Material Meets Design"/>
    <n v="7"/>
    <x v="0"/>
    <x v="5"/>
    <n v="0"/>
    <n v="0.15"/>
    <n v="1"/>
    <n v="0"/>
    <m/>
  </r>
  <r>
    <s v="2020-21"/>
    <x v="4"/>
    <x v="18"/>
    <s v="L2"/>
    <s v="Constructing and Specifying"/>
    <s v="Where Material Meets Design"/>
    <n v="7"/>
    <x v="1"/>
    <x v="5"/>
    <n v="1"/>
    <n v="0.15"/>
    <n v="1"/>
    <n v="0.15"/>
    <s v="Between 2 nd 3."/>
  </r>
  <r>
    <s v="2020-21"/>
    <x v="4"/>
    <x v="18"/>
    <s v="L2"/>
    <s v="Constructing and Specifying"/>
    <s v="Where Material Meets Design"/>
    <n v="8"/>
    <x v="0"/>
    <x v="6"/>
    <n v="0"/>
    <n v="0.1"/>
    <n v="1"/>
    <n v="0"/>
    <m/>
  </r>
  <r>
    <s v="2020-21"/>
    <x v="4"/>
    <x v="18"/>
    <s v="L2"/>
    <s v="Constructing and Specifying"/>
    <s v="Where Material Meets Design"/>
    <n v="8"/>
    <x v="1"/>
    <x v="6"/>
    <n v="1"/>
    <n v="0.1"/>
    <n v="1"/>
    <n v="0.1"/>
    <s v="Between 2 nd 3."/>
  </r>
  <r>
    <s v="2020-21"/>
    <x v="4"/>
    <x v="18"/>
    <s v="L2"/>
    <s v="Constructing and Specifying"/>
    <s v="Where Material Meets Design"/>
    <n v="9"/>
    <x v="0"/>
    <x v="7"/>
    <n v="0"/>
    <n v="0.1"/>
    <n v="1"/>
    <n v="0"/>
    <m/>
  </r>
  <r>
    <s v="2020-21"/>
    <x v="4"/>
    <x v="18"/>
    <s v="L2"/>
    <s v="Constructing and Specifying"/>
    <s v="Where Material Meets Design"/>
    <n v="9"/>
    <x v="1"/>
    <x v="7"/>
    <n v="1"/>
    <n v="0.1"/>
    <n v="1"/>
    <n v="0.1"/>
    <s v="Between 2 nd 3."/>
  </r>
  <r>
    <s v="2020-21"/>
    <x v="4"/>
    <x v="18"/>
    <s v="L2"/>
    <s v="Constructing and Specifying"/>
    <s v="Where Material Meets Design"/>
    <n v="10"/>
    <x v="0"/>
    <x v="8"/>
    <n v="0"/>
    <n v="0.05"/>
    <n v="0.9"/>
    <n v="0"/>
    <m/>
  </r>
  <r>
    <s v="2020-21"/>
    <x v="4"/>
    <x v="18"/>
    <s v="L2"/>
    <s v="Constructing and Specifying"/>
    <s v="Where Material Meets Design"/>
    <n v="10"/>
    <x v="1"/>
    <x v="8"/>
    <n v="0"/>
    <n v="0.05"/>
    <n v="0.9"/>
    <n v="0"/>
    <s v="some of the portfolio is good ."/>
  </r>
  <r>
    <s v="2020-21"/>
    <x v="4"/>
    <x v="18"/>
    <s v="L2"/>
    <s v="Constructing and Specifying"/>
    <s v="Where Material Meets Design"/>
    <n v="11"/>
    <x v="0"/>
    <x v="8"/>
    <n v="0"/>
    <n v="0.05"/>
    <n v="0.9"/>
    <n v="0"/>
    <m/>
  </r>
  <r>
    <s v="2020-21"/>
    <x v="4"/>
    <x v="18"/>
    <s v="L2"/>
    <s v="Constructing and Specifying"/>
    <s v="Where Material Meets Design"/>
    <n v="11"/>
    <x v="1"/>
    <x v="8"/>
    <n v="1"/>
    <n v="0.05"/>
    <n v="0.9"/>
    <n v="4.5000000000000005E-2"/>
    <m/>
  </r>
  <r>
    <s v="2020-21"/>
    <x v="4"/>
    <x v="18"/>
    <s v="L2"/>
    <s v="Constructing and Specifying"/>
    <s v="Where Material Meets Design"/>
    <n v="12"/>
    <x v="0"/>
    <x v="9"/>
    <n v="0"/>
    <n v="0.05"/>
    <n v="1"/>
    <n v="0"/>
    <m/>
  </r>
  <r>
    <s v="2020-21"/>
    <x v="4"/>
    <x v="18"/>
    <s v="L2"/>
    <s v="Constructing and Specifying"/>
    <s v="Where Material Meets Design"/>
    <n v="12"/>
    <x v="1"/>
    <x v="9"/>
    <n v="0"/>
    <n v="0.05"/>
    <n v="1"/>
    <n v="0"/>
    <s v="The focus of the studio was on materials alone, it would have been interesting to connect the explorative studies back to architectural design. It was difficult to grasp the scales and comprehend the proportions through the images of drawings and models presented."/>
  </r>
  <r>
    <s v="2020-21"/>
    <x v="4"/>
    <x v="25"/>
    <s v="L2"/>
    <s v="Constructing and Specifying"/>
    <s v="Space Kinematics"/>
    <n v="1"/>
    <x v="0"/>
    <x v="0"/>
    <n v="1"/>
    <n v="0.12"/>
    <n v="1"/>
    <n v="0.12"/>
    <m/>
  </r>
  <r>
    <s v="2020-21"/>
    <x v="4"/>
    <x v="25"/>
    <s v="L2"/>
    <s v="Constructing and Specifying"/>
    <s v="Space Kinematics"/>
    <n v="1"/>
    <x v="1"/>
    <x v="0"/>
    <n v="0"/>
    <n v="0.12"/>
    <n v="1"/>
    <n v="0.12"/>
    <m/>
  </r>
  <r>
    <s v="2020-21"/>
    <x v="4"/>
    <x v="25"/>
    <s v="L2"/>
    <s v="Constructing and Specifying"/>
    <s v="Space Kinematics"/>
    <n v="2"/>
    <x v="0"/>
    <x v="1"/>
    <n v="1"/>
    <n v="0.08"/>
    <n v="0.9"/>
    <n v="7.2000000000000008E-2"/>
    <m/>
  </r>
  <r>
    <s v="2020-21"/>
    <x v="4"/>
    <x v="25"/>
    <s v="L2"/>
    <s v="Constructing and Specifying"/>
    <s v="Space Kinematics"/>
    <n v="2"/>
    <x v="1"/>
    <x v="1"/>
    <n v="0"/>
    <n v="0.08"/>
    <n v="0.9"/>
    <n v="0"/>
    <m/>
  </r>
  <r>
    <s v="2020-21"/>
    <x v="4"/>
    <x v="25"/>
    <s v="L2"/>
    <s v="Constructing and Specifying"/>
    <s v="Space Kinematics"/>
    <n v="3"/>
    <x v="0"/>
    <x v="2"/>
    <n v="1"/>
    <n v="0.05"/>
    <n v="1"/>
    <n v="0.05"/>
    <m/>
  </r>
  <r>
    <s v="2020-21"/>
    <x v="4"/>
    <x v="25"/>
    <s v="L2"/>
    <s v="Constructing and Specifying"/>
    <s v="Space Kinematics"/>
    <n v="3"/>
    <x v="1"/>
    <x v="2"/>
    <n v="0"/>
    <n v="0.05"/>
    <n v="1"/>
    <n v="0"/>
    <m/>
  </r>
  <r>
    <s v="2020-21"/>
    <x v="4"/>
    <x v="25"/>
    <s v="L2"/>
    <s v="Constructing and Specifying"/>
    <s v="Space Kinematics"/>
    <n v="4"/>
    <x v="0"/>
    <x v="3"/>
    <n v="1"/>
    <n v="0.1"/>
    <n v="1"/>
    <n v="0.1"/>
    <m/>
  </r>
  <r>
    <s v="2020-21"/>
    <x v="4"/>
    <x v="25"/>
    <s v="L2"/>
    <s v="Constructing and Specifying"/>
    <s v="Space Kinematics"/>
    <n v="4"/>
    <x v="1"/>
    <x v="3"/>
    <n v="-1"/>
    <n v="0.1"/>
    <n v="1"/>
    <n v="-0.1"/>
    <m/>
  </r>
  <r>
    <s v="2020-21"/>
    <x v="4"/>
    <x v="25"/>
    <s v="L2"/>
    <s v="Constructing and Specifying"/>
    <s v="Space Kinematics"/>
    <n v="5"/>
    <x v="0"/>
    <x v="10"/>
    <n v="1"/>
    <n v="0.08"/>
    <n v="1"/>
    <n v="0.08"/>
    <m/>
  </r>
  <r>
    <s v="2020-21"/>
    <x v="4"/>
    <x v="25"/>
    <s v="L2"/>
    <s v="Constructing and Specifying"/>
    <s v="Space Kinematics"/>
    <n v="5"/>
    <x v="1"/>
    <x v="10"/>
    <n v="-1"/>
    <n v="0.08"/>
    <n v="1"/>
    <n v="-0.08"/>
    <m/>
  </r>
  <r>
    <s v="2020-21"/>
    <x v="4"/>
    <x v="25"/>
    <s v="L2"/>
    <s v="Constructing and Specifying"/>
    <s v="Space Kinematics"/>
    <n v="6"/>
    <x v="0"/>
    <x v="4"/>
    <n v="0"/>
    <n v="7.0000000000000007E-2"/>
    <n v="1"/>
    <n v="0"/>
    <m/>
  </r>
  <r>
    <s v="2020-21"/>
    <x v="4"/>
    <x v="25"/>
    <s v="L2"/>
    <s v="Constructing and Specifying"/>
    <s v="Space Kinematics"/>
    <n v="6"/>
    <x v="1"/>
    <x v="4"/>
    <n v="-1"/>
    <n v="7.0000000000000007E-2"/>
    <n v="1"/>
    <n v="-7.0000000000000007E-2"/>
    <m/>
  </r>
  <r>
    <s v="2020-21"/>
    <x v="4"/>
    <x v="25"/>
    <s v="L2"/>
    <s v="Constructing and Specifying"/>
    <s v="Space Kinematics"/>
    <n v="7"/>
    <x v="0"/>
    <x v="5"/>
    <n v="0"/>
    <n v="0.15"/>
    <n v="1"/>
    <n v="0"/>
    <m/>
  </r>
  <r>
    <s v="2020-21"/>
    <x v="4"/>
    <x v="25"/>
    <s v="L2"/>
    <s v="Constructing and Specifying"/>
    <s v="Space Kinematics"/>
    <n v="7"/>
    <x v="1"/>
    <x v="5"/>
    <n v="-1"/>
    <n v="0.15"/>
    <n v="1"/>
    <n v="-0.15"/>
    <m/>
  </r>
  <r>
    <s v="2020-21"/>
    <x v="4"/>
    <x v="25"/>
    <s v="L2"/>
    <s v="Constructing and Specifying"/>
    <s v="Space Kinematics"/>
    <n v="8"/>
    <x v="0"/>
    <x v="6"/>
    <n v="0"/>
    <n v="0.1"/>
    <n v="1"/>
    <n v="0"/>
    <m/>
  </r>
  <r>
    <s v="2020-21"/>
    <x v="4"/>
    <x v="25"/>
    <s v="L2"/>
    <s v="Constructing and Specifying"/>
    <s v="Space Kinematics"/>
    <n v="8"/>
    <x v="1"/>
    <x v="6"/>
    <n v="-1"/>
    <n v="0.1"/>
    <n v="1"/>
    <n v="-0.1"/>
    <m/>
  </r>
  <r>
    <s v="2020-21"/>
    <x v="4"/>
    <x v="25"/>
    <s v="L2"/>
    <s v="Constructing and Specifying"/>
    <s v="Space Kinematics"/>
    <n v="9"/>
    <x v="0"/>
    <x v="7"/>
    <n v="1"/>
    <n v="0.1"/>
    <n v="1"/>
    <n v="0.1"/>
    <m/>
  </r>
  <r>
    <s v="2020-21"/>
    <x v="4"/>
    <x v="25"/>
    <s v="L2"/>
    <s v="Constructing and Specifying"/>
    <s v="Space Kinematics"/>
    <n v="9"/>
    <x v="1"/>
    <x v="7"/>
    <n v="-1"/>
    <n v="0.1"/>
    <n v="1"/>
    <n v="-0.1"/>
    <m/>
  </r>
  <r>
    <s v="2020-21"/>
    <x v="4"/>
    <x v="25"/>
    <s v="L2"/>
    <s v="Constructing and Specifying"/>
    <s v="Space Kinematics"/>
    <n v="10"/>
    <x v="0"/>
    <x v="8"/>
    <n v="0"/>
    <n v="0.05"/>
    <n v="0.9"/>
    <n v="0"/>
    <m/>
  </r>
  <r>
    <s v="2020-21"/>
    <x v="4"/>
    <x v="25"/>
    <s v="L2"/>
    <s v="Constructing and Specifying"/>
    <s v="Space Kinematics"/>
    <n v="10"/>
    <x v="1"/>
    <x v="8"/>
    <n v="-1"/>
    <n v="0.05"/>
    <n v="0.9"/>
    <n v="-4.5000000000000005E-2"/>
    <m/>
  </r>
  <r>
    <s v="2020-21"/>
    <x v="4"/>
    <x v="25"/>
    <s v="L2"/>
    <s v="Constructing and Specifying"/>
    <s v="Space Kinematics"/>
    <n v="11"/>
    <x v="0"/>
    <x v="8"/>
    <n v="-1"/>
    <n v="0.05"/>
    <n v="0.9"/>
    <n v="-4.5000000000000005E-2"/>
    <m/>
  </r>
  <r>
    <s v="2020-21"/>
    <x v="4"/>
    <x v="25"/>
    <s v="L2"/>
    <s v="Constructing and Specifying"/>
    <s v="Space Kinematics"/>
    <n v="11"/>
    <x v="1"/>
    <x v="8"/>
    <n v="0"/>
    <n v="0.05"/>
    <n v="0.9"/>
    <n v="0"/>
    <m/>
  </r>
  <r>
    <s v="2020-21"/>
    <x v="4"/>
    <x v="25"/>
    <s v="L2"/>
    <s v="Constructing and Specifying"/>
    <s v="Space Kinematics"/>
    <n v="12"/>
    <x v="0"/>
    <x v="9"/>
    <n v="-1"/>
    <n v="0.05"/>
    <n v="1"/>
    <n v="-0.05"/>
    <m/>
  </r>
  <r>
    <s v="2020-21"/>
    <x v="4"/>
    <x v="25"/>
    <s v="L2"/>
    <s v="Constructing and Specifying"/>
    <s v="Space Kinematics"/>
    <n v="12"/>
    <x v="1"/>
    <x v="9"/>
    <n v="0"/>
    <n v="0.05"/>
    <n v="1"/>
    <n v="0"/>
    <s v="The students work has been quite disappointing, from the level of drawings,  representation to design, design development and the final outcome. The same unit has produced quite exciting works in previous semesters."/>
  </r>
  <r>
    <s v="2020-21"/>
    <x v="4"/>
    <x v="26"/>
    <s v="L2"/>
    <s v="Visualization &amp; Communication"/>
    <s v="Spatial Narratives: Timeless and Experientially Engaging Architecture"/>
    <n v="1"/>
    <x v="0"/>
    <x v="0"/>
    <n v="1"/>
    <n v="0.12"/>
    <n v="1"/>
    <n v="0.12"/>
    <m/>
  </r>
  <r>
    <s v="2020-21"/>
    <x v="4"/>
    <x v="26"/>
    <s v="L2"/>
    <s v="Visualization &amp; Communication"/>
    <s v="Spatial Narratives: Timeless and Experientially Engaging Architecture"/>
    <n v="1"/>
    <x v="1"/>
    <x v="0"/>
    <n v="1"/>
    <n v="0.12"/>
    <n v="1"/>
    <n v="0.12"/>
    <m/>
  </r>
  <r>
    <s v="2020-21"/>
    <x v="4"/>
    <x v="26"/>
    <s v="L2"/>
    <s v="Visualization &amp; Communication"/>
    <s v="Spatial Narratives: Timeless and Experientially Engaging Architecture"/>
    <n v="2"/>
    <x v="0"/>
    <x v="1"/>
    <n v="1"/>
    <n v="0.08"/>
    <n v="0.9"/>
    <n v="7.2000000000000008E-2"/>
    <m/>
  </r>
  <r>
    <s v="2020-21"/>
    <x v="4"/>
    <x v="26"/>
    <s v="L2"/>
    <s v="Visualization &amp; Communication"/>
    <s v="Spatial Narratives: Timeless and Experientially Engaging Architecture"/>
    <n v="2"/>
    <x v="1"/>
    <x v="1"/>
    <n v="1"/>
    <n v="0.08"/>
    <n v="0.9"/>
    <n v="7.2000000000000008E-2"/>
    <m/>
  </r>
  <r>
    <s v="2020-21"/>
    <x v="4"/>
    <x v="26"/>
    <s v="L2"/>
    <s v="Visualization &amp; Communication"/>
    <s v="Spatial Narratives: Timeless and Experientially Engaging Architecture"/>
    <n v="3"/>
    <x v="0"/>
    <x v="2"/>
    <n v="1"/>
    <n v="0.05"/>
    <n v="1"/>
    <n v="0.05"/>
    <m/>
  </r>
  <r>
    <s v="2020-21"/>
    <x v="4"/>
    <x v="26"/>
    <s v="L2"/>
    <s v="Visualization &amp; Communication"/>
    <s v="Spatial Narratives: Timeless and Experientially Engaging Architecture"/>
    <n v="3"/>
    <x v="1"/>
    <x v="2"/>
    <n v="1"/>
    <n v="0.05"/>
    <n v="1"/>
    <n v="0.05"/>
    <m/>
  </r>
  <r>
    <s v="2020-21"/>
    <x v="4"/>
    <x v="26"/>
    <s v="L2"/>
    <s v="Visualization &amp; Communication"/>
    <s v="Spatial Narratives: Timeless and Experientially Engaging Architecture"/>
    <n v="4"/>
    <x v="0"/>
    <x v="3"/>
    <n v="0"/>
    <n v="0.1"/>
    <n v="1"/>
    <n v="0"/>
    <m/>
  </r>
  <r>
    <s v="2020-21"/>
    <x v="4"/>
    <x v="26"/>
    <s v="L2"/>
    <s v="Visualization &amp; Communication"/>
    <s v="Spatial Narratives: Timeless and Experientially Engaging Architecture"/>
    <n v="4"/>
    <x v="1"/>
    <x v="3"/>
    <n v="1"/>
    <n v="0.1"/>
    <n v="1"/>
    <n v="0.1"/>
    <s v="Between 2 and 3"/>
  </r>
  <r>
    <s v="2020-21"/>
    <x v="4"/>
    <x v="26"/>
    <s v="L2"/>
    <s v="Visualization &amp; Communication"/>
    <s v="Spatial Narratives: Timeless and Experientially Engaging Architecture"/>
    <n v="5"/>
    <x v="0"/>
    <x v="10"/>
    <n v="0"/>
    <n v="0.08"/>
    <n v="1"/>
    <n v="0"/>
    <m/>
  </r>
  <r>
    <s v="2020-21"/>
    <x v="4"/>
    <x v="26"/>
    <s v="L2"/>
    <s v="Visualization &amp; Communication"/>
    <s v="Spatial Narratives: Timeless and Experientially Engaging Architecture"/>
    <n v="5"/>
    <x v="1"/>
    <x v="10"/>
    <n v="0"/>
    <n v="0.08"/>
    <n v="1"/>
    <n v="0"/>
    <s v="Between 2 and 3"/>
  </r>
  <r>
    <s v="2020-21"/>
    <x v="4"/>
    <x v="26"/>
    <s v="L2"/>
    <s v="Visualization &amp; Communication"/>
    <s v="Spatial Narratives: Timeless and Experientially Engaging Architecture"/>
    <n v="6"/>
    <x v="0"/>
    <x v="4"/>
    <n v="-1"/>
    <n v="7.0000000000000007E-2"/>
    <n v="1"/>
    <n v="-7.0000000000000007E-2"/>
    <m/>
  </r>
  <r>
    <s v="2020-21"/>
    <x v="4"/>
    <x v="26"/>
    <s v="L2"/>
    <s v="Visualization &amp; Communication"/>
    <s v="Spatial Narratives: Timeless and Experientially Engaging Architecture"/>
    <n v="6"/>
    <x v="1"/>
    <x v="4"/>
    <n v="0"/>
    <n v="7.0000000000000007E-2"/>
    <n v="1"/>
    <n v="0"/>
    <s v="Between 2 and 3"/>
  </r>
  <r>
    <s v="2020-21"/>
    <x v="4"/>
    <x v="26"/>
    <s v="L2"/>
    <s v="Visualization &amp; Communication"/>
    <s v="Spatial Narratives: Timeless and Experientially Engaging Architecture"/>
    <n v="7"/>
    <x v="0"/>
    <x v="5"/>
    <n v="0"/>
    <n v="0.15"/>
    <n v="1"/>
    <n v="0"/>
    <m/>
  </r>
  <r>
    <s v="2020-21"/>
    <x v="4"/>
    <x v="26"/>
    <s v="L2"/>
    <s v="Visualization &amp; Communication"/>
    <s v="Spatial Narratives: Timeless and Experientially Engaging Architecture"/>
    <n v="7"/>
    <x v="1"/>
    <x v="5"/>
    <n v="0"/>
    <n v="0.15"/>
    <n v="1"/>
    <n v="0"/>
    <s v="Between 2 and 3"/>
  </r>
  <r>
    <s v="2020-21"/>
    <x v="4"/>
    <x v="26"/>
    <s v="L2"/>
    <s v="Visualization &amp; Communication"/>
    <s v="Spatial Narratives: Timeless and Experientially Engaging Architecture"/>
    <n v="8"/>
    <x v="0"/>
    <x v="6"/>
    <n v="-1"/>
    <n v="0.1"/>
    <n v="1"/>
    <n v="-0.1"/>
    <m/>
  </r>
  <r>
    <s v="2020-21"/>
    <x v="4"/>
    <x v="26"/>
    <s v="L2"/>
    <s v="Visualization &amp; Communication"/>
    <s v="Spatial Narratives: Timeless and Experientially Engaging Architecture"/>
    <n v="8"/>
    <x v="1"/>
    <x v="6"/>
    <n v="1"/>
    <n v="0.1"/>
    <n v="1"/>
    <n v="0.1"/>
    <s v="Between 2 and 3"/>
  </r>
  <r>
    <s v="2020-21"/>
    <x v="4"/>
    <x v="26"/>
    <s v="L2"/>
    <s v="Visualization &amp; Communication"/>
    <s v="Spatial Narratives: Timeless and Experientially Engaging Architecture"/>
    <n v="9"/>
    <x v="0"/>
    <x v="7"/>
    <n v="0"/>
    <n v="0.1"/>
    <n v="1"/>
    <n v="0"/>
    <m/>
  </r>
  <r>
    <s v="2020-21"/>
    <x v="4"/>
    <x v="26"/>
    <s v="L2"/>
    <s v="Visualization &amp; Communication"/>
    <s v="Spatial Narratives: Timeless and Experientially Engaging Architecture"/>
    <n v="9"/>
    <x v="1"/>
    <x v="7"/>
    <n v="0"/>
    <n v="0.1"/>
    <n v="1"/>
    <n v="0"/>
    <s v="Between 2 and 3"/>
  </r>
  <r>
    <s v="2020-21"/>
    <x v="4"/>
    <x v="26"/>
    <s v="L2"/>
    <s v="Visualization &amp; Communication"/>
    <s v="Spatial Narratives: Timeless and Experientially Engaging Architecture"/>
    <n v="10"/>
    <x v="0"/>
    <x v="8"/>
    <n v="0"/>
    <n v="0.05"/>
    <n v="0.9"/>
    <n v="0"/>
    <m/>
  </r>
  <r>
    <s v="2020-21"/>
    <x v="4"/>
    <x v="26"/>
    <s v="L2"/>
    <s v="Visualization &amp; Communication"/>
    <s v="Spatial Narratives: Timeless and Experientially Engaging Architecture"/>
    <n v="10"/>
    <x v="1"/>
    <x v="8"/>
    <n v="0"/>
    <n v="0.05"/>
    <n v="0.9"/>
    <n v="0"/>
    <s v="Between 2 and 3"/>
  </r>
  <r>
    <s v="2020-21"/>
    <x v="4"/>
    <x v="26"/>
    <s v="L2"/>
    <s v="Visualization &amp; Communication"/>
    <s v="Spatial Narratives: Timeless and Experientially Engaging Architecture"/>
    <n v="11"/>
    <x v="0"/>
    <x v="8"/>
    <n v="0"/>
    <n v="0.05"/>
    <n v="0.9"/>
    <n v="0"/>
    <m/>
  </r>
  <r>
    <s v="2020-21"/>
    <x v="4"/>
    <x v="26"/>
    <s v="L2"/>
    <s v="Visualization &amp; Communication"/>
    <s v="Spatial Narratives: Timeless and Experientially Engaging Architecture"/>
    <n v="11"/>
    <x v="1"/>
    <x v="8"/>
    <n v="0"/>
    <n v="0.05"/>
    <n v="0.9"/>
    <n v="0"/>
    <s v="Between 2 and 3"/>
  </r>
  <r>
    <s v="2020-21"/>
    <x v="4"/>
    <x v="26"/>
    <s v="L2"/>
    <s v="Visualization &amp; Communication"/>
    <s v="Spatial Narratives: Timeless and Experientially Engaging Architecture"/>
    <n v="12"/>
    <x v="0"/>
    <x v="9"/>
    <n v="0"/>
    <n v="0.05"/>
    <n v="1"/>
    <n v="0"/>
    <m/>
  </r>
  <r>
    <s v="2020-21"/>
    <x v="4"/>
    <x v="26"/>
    <s v="L2"/>
    <s v="Visualization &amp; Communication"/>
    <s v="Spatial Narratives: Timeless and Experientially Engaging Architecture"/>
    <n v="12"/>
    <x v="1"/>
    <x v="9"/>
    <n v="0"/>
    <n v="0.05"/>
    <n v="1"/>
    <n v="0"/>
    <s v="This is perhaps one of few studios where the tutor hasn't imposed a fixed method or medium or path of exploration.He has not imposed a structure so to say, and that is required particularly while exploring and developing individual design sensibilities. There doesn't seem to be a fear of judgement. The outcome is quite individualistic and has allowed the possibility of each student to evolve what suited or interested him or her. Clearly the students had lot of fun. Added layers of movement and activities would have made for a holistic understanding and approach to the urban context explored"/>
  </r>
  <r>
    <s v="2020-21"/>
    <x v="4"/>
    <x v="27"/>
    <s v="L2"/>
    <s v="Planning and Orgnizing"/>
    <s v="The Joy of Architecture"/>
    <n v="1"/>
    <x v="0"/>
    <x v="0"/>
    <n v="1"/>
    <n v="0.12"/>
    <n v="1"/>
    <n v="0.12"/>
    <m/>
  </r>
  <r>
    <s v="2020-21"/>
    <x v="4"/>
    <x v="27"/>
    <s v="L2"/>
    <s v="Planning and Orgnizing"/>
    <s v="The Joy of Architecture"/>
    <n v="1"/>
    <x v="1"/>
    <x v="0"/>
    <n v="-1"/>
    <n v="0.12"/>
    <n v="1"/>
    <n v="0.12"/>
    <m/>
  </r>
  <r>
    <s v="2020-21"/>
    <x v="4"/>
    <x v="27"/>
    <s v="L2"/>
    <s v="Planning and Orgnizing"/>
    <s v="The Joy of Architecture"/>
    <n v="2"/>
    <x v="0"/>
    <x v="1"/>
    <n v="1"/>
    <n v="0.08"/>
    <n v="0.9"/>
    <n v="7.2000000000000008E-2"/>
    <m/>
  </r>
  <r>
    <s v="2020-21"/>
    <x v="4"/>
    <x v="27"/>
    <s v="L2"/>
    <s v="Planning and Orgnizing"/>
    <s v="The Joy of Architecture"/>
    <n v="2"/>
    <x v="1"/>
    <x v="1"/>
    <n v="-1"/>
    <n v="0.08"/>
    <n v="0.9"/>
    <n v="-7.2000000000000008E-2"/>
    <m/>
  </r>
  <r>
    <s v="2020-21"/>
    <x v="4"/>
    <x v="27"/>
    <s v="L2"/>
    <s v="Planning and Orgnizing"/>
    <s v="The Joy of Architecture"/>
    <n v="3"/>
    <x v="0"/>
    <x v="2"/>
    <n v="1"/>
    <n v="0.05"/>
    <n v="1"/>
    <n v="0.05"/>
    <m/>
  </r>
  <r>
    <s v="2020-21"/>
    <x v="4"/>
    <x v="27"/>
    <s v="L2"/>
    <s v="Planning and Orgnizing"/>
    <s v="The Joy of Architecture"/>
    <n v="3"/>
    <x v="1"/>
    <x v="2"/>
    <n v="0"/>
    <n v="0.05"/>
    <n v="1"/>
    <n v="0"/>
    <m/>
  </r>
  <r>
    <s v="2020-21"/>
    <x v="4"/>
    <x v="27"/>
    <s v="L2"/>
    <s v="Planning and Orgnizing"/>
    <s v="The Joy of Architecture"/>
    <n v="4"/>
    <x v="0"/>
    <x v="3"/>
    <n v="0"/>
    <n v="0.1"/>
    <n v="1"/>
    <n v="0"/>
    <m/>
  </r>
  <r>
    <s v="2020-21"/>
    <x v="4"/>
    <x v="27"/>
    <s v="L2"/>
    <s v="Planning and Orgnizing"/>
    <s v="The Joy of Architecture"/>
    <n v="4"/>
    <x v="1"/>
    <x v="3"/>
    <n v="0"/>
    <n v="0.1"/>
    <n v="1"/>
    <n v="0"/>
    <m/>
  </r>
  <r>
    <s v="2020-21"/>
    <x v="4"/>
    <x v="27"/>
    <s v="L2"/>
    <s v="Planning and Orgnizing"/>
    <s v="The Joy of Architecture"/>
    <n v="5"/>
    <x v="0"/>
    <x v="10"/>
    <n v="0"/>
    <n v="0.08"/>
    <n v="1"/>
    <n v="0"/>
    <m/>
  </r>
  <r>
    <s v="2020-21"/>
    <x v="4"/>
    <x v="27"/>
    <s v="L2"/>
    <s v="Planning and Orgnizing"/>
    <s v="The Joy of Architecture"/>
    <n v="5"/>
    <x v="1"/>
    <x v="10"/>
    <n v="-1"/>
    <n v="0.08"/>
    <n v="1"/>
    <n v="-0.08"/>
    <m/>
  </r>
  <r>
    <s v="2020-21"/>
    <x v="4"/>
    <x v="27"/>
    <s v="L2"/>
    <s v="Planning and Orgnizing"/>
    <s v="The Joy of Architecture"/>
    <n v="6"/>
    <x v="0"/>
    <x v="4"/>
    <n v="0"/>
    <n v="7.0000000000000007E-2"/>
    <n v="1"/>
    <n v="0"/>
    <m/>
  </r>
  <r>
    <s v="2020-21"/>
    <x v="4"/>
    <x v="27"/>
    <s v="L2"/>
    <s v="Planning and Orgnizing"/>
    <s v="The Joy of Architecture"/>
    <n v="6"/>
    <x v="1"/>
    <x v="4"/>
    <n v="-1"/>
    <n v="7.0000000000000007E-2"/>
    <n v="1"/>
    <n v="-7.0000000000000007E-2"/>
    <m/>
  </r>
  <r>
    <s v="2020-21"/>
    <x v="4"/>
    <x v="27"/>
    <s v="L2"/>
    <s v="Planning and Orgnizing"/>
    <s v="The Joy of Architecture"/>
    <n v="7"/>
    <x v="0"/>
    <x v="5"/>
    <n v="0"/>
    <n v="0.15"/>
    <n v="1"/>
    <n v="0"/>
    <m/>
  </r>
  <r>
    <s v="2020-21"/>
    <x v="4"/>
    <x v="27"/>
    <s v="L2"/>
    <s v="Planning and Orgnizing"/>
    <s v="The Joy of Architecture"/>
    <n v="7"/>
    <x v="1"/>
    <x v="5"/>
    <n v="-1"/>
    <n v="0.15"/>
    <n v="1"/>
    <n v="-0.15"/>
    <m/>
  </r>
  <r>
    <s v="2020-21"/>
    <x v="4"/>
    <x v="27"/>
    <s v="L2"/>
    <s v="Planning and Orgnizing"/>
    <s v="The Joy of Architecture"/>
    <n v="8"/>
    <x v="0"/>
    <x v="6"/>
    <n v="0"/>
    <n v="0.1"/>
    <n v="1"/>
    <n v="0"/>
    <m/>
  </r>
  <r>
    <s v="2020-21"/>
    <x v="4"/>
    <x v="27"/>
    <s v="L2"/>
    <s v="Planning and Orgnizing"/>
    <s v="The Joy of Architecture"/>
    <n v="8"/>
    <x v="1"/>
    <x v="6"/>
    <n v="0"/>
    <n v="0.1"/>
    <n v="1"/>
    <n v="0"/>
    <m/>
  </r>
  <r>
    <s v="2020-21"/>
    <x v="4"/>
    <x v="27"/>
    <s v="L2"/>
    <s v="Planning and Orgnizing"/>
    <s v="The Joy of Architecture"/>
    <n v="9"/>
    <x v="0"/>
    <x v="7"/>
    <n v="0"/>
    <n v="0.1"/>
    <n v="1"/>
    <n v="0"/>
    <m/>
  </r>
  <r>
    <s v="2020-21"/>
    <x v="4"/>
    <x v="27"/>
    <s v="L2"/>
    <s v="Planning and Orgnizing"/>
    <s v="The Joy of Architecture"/>
    <n v="9"/>
    <x v="1"/>
    <x v="7"/>
    <n v="-1"/>
    <n v="0.1"/>
    <n v="1"/>
    <n v="-0.1"/>
    <m/>
  </r>
  <r>
    <s v="2020-21"/>
    <x v="4"/>
    <x v="27"/>
    <s v="L2"/>
    <s v="Planning and Orgnizing"/>
    <s v="The Joy of Architecture"/>
    <n v="10"/>
    <x v="0"/>
    <x v="8"/>
    <n v="0"/>
    <n v="0.05"/>
    <n v="0.9"/>
    <n v="0"/>
    <m/>
  </r>
  <r>
    <s v="2020-21"/>
    <x v="4"/>
    <x v="27"/>
    <s v="L2"/>
    <s v="Planning and Orgnizing"/>
    <s v="The Joy of Architecture"/>
    <n v="10"/>
    <x v="1"/>
    <x v="8"/>
    <n v="0"/>
    <n v="0.05"/>
    <n v="0.9"/>
    <n v="0"/>
    <m/>
  </r>
  <r>
    <s v="2020-21"/>
    <x v="4"/>
    <x v="27"/>
    <s v="L2"/>
    <s v="Planning and Orgnizing"/>
    <s v="The Joy of Architecture"/>
    <n v="11"/>
    <x v="0"/>
    <x v="8"/>
    <n v="0"/>
    <n v="0.05"/>
    <n v="0.9"/>
    <n v="0"/>
    <m/>
  </r>
  <r>
    <s v="2020-21"/>
    <x v="4"/>
    <x v="27"/>
    <s v="L2"/>
    <s v="Planning and Orgnizing"/>
    <s v="The Joy of Architecture"/>
    <n v="11"/>
    <x v="1"/>
    <x v="8"/>
    <n v="0"/>
    <n v="0.05"/>
    <n v="0.9"/>
    <n v="0"/>
    <m/>
  </r>
  <r>
    <s v="2020-21"/>
    <x v="4"/>
    <x v="27"/>
    <s v="L2"/>
    <s v="Planning and Orgnizing"/>
    <s v="The Joy of Architecture"/>
    <n v="12"/>
    <x v="0"/>
    <x v="9"/>
    <n v="0"/>
    <n v="0.05"/>
    <n v="1"/>
    <n v="0"/>
    <m/>
  </r>
  <r>
    <s v="2020-21"/>
    <x v="4"/>
    <x v="27"/>
    <s v="L2"/>
    <s v="Planning and Orgnizing"/>
    <s v="The Joy of Architecture"/>
    <n v="12"/>
    <x v="1"/>
    <x v="9"/>
    <n v="-1"/>
    <n v="0.05"/>
    <n v="1"/>
    <n v="-0.05"/>
    <s v="Just like most of the other studios, the over all quality of results has slid down and its most obviously due to online medium. Under the same tutor, the processes and the outcomes were much more exciting and satisfying. Tutor has not changed but the medium of teaching has. Online is certainly not translating the intent across in a desirable manner."/>
  </r>
  <r>
    <s v="2020-21"/>
    <x v="4"/>
    <x v="39"/>
    <s v="L2"/>
    <s v="Planning and Orgnizing"/>
    <s v="Social Learning"/>
    <n v="1"/>
    <x v="0"/>
    <x v="0"/>
    <n v="1"/>
    <n v="0.12"/>
    <n v="1"/>
    <n v="0.12"/>
    <m/>
  </r>
  <r>
    <s v="2020-21"/>
    <x v="4"/>
    <x v="39"/>
    <s v="L2"/>
    <s v="Planning and Orgnizing"/>
    <s v="Social Learning"/>
    <n v="1"/>
    <x v="1"/>
    <x v="0"/>
    <n v="0"/>
    <n v="0.12"/>
    <n v="1"/>
    <n v="0.12"/>
    <s v="I wish it was a little more focused and specific."/>
  </r>
  <r>
    <s v="2020-21"/>
    <x v="4"/>
    <x v="39"/>
    <s v="L2"/>
    <s v="Planning and Orgnizing"/>
    <s v="Social Learning"/>
    <n v="2"/>
    <x v="0"/>
    <x v="1"/>
    <n v="1"/>
    <n v="0.08"/>
    <n v="0.9"/>
    <n v="7.2000000000000008E-2"/>
    <m/>
  </r>
  <r>
    <s v="2020-21"/>
    <x v="4"/>
    <x v="39"/>
    <s v="L2"/>
    <s v="Planning and Orgnizing"/>
    <s v="Social Learning"/>
    <n v="2"/>
    <x v="1"/>
    <x v="1"/>
    <n v="0"/>
    <n v="0.08"/>
    <n v="0.9"/>
    <n v="0"/>
    <s v="Yes it does."/>
  </r>
  <r>
    <s v="2020-21"/>
    <x v="4"/>
    <x v="39"/>
    <s v="L2"/>
    <s v="Planning and Orgnizing"/>
    <s v="Social Learning"/>
    <n v="3"/>
    <x v="0"/>
    <x v="2"/>
    <n v="1"/>
    <n v="0.05"/>
    <n v="1"/>
    <n v="0.05"/>
    <m/>
  </r>
  <r>
    <s v="2020-21"/>
    <x v="4"/>
    <x v="39"/>
    <s v="L2"/>
    <s v="Planning and Orgnizing"/>
    <s v="Social Learning"/>
    <n v="3"/>
    <x v="1"/>
    <x v="2"/>
    <n v="0"/>
    <n v="0.05"/>
    <n v="1"/>
    <n v="0"/>
    <s v="Yes it does."/>
  </r>
  <r>
    <s v="2020-21"/>
    <x v="4"/>
    <x v="39"/>
    <s v="L2"/>
    <s v="Planning and Orgnizing"/>
    <s v="Social Learning"/>
    <n v="4"/>
    <x v="0"/>
    <x v="3"/>
    <n v="0"/>
    <n v="0.1"/>
    <n v="1"/>
    <n v="0"/>
    <m/>
  </r>
  <r>
    <s v="2020-21"/>
    <x v="4"/>
    <x v="39"/>
    <s v="L2"/>
    <s v="Planning and Orgnizing"/>
    <s v="Social Learning"/>
    <n v="4"/>
    <x v="1"/>
    <x v="3"/>
    <n v="-1"/>
    <n v="0.1"/>
    <n v="1"/>
    <n v="-0.1"/>
    <s v="How I wish they had."/>
  </r>
  <r>
    <s v="2020-21"/>
    <x v="4"/>
    <x v="39"/>
    <s v="L2"/>
    <s v="Planning and Orgnizing"/>
    <s v="Social Learning"/>
    <n v="5"/>
    <x v="0"/>
    <x v="10"/>
    <n v="0"/>
    <n v="0.08"/>
    <n v="1"/>
    <n v="0"/>
    <m/>
  </r>
  <r>
    <s v="2020-21"/>
    <x v="4"/>
    <x v="39"/>
    <s v="L2"/>
    <s v="Planning and Orgnizing"/>
    <s v="Social Learning"/>
    <n v="5"/>
    <x v="1"/>
    <x v="10"/>
    <n v="-1"/>
    <n v="0.08"/>
    <n v="1"/>
    <n v="-0.08"/>
    <s v="It lacks depth."/>
  </r>
  <r>
    <s v="2020-21"/>
    <x v="4"/>
    <x v="39"/>
    <s v="L2"/>
    <s v="Planning and Orgnizing"/>
    <s v="Social Learning"/>
    <n v="6"/>
    <x v="0"/>
    <x v="4"/>
    <n v="0"/>
    <n v="7.0000000000000007E-2"/>
    <n v="1"/>
    <n v="0"/>
    <m/>
  </r>
  <r>
    <s v="2020-21"/>
    <x v="4"/>
    <x v="39"/>
    <s v="L2"/>
    <s v="Planning and Orgnizing"/>
    <s v="Social Learning"/>
    <n v="6"/>
    <x v="1"/>
    <x v="4"/>
    <n v="-1"/>
    <n v="7.0000000000000007E-2"/>
    <n v="1"/>
    <n v="-7.0000000000000007E-2"/>
    <s v="No."/>
  </r>
  <r>
    <s v="2020-21"/>
    <x v="4"/>
    <x v="39"/>
    <s v="L2"/>
    <s v="Planning and Orgnizing"/>
    <s v="Social Learning"/>
    <n v="7"/>
    <x v="0"/>
    <x v="5"/>
    <n v="-1"/>
    <n v="0.15"/>
    <n v="1"/>
    <n v="-0.15"/>
    <m/>
  </r>
  <r>
    <s v="2020-21"/>
    <x v="4"/>
    <x v="39"/>
    <s v="L2"/>
    <s v="Planning and Orgnizing"/>
    <s v="Social Learning"/>
    <n v="7"/>
    <x v="1"/>
    <x v="5"/>
    <n v="0"/>
    <n v="0.15"/>
    <n v="1"/>
    <n v="0"/>
    <s v="No."/>
  </r>
  <r>
    <s v="2020-21"/>
    <x v="4"/>
    <x v="39"/>
    <s v="L2"/>
    <s v="Planning and Orgnizing"/>
    <s v="Social Learning"/>
    <n v="8"/>
    <x v="0"/>
    <x v="6"/>
    <n v="0"/>
    <n v="0.1"/>
    <n v="1"/>
    <n v="0"/>
    <m/>
  </r>
  <r>
    <s v="2020-21"/>
    <x v="4"/>
    <x v="39"/>
    <s v="L2"/>
    <s v="Planning and Orgnizing"/>
    <s v="Social Learning"/>
    <n v="8"/>
    <x v="1"/>
    <x v="6"/>
    <n v="-1"/>
    <n v="0.1"/>
    <n v="1"/>
    <n v="-0.1"/>
    <s v="Lot of effort into presenting it well. I wish the students would spend time in resolution of the design."/>
  </r>
  <r>
    <s v="2020-21"/>
    <x v="4"/>
    <x v="39"/>
    <s v="L2"/>
    <s v="Planning and Orgnizing"/>
    <s v="Social Learning"/>
    <n v="9"/>
    <x v="0"/>
    <x v="7"/>
    <n v="-1"/>
    <n v="0.1"/>
    <n v="1"/>
    <n v="-0.1"/>
    <m/>
  </r>
  <r>
    <s v="2020-21"/>
    <x v="4"/>
    <x v="39"/>
    <s v="L2"/>
    <s v="Planning and Orgnizing"/>
    <s v="Social Learning"/>
    <n v="9"/>
    <x v="1"/>
    <x v="7"/>
    <n v="0"/>
    <n v="0.1"/>
    <n v="1"/>
    <n v="0"/>
    <s v="Its between 1 and 2."/>
  </r>
  <r>
    <s v="2020-21"/>
    <x v="4"/>
    <x v="39"/>
    <s v="L2"/>
    <s v="Planning and Orgnizing"/>
    <s v="Social Learning"/>
    <n v="10"/>
    <x v="0"/>
    <x v="8"/>
    <n v="0"/>
    <n v="0.05"/>
    <n v="0.9"/>
    <n v="0"/>
    <m/>
  </r>
  <r>
    <s v="2020-21"/>
    <x v="4"/>
    <x v="39"/>
    <s v="L2"/>
    <s v="Planning and Orgnizing"/>
    <s v="Social Learning"/>
    <n v="10"/>
    <x v="1"/>
    <x v="8"/>
    <n v="0"/>
    <n v="0.05"/>
    <n v="0.9"/>
    <n v="0"/>
    <s v="No."/>
  </r>
  <r>
    <s v="2020-21"/>
    <x v="4"/>
    <x v="39"/>
    <s v="L2"/>
    <s v="Planning and Orgnizing"/>
    <s v="Social Learning"/>
    <n v="11"/>
    <x v="0"/>
    <x v="8"/>
    <n v="0"/>
    <n v="0.05"/>
    <n v="0.9"/>
    <n v="0"/>
    <m/>
  </r>
  <r>
    <s v="2020-21"/>
    <x v="4"/>
    <x v="39"/>
    <s v="L2"/>
    <s v="Planning and Orgnizing"/>
    <s v="Social Learning"/>
    <n v="11"/>
    <x v="1"/>
    <x v="8"/>
    <n v="0"/>
    <n v="0.05"/>
    <n v="0.9"/>
    <n v="0"/>
    <s v="Efforts yes, but in wrong direction."/>
  </r>
  <r>
    <s v="2020-21"/>
    <x v="4"/>
    <x v="39"/>
    <s v="L2"/>
    <s v="Planning and Orgnizing"/>
    <s v="Social Learning"/>
    <n v="12"/>
    <x v="0"/>
    <x v="9"/>
    <n v="-1"/>
    <n v="0.05"/>
    <n v="1"/>
    <n v="-0.05"/>
    <m/>
  </r>
  <r>
    <s v="2020-21"/>
    <x v="4"/>
    <x v="39"/>
    <s v="L2"/>
    <s v="Planning and Orgnizing"/>
    <s v="Social Learning"/>
    <n v="12"/>
    <x v="1"/>
    <x v="9"/>
    <n v="-1"/>
    <n v="0.05"/>
    <n v="1"/>
    <n v="-0.05"/>
    <s v="The architectural drawings are sub standard. Too many analytical diagrams and initial studies, causing a distraction. It should have led to an understanding that would enable the student s to engage with the context, conceptualise and design development. Instead they seem to be trying to hide design behind the initial analytical &quot; bulk&quot; presented. I wish there were well resolved architectural drawings."/>
  </r>
  <r>
    <s v="2020-21"/>
    <x v="4"/>
    <x v="40"/>
    <s v="L2"/>
    <s v="Visualization &amp; Communication, Spatial Planning &amp; Organisation"/>
    <s v="Learning Spaces: beyond schooling"/>
    <n v="1"/>
    <x v="0"/>
    <x v="0"/>
    <n v="1"/>
    <n v="0.12"/>
    <n v="1"/>
    <n v="0.12"/>
    <m/>
  </r>
  <r>
    <s v="2020-21"/>
    <x v="4"/>
    <x v="40"/>
    <s v="L2"/>
    <s v="Visualization &amp; Communication, Spatial Planning &amp; Organisation"/>
    <s v="Learning Spaces: beyond schooling"/>
    <n v="1"/>
    <x v="1"/>
    <x v="0"/>
    <n v="0"/>
    <n v="0.12"/>
    <n v="1"/>
    <n v="0.12"/>
    <m/>
  </r>
  <r>
    <s v="2020-21"/>
    <x v="4"/>
    <x v="40"/>
    <s v="L2"/>
    <s v="Visualization &amp; Communication, Spatial Planning &amp; Organisation"/>
    <s v="Learning Spaces: beyond schooling"/>
    <n v="2"/>
    <x v="0"/>
    <x v="1"/>
    <n v="1"/>
    <n v="0.08"/>
    <n v="0.9"/>
    <n v="7.2000000000000008E-2"/>
    <m/>
  </r>
  <r>
    <s v="2020-21"/>
    <x v="4"/>
    <x v="40"/>
    <s v="L2"/>
    <s v="Visualization &amp; Communication, Spatial Planning &amp; Organisation"/>
    <s v="Learning Spaces: beyond schooling"/>
    <n v="2"/>
    <x v="1"/>
    <x v="1"/>
    <n v="-1"/>
    <n v="0.08"/>
    <n v="0.9"/>
    <n v="-7.2000000000000008E-2"/>
    <m/>
  </r>
  <r>
    <s v="2020-21"/>
    <x v="4"/>
    <x v="40"/>
    <s v="L2"/>
    <s v="Visualization &amp; Communication, Spatial Planning &amp; Organisation"/>
    <s v="Learning Spaces: beyond schooling"/>
    <n v="3"/>
    <x v="0"/>
    <x v="2"/>
    <n v="1"/>
    <n v="0.05"/>
    <n v="1"/>
    <n v="0.05"/>
    <m/>
  </r>
  <r>
    <s v="2020-21"/>
    <x v="4"/>
    <x v="40"/>
    <s v="L2"/>
    <s v="Visualization &amp; Communication, Spatial Planning &amp; Organisation"/>
    <s v="Learning Spaces: beyond schooling"/>
    <n v="3"/>
    <x v="1"/>
    <x v="2"/>
    <n v="0"/>
    <n v="0.05"/>
    <n v="1"/>
    <n v="0"/>
    <m/>
  </r>
  <r>
    <s v="2020-21"/>
    <x v="4"/>
    <x v="40"/>
    <s v="L2"/>
    <s v="Visualization &amp; Communication, Spatial Planning &amp; Organisation"/>
    <s v="Learning Spaces: beyond schooling"/>
    <n v="4"/>
    <x v="0"/>
    <x v="3"/>
    <n v="0"/>
    <n v="0.1"/>
    <n v="1"/>
    <n v="0"/>
    <m/>
  </r>
  <r>
    <s v="2020-21"/>
    <x v="4"/>
    <x v="40"/>
    <s v="L2"/>
    <s v="Visualization &amp; Communication, Spatial Planning &amp; Organisation"/>
    <s v="Learning Spaces: beyond schooling"/>
    <n v="4"/>
    <x v="1"/>
    <x v="3"/>
    <n v="-1"/>
    <n v="0.1"/>
    <n v="1"/>
    <n v="-0.1"/>
    <m/>
  </r>
  <r>
    <s v="2020-21"/>
    <x v="4"/>
    <x v="40"/>
    <s v="L2"/>
    <s v="Visualization &amp; Communication, Spatial Planning &amp; Organisation"/>
    <s v="Learning Spaces: beyond schooling"/>
    <n v="5"/>
    <x v="0"/>
    <x v="10"/>
    <n v="0"/>
    <n v="0.08"/>
    <n v="1"/>
    <n v="0"/>
    <m/>
  </r>
  <r>
    <s v="2020-21"/>
    <x v="4"/>
    <x v="40"/>
    <s v="L2"/>
    <s v="Visualization &amp; Communication, Spatial Planning &amp; Organisation"/>
    <s v="Learning Spaces: beyond schooling"/>
    <n v="5"/>
    <x v="1"/>
    <x v="10"/>
    <n v="-1"/>
    <n v="0.08"/>
    <n v="1"/>
    <n v="-0.08"/>
    <m/>
  </r>
  <r>
    <s v="2020-21"/>
    <x v="4"/>
    <x v="40"/>
    <s v="L2"/>
    <s v="Visualization &amp; Communication, Spatial Planning &amp; Organisation"/>
    <s v="Learning Spaces: beyond schooling"/>
    <n v="6"/>
    <x v="0"/>
    <x v="4"/>
    <n v="0"/>
    <n v="7.0000000000000007E-2"/>
    <n v="1"/>
    <n v="0"/>
    <m/>
  </r>
  <r>
    <s v="2020-21"/>
    <x v="4"/>
    <x v="40"/>
    <s v="L2"/>
    <s v="Visualization &amp; Communication, Spatial Planning &amp; Organisation"/>
    <s v="Learning Spaces: beyond schooling"/>
    <n v="6"/>
    <x v="1"/>
    <x v="4"/>
    <n v="-1"/>
    <n v="7.0000000000000007E-2"/>
    <n v="1"/>
    <n v="-7.0000000000000007E-2"/>
    <m/>
  </r>
  <r>
    <s v="2020-21"/>
    <x v="4"/>
    <x v="40"/>
    <s v="L2"/>
    <s v="Visualization &amp; Communication, Spatial Planning &amp; Organisation"/>
    <s v="Learning Spaces: beyond schooling"/>
    <n v="7"/>
    <x v="0"/>
    <x v="5"/>
    <n v="0"/>
    <n v="0.15"/>
    <n v="1"/>
    <n v="0"/>
    <m/>
  </r>
  <r>
    <s v="2020-21"/>
    <x v="4"/>
    <x v="40"/>
    <s v="L2"/>
    <s v="Visualization &amp; Communication, Spatial Planning &amp; Organisation"/>
    <s v="Learning Spaces: beyond schooling"/>
    <n v="7"/>
    <x v="1"/>
    <x v="5"/>
    <n v="-1"/>
    <n v="0.15"/>
    <n v="1"/>
    <n v="-0.15"/>
    <m/>
  </r>
  <r>
    <s v="2020-21"/>
    <x v="4"/>
    <x v="40"/>
    <s v="L2"/>
    <s v="Visualization &amp; Communication, Spatial Planning &amp; Organisation"/>
    <s v="Learning Spaces: beyond schooling"/>
    <n v="8"/>
    <x v="0"/>
    <x v="6"/>
    <n v="0"/>
    <n v="0.1"/>
    <n v="1"/>
    <n v="0"/>
    <m/>
  </r>
  <r>
    <s v="2020-21"/>
    <x v="4"/>
    <x v="40"/>
    <s v="L2"/>
    <s v="Visualization &amp; Communication, Spatial Planning &amp; Organisation"/>
    <s v="Learning Spaces: beyond schooling"/>
    <n v="8"/>
    <x v="1"/>
    <x v="6"/>
    <n v="-1"/>
    <n v="0.1"/>
    <n v="1"/>
    <n v="-0.1"/>
    <m/>
  </r>
  <r>
    <s v="2020-21"/>
    <x v="4"/>
    <x v="40"/>
    <s v="L2"/>
    <s v="Visualization &amp; Communication, Spatial Planning &amp; Organisation"/>
    <s v="Learning Spaces: beyond schooling"/>
    <n v="9"/>
    <x v="0"/>
    <x v="7"/>
    <n v="0"/>
    <n v="0.1"/>
    <n v="1"/>
    <n v="0"/>
    <m/>
  </r>
  <r>
    <s v="2020-21"/>
    <x v="4"/>
    <x v="40"/>
    <s v="L2"/>
    <s v="Visualization &amp; Communication, Spatial Planning &amp; Organisation"/>
    <s v="Learning Spaces: beyond schooling"/>
    <n v="9"/>
    <x v="1"/>
    <x v="7"/>
    <n v="-1"/>
    <n v="0.1"/>
    <n v="1"/>
    <n v="-0.1"/>
    <m/>
  </r>
  <r>
    <s v="2020-21"/>
    <x v="4"/>
    <x v="40"/>
    <s v="L2"/>
    <s v="Visualization &amp; Communication, Spatial Planning &amp; Organisation"/>
    <s v="Learning Spaces: beyond schooling"/>
    <n v="10"/>
    <x v="0"/>
    <x v="8"/>
    <n v="0"/>
    <n v="0.05"/>
    <n v="0.9"/>
    <n v="0"/>
    <m/>
  </r>
  <r>
    <s v="2020-21"/>
    <x v="4"/>
    <x v="40"/>
    <s v="L2"/>
    <s v="Visualization &amp; Communication, Spatial Planning &amp; Organisation"/>
    <s v="Learning Spaces: beyond schooling"/>
    <n v="10"/>
    <x v="1"/>
    <x v="8"/>
    <n v="0"/>
    <n v="0.05"/>
    <n v="0.9"/>
    <n v="0"/>
    <m/>
  </r>
  <r>
    <s v="2020-21"/>
    <x v="4"/>
    <x v="40"/>
    <s v="L2"/>
    <s v="Visualization &amp; Communication, Spatial Planning &amp; Organisation"/>
    <s v="Learning Spaces: beyond schooling"/>
    <n v="11"/>
    <x v="0"/>
    <x v="8"/>
    <n v="0"/>
    <n v="0.05"/>
    <n v="0.9"/>
    <n v="0"/>
    <m/>
  </r>
  <r>
    <s v="2020-21"/>
    <x v="4"/>
    <x v="40"/>
    <s v="L2"/>
    <s v="Visualization &amp; Communication, Spatial Planning &amp; Organisation"/>
    <s v="Learning Spaces: beyond schooling"/>
    <n v="11"/>
    <x v="1"/>
    <x v="8"/>
    <n v="0"/>
    <n v="0.05"/>
    <n v="0.9"/>
    <n v="0"/>
    <m/>
  </r>
  <r>
    <s v="2020-21"/>
    <x v="4"/>
    <x v="40"/>
    <s v="L2"/>
    <s v="Visualization &amp; Communication, Spatial Planning &amp; Organisation"/>
    <s v="Learning Spaces: beyond schooling"/>
    <n v="12"/>
    <x v="0"/>
    <x v="9"/>
    <n v="0"/>
    <n v="0.05"/>
    <n v="1"/>
    <n v="0"/>
    <m/>
  </r>
  <r>
    <s v="2020-21"/>
    <x v="4"/>
    <x v="40"/>
    <s v="L2"/>
    <s v="Visualization &amp; Communication, Spatial Planning &amp; Organisation"/>
    <s v="Learning Spaces: beyond schooling"/>
    <n v="12"/>
    <x v="1"/>
    <x v="9"/>
    <n v="-1"/>
    <n v="0.05"/>
    <n v="1"/>
    <n v="-0.05"/>
    <m/>
  </r>
  <r>
    <s v="2020-21"/>
    <x v="4"/>
    <x v="41"/>
    <s v="L2"/>
    <s v="Visualization &amp; Communication"/>
    <s v="Design Fundamentals of Space Making"/>
    <n v="1"/>
    <x v="0"/>
    <x v="0"/>
    <n v="1"/>
    <n v="0.12"/>
    <n v="1"/>
    <n v="0.12"/>
    <m/>
  </r>
  <r>
    <s v="2020-21"/>
    <x v="4"/>
    <x v="41"/>
    <s v="L2"/>
    <s v="Visualization &amp; Communication"/>
    <s v="Design Fundamentals of Space Making"/>
    <n v="1"/>
    <x v="1"/>
    <x v="0"/>
    <n v="1"/>
    <n v="0.12"/>
    <n v="1"/>
    <n v="0.12"/>
    <m/>
  </r>
  <r>
    <s v="2020-21"/>
    <x v="4"/>
    <x v="41"/>
    <s v="L2"/>
    <s v="Visualization &amp; Communication"/>
    <s v="Design Fundamentals of Space Making"/>
    <n v="2"/>
    <x v="0"/>
    <x v="1"/>
    <n v="0"/>
    <n v="0.08"/>
    <n v="0.9"/>
    <n v="0"/>
    <m/>
  </r>
  <r>
    <s v="2020-21"/>
    <x v="4"/>
    <x v="41"/>
    <s v="L2"/>
    <s v="Visualization &amp; Communication"/>
    <s v="Design Fundamentals of Space Making"/>
    <n v="2"/>
    <x v="1"/>
    <x v="1"/>
    <n v="1"/>
    <n v="0.08"/>
    <n v="0.9"/>
    <n v="7.2000000000000008E-2"/>
    <m/>
  </r>
  <r>
    <s v="2020-21"/>
    <x v="4"/>
    <x v="41"/>
    <s v="L2"/>
    <s v="Visualization &amp; Communication"/>
    <s v="Design Fundamentals of Space Making"/>
    <n v="3"/>
    <x v="0"/>
    <x v="2"/>
    <n v="1"/>
    <n v="0.05"/>
    <n v="1"/>
    <n v="0.05"/>
    <m/>
  </r>
  <r>
    <s v="2020-21"/>
    <x v="4"/>
    <x v="41"/>
    <s v="L2"/>
    <s v="Visualization &amp; Communication"/>
    <s v="Design Fundamentals of Space Making"/>
    <n v="3"/>
    <x v="1"/>
    <x v="2"/>
    <n v="1"/>
    <n v="0.05"/>
    <n v="1"/>
    <n v="0.05"/>
    <m/>
  </r>
  <r>
    <s v="2020-21"/>
    <x v="4"/>
    <x v="41"/>
    <s v="L2"/>
    <s v="Visualization &amp; Communication"/>
    <s v="Design Fundamentals of Space Making"/>
    <n v="4"/>
    <x v="0"/>
    <x v="3"/>
    <n v="0"/>
    <n v="0.1"/>
    <n v="1"/>
    <n v="0"/>
    <m/>
  </r>
  <r>
    <s v="2020-21"/>
    <x v="4"/>
    <x v="41"/>
    <s v="L2"/>
    <s v="Visualization &amp; Communication"/>
    <s v="Design Fundamentals of Space Making"/>
    <n v="4"/>
    <x v="1"/>
    <x v="3"/>
    <n v="0"/>
    <n v="0.1"/>
    <n v="1"/>
    <n v="0"/>
    <s v="50% have , rest have not."/>
  </r>
  <r>
    <s v="2020-21"/>
    <x v="4"/>
    <x v="41"/>
    <s v="L2"/>
    <s v="Visualization &amp; Communication"/>
    <s v="Design Fundamentals of Space Making"/>
    <n v="5"/>
    <x v="0"/>
    <x v="10"/>
    <n v="0"/>
    <n v="0.08"/>
    <n v="1"/>
    <n v="0"/>
    <m/>
  </r>
  <r>
    <s v="2020-21"/>
    <x v="4"/>
    <x v="41"/>
    <s v="L2"/>
    <s v="Visualization &amp; Communication"/>
    <s v="Design Fundamentals of Space Making"/>
    <n v="5"/>
    <x v="1"/>
    <x v="10"/>
    <n v="0"/>
    <n v="0.08"/>
    <n v="1"/>
    <n v="0"/>
    <m/>
  </r>
  <r>
    <s v="2020-21"/>
    <x v="4"/>
    <x v="41"/>
    <s v="L2"/>
    <s v="Visualization &amp; Communication"/>
    <s v="Design Fundamentals of Space Making"/>
    <n v="6"/>
    <x v="0"/>
    <x v="4"/>
    <n v="0"/>
    <n v="7.0000000000000007E-2"/>
    <n v="1"/>
    <n v="0"/>
    <m/>
  </r>
  <r>
    <s v="2020-21"/>
    <x v="4"/>
    <x v="41"/>
    <s v="L2"/>
    <s v="Visualization &amp; Communication"/>
    <s v="Design Fundamentals of Space Making"/>
    <n v="6"/>
    <x v="1"/>
    <x v="4"/>
    <n v="0"/>
    <n v="7.0000000000000007E-2"/>
    <n v="1"/>
    <n v="0"/>
    <s v="About 30%"/>
  </r>
  <r>
    <s v="2020-21"/>
    <x v="4"/>
    <x v="41"/>
    <s v="L2"/>
    <s v="Visualization &amp; Communication"/>
    <s v="Design Fundamentals of Space Making"/>
    <n v="7"/>
    <x v="0"/>
    <x v="5"/>
    <n v="-1"/>
    <n v="0.15"/>
    <n v="1"/>
    <n v="-0.15"/>
    <m/>
  </r>
  <r>
    <s v="2020-21"/>
    <x v="4"/>
    <x v="41"/>
    <s v="L2"/>
    <s v="Visualization &amp; Communication"/>
    <s v="Design Fundamentals of Space Making"/>
    <n v="7"/>
    <x v="1"/>
    <x v="5"/>
    <n v="0"/>
    <n v="0.15"/>
    <n v="1"/>
    <n v="0"/>
    <m/>
  </r>
  <r>
    <s v="2020-21"/>
    <x v="4"/>
    <x v="41"/>
    <s v="L2"/>
    <s v="Visualization &amp; Communication"/>
    <s v="Design Fundamentals of Space Making"/>
    <n v="8"/>
    <x v="0"/>
    <x v="6"/>
    <n v="-1"/>
    <n v="0.1"/>
    <n v="1"/>
    <n v="-0.1"/>
    <m/>
  </r>
  <r>
    <s v="2020-21"/>
    <x v="4"/>
    <x v="41"/>
    <s v="L2"/>
    <s v="Visualization &amp; Communication"/>
    <s v="Design Fundamentals of Space Making"/>
    <n v="8"/>
    <x v="1"/>
    <x v="6"/>
    <n v="0"/>
    <n v="0.1"/>
    <n v="1"/>
    <n v="0"/>
    <m/>
  </r>
  <r>
    <s v="2020-21"/>
    <x v="4"/>
    <x v="41"/>
    <s v="L2"/>
    <s v="Visualization &amp; Communication"/>
    <s v="Design Fundamentals of Space Making"/>
    <n v="9"/>
    <x v="0"/>
    <x v="7"/>
    <n v="0"/>
    <n v="0.1"/>
    <n v="1"/>
    <n v="0"/>
    <m/>
  </r>
  <r>
    <s v="2020-21"/>
    <x v="4"/>
    <x v="41"/>
    <s v="L2"/>
    <s v="Visualization &amp; Communication"/>
    <s v="Design Fundamentals of Space Making"/>
    <n v="9"/>
    <x v="1"/>
    <x v="7"/>
    <n v="0"/>
    <n v="0.1"/>
    <n v="1"/>
    <n v="0"/>
    <m/>
  </r>
  <r>
    <s v="2020-21"/>
    <x v="4"/>
    <x v="41"/>
    <s v="L2"/>
    <s v="Visualization &amp; Communication"/>
    <s v="Design Fundamentals of Space Making"/>
    <n v="10"/>
    <x v="0"/>
    <x v="8"/>
    <n v="0"/>
    <n v="0.05"/>
    <n v="0.9"/>
    <n v="0"/>
    <m/>
  </r>
  <r>
    <s v="2020-21"/>
    <x v="4"/>
    <x v="41"/>
    <s v="L2"/>
    <s v="Visualization &amp; Communication"/>
    <s v="Design Fundamentals of Space Making"/>
    <n v="10"/>
    <x v="1"/>
    <x v="8"/>
    <n v="0"/>
    <n v="0.05"/>
    <n v="0.9"/>
    <n v="0"/>
    <m/>
  </r>
  <r>
    <s v="2020-21"/>
    <x v="4"/>
    <x v="41"/>
    <s v="L2"/>
    <s v="Visualization &amp; Communication"/>
    <s v="Design Fundamentals of Space Making"/>
    <n v="11"/>
    <x v="0"/>
    <x v="8"/>
    <n v="0"/>
    <n v="0.05"/>
    <n v="0.9"/>
    <n v="0"/>
    <m/>
  </r>
  <r>
    <s v="2020-21"/>
    <x v="4"/>
    <x v="41"/>
    <s v="L2"/>
    <s v="Visualization &amp; Communication"/>
    <s v="Design Fundamentals of Space Making"/>
    <n v="11"/>
    <x v="1"/>
    <x v="8"/>
    <n v="0"/>
    <n v="0.05"/>
    <n v="0.9"/>
    <n v="0"/>
    <m/>
  </r>
  <r>
    <s v="2020-21"/>
    <x v="4"/>
    <x v="41"/>
    <s v="L2"/>
    <s v="Visualization &amp; Communication"/>
    <s v="Design Fundamentals of Space Making"/>
    <n v="12"/>
    <x v="0"/>
    <x v="9"/>
    <n v="-1"/>
    <n v="0.05"/>
    <n v="1"/>
    <n v="-0.05"/>
    <m/>
  </r>
  <r>
    <s v="2020-21"/>
    <x v="4"/>
    <x v="41"/>
    <s v="L2"/>
    <s v="Visualization &amp; Communication"/>
    <s v="Design Fundamentals of Space Making"/>
    <n v="12"/>
    <x v="1"/>
    <x v="9"/>
    <n v="-1"/>
    <n v="0.05"/>
    <n v="1"/>
    <n v="-0.05"/>
    <s v="It's little difficult to answer the previous question as we are supposed to express our observations based on the presentation that doesn't convey in totality the process that transpired over the semester,.How would any one know its been online and not a regular studio?"/>
  </r>
  <r>
    <s v="2020-21"/>
    <x v="4"/>
    <x v="42"/>
    <s v="L2"/>
    <s v="Constructing and Specifying"/>
    <s v="Design and Detailing_ Resilient Architectural Assemblies"/>
    <n v="1"/>
    <x v="0"/>
    <x v="0"/>
    <n v="1"/>
    <n v="0.12"/>
    <n v="1"/>
    <n v="0.12"/>
    <m/>
  </r>
  <r>
    <s v="2020-21"/>
    <x v="4"/>
    <x v="42"/>
    <s v="L2"/>
    <s v="Constructing and Specifying"/>
    <s v="Design and Detailing_ Resilient Architectural Assemblies"/>
    <n v="1"/>
    <x v="1"/>
    <x v="0"/>
    <n v="1"/>
    <n v="0.12"/>
    <n v="1"/>
    <n v="0.12"/>
    <m/>
  </r>
  <r>
    <s v="2020-21"/>
    <x v="4"/>
    <x v="42"/>
    <s v="L2"/>
    <s v="Constructing and Specifying"/>
    <s v="Design and Detailing_ Resilient Architectural Assemblies"/>
    <n v="2"/>
    <x v="0"/>
    <x v="1"/>
    <n v="1"/>
    <n v="0.08"/>
    <n v="0.9"/>
    <n v="7.2000000000000008E-2"/>
    <m/>
  </r>
  <r>
    <s v="2020-21"/>
    <x v="4"/>
    <x v="42"/>
    <s v="L2"/>
    <s v="Constructing and Specifying"/>
    <s v="Design and Detailing_ Resilient Architectural Assemblies"/>
    <n v="2"/>
    <x v="1"/>
    <x v="1"/>
    <n v="1"/>
    <n v="0.08"/>
    <n v="0.9"/>
    <n v="7.2000000000000008E-2"/>
    <m/>
  </r>
  <r>
    <s v="2020-21"/>
    <x v="4"/>
    <x v="42"/>
    <s v="L2"/>
    <s v="Constructing and Specifying"/>
    <s v="Design and Detailing_ Resilient Architectural Assemblies"/>
    <n v="3"/>
    <x v="0"/>
    <x v="2"/>
    <n v="1"/>
    <n v="0.05"/>
    <n v="1"/>
    <n v="0.05"/>
    <m/>
  </r>
  <r>
    <s v="2020-21"/>
    <x v="4"/>
    <x v="42"/>
    <s v="L2"/>
    <s v="Constructing and Specifying"/>
    <s v="Design and Detailing_ Resilient Architectural Assemblies"/>
    <n v="3"/>
    <x v="1"/>
    <x v="2"/>
    <n v="1"/>
    <n v="0.05"/>
    <n v="1"/>
    <n v="0.05"/>
    <m/>
  </r>
  <r>
    <s v="2020-21"/>
    <x v="4"/>
    <x v="42"/>
    <s v="L2"/>
    <s v="Constructing and Specifying"/>
    <s v="Design and Detailing_ Resilient Architectural Assemblies"/>
    <n v="4"/>
    <x v="0"/>
    <x v="3"/>
    <n v="0"/>
    <n v="0.1"/>
    <n v="1"/>
    <n v="0"/>
    <m/>
  </r>
  <r>
    <s v="2020-21"/>
    <x v="4"/>
    <x v="42"/>
    <s v="L2"/>
    <s v="Constructing and Specifying"/>
    <s v="Design and Detailing_ Resilient Architectural Assemblies"/>
    <n v="4"/>
    <x v="1"/>
    <x v="3"/>
    <n v="1"/>
    <n v="0.1"/>
    <n v="1"/>
    <n v="0.1"/>
    <s v="Few have, about 30%."/>
  </r>
  <r>
    <s v="2020-21"/>
    <x v="4"/>
    <x v="42"/>
    <s v="L2"/>
    <s v="Constructing and Specifying"/>
    <s v="Design and Detailing_ Resilient Architectural Assemblies"/>
    <n v="5"/>
    <x v="0"/>
    <x v="10"/>
    <n v="0"/>
    <n v="0.08"/>
    <n v="1"/>
    <n v="0"/>
    <m/>
  </r>
  <r>
    <s v="2020-21"/>
    <x v="4"/>
    <x v="42"/>
    <s v="L2"/>
    <s v="Constructing and Specifying"/>
    <s v="Design and Detailing_ Resilient Architectural Assemblies"/>
    <n v="5"/>
    <x v="1"/>
    <x v="10"/>
    <n v="1"/>
    <n v="0.08"/>
    <n v="1"/>
    <n v="0.08"/>
    <s v="Some have achieved the understanding."/>
  </r>
  <r>
    <s v="2020-21"/>
    <x v="4"/>
    <x v="42"/>
    <s v="L2"/>
    <s v="Constructing and Specifying"/>
    <s v="Design and Detailing_ Resilient Architectural Assemblies"/>
    <n v="6"/>
    <x v="0"/>
    <x v="4"/>
    <n v="0"/>
    <n v="7.0000000000000007E-2"/>
    <n v="1"/>
    <n v="0"/>
    <m/>
  </r>
  <r>
    <s v="2020-21"/>
    <x v="4"/>
    <x v="42"/>
    <s v="L2"/>
    <s v="Constructing and Specifying"/>
    <s v="Design and Detailing_ Resilient Architectural Assemblies"/>
    <n v="6"/>
    <x v="1"/>
    <x v="4"/>
    <n v="1"/>
    <n v="7.0000000000000007E-2"/>
    <n v="1"/>
    <n v="7.0000000000000007E-2"/>
    <s v="Again, it's been successful with the students who engaged with the process."/>
  </r>
  <r>
    <s v="2020-21"/>
    <x v="4"/>
    <x v="42"/>
    <s v="L2"/>
    <s v="Constructing and Specifying"/>
    <s v="Design and Detailing_ Resilient Architectural Assemblies"/>
    <n v="7"/>
    <x v="0"/>
    <x v="5"/>
    <n v="0"/>
    <n v="0.15"/>
    <n v="1"/>
    <n v="0"/>
    <m/>
  </r>
  <r>
    <s v="2020-21"/>
    <x v="4"/>
    <x v="42"/>
    <s v="L2"/>
    <s v="Constructing and Specifying"/>
    <s v="Design and Detailing_ Resilient Architectural Assemblies"/>
    <n v="7"/>
    <x v="1"/>
    <x v="5"/>
    <n v="1"/>
    <n v="0.15"/>
    <n v="1"/>
    <n v="0.15"/>
    <m/>
  </r>
  <r>
    <s v="2020-21"/>
    <x v="4"/>
    <x v="42"/>
    <s v="L2"/>
    <s v="Constructing and Specifying"/>
    <s v="Design and Detailing_ Resilient Architectural Assemblies"/>
    <n v="8"/>
    <x v="0"/>
    <x v="6"/>
    <n v="0"/>
    <n v="0.1"/>
    <n v="1"/>
    <n v="0"/>
    <m/>
  </r>
  <r>
    <s v="2020-21"/>
    <x v="4"/>
    <x v="42"/>
    <s v="L2"/>
    <s v="Constructing and Specifying"/>
    <s v="Design and Detailing_ Resilient Architectural Assemblies"/>
    <n v="8"/>
    <x v="1"/>
    <x v="6"/>
    <n v="0"/>
    <n v="0.1"/>
    <n v="1"/>
    <n v="0"/>
    <s v="In parts."/>
  </r>
  <r>
    <s v="2020-21"/>
    <x v="4"/>
    <x v="42"/>
    <s v="L2"/>
    <s v="Constructing and Specifying"/>
    <s v="Design and Detailing_ Resilient Architectural Assemblies"/>
    <n v="9"/>
    <x v="0"/>
    <x v="7"/>
    <n v="0"/>
    <n v="0.1"/>
    <n v="1"/>
    <n v="0"/>
    <m/>
  </r>
  <r>
    <s v="2020-21"/>
    <x v="4"/>
    <x v="42"/>
    <s v="L2"/>
    <s v="Constructing and Specifying"/>
    <s v="Design and Detailing_ Resilient Architectural Assemblies"/>
    <n v="9"/>
    <x v="1"/>
    <x v="7"/>
    <n v="1"/>
    <n v="0.1"/>
    <n v="1"/>
    <n v="0.1"/>
    <m/>
  </r>
  <r>
    <s v="2020-21"/>
    <x v="4"/>
    <x v="42"/>
    <s v="L2"/>
    <s v="Constructing and Specifying"/>
    <s v="Design and Detailing_ Resilient Architectural Assemblies"/>
    <n v="10"/>
    <x v="0"/>
    <x v="8"/>
    <n v="0"/>
    <n v="0.05"/>
    <n v="0.9"/>
    <n v="0"/>
    <m/>
  </r>
  <r>
    <s v="2020-21"/>
    <x v="4"/>
    <x v="42"/>
    <s v="L2"/>
    <s v="Constructing and Specifying"/>
    <s v="Design and Detailing_ Resilient Architectural Assemblies"/>
    <n v="10"/>
    <x v="1"/>
    <x v="8"/>
    <n v="1"/>
    <n v="0.05"/>
    <n v="0.9"/>
    <n v="4.5000000000000005E-2"/>
    <m/>
  </r>
  <r>
    <s v="2020-21"/>
    <x v="4"/>
    <x v="42"/>
    <s v="L2"/>
    <s v="Constructing and Specifying"/>
    <s v="Design and Detailing_ Resilient Architectural Assemblies"/>
    <n v="11"/>
    <x v="0"/>
    <x v="8"/>
    <n v="0"/>
    <n v="0.05"/>
    <n v="0.9"/>
    <n v="0"/>
    <m/>
  </r>
  <r>
    <s v="2020-21"/>
    <x v="4"/>
    <x v="42"/>
    <s v="L2"/>
    <s v="Constructing and Specifying"/>
    <s v="Design and Detailing_ Resilient Architectural Assemblies"/>
    <n v="11"/>
    <x v="1"/>
    <x v="8"/>
    <n v="1"/>
    <n v="0.05"/>
    <n v="0.9"/>
    <n v="4.5000000000000005E-2"/>
    <m/>
  </r>
  <r>
    <s v="2020-21"/>
    <x v="4"/>
    <x v="42"/>
    <s v="L2"/>
    <s v="Constructing and Specifying"/>
    <s v="Design and Detailing_ Resilient Architectural Assemblies"/>
    <n v="12"/>
    <x v="0"/>
    <x v="9"/>
    <n v="1"/>
    <n v="0.05"/>
    <n v="1"/>
    <n v="0.05"/>
    <m/>
  </r>
  <r>
    <s v="2020-21"/>
    <x v="4"/>
    <x v="42"/>
    <s v="L2"/>
    <s v="Constructing and Specifying"/>
    <s v="Design and Detailing_ Resilient Architectural Assemblies"/>
    <n v="12"/>
    <x v="1"/>
    <x v="9"/>
    <n v="-1"/>
    <n v="0.05"/>
    <n v="1"/>
    <n v="-0.05"/>
    <s v="This is something difficult to comment on as I haven't had opportunity to interact with the tutor or the students."/>
  </r>
  <r>
    <s v="2020-21"/>
    <x v="4"/>
    <x v="43"/>
    <s v="L3"/>
    <m/>
    <s v="Oikopolis: The Rise of the Cooperative"/>
    <n v="1"/>
    <x v="0"/>
    <x v="0"/>
    <n v="1"/>
    <n v="0.12"/>
    <n v="1"/>
    <n v="0.12"/>
    <m/>
  </r>
  <r>
    <s v="2020-21"/>
    <x v="4"/>
    <x v="43"/>
    <s v="L3"/>
    <m/>
    <s v="Oikopolis: The Rise of the Cooperative"/>
    <n v="1"/>
    <x v="1"/>
    <x v="0"/>
    <n v="1"/>
    <n v="0.12"/>
    <n v="1"/>
    <n v="0.12"/>
    <m/>
  </r>
  <r>
    <s v="2020-21"/>
    <x v="4"/>
    <x v="43"/>
    <s v="L3"/>
    <m/>
    <s v="Oikopolis: The Rise of the Cooperative"/>
    <n v="2"/>
    <x v="0"/>
    <x v="1"/>
    <n v="0"/>
    <n v="0.08"/>
    <n v="0.9"/>
    <n v="0"/>
    <m/>
  </r>
  <r>
    <s v="2020-21"/>
    <x v="4"/>
    <x v="43"/>
    <s v="L3"/>
    <m/>
    <s v="Oikopolis: The Rise of the Cooperative"/>
    <n v="2"/>
    <x v="1"/>
    <x v="1"/>
    <n v="1"/>
    <n v="0.08"/>
    <n v="0.9"/>
    <n v="7.2000000000000008E-2"/>
    <s v="Although studio provides great insights, too much stress towards solution might have impacted the design process."/>
  </r>
  <r>
    <s v="2020-21"/>
    <x v="4"/>
    <x v="43"/>
    <s v="L3"/>
    <m/>
    <s v="Oikopolis: The Rise of the Cooperative"/>
    <n v="3"/>
    <x v="0"/>
    <x v="2"/>
    <n v="1"/>
    <n v="0.05"/>
    <n v="1"/>
    <n v="0.05"/>
    <m/>
  </r>
  <r>
    <s v="2020-21"/>
    <x v="4"/>
    <x v="43"/>
    <s v="L3"/>
    <m/>
    <s v="Oikopolis: The Rise of the Cooperative"/>
    <n v="3"/>
    <x v="1"/>
    <x v="2"/>
    <n v="-1"/>
    <n v="0.05"/>
    <n v="1"/>
    <n v="-0.05"/>
    <m/>
  </r>
  <r>
    <s v="2020-21"/>
    <x v="4"/>
    <x v="43"/>
    <s v="L3"/>
    <m/>
    <s v="Oikopolis: The Rise of the Cooperative"/>
    <n v="4"/>
    <x v="0"/>
    <x v="3"/>
    <n v="0"/>
    <n v="0.1"/>
    <n v="1"/>
    <n v="0"/>
    <m/>
  </r>
  <r>
    <s v="2020-21"/>
    <x v="4"/>
    <x v="43"/>
    <s v="L3"/>
    <m/>
    <s v="Oikopolis: The Rise of the Cooperative"/>
    <n v="4"/>
    <x v="1"/>
    <x v="3"/>
    <n v="-1"/>
    <n v="0.1"/>
    <n v="1"/>
    <n v="-0.1"/>
    <m/>
  </r>
  <r>
    <s v="2020-21"/>
    <x v="4"/>
    <x v="43"/>
    <s v="L3"/>
    <m/>
    <s v="Oikopolis: The Rise of the Cooperative"/>
    <n v="5"/>
    <x v="0"/>
    <x v="10"/>
    <n v="0"/>
    <n v="0.08"/>
    <n v="1"/>
    <n v="0"/>
    <m/>
  </r>
  <r>
    <s v="2020-21"/>
    <x v="4"/>
    <x v="43"/>
    <s v="L3"/>
    <m/>
    <s v="Oikopolis: The Rise of the Cooperative"/>
    <n v="5"/>
    <x v="1"/>
    <x v="10"/>
    <n v="-1"/>
    <n v="0.08"/>
    <n v="1"/>
    <n v="-0.08"/>
    <m/>
  </r>
  <r>
    <s v="2020-21"/>
    <x v="4"/>
    <x v="43"/>
    <s v="L3"/>
    <m/>
    <s v="Oikopolis: The Rise of the Cooperative"/>
    <n v="6"/>
    <x v="0"/>
    <x v="4"/>
    <n v="0"/>
    <n v="7.0000000000000007E-2"/>
    <n v="1"/>
    <n v="0"/>
    <m/>
  </r>
  <r>
    <s v="2020-21"/>
    <x v="4"/>
    <x v="43"/>
    <s v="L3"/>
    <m/>
    <s v="Oikopolis: The Rise of the Cooperative"/>
    <n v="6"/>
    <x v="1"/>
    <x v="4"/>
    <n v="-1"/>
    <n v="7.0000000000000007E-2"/>
    <n v="1"/>
    <n v="-7.0000000000000007E-2"/>
    <m/>
  </r>
  <r>
    <s v="2020-21"/>
    <x v="4"/>
    <x v="43"/>
    <s v="L3"/>
    <m/>
    <s v="Oikopolis: The Rise of the Cooperative"/>
    <n v="7"/>
    <x v="0"/>
    <x v="5"/>
    <n v="0"/>
    <n v="0.15"/>
    <n v="1"/>
    <n v="0"/>
    <m/>
  </r>
  <r>
    <s v="2020-21"/>
    <x v="4"/>
    <x v="43"/>
    <s v="L3"/>
    <m/>
    <s v="Oikopolis: The Rise of the Cooperative"/>
    <n v="7"/>
    <x v="1"/>
    <x v="5"/>
    <n v="-1"/>
    <n v="0.15"/>
    <n v="1"/>
    <n v="-0.15"/>
    <m/>
  </r>
  <r>
    <s v="2020-21"/>
    <x v="4"/>
    <x v="43"/>
    <s v="L3"/>
    <m/>
    <s v="Oikopolis: The Rise of the Cooperative"/>
    <n v="8"/>
    <x v="0"/>
    <x v="6"/>
    <n v="0"/>
    <n v="0.1"/>
    <n v="1"/>
    <n v="0"/>
    <m/>
  </r>
  <r>
    <s v="2020-21"/>
    <x v="4"/>
    <x v="43"/>
    <s v="L3"/>
    <m/>
    <s v="Oikopolis: The Rise of the Cooperative"/>
    <n v="8"/>
    <x v="1"/>
    <x v="6"/>
    <n v="0"/>
    <n v="0.1"/>
    <n v="1"/>
    <n v="0"/>
    <m/>
  </r>
  <r>
    <s v="2020-21"/>
    <x v="4"/>
    <x v="43"/>
    <s v="L3"/>
    <m/>
    <s v="Oikopolis: The Rise of the Cooperative"/>
    <n v="9"/>
    <x v="0"/>
    <x v="7"/>
    <n v="0"/>
    <n v="0.1"/>
    <n v="1"/>
    <n v="0"/>
    <m/>
  </r>
  <r>
    <s v="2020-21"/>
    <x v="4"/>
    <x v="43"/>
    <s v="L3"/>
    <m/>
    <s v="Oikopolis: The Rise of the Cooperative"/>
    <n v="9"/>
    <x v="1"/>
    <x v="7"/>
    <n v="0"/>
    <n v="0.1"/>
    <n v="1"/>
    <n v="0"/>
    <m/>
  </r>
  <r>
    <s v="2020-21"/>
    <x v="4"/>
    <x v="43"/>
    <s v="L3"/>
    <m/>
    <s v="Oikopolis: The Rise of the Cooperative"/>
    <n v="10"/>
    <x v="0"/>
    <x v="8"/>
    <n v="0"/>
    <n v="0.05"/>
    <n v="0.9"/>
    <n v="0"/>
    <m/>
  </r>
  <r>
    <s v="2020-21"/>
    <x v="4"/>
    <x v="43"/>
    <s v="L3"/>
    <m/>
    <s v="Oikopolis: The Rise of the Cooperative"/>
    <n v="10"/>
    <x v="1"/>
    <x v="8"/>
    <n v="0"/>
    <n v="0.05"/>
    <n v="0.9"/>
    <n v="0"/>
    <m/>
  </r>
  <r>
    <s v="2020-21"/>
    <x v="4"/>
    <x v="43"/>
    <s v="L3"/>
    <m/>
    <s v="Oikopolis: The Rise of the Cooperative"/>
    <n v="11"/>
    <x v="0"/>
    <x v="8"/>
    <n v="0"/>
    <n v="0.05"/>
    <n v="0.9"/>
    <n v="0"/>
    <m/>
  </r>
  <r>
    <s v="2020-21"/>
    <x v="4"/>
    <x v="43"/>
    <s v="L3"/>
    <m/>
    <s v="Oikopolis: The Rise of the Cooperative"/>
    <n v="11"/>
    <x v="1"/>
    <x v="8"/>
    <n v="0"/>
    <n v="0.05"/>
    <n v="0.9"/>
    <n v="0"/>
    <m/>
  </r>
  <r>
    <s v="2020-21"/>
    <x v="4"/>
    <x v="43"/>
    <s v="L3"/>
    <m/>
    <s v="Oikopolis: The Rise of the Cooperative"/>
    <n v="12"/>
    <x v="0"/>
    <x v="9"/>
    <n v="0"/>
    <n v="0.05"/>
    <n v="1"/>
    <n v="0"/>
    <m/>
  </r>
  <r>
    <s v="2020-21"/>
    <x v="4"/>
    <x v="43"/>
    <s v="L3"/>
    <m/>
    <s v="Oikopolis: The Rise of the Cooperative"/>
    <n v="12"/>
    <x v="1"/>
    <x v="9"/>
    <n v="-1"/>
    <n v="0.05"/>
    <n v="1"/>
    <n v="-0.05"/>
    <s v="The depth and width of the studio doesn't befit expectations from a L3 studio. This has been an ongoing debate. This is despite the presence of an experienced teacher/tutor/mentor. All the realties, pragmatics and practicalities etc aside which is well intended and appreciated, but cannot do away with broader, more pertinent issues.I found that missing. The students work didn't evoke any creative interest to feel the need to engage with the projects."/>
  </r>
  <r>
    <s v="2020-21"/>
    <x v="4"/>
    <x v="29"/>
    <s v="L3"/>
    <m/>
    <s v="Narratives in Architecture"/>
    <n v="1"/>
    <x v="0"/>
    <x v="0"/>
    <n v="0"/>
    <n v="0.12"/>
    <n v="1"/>
    <n v="0"/>
    <m/>
  </r>
  <r>
    <s v="2020-21"/>
    <x v="4"/>
    <x v="29"/>
    <s v="L3"/>
    <m/>
    <s v="Narratives in Architecture"/>
    <n v="1"/>
    <x v="1"/>
    <x v="0"/>
    <n v="1"/>
    <n v="0.12"/>
    <n v="1"/>
    <n v="0"/>
    <m/>
  </r>
  <r>
    <s v="2020-21"/>
    <x v="4"/>
    <x v="29"/>
    <s v="L3"/>
    <m/>
    <s v="Narratives in Architecture"/>
    <n v="2"/>
    <x v="0"/>
    <x v="1"/>
    <n v="0"/>
    <n v="0.08"/>
    <n v="0.9"/>
    <n v="0"/>
    <m/>
  </r>
  <r>
    <s v="2020-21"/>
    <x v="4"/>
    <x v="29"/>
    <s v="L3"/>
    <m/>
    <s v="Narratives in Architecture"/>
    <n v="2"/>
    <x v="1"/>
    <x v="1"/>
    <n v="1"/>
    <n v="0.08"/>
    <n v="0.9"/>
    <n v="7.2000000000000008E-2"/>
    <m/>
  </r>
  <r>
    <s v="2020-21"/>
    <x v="4"/>
    <x v="29"/>
    <s v="L3"/>
    <m/>
    <s v="Narratives in Architecture"/>
    <n v="3"/>
    <x v="0"/>
    <x v="2"/>
    <n v="0"/>
    <n v="0.05"/>
    <n v="1"/>
    <n v="0"/>
    <m/>
  </r>
  <r>
    <s v="2020-21"/>
    <x v="4"/>
    <x v="29"/>
    <s v="L3"/>
    <m/>
    <s v="Narratives in Architecture"/>
    <n v="3"/>
    <x v="1"/>
    <x v="2"/>
    <n v="1"/>
    <n v="0.05"/>
    <n v="1"/>
    <n v="0.05"/>
    <m/>
  </r>
  <r>
    <s v="2020-21"/>
    <x v="4"/>
    <x v="29"/>
    <s v="L3"/>
    <m/>
    <s v="Narratives in Architecture"/>
    <n v="4"/>
    <x v="0"/>
    <x v="3"/>
    <n v="1"/>
    <n v="0.1"/>
    <n v="1"/>
    <n v="0.1"/>
    <m/>
  </r>
  <r>
    <s v="2020-21"/>
    <x v="4"/>
    <x v="29"/>
    <s v="L3"/>
    <m/>
    <s v="Narratives in Architecture"/>
    <n v="4"/>
    <x v="1"/>
    <x v="3"/>
    <n v="0"/>
    <n v="0.1"/>
    <n v="1"/>
    <n v="0"/>
    <m/>
  </r>
  <r>
    <s v="2020-21"/>
    <x v="4"/>
    <x v="29"/>
    <s v="L3"/>
    <m/>
    <s v="Narratives in Architecture"/>
    <n v="5"/>
    <x v="0"/>
    <x v="10"/>
    <n v="0"/>
    <n v="0.08"/>
    <n v="1"/>
    <n v="0"/>
    <m/>
  </r>
  <r>
    <s v="2020-21"/>
    <x v="4"/>
    <x v="29"/>
    <s v="L3"/>
    <m/>
    <s v="Narratives in Architecture"/>
    <n v="5"/>
    <x v="1"/>
    <x v="10"/>
    <n v="0"/>
    <n v="0.08"/>
    <n v="1"/>
    <n v="0"/>
    <m/>
  </r>
  <r>
    <s v="2020-21"/>
    <x v="4"/>
    <x v="29"/>
    <s v="L3"/>
    <m/>
    <s v="Narratives in Architecture"/>
    <n v="6"/>
    <x v="0"/>
    <x v="4"/>
    <n v="1"/>
    <n v="7.0000000000000007E-2"/>
    <n v="1"/>
    <n v="7.0000000000000007E-2"/>
    <m/>
  </r>
  <r>
    <s v="2020-21"/>
    <x v="4"/>
    <x v="29"/>
    <s v="L3"/>
    <m/>
    <s v="Narratives in Architecture"/>
    <n v="6"/>
    <x v="1"/>
    <x v="4"/>
    <n v="-1"/>
    <n v="7.0000000000000007E-2"/>
    <n v="1"/>
    <n v="-7.0000000000000007E-2"/>
    <m/>
  </r>
  <r>
    <s v="2020-21"/>
    <x v="4"/>
    <x v="29"/>
    <s v="L3"/>
    <m/>
    <s v="Narratives in Architecture"/>
    <n v="7"/>
    <x v="0"/>
    <x v="5"/>
    <n v="1"/>
    <n v="0.15"/>
    <n v="1"/>
    <n v="0.15"/>
    <m/>
  </r>
  <r>
    <s v="2020-21"/>
    <x v="4"/>
    <x v="29"/>
    <s v="L3"/>
    <m/>
    <s v="Narratives in Architecture"/>
    <n v="7"/>
    <x v="1"/>
    <x v="5"/>
    <n v="0"/>
    <n v="0.15"/>
    <n v="1"/>
    <n v="0"/>
    <m/>
  </r>
  <r>
    <s v="2020-21"/>
    <x v="4"/>
    <x v="29"/>
    <s v="L3"/>
    <m/>
    <s v="Narratives in Architecture"/>
    <n v="8"/>
    <x v="0"/>
    <x v="6"/>
    <n v="0"/>
    <n v="0.1"/>
    <n v="1"/>
    <n v="0"/>
    <m/>
  </r>
  <r>
    <s v="2020-21"/>
    <x v="4"/>
    <x v="29"/>
    <s v="L3"/>
    <m/>
    <s v="Narratives in Architecture"/>
    <n v="8"/>
    <x v="1"/>
    <x v="6"/>
    <n v="1"/>
    <n v="0.1"/>
    <n v="1"/>
    <n v="0.1"/>
    <m/>
  </r>
  <r>
    <s v="2020-21"/>
    <x v="4"/>
    <x v="29"/>
    <s v="L3"/>
    <m/>
    <s v="Narratives in Architecture"/>
    <n v="9"/>
    <x v="0"/>
    <x v="7"/>
    <n v="0"/>
    <n v="0.1"/>
    <n v="1"/>
    <n v="0"/>
    <m/>
  </r>
  <r>
    <s v="2020-21"/>
    <x v="4"/>
    <x v="29"/>
    <s v="L3"/>
    <m/>
    <s v="Narratives in Architecture"/>
    <n v="9"/>
    <x v="1"/>
    <x v="7"/>
    <n v="1"/>
    <n v="0.1"/>
    <n v="1"/>
    <n v="0.1"/>
    <m/>
  </r>
  <r>
    <s v="2020-21"/>
    <x v="4"/>
    <x v="29"/>
    <s v="L3"/>
    <m/>
    <s v="Narratives in Architecture"/>
    <n v="10"/>
    <x v="0"/>
    <x v="8"/>
    <n v="0"/>
    <n v="0.05"/>
    <n v="0.9"/>
    <n v="0"/>
    <m/>
  </r>
  <r>
    <s v="2020-21"/>
    <x v="4"/>
    <x v="29"/>
    <s v="L3"/>
    <m/>
    <s v="Narratives in Architecture"/>
    <n v="10"/>
    <x v="1"/>
    <x v="8"/>
    <n v="1"/>
    <n v="0.05"/>
    <n v="0.9"/>
    <n v="4.5000000000000005E-2"/>
    <m/>
  </r>
  <r>
    <s v="2020-21"/>
    <x v="4"/>
    <x v="29"/>
    <s v="L3"/>
    <m/>
    <s v="Narratives in Architecture"/>
    <n v="11"/>
    <x v="0"/>
    <x v="8"/>
    <n v="1"/>
    <n v="0.05"/>
    <n v="0.9"/>
    <n v="4.5000000000000005E-2"/>
    <m/>
  </r>
  <r>
    <s v="2020-21"/>
    <x v="4"/>
    <x v="29"/>
    <s v="L3"/>
    <m/>
    <s v="Narratives in Architecture"/>
    <n v="11"/>
    <x v="1"/>
    <x v="8"/>
    <n v="0"/>
    <n v="0.05"/>
    <n v="0.9"/>
    <n v="0"/>
    <s v="The program and intent is, but the students work is not."/>
  </r>
  <r>
    <s v="2020-21"/>
    <x v="4"/>
    <x v="29"/>
    <s v="L3"/>
    <m/>
    <s v="Narratives in Architecture"/>
    <n v="12"/>
    <x v="0"/>
    <x v="9"/>
    <n v="1"/>
    <n v="0.05"/>
    <n v="1"/>
    <n v="0.05"/>
    <m/>
  </r>
  <r>
    <s v="2020-21"/>
    <x v="4"/>
    <x v="29"/>
    <s v="L3"/>
    <m/>
    <s v="Narratives in Architecture"/>
    <n v="12"/>
    <x v="1"/>
    <x v="9"/>
    <n v="-1"/>
    <n v="0.05"/>
    <n v="1"/>
    <n v="-0.05"/>
    <s v="Once again, L3 continues to disappoint. The narratives are interesting, the initial work also creates hope, but the processes seem to have stopped almost abruptly and the architectural representation of the final out come is extremely inadequate."/>
  </r>
  <r>
    <s v="2020-21"/>
    <x v="4"/>
    <x v="35"/>
    <s v="L3"/>
    <m/>
    <s v="Realizing Nollis Dream: Embedding Architecture in the City"/>
    <n v="1"/>
    <x v="0"/>
    <x v="0"/>
    <n v="1"/>
    <n v="0.12"/>
    <n v="1"/>
    <n v="0.12"/>
    <m/>
  </r>
  <r>
    <s v="2020-21"/>
    <x v="4"/>
    <x v="35"/>
    <s v="L3"/>
    <m/>
    <s v="Realizing Nollis Dream: Embedding Architecture in the City"/>
    <n v="1"/>
    <x v="1"/>
    <x v="0"/>
    <n v="1"/>
    <n v="0.12"/>
    <n v="1"/>
    <n v="0.12"/>
    <m/>
  </r>
  <r>
    <s v="2020-21"/>
    <x v="4"/>
    <x v="35"/>
    <s v="L3"/>
    <m/>
    <s v="Realizing Nollis Dream: Embedding Architecture in the City"/>
    <n v="2"/>
    <x v="0"/>
    <x v="1"/>
    <n v="1"/>
    <n v="0.08"/>
    <n v="0.9"/>
    <n v="7.2000000000000008E-2"/>
    <m/>
  </r>
  <r>
    <s v="2020-21"/>
    <x v="4"/>
    <x v="35"/>
    <s v="L3"/>
    <m/>
    <s v="Realizing Nollis Dream: Embedding Architecture in the City"/>
    <n v="2"/>
    <x v="1"/>
    <x v="1"/>
    <n v="1"/>
    <n v="0.08"/>
    <n v="0.9"/>
    <n v="7.2000000000000008E-2"/>
    <s v="The studio sets clear goals followed by an ambitious approach."/>
  </r>
  <r>
    <s v="2020-21"/>
    <x v="4"/>
    <x v="35"/>
    <s v="L3"/>
    <m/>
    <s v="Realizing Nollis Dream: Embedding Architecture in the City"/>
    <n v="3"/>
    <x v="0"/>
    <x v="2"/>
    <n v="1"/>
    <n v="0.05"/>
    <n v="1"/>
    <n v="0.05"/>
    <m/>
  </r>
  <r>
    <s v="2020-21"/>
    <x v="4"/>
    <x v="35"/>
    <s v="L3"/>
    <m/>
    <s v="Realizing Nollis Dream: Embedding Architecture in the City"/>
    <n v="3"/>
    <x v="1"/>
    <x v="2"/>
    <n v="1"/>
    <n v="0.05"/>
    <n v="1"/>
    <n v="0.05"/>
    <m/>
  </r>
  <r>
    <s v="2020-21"/>
    <x v="4"/>
    <x v="35"/>
    <s v="L3"/>
    <m/>
    <s v="Realizing Nollis Dream: Embedding Architecture in the City"/>
    <n v="4"/>
    <x v="0"/>
    <x v="3"/>
    <n v="1"/>
    <n v="0.1"/>
    <n v="1"/>
    <n v="0.1"/>
    <m/>
  </r>
  <r>
    <s v="2020-21"/>
    <x v="4"/>
    <x v="35"/>
    <s v="L3"/>
    <m/>
    <s v="Realizing Nollis Dream: Embedding Architecture in the City"/>
    <n v="4"/>
    <x v="1"/>
    <x v="3"/>
    <n v="0"/>
    <n v="0.1"/>
    <n v="1"/>
    <n v="0"/>
    <s v="Between 2 and 3"/>
  </r>
  <r>
    <s v="2020-21"/>
    <x v="4"/>
    <x v="35"/>
    <s v="L3"/>
    <m/>
    <s v="Realizing Nollis Dream: Embedding Architecture in the City"/>
    <n v="5"/>
    <x v="0"/>
    <x v="10"/>
    <n v="1"/>
    <n v="0.08"/>
    <n v="1"/>
    <n v="0.08"/>
    <m/>
  </r>
  <r>
    <s v="2020-21"/>
    <x v="4"/>
    <x v="35"/>
    <s v="L3"/>
    <m/>
    <s v="Realizing Nollis Dream: Embedding Architecture in the City"/>
    <n v="5"/>
    <x v="1"/>
    <x v="10"/>
    <n v="0"/>
    <n v="0.08"/>
    <n v="1"/>
    <n v="0"/>
    <m/>
  </r>
  <r>
    <s v="2020-21"/>
    <x v="4"/>
    <x v="35"/>
    <s v="L3"/>
    <m/>
    <s v="Realizing Nollis Dream: Embedding Architecture in the City"/>
    <n v="6"/>
    <x v="0"/>
    <x v="4"/>
    <n v="1"/>
    <n v="7.0000000000000007E-2"/>
    <n v="1"/>
    <n v="7.0000000000000007E-2"/>
    <m/>
  </r>
  <r>
    <s v="2020-21"/>
    <x v="4"/>
    <x v="35"/>
    <s v="L3"/>
    <m/>
    <s v="Realizing Nollis Dream: Embedding Architecture in the City"/>
    <n v="6"/>
    <x v="1"/>
    <x v="4"/>
    <n v="0"/>
    <n v="7.0000000000000007E-2"/>
    <n v="1"/>
    <n v="0"/>
    <m/>
  </r>
  <r>
    <s v="2020-21"/>
    <x v="4"/>
    <x v="35"/>
    <s v="L3"/>
    <m/>
    <s v="Realizing Nollis Dream: Embedding Architecture in the City"/>
    <n v="7"/>
    <x v="0"/>
    <x v="5"/>
    <n v="1"/>
    <n v="0.15"/>
    <n v="1"/>
    <n v="0.15"/>
    <m/>
  </r>
  <r>
    <s v="2020-21"/>
    <x v="4"/>
    <x v="35"/>
    <s v="L3"/>
    <m/>
    <s v="Realizing Nollis Dream: Embedding Architecture in the City"/>
    <n v="7"/>
    <x v="1"/>
    <x v="5"/>
    <n v="0"/>
    <n v="0.15"/>
    <n v="1"/>
    <n v="0"/>
    <m/>
  </r>
  <r>
    <s v="2020-21"/>
    <x v="4"/>
    <x v="35"/>
    <s v="L3"/>
    <m/>
    <s v="Realizing Nollis Dream: Embedding Architecture in the City"/>
    <n v="8"/>
    <x v="0"/>
    <x v="6"/>
    <n v="1"/>
    <n v="0.1"/>
    <n v="1"/>
    <n v="0.1"/>
    <m/>
  </r>
  <r>
    <s v="2020-21"/>
    <x v="4"/>
    <x v="35"/>
    <s v="L3"/>
    <m/>
    <s v="Realizing Nollis Dream: Embedding Architecture in the City"/>
    <n v="8"/>
    <x v="1"/>
    <x v="6"/>
    <n v="0"/>
    <n v="0.1"/>
    <n v="1"/>
    <n v="0"/>
    <m/>
  </r>
  <r>
    <s v="2020-21"/>
    <x v="4"/>
    <x v="35"/>
    <s v="L3"/>
    <m/>
    <s v="Realizing Nollis Dream: Embedding Architecture in the City"/>
    <n v="9"/>
    <x v="0"/>
    <x v="7"/>
    <n v="1"/>
    <n v="0.1"/>
    <n v="1"/>
    <n v="0.1"/>
    <m/>
  </r>
  <r>
    <s v="2020-21"/>
    <x v="4"/>
    <x v="35"/>
    <s v="L3"/>
    <m/>
    <s v="Realizing Nollis Dream: Embedding Architecture in the City"/>
    <n v="9"/>
    <x v="1"/>
    <x v="7"/>
    <n v="0"/>
    <n v="0.1"/>
    <n v="1"/>
    <n v="0"/>
    <s v="Between 2 and 3"/>
  </r>
  <r>
    <s v="2020-21"/>
    <x v="4"/>
    <x v="35"/>
    <s v="L3"/>
    <m/>
    <s v="Realizing Nollis Dream: Embedding Architecture in the City"/>
    <n v="10"/>
    <x v="0"/>
    <x v="8"/>
    <n v="1"/>
    <n v="0.05"/>
    <n v="0.9"/>
    <n v="4.5000000000000005E-2"/>
    <m/>
  </r>
  <r>
    <s v="2020-21"/>
    <x v="4"/>
    <x v="35"/>
    <s v="L3"/>
    <m/>
    <s v="Realizing Nollis Dream: Embedding Architecture in the City"/>
    <n v="10"/>
    <x v="1"/>
    <x v="8"/>
    <n v="0"/>
    <n v="0.05"/>
    <n v="0.9"/>
    <n v="0"/>
    <m/>
  </r>
  <r>
    <s v="2020-21"/>
    <x v="4"/>
    <x v="35"/>
    <s v="L3"/>
    <m/>
    <s v="Realizing Nollis Dream: Embedding Architecture in the City"/>
    <n v="11"/>
    <x v="0"/>
    <x v="8"/>
    <n v="1"/>
    <n v="0.05"/>
    <n v="0.9"/>
    <n v="4.5000000000000005E-2"/>
    <m/>
  </r>
  <r>
    <s v="2020-21"/>
    <x v="4"/>
    <x v="35"/>
    <s v="L3"/>
    <m/>
    <s v="Realizing Nollis Dream: Embedding Architecture in the City"/>
    <n v="11"/>
    <x v="1"/>
    <x v="8"/>
    <n v="1"/>
    <n v="0.05"/>
    <n v="0.9"/>
    <n v="4.5000000000000005E-2"/>
    <m/>
  </r>
  <r>
    <s v="2020-21"/>
    <x v="4"/>
    <x v="35"/>
    <s v="L3"/>
    <m/>
    <s v="Realizing Nollis Dream: Embedding Architecture in the City"/>
    <n v="12"/>
    <x v="0"/>
    <x v="9"/>
    <n v="1"/>
    <n v="0.05"/>
    <n v="1"/>
    <n v="0.05"/>
    <m/>
  </r>
  <r>
    <s v="2020-21"/>
    <x v="4"/>
    <x v="35"/>
    <s v="L3"/>
    <m/>
    <s v="Realizing Nollis Dream: Embedding Architecture in the City"/>
    <n v="12"/>
    <x v="1"/>
    <x v="9"/>
    <n v="0"/>
    <n v="0.05"/>
    <n v="1"/>
    <n v="0"/>
    <s v="Fantastic work. &quot;On one hand the units at L3 continues to disappoint in terms of the engagement from students and the quality of out come despite having very experienced faculty/mentor, Sachin s studios continues to maintain a desirable standards. The credit for success of the unit goes as always to him. _x000a_However, I do continue to feel that students have missed out on engaging with the processes in an intense manner, which also has an obvious influence on the outcome.Its a lost opportunity for them. This studio amongst L3 is like a one eyed king amongst blinds."/>
  </r>
  <r>
    <s v="2020-21"/>
    <x v="4"/>
    <x v="36"/>
    <s v="L3"/>
    <m/>
    <s v="The City and Performance spaces – Performance spaces as Urban catalysts"/>
    <n v="1"/>
    <x v="0"/>
    <x v="0"/>
    <n v="1"/>
    <n v="0.12"/>
    <n v="1"/>
    <n v="0.12"/>
    <m/>
  </r>
  <r>
    <s v="2020-21"/>
    <x v="4"/>
    <x v="36"/>
    <s v="L3"/>
    <m/>
    <s v="The City and Performance spaces – Performance spaces as Urban catalysts"/>
    <n v="1"/>
    <x v="1"/>
    <x v="0"/>
    <n v="0"/>
    <n v="0.12"/>
    <n v="1"/>
    <n v="0.12"/>
    <m/>
  </r>
  <r>
    <s v="2020-21"/>
    <x v="4"/>
    <x v="36"/>
    <s v="L3"/>
    <m/>
    <s v="The City and Performance spaces – Performance spaces as Urban catalysts"/>
    <n v="2"/>
    <x v="0"/>
    <x v="1"/>
    <n v="1"/>
    <n v="0.08"/>
    <n v="0.9"/>
    <n v="7.2000000000000008E-2"/>
    <m/>
  </r>
  <r>
    <s v="2020-21"/>
    <x v="4"/>
    <x v="36"/>
    <s v="L3"/>
    <m/>
    <s v="The City and Performance spaces – Performance spaces as Urban catalysts"/>
    <n v="2"/>
    <x v="1"/>
    <x v="1"/>
    <n v="0"/>
    <n v="0.08"/>
    <n v="0.9"/>
    <n v="0"/>
    <s v="There could have been more emphasis in the studio structure to focus on the connection to the city and the surrounding as it was a clear part of the course objective."/>
  </r>
  <r>
    <s v="2020-21"/>
    <x v="4"/>
    <x v="36"/>
    <s v="L3"/>
    <m/>
    <s v="The City and Performance spaces – Performance spaces as Urban catalysts"/>
    <n v="3"/>
    <x v="0"/>
    <x v="2"/>
    <n v="1"/>
    <n v="0.05"/>
    <n v="1"/>
    <n v="0.05"/>
    <m/>
  </r>
  <r>
    <s v="2020-21"/>
    <x v="4"/>
    <x v="36"/>
    <s v="L3"/>
    <m/>
    <s v="The City and Performance spaces – Performance spaces as Urban catalysts"/>
    <n v="3"/>
    <x v="1"/>
    <x v="2"/>
    <n v="0"/>
    <n v="0.05"/>
    <n v="1"/>
    <n v="0"/>
    <m/>
  </r>
  <r>
    <s v="2020-21"/>
    <x v="4"/>
    <x v="36"/>
    <s v="L3"/>
    <m/>
    <s v="The City and Performance spaces – Performance spaces as Urban catalysts"/>
    <n v="4"/>
    <x v="0"/>
    <x v="3"/>
    <n v="1"/>
    <n v="0.1"/>
    <n v="1"/>
    <n v="0.1"/>
    <m/>
  </r>
  <r>
    <s v="2020-21"/>
    <x v="4"/>
    <x v="36"/>
    <s v="L3"/>
    <m/>
    <s v="The City and Performance spaces – Performance spaces as Urban catalysts"/>
    <n v="4"/>
    <x v="1"/>
    <x v="3"/>
    <n v="-1"/>
    <n v="0.1"/>
    <n v="1"/>
    <n v="-0.1"/>
    <m/>
  </r>
  <r>
    <s v="2020-21"/>
    <x v="4"/>
    <x v="36"/>
    <s v="L3"/>
    <m/>
    <s v="The City and Performance spaces – Performance spaces as Urban catalysts"/>
    <n v="5"/>
    <x v="0"/>
    <x v="10"/>
    <n v="1"/>
    <n v="0.08"/>
    <n v="1"/>
    <n v="0.08"/>
    <m/>
  </r>
  <r>
    <s v="2020-21"/>
    <x v="4"/>
    <x v="36"/>
    <s v="L3"/>
    <m/>
    <s v="The City and Performance spaces – Performance spaces as Urban catalysts"/>
    <n v="5"/>
    <x v="1"/>
    <x v="10"/>
    <n v="-1"/>
    <n v="0.08"/>
    <n v="1"/>
    <n v="-0.08"/>
    <s v="The Unit's work is commendable in design detailing but lacks in the connection to urban realm."/>
  </r>
  <r>
    <s v="2020-21"/>
    <x v="4"/>
    <x v="36"/>
    <s v="L3"/>
    <m/>
    <s v="The City and Performance spaces – Performance spaces as Urban catalysts"/>
    <n v="6"/>
    <x v="0"/>
    <x v="4"/>
    <n v="1"/>
    <n v="7.0000000000000007E-2"/>
    <n v="1"/>
    <n v="7.0000000000000007E-2"/>
    <m/>
  </r>
  <r>
    <s v="2020-21"/>
    <x v="4"/>
    <x v="36"/>
    <s v="L3"/>
    <m/>
    <s v="The City and Performance spaces – Performance spaces as Urban catalysts"/>
    <n v="6"/>
    <x v="1"/>
    <x v="4"/>
    <n v="-1"/>
    <n v="7.0000000000000007E-2"/>
    <n v="1"/>
    <n v="-7.0000000000000007E-2"/>
    <m/>
  </r>
  <r>
    <s v="2020-21"/>
    <x v="4"/>
    <x v="36"/>
    <s v="L3"/>
    <m/>
    <s v="The City and Performance spaces – Performance spaces as Urban catalysts"/>
    <n v="7"/>
    <x v="0"/>
    <x v="5"/>
    <n v="1"/>
    <n v="0.15"/>
    <n v="1"/>
    <n v="0.15"/>
    <m/>
  </r>
  <r>
    <s v="2020-21"/>
    <x v="4"/>
    <x v="36"/>
    <s v="L3"/>
    <m/>
    <s v="The City and Performance spaces – Performance spaces as Urban catalysts"/>
    <n v="7"/>
    <x v="1"/>
    <x v="5"/>
    <n v="-1"/>
    <n v="0.15"/>
    <n v="1"/>
    <n v="-0.15"/>
    <m/>
  </r>
  <r>
    <s v="2020-21"/>
    <x v="4"/>
    <x v="36"/>
    <s v="L3"/>
    <m/>
    <s v="The City and Performance spaces – Performance spaces as Urban catalysts"/>
    <n v="8"/>
    <x v="0"/>
    <x v="6"/>
    <n v="0"/>
    <n v="0.1"/>
    <n v="1"/>
    <n v="0"/>
    <m/>
  </r>
  <r>
    <s v="2020-21"/>
    <x v="4"/>
    <x v="36"/>
    <s v="L3"/>
    <m/>
    <s v="The City and Performance spaces – Performance spaces as Urban catalysts"/>
    <n v="8"/>
    <x v="1"/>
    <x v="6"/>
    <n v="-1"/>
    <n v="0.1"/>
    <n v="1"/>
    <n v="-0.1"/>
    <m/>
  </r>
  <r>
    <s v="2020-21"/>
    <x v="4"/>
    <x v="36"/>
    <s v="L3"/>
    <m/>
    <s v="The City and Performance spaces – Performance spaces as Urban catalysts"/>
    <n v="9"/>
    <x v="0"/>
    <x v="7"/>
    <n v="1"/>
    <n v="0.1"/>
    <n v="1"/>
    <n v="0.1"/>
    <m/>
  </r>
  <r>
    <s v="2020-21"/>
    <x v="4"/>
    <x v="36"/>
    <s v="L3"/>
    <m/>
    <s v="The City and Performance spaces – Performance spaces as Urban catalysts"/>
    <n v="9"/>
    <x v="1"/>
    <x v="7"/>
    <n v="-1"/>
    <n v="0.1"/>
    <n v="1"/>
    <n v="-0.1"/>
    <m/>
  </r>
  <r>
    <s v="2020-21"/>
    <x v="4"/>
    <x v="36"/>
    <s v="L3"/>
    <m/>
    <s v="The City and Performance spaces – Performance spaces as Urban catalysts"/>
    <n v="10"/>
    <x v="0"/>
    <x v="8"/>
    <n v="1"/>
    <n v="0.05"/>
    <n v="0.9"/>
    <n v="4.5000000000000005E-2"/>
    <m/>
  </r>
  <r>
    <s v="2020-21"/>
    <x v="4"/>
    <x v="36"/>
    <s v="L3"/>
    <m/>
    <s v="The City and Performance spaces – Performance spaces as Urban catalysts"/>
    <n v="10"/>
    <x v="1"/>
    <x v="8"/>
    <n v="0"/>
    <n v="0.05"/>
    <n v="0.9"/>
    <n v="0"/>
    <m/>
  </r>
  <r>
    <s v="2020-21"/>
    <x v="4"/>
    <x v="36"/>
    <s v="L3"/>
    <m/>
    <s v="The City and Performance spaces – Performance spaces as Urban catalysts"/>
    <n v="11"/>
    <x v="0"/>
    <x v="8"/>
    <n v="0"/>
    <n v="0.05"/>
    <n v="0.9"/>
    <n v="0"/>
    <m/>
  </r>
  <r>
    <s v="2020-21"/>
    <x v="4"/>
    <x v="36"/>
    <s v="L3"/>
    <m/>
    <s v="The City and Performance spaces – Performance spaces as Urban catalysts"/>
    <n v="11"/>
    <x v="1"/>
    <x v="8"/>
    <n v="1"/>
    <n v="0.05"/>
    <n v="0.9"/>
    <n v="4.5000000000000005E-2"/>
    <m/>
  </r>
  <r>
    <s v="2020-21"/>
    <x v="4"/>
    <x v="36"/>
    <s v="L3"/>
    <m/>
    <s v="The City and Performance spaces – Performance spaces as Urban catalysts"/>
    <n v="12"/>
    <x v="0"/>
    <x v="9"/>
    <n v="1"/>
    <n v="0.05"/>
    <n v="1"/>
    <n v="0.05"/>
    <m/>
  </r>
  <r>
    <s v="2020-21"/>
    <x v="4"/>
    <x v="36"/>
    <s v="L3"/>
    <m/>
    <s v="The City and Performance spaces – Performance spaces as Urban catalysts"/>
    <n v="12"/>
    <x v="1"/>
    <x v="9"/>
    <n v="-1"/>
    <n v="0.05"/>
    <n v="1"/>
    <n v="-0.05"/>
    <m/>
  </r>
  <r>
    <s v="2020-21"/>
    <x v="4"/>
    <x v="38"/>
    <s v="L3"/>
    <m/>
    <s v="Vertical Living"/>
    <n v="1"/>
    <x v="0"/>
    <x v="0"/>
    <n v="0"/>
    <n v="0.12"/>
    <n v="1"/>
    <n v="0"/>
    <m/>
  </r>
  <r>
    <s v="2020-21"/>
    <x v="4"/>
    <x v="38"/>
    <s v="L3"/>
    <m/>
    <s v="Vertical Living"/>
    <n v="1"/>
    <x v="1"/>
    <x v="0"/>
    <n v="1"/>
    <n v="0.12"/>
    <n v="1"/>
    <n v="0"/>
    <m/>
  </r>
  <r>
    <s v="2020-21"/>
    <x v="4"/>
    <x v="38"/>
    <s v="L3"/>
    <m/>
    <s v="Vertical Living"/>
    <n v="2"/>
    <x v="0"/>
    <x v="1"/>
    <n v="0"/>
    <n v="0.08"/>
    <n v="0.9"/>
    <n v="0"/>
    <m/>
  </r>
  <r>
    <s v="2020-21"/>
    <x v="4"/>
    <x v="38"/>
    <s v="L3"/>
    <m/>
    <s v="Vertical Living"/>
    <n v="2"/>
    <x v="1"/>
    <x v="1"/>
    <n v="1"/>
    <n v="0.08"/>
    <n v="0.9"/>
    <n v="7.2000000000000008E-2"/>
    <m/>
  </r>
  <r>
    <s v="2020-21"/>
    <x v="4"/>
    <x v="38"/>
    <s v="L3"/>
    <m/>
    <s v="Vertical Living"/>
    <n v="3"/>
    <x v="0"/>
    <x v="2"/>
    <n v="0"/>
    <n v="0.05"/>
    <n v="1"/>
    <n v="0"/>
    <m/>
  </r>
  <r>
    <s v="2020-21"/>
    <x v="4"/>
    <x v="38"/>
    <s v="L3"/>
    <m/>
    <s v="Vertical Living"/>
    <n v="3"/>
    <x v="1"/>
    <x v="2"/>
    <n v="-1"/>
    <n v="0.05"/>
    <n v="1"/>
    <n v="-0.05"/>
    <m/>
  </r>
  <r>
    <s v="2020-21"/>
    <x v="4"/>
    <x v="38"/>
    <s v="L3"/>
    <m/>
    <s v="Vertical Living"/>
    <n v="4"/>
    <x v="0"/>
    <x v="3"/>
    <n v="0"/>
    <n v="0.1"/>
    <n v="1"/>
    <n v="0"/>
    <m/>
  </r>
  <r>
    <s v="2020-21"/>
    <x v="4"/>
    <x v="38"/>
    <s v="L3"/>
    <m/>
    <s v="Vertical Living"/>
    <n v="4"/>
    <x v="1"/>
    <x v="3"/>
    <n v="-1"/>
    <n v="0.1"/>
    <n v="1"/>
    <n v="-0.1"/>
    <m/>
  </r>
  <r>
    <s v="2020-21"/>
    <x v="4"/>
    <x v="38"/>
    <s v="L3"/>
    <m/>
    <s v="Vertical Living"/>
    <n v="5"/>
    <x v="0"/>
    <x v="10"/>
    <n v="0"/>
    <n v="0.08"/>
    <n v="1"/>
    <n v="0"/>
    <m/>
  </r>
  <r>
    <s v="2020-21"/>
    <x v="4"/>
    <x v="38"/>
    <s v="L3"/>
    <m/>
    <s v="Vertical Living"/>
    <n v="5"/>
    <x v="1"/>
    <x v="10"/>
    <n v="-1"/>
    <n v="0.08"/>
    <n v="1"/>
    <n v="-0.08"/>
    <m/>
  </r>
  <r>
    <s v="2020-21"/>
    <x v="4"/>
    <x v="38"/>
    <s v="L3"/>
    <m/>
    <s v="Vertical Living"/>
    <n v="6"/>
    <x v="0"/>
    <x v="4"/>
    <n v="0"/>
    <n v="7.0000000000000007E-2"/>
    <n v="1"/>
    <n v="0"/>
    <m/>
  </r>
  <r>
    <s v="2020-21"/>
    <x v="4"/>
    <x v="38"/>
    <s v="L3"/>
    <m/>
    <s v="Vertical Living"/>
    <n v="6"/>
    <x v="1"/>
    <x v="4"/>
    <n v="-1"/>
    <n v="7.0000000000000007E-2"/>
    <n v="1"/>
    <n v="-7.0000000000000007E-2"/>
    <m/>
  </r>
  <r>
    <s v="2020-21"/>
    <x v="4"/>
    <x v="38"/>
    <s v="L3"/>
    <m/>
    <s v="Vertical Living"/>
    <n v="7"/>
    <x v="0"/>
    <x v="5"/>
    <n v="0"/>
    <n v="0.15"/>
    <n v="1"/>
    <n v="0"/>
    <m/>
  </r>
  <r>
    <s v="2020-21"/>
    <x v="4"/>
    <x v="38"/>
    <s v="L3"/>
    <m/>
    <s v="Vertical Living"/>
    <n v="7"/>
    <x v="1"/>
    <x v="5"/>
    <n v="-1"/>
    <n v="0.15"/>
    <n v="1"/>
    <n v="-0.15"/>
    <m/>
  </r>
  <r>
    <s v="2020-21"/>
    <x v="4"/>
    <x v="38"/>
    <s v="L3"/>
    <m/>
    <s v="Vertical Living"/>
    <n v="8"/>
    <x v="0"/>
    <x v="6"/>
    <n v="-1"/>
    <n v="0.1"/>
    <n v="1"/>
    <n v="-0.1"/>
    <m/>
  </r>
  <r>
    <s v="2020-21"/>
    <x v="4"/>
    <x v="38"/>
    <s v="L3"/>
    <m/>
    <s v="Vertical Living"/>
    <n v="8"/>
    <x v="1"/>
    <x v="6"/>
    <n v="1"/>
    <n v="0.1"/>
    <n v="1"/>
    <n v="0.1"/>
    <s v="Good quality, commendable work from students that depict clarity in concept and depth of understanding of the problem statement posed to them."/>
  </r>
  <r>
    <s v="2020-21"/>
    <x v="4"/>
    <x v="38"/>
    <s v="L3"/>
    <m/>
    <s v="Vertical Living"/>
    <n v="9"/>
    <x v="0"/>
    <x v="7"/>
    <n v="-1"/>
    <n v="0.1"/>
    <n v="1"/>
    <n v="-0.1"/>
    <m/>
  </r>
  <r>
    <s v="2020-21"/>
    <x v="4"/>
    <x v="38"/>
    <s v="L3"/>
    <m/>
    <s v="Vertical Living"/>
    <n v="9"/>
    <x v="1"/>
    <x v="7"/>
    <n v="1"/>
    <n v="0.1"/>
    <n v="1"/>
    <n v="0.1"/>
    <m/>
  </r>
  <r>
    <s v="2020-21"/>
    <x v="4"/>
    <x v="38"/>
    <s v="L3"/>
    <m/>
    <s v="Vertical Living"/>
    <n v="10"/>
    <x v="0"/>
    <x v="8"/>
    <n v="0"/>
    <n v="0.05"/>
    <n v="0.9"/>
    <n v="0"/>
    <m/>
  </r>
  <r>
    <s v="2020-21"/>
    <x v="4"/>
    <x v="38"/>
    <s v="L3"/>
    <m/>
    <s v="Vertical Living"/>
    <n v="10"/>
    <x v="1"/>
    <x v="8"/>
    <n v="1"/>
    <n v="0.05"/>
    <n v="0.9"/>
    <n v="4.5000000000000005E-2"/>
    <m/>
  </r>
  <r>
    <s v="2020-21"/>
    <x v="4"/>
    <x v="38"/>
    <s v="L3"/>
    <m/>
    <s v="Vertical Living"/>
    <n v="11"/>
    <x v="0"/>
    <x v="8"/>
    <n v="0"/>
    <n v="0.05"/>
    <n v="0.9"/>
    <n v="0"/>
    <m/>
  </r>
  <r>
    <s v="2020-21"/>
    <x v="4"/>
    <x v="38"/>
    <s v="L3"/>
    <m/>
    <s v="Vertical Living"/>
    <n v="11"/>
    <x v="1"/>
    <x v="8"/>
    <n v="1"/>
    <n v="0.05"/>
    <n v="0.9"/>
    <n v="4.5000000000000005E-2"/>
    <m/>
  </r>
  <r>
    <s v="2020-21"/>
    <x v="4"/>
    <x v="38"/>
    <s v="L3"/>
    <m/>
    <s v="Vertical Living"/>
    <n v="12"/>
    <x v="0"/>
    <x v="9"/>
    <n v="-1"/>
    <n v="0.05"/>
    <n v="1"/>
    <n v="-0.05"/>
    <m/>
  </r>
  <r>
    <s v="2020-21"/>
    <x v="4"/>
    <x v="38"/>
    <s v="L3"/>
    <m/>
    <s v="Vertical Living"/>
    <n v="12"/>
    <x v="1"/>
    <x v="9"/>
    <n v="1"/>
    <n v="0.05"/>
    <n v="1"/>
    <n v="0.05"/>
    <s v="For a L3 studio, the bandwidth of the issues touched upon and engaged with are too narrow and limited."/>
  </r>
  <r>
    <s v="2020-21"/>
    <x v="4"/>
    <x v="44"/>
    <s v="L3"/>
    <m/>
    <s v="Climate Responsive Architecture"/>
    <n v="1"/>
    <x v="0"/>
    <x v="0"/>
    <n v="1"/>
    <n v="0.12"/>
    <n v="1"/>
    <n v="0.12"/>
    <m/>
  </r>
  <r>
    <s v="2020-21"/>
    <x v="4"/>
    <x v="44"/>
    <s v="L3"/>
    <m/>
    <s v="Climate Responsive Architecture"/>
    <n v="1"/>
    <x v="1"/>
    <x v="0"/>
    <n v="1"/>
    <n v="0.12"/>
    <n v="1"/>
    <n v="0.12"/>
    <m/>
  </r>
  <r>
    <s v="2020-21"/>
    <x v="4"/>
    <x v="44"/>
    <s v="L3"/>
    <m/>
    <s v="Climate Responsive Architecture"/>
    <n v="2"/>
    <x v="0"/>
    <x v="1"/>
    <n v="1"/>
    <n v="0.08"/>
    <n v="0.9"/>
    <n v="7.2000000000000008E-2"/>
    <m/>
  </r>
  <r>
    <s v="2020-21"/>
    <x v="4"/>
    <x v="44"/>
    <s v="L3"/>
    <m/>
    <s v="Climate Responsive Architecture"/>
    <n v="2"/>
    <x v="1"/>
    <x v="1"/>
    <n v="1"/>
    <n v="0.08"/>
    <n v="0.9"/>
    <n v="7.2000000000000008E-2"/>
    <m/>
  </r>
  <r>
    <s v="2020-21"/>
    <x v="4"/>
    <x v="44"/>
    <s v="L3"/>
    <m/>
    <s v="Climate Responsive Architecture"/>
    <n v="3"/>
    <x v="0"/>
    <x v="2"/>
    <n v="1"/>
    <n v="0.05"/>
    <n v="1"/>
    <n v="0.05"/>
    <m/>
  </r>
  <r>
    <s v="2020-21"/>
    <x v="4"/>
    <x v="44"/>
    <s v="L3"/>
    <m/>
    <s v="Climate Responsive Architecture"/>
    <n v="3"/>
    <x v="1"/>
    <x v="2"/>
    <n v="0"/>
    <n v="0.05"/>
    <n v="1"/>
    <n v="0"/>
    <m/>
  </r>
  <r>
    <s v="2020-21"/>
    <x v="4"/>
    <x v="44"/>
    <s v="L3"/>
    <m/>
    <s v="Climate Responsive Architecture"/>
    <n v="4"/>
    <x v="0"/>
    <x v="3"/>
    <n v="0"/>
    <n v="0.1"/>
    <n v="1"/>
    <n v="0"/>
    <m/>
  </r>
  <r>
    <s v="2020-21"/>
    <x v="4"/>
    <x v="44"/>
    <s v="L3"/>
    <m/>
    <s v="Climate Responsive Architecture"/>
    <n v="4"/>
    <x v="1"/>
    <x v="3"/>
    <n v="0"/>
    <n v="0.1"/>
    <n v="1"/>
    <n v="0"/>
    <m/>
  </r>
  <r>
    <s v="2020-21"/>
    <x v="4"/>
    <x v="44"/>
    <s v="L3"/>
    <m/>
    <s v="Climate Responsive Architecture"/>
    <n v="5"/>
    <x v="0"/>
    <x v="10"/>
    <n v="-1"/>
    <n v="0.08"/>
    <n v="1"/>
    <n v="-0.08"/>
    <m/>
  </r>
  <r>
    <s v="2020-21"/>
    <x v="4"/>
    <x v="44"/>
    <s v="L3"/>
    <m/>
    <s v="Climate Responsive Architecture"/>
    <n v="5"/>
    <x v="1"/>
    <x v="10"/>
    <n v="0"/>
    <n v="0.08"/>
    <n v="1"/>
    <n v="0"/>
    <m/>
  </r>
  <r>
    <s v="2020-21"/>
    <x v="4"/>
    <x v="44"/>
    <s v="L3"/>
    <m/>
    <s v="Climate Responsive Architecture"/>
    <n v="6"/>
    <x v="0"/>
    <x v="4"/>
    <n v="0"/>
    <n v="7.0000000000000007E-2"/>
    <n v="1"/>
    <n v="0"/>
    <m/>
  </r>
  <r>
    <s v="2020-21"/>
    <x v="4"/>
    <x v="44"/>
    <s v="L3"/>
    <m/>
    <s v="Climate Responsive Architecture"/>
    <n v="6"/>
    <x v="1"/>
    <x v="4"/>
    <n v="0"/>
    <n v="7.0000000000000007E-2"/>
    <n v="1"/>
    <n v="0"/>
    <m/>
  </r>
  <r>
    <s v="2020-21"/>
    <x v="4"/>
    <x v="44"/>
    <s v="L3"/>
    <m/>
    <s v="Climate Responsive Architecture"/>
    <n v="7"/>
    <x v="0"/>
    <x v="5"/>
    <n v="0"/>
    <n v="0.15"/>
    <n v="1"/>
    <n v="0"/>
    <m/>
  </r>
  <r>
    <s v="2020-21"/>
    <x v="4"/>
    <x v="44"/>
    <s v="L3"/>
    <m/>
    <s v="Climate Responsive Architecture"/>
    <n v="7"/>
    <x v="1"/>
    <x v="5"/>
    <n v="-1"/>
    <n v="0.15"/>
    <n v="1"/>
    <n v="-0.15"/>
    <s v="The level of detail and understanding of energy calculations and passive energy systems presented by students is commendable"/>
  </r>
  <r>
    <s v="2020-21"/>
    <x v="4"/>
    <x v="44"/>
    <s v="L3"/>
    <m/>
    <s v="Climate Responsive Architecture"/>
    <n v="8"/>
    <x v="0"/>
    <x v="6"/>
    <n v="-1"/>
    <n v="0.1"/>
    <n v="1"/>
    <n v="-0.1"/>
    <m/>
  </r>
  <r>
    <s v="2020-21"/>
    <x v="4"/>
    <x v="44"/>
    <s v="L3"/>
    <m/>
    <s v="Climate Responsive Architecture"/>
    <n v="8"/>
    <x v="1"/>
    <x v="6"/>
    <n v="0"/>
    <n v="0.1"/>
    <n v="1"/>
    <n v="0"/>
    <m/>
  </r>
  <r>
    <s v="2020-21"/>
    <x v="4"/>
    <x v="44"/>
    <s v="L3"/>
    <m/>
    <s v="Climate Responsive Architecture"/>
    <n v="9"/>
    <x v="0"/>
    <x v="7"/>
    <n v="-1"/>
    <n v="0.1"/>
    <n v="1"/>
    <n v="-0.1"/>
    <m/>
  </r>
  <r>
    <s v="2020-21"/>
    <x v="4"/>
    <x v="44"/>
    <s v="L3"/>
    <m/>
    <s v="Climate Responsive Architecture"/>
    <n v="9"/>
    <x v="1"/>
    <x v="7"/>
    <n v="0"/>
    <n v="0.1"/>
    <n v="1"/>
    <n v="0"/>
    <m/>
  </r>
  <r>
    <s v="2020-21"/>
    <x v="4"/>
    <x v="44"/>
    <s v="L3"/>
    <m/>
    <s v="Climate Responsive Architecture"/>
    <n v="10"/>
    <x v="0"/>
    <x v="8"/>
    <n v="0"/>
    <n v="0.05"/>
    <n v="0.9"/>
    <n v="0"/>
    <m/>
  </r>
  <r>
    <s v="2020-21"/>
    <x v="4"/>
    <x v="44"/>
    <s v="L3"/>
    <m/>
    <s v="Climate Responsive Architecture"/>
    <n v="10"/>
    <x v="1"/>
    <x v="8"/>
    <n v="0"/>
    <n v="0.05"/>
    <n v="0.9"/>
    <n v="0"/>
    <m/>
  </r>
  <r>
    <s v="2020-21"/>
    <x v="4"/>
    <x v="44"/>
    <s v="L3"/>
    <m/>
    <s v="Climate Responsive Architecture"/>
    <n v="11"/>
    <x v="0"/>
    <x v="8"/>
    <n v="0"/>
    <n v="0.05"/>
    <n v="0.9"/>
    <n v="0"/>
    <m/>
  </r>
  <r>
    <s v="2020-21"/>
    <x v="4"/>
    <x v="44"/>
    <s v="L3"/>
    <m/>
    <s v="Climate Responsive Architecture"/>
    <n v="11"/>
    <x v="1"/>
    <x v="8"/>
    <n v="0"/>
    <n v="0.05"/>
    <n v="0.9"/>
    <n v="0"/>
    <s v="Compared to other studios, the process of the student through the studio work was not very clearly visible in the way the work has been showcased."/>
  </r>
  <r>
    <s v="2020-21"/>
    <x v="4"/>
    <x v="44"/>
    <s v="L3"/>
    <m/>
    <s v="Climate Responsive Architecture"/>
    <n v="12"/>
    <x v="0"/>
    <x v="9"/>
    <n v="-1"/>
    <n v="0.05"/>
    <n v="1"/>
    <n v="-0.05"/>
    <m/>
  </r>
  <r>
    <s v="2020-21"/>
    <x v="4"/>
    <x v="44"/>
    <s v="L3"/>
    <m/>
    <s v="Climate Responsive Architecture"/>
    <n v="12"/>
    <x v="1"/>
    <x v="9"/>
    <n v="0"/>
    <n v="0.05"/>
    <n v="1"/>
    <n v="0"/>
    <m/>
  </r>
  <r>
    <s v="2020-21"/>
    <x v="4"/>
    <x v="45"/>
    <s v="L3"/>
    <m/>
    <s v="Leisure City"/>
    <n v="1"/>
    <x v="0"/>
    <x v="0"/>
    <n v="1"/>
    <n v="0.12"/>
    <n v="1"/>
    <n v="0.12"/>
    <m/>
  </r>
  <r>
    <s v="2020-21"/>
    <x v="4"/>
    <x v="45"/>
    <s v="L3"/>
    <m/>
    <s v="Leisure City"/>
    <n v="1"/>
    <x v="1"/>
    <x v="0"/>
    <n v="0"/>
    <n v="0.12"/>
    <n v="1"/>
    <n v="0.12"/>
    <m/>
  </r>
  <r>
    <s v="2020-21"/>
    <x v="4"/>
    <x v="45"/>
    <s v="L3"/>
    <m/>
    <s v="Leisure City"/>
    <n v="2"/>
    <x v="0"/>
    <x v="1"/>
    <n v="1"/>
    <n v="0.08"/>
    <n v="0.9"/>
    <n v="7.2000000000000008E-2"/>
    <m/>
  </r>
  <r>
    <s v="2020-21"/>
    <x v="4"/>
    <x v="45"/>
    <s v="L3"/>
    <m/>
    <s v="Leisure City"/>
    <n v="2"/>
    <x v="1"/>
    <x v="1"/>
    <n v="0"/>
    <n v="0.08"/>
    <n v="0.9"/>
    <n v="0"/>
    <s v="The studio has a strong argument to start with addressing the issue of identity and place-making in suburbia, but at the same time narrows down on a singular artefact."/>
  </r>
  <r>
    <s v="2020-21"/>
    <x v="4"/>
    <x v="45"/>
    <s v="L3"/>
    <m/>
    <s v="Leisure City"/>
    <n v="3"/>
    <x v="0"/>
    <x v="2"/>
    <n v="1"/>
    <n v="0.05"/>
    <n v="1"/>
    <n v="0.05"/>
    <m/>
  </r>
  <r>
    <s v="2020-21"/>
    <x v="4"/>
    <x v="45"/>
    <s v="L3"/>
    <m/>
    <s v="Leisure City"/>
    <n v="3"/>
    <x v="1"/>
    <x v="2"/>
    <n v="0"/>
    <n v="0.05"/>
    <n v="1"/>
    <n v="0"/>
    <m/>
  </r>
  <r>
    <s v="2020-21"/>
    <x v="4"/>
    <x v="45"/>
    <s v="L3"/>
    <m/>
    <s v="Leisure City"/>
    <n v="4"/>
    <x v="0"/>
    <x v="3"/>
    <n v="1"/>
    <n v="0.1"/>
    <n v="1"/>
    <n v="0.1"/>
    <m/>
  </r>
  <r>
    <s v="2020-21"/>
    <x v="4"/>
    <x v="45"/>
    <s v="L3"/>
    <m/>
    <s v="Leisure City"/>
    <n v="4"/>
    <x v="1"/>
    <x v="3"/>
    <n v="-1"/>
    <n v="0.1"/>
    <n v="1"/>
    <n v="-0.1"/>
    <s v="Some students have shown a good analytical approach"/>
  </r>
  <r>
    <s v="2020-21"/>
    <x v="4"/>
    <x v="45"/>
    <s v="L3"/>
    <m/>
    <s v="Leisure City"/>
    <n v="5"/>
    <x v="0"/>
    <x v="10"/>
    <n v="1"/>
    <n v="0.08"/>
    <n v="1"/>
    <n v="0.08"/>
    <m/>
  </r>
  <r>
    <s v="2020-21"/>
    <x v="4"/>
    <x v="45"/>
    <s v="L3"/>
    <m/>
    <s v="Leisure City"/>
    <n v="5"/>
    <x v="1"/>
    <x v="10"/>
    <n v="-1"/>
    <n v="0.08"/>
    <n v="1"/>
    <n v="-0.08"/>
    <m/>
  </r>
  <r>
    <s v="2020-21"/>
    <x v="4"/>
    <x v="45"/>
    <s v="L3"/>
    <m/>
    <s v="Leisure City"/>
    <n v="6"/>
    <x v="0"/>
    <x v="4"/>
    <n v="1"/>
    <n v="7.0000000000000007E-2"/>
    <n v="1"/>
    <n v="7.0000000000000007E-2"/>
    <m/>
  </r>
  <r>
    <s v="2020-21"/>
    <x v="4"/>
    <x v="45"/>
    <s v="L3"/>
    <m/>
    <s v="Leisure City"/>
    <n v="6"/>
    <x v="1"/>
    <x v="4"/>
    <n v="-1"/>
    <n v="7.0000000000000007E-2"/>
    <n v="1"/>
    <n v="-7.0000000000000007E-2"/>
    <m/>
  </r>
  <r>
    <s v="2020-21"/>
    <x v="4"/>
    <x v="45"/>
    <s v="L3"/>
    <m/>
    <s v="Leisure City"/>
    <n v="7"/>
    <x v="0"/>
    <x v="5"/>
    <n v="1"/>
    <n v="0.15"/>
    <n v="1"/>
    <n v="0.15"/>
    <m/>
  </r>
  <r>
    <s v="2020-21"/>
    <x v="4"/>
    <x v="45"/>
    <s v="L3"/>
    <m/>
    <s v="Leisure City"/>
    <n v="7"/>
    <x v="1"/>
    <x v="5"/>
    <n v="-1"/>
    <n v="0.15"/>
    <n v="1"/>
    <n v="-0.15"/>
    <s v="The level of detail and understanding of energy calculations and passive energy systems presented by students is commendable"/>
  </r>
  <r>
    <s v="2020-21"/>
    <x v="4"/>
    <x v="45"/>
    <s v="L3"/>
    <m/>
    <s v="Leisure City"/>
    <n v="8"/>
    <x v="0"/>
    <x v="6"/>
    <n v="1"/>
    <n v="0.1"/>
    <n v="1"/>
    <n v="0.1"/>
    <m/>
  </r>
  <r>
    <s v="2020-21"/>
    <x v="4"/>
    <x v="45"/>
    <s v="L3"/>
    <m/>
    <s v="Leisure City"/>
    <n v="8"/>
    <x v="1"/>
    <x v="6"/>
    <n v="-1"/>
    <n v="0.1"/>
    <n v="1"/>
    <n v="-0.1"/>
    <m/>
  </r>
  <r>
    <s v="2020-21"/>
    <x v="4"/>
    <x v="45"/>
    <s v="L3"/>
    <m/>
    <s v="Leisure City"/>
    <n v="9"/>
    <x v="0"/>
    <x v="7"/>
    <n v="0"/>
    <n v="0.1"/>
    <n v="1"/>
    <n v="0"/>
    <m/>
  </r>
  <r>
    <s v="2020-21"/>
    <x v="4"/>
    <x v="45"/>
    <s v="L3"/>
    <m/>
    <s v="Leisure City"/>
    <n v="9"/>
    <x v="1"/>
    <x v="7"/>
    <n v="-1"/>
    <n v="0.1"/>
    <n v="1"/>
    <n v="-0.1"/>
    <m/>
  </r>
  <r>
    <s v="2020-21"/>
    <x v="4"/>
    <x v="45"/>
    <s v="L3"/>
    <m/>
    <s v="Leisure City"/>
    <n v="10"/>
    <x v="0"/>
    <x v="8"/>
    <n v="1"/>
    <n v="0.05"/>
    <n v="0.9"/>
    <n v="4.5000000000000005E-2"/>
    <m/>
  </r>
  <r>
    <s v="2020-21"/>
    <x v="4"/>
    <x v="45"/>
    <s v="L3"/>
    <m/>
    <s v="Leisure City"/>
    <n v="10"/>
    <x v="1"/>
    <x v="8"/>
    <n v="0"/>
    <n v="0.05"/>
    <n v="0.9"/>
    <n v="0"/>
    <m/>
  </r>
  <r>
    <s v="2020-21"/>
    <x v="4"/>
    <x v="45"/>
    <s v="L3"/>
    <m/>
    <s v="Leisure City"/>
    <n v="11"/>
    <x v="0"/>
    <x v="8"/>
    <n v="1"/>
    <n v="0.05"/>
    <n v="0.9"/>
    <n v="4.5000000000000005E-2"/>
    <m/>
  </r>
  <r>
    <s v="2020-21"/>
    <x v="4"/>
    <x v="45"/>
    <s v="L3"/>
    <m/>
    <s v="Leisure City"/>
    <n v="11"/>
    <x v="1"/>
    <x v="8"/>
    <n v="0"/>
    <n v="0.05"/>
    <n v="0.9"/>
    <n v="0"/>
    <s v="Compared to other studios, the process of the student through the studio work was not very clearly visible in the way the work has been showcased."/>
  </r>
  <r>
    <s v="2020-21"/>
    <x v="4"/>
    <x v="45"/>
    <s v="L3"/>
    <m/>
    <s v="Leisure City"/>
    <n v="12"/>
    <x v="0"/>
    <x v="9"/>
    <n v="0"/>
    <n v="0.05"/>
    <n v="1"/>
    <n v="0"/>
    <m/>
  </r>
  <r>
    <s v="2020-21"/>
    <x v="4"/>
    <x v="45"/>
    <s v="L3"/>
    <m/>
    <s v="Leisure City"/>
    <n v="12"/>
    <x v="1"/>
    <x v="9"/>
    <n v="-1"/>
    <n v="0.05"/>
    <n v="1"/>
    <n v="-0.05"/>
    <m/>
  </r>
  <r>
    <s v="2020-21"/>
    <x v="4"/>
    <x v="46"/>
    <s v="L3"/>
    <m/>
    <s v="Time, Public, and Architecture"/>
    <n v="1"/>
    <x v="0"/>
    <x v="0"/>
    <n v="1"/>
    <n v="0.12"/>
    <n v="1"/>
    <n v="0.12"/>
    <m/>
  </r>
  <r>
    <s v="2020-21"/>
    <x v="4"/>
    <x v="46"/>
    <s v="L3"/>
    <m/>
    <s v="Time, Public, and Architecture"/>
    <n v="1"/>
    <x v="1"/>
    <x v="0"/>
    <n v="-1"/>
    <n v="0.12"/>
    <n v="1"/>
    <n v="0.12"/>
    <s v="No. What is the problem?"/>
  </r>
  <r>
    <s v="2020-21"/>
    <x v="4"/>
    <x v="46"/>
    <s v="L3"/>
    <m/>
    <s v="Time, Public, and Architecture"/>
    <n v="2"/>
    <x v="0"/>
    <x v="1"/>
    <n v="1"/>
    <n v="0.08"/>
    <n v="0.9"/>
    <n v="7.2000000000000008E-2"/>
    <m/>
  </r>
  <r>
    <s v="2020-21"/>
    <x v="4"/>
    <x v="46"/>
    <s v="L3"/>
    <m/>
    <s v="Time, Public, and Architecture"/>
    <n v="2"/>
    <x v="1"/>
    <x v="1"/>
    <n v="-1"/>
    <n v="0.08"/>
    <n v="0.9"/>
    <n v="-7.2000000000000008E-2"/>
    <s v="No. What is the problem?"/>
  </r>
  <r>
    <s v="2020-21"/>
    <x v="4"/>
    <x v="46"/>
    <s v="L3"/>
    <m/>
    <s v="Time, Public, and Architecture"/>
    <n v="3"/>
    <x v="0"/>
    <x v="2"/>
    <n v="1"/>
    <n v="0.05"/>
    <n v="1"/>
    <n v="0.05"/>
    <m/>
  </r>
  <r>
    <s v="2020-21"/>
    <x v="4"/>
    <x v="46"/>
    <s v="L3"/>
    <m/>
    <s v="Time, Public, and Architecture"/>
    <n v="3"/>
    <x v="1"/>
    <x v="2"/>
    <n v="0"/>
    <n v="0.05"/>
    <n v="1"/>
    <n v="0"/>
    <s v="Without the clarity of the intent and the outcome??. Hierarchy in the course framework is clearly reflected in the student work that shows a clear development in thought from the first to the final exercise."/>
  </r>
  <r>
    <s v="2020-21"/>
    <x v="4"/>
    <x v="46"/>
    <s v="L3"/>
    <m/>
    <s v="Time, Public, and Architecture"/>
    <n v="4"/>
    <x v="0"/>
    <x v="3"/>
    <n v="1"/>
    <n v="0.1"/>
    <n v="1"/>
    <n v="0.1"/>
    <m/>
  </r>
  <r>
    <s v="2020-21"/>
    <x v="4"/>
    <x v="46"/>
    <s v="L3"/>
    <m/>
    <s v="Time, Public, and Architecture"/>
    <n v="4"/>
    <x v="1"/>
    <x v="3"/>
    <n v="-1"/>
    <n v="0.1"/>
    <n v="1"/>
    <n v="-0.1"/>
    <s v="Lot of data, diagrams, analysis, graphics..running over several sheets and leading to almost no architectural"/>
  </r>
  <r>
    <s v="2020-21"/>
    <x v="4"/>
    <x v="46"/>
    <s v="L3"/>
    <m/>
    <s v="Time, Public, and Architecture"/>
    <n v="5"/>
    <x v="0"/>
    <x v="10"/>
    <n v="1"/>
    <n v="0.08"/>
    <n v="1"/>
    <n v="0.08"/>
    <m/>
  </r>
  <r>
    <s v="2020-21"/>
    <x v="4"/>
    <x v="46"/>
    <s v="L3"/>
    <m/>
    <s v="Time, Public, and Architecture"/>
    <n v="5"/>
    <x v="1"/>
    <x v="10"/>
    <n v="-1"/>
    <n v="0.08"/>
    <n v="1"/>
    <n v="-0.08"/>
    <s v="Sadly No. Very disappointing again to see such outcomes at L3."/>
  </r>
  <r>
    <s v="2020-21"/>
    <x v="4"/>
    <x v="46"/>
    <s v="L3"/>
    <m/>
    <s v="Time, Public, and Architecture"/>
    <n v="6"/>
    <x v="0"/>
    <x v="4"/>
    <n v="1"/>
    <n v="7.0000000000000007E-2"/>
    <n v="1"/>
    <n v="7.0000000000000007E-2"/>
    <m/>
  </r>
  <r>
    <s v="2020-21"/>
    <x v="4"/>
    <x v="46"/>
    <s v="L3"/>
    <m/>
    <s v="Time, Public, and Architecture"/>
    <n v="6"/>
    <x v="1"/>
    <x v="4"/>
    <n v="-1"/>
    <n v="7.0000000000000007E-2"/>
    <n v="1"/>
    <n v="-7.0000000000000007E-2"/>
    <m/>
  </r>
  <r>
    <s v="2020-21"/>
    <x v="4"/>
    <x v="46"/>
    <s v="L3"/>
    <m/>
    <s v="Time, Public, and Architecture"/>
    <n v="7"/>
    <x v="0"/>
    <x v="5"/>
    <n v="1"/>
    <n v="0.15"/>
    <n v="1"/>
    <n v="0.15"/>
    <m/>
  </r>
  <r>
    <s v="2020-21"/>
    <x v="4"/>
    <x v="46"/>
    <s v="L3"/>
    <m/>
    <s v="Time, Public, and Architecture"/>
    <n v="7"/>
    <x v="1"/>
    <x v="5"/>
    <n v="-1"/>
    <n v="0.15"/>
    <n v="1"/>
    <n v="-0.15"/>
    <m/>
  </r>
  <r>
    <s v="2020-21"/>
    <x v="4"/>
    <x v="46"/>
    <s v="L3"/>
    <m/>
    <s v="Time, Public, and Architecture"/>
    <n v="8"/>
    <x v="0"/>
    <x v="6"/>
    <n v="1"/>
    <n v="0.1"/>
    <n v="1"/>
    <n v="0.1"/>
    <m/>
  </r>
  <r>
    <s v="2020-21"/>
    <x v="4"/>
    <x v="46"/>
    <s v="L3"/>
    <m/>
    <s v="Time, Public, and Architecture"/>
    <n v="8"/>
    <x v="1"/>
    <x v="6"/>
    <n v="-1"/>
    <n v="0.1"/>
    <n v="1"/>
    <n v="-0.1"/>
    <m/>
  </r>
  <r>
    <s v="2020-21"/>
    <x v="4"/>
    <x v="46"/>
    <s v="L3"/>
    <m/>
    <s v="Time, Public, and Architecture"/>
    <n v="9"/>
    <x v="0"/>
    <x v="7"/>
    <n v="1"/>
    <n v="0.1"/>
    <n v="1"/>
    <n v="0.1"/>
    <m/>
  </r>
  <r>
    <s v="2020-21"/>
    <x v="4"/>
    <x v="46"/>
    <s v="L3"/>
    <m/>
    <s v="Time, Public, and Architecture"/>
    <n v="9"/>
    <x v="1"/>
    <x v="7"/>
    <n v="-1"/>
    <n v="0.1"/>
    <n v="1"/>
    <n v="-0.1"/>
    <m/>
  </r>
  <r>
    <s v="2020-21"/>
    <x v="4"/>
    <x v="46"/>
    <s v="L3"/>
    <m/>
    <s v="Time, Public, and Architecture"/>
    <n v="10"/>
    <x v="0"/>
    <x v="8"/>
    <n v="1"/>
    <n v="0.05"/>
    <n v="0.9"/>
    <n v="4.5000000000000005E-2"/>
    <m/>
  </r>
  <r>
    <s v="2020-21"/>
    <x v="4"/>
    <x v="46"/>
    <s v="L3"/>
    <m/>
    <s v="Time, Public, and Architecture"/>
    <n v="10"/>
    <x v="1"/>
    <x v="8"/>
    <n v="0"/>
    <n v="0.05"/>
    <n v="0.9"/>
    <n v="0"/>
    <m/>
  </r>
  <r>
    <s v="2020-21"/>
    <x v="4"/>
    <x v="46"/>
    <s v="L3"/>
    <m/>
    <s v="Time, Public, and Architecture"/>
    <n v="11"/>
    <x v="0"/>
    <x v="8"/>
    <n v="1"/>
    <n v="0.05"/>
    <n v="0.9"/>
    <n v="4.5000000000000005E-2"/>
    <m/>
  </r>
  <r>
    <s v="2020-21"/>
    <x v="4"/>
    <x v="46"/>
    <s v="L3"/>
    <m/>
    <s v="Time, Public, and Architecture"/>
    <n v="11"/>
    <x v="1"/>
    <x v="8"/>
    <n v="0"/>
    <n v="0.05"/>
    <n v="0.9"/>
    <n v="0"/>
    <m/>
  </r>
  <r>
    <s v="2020-21"/>
    <x v="4"/>
    <x v="46"/>
    <s v="L3"/>
    <m/>
    <s v="Time, Public, and Architecture"/>
    <n v="12"/>
    <x v="0"/>
    <x v="9"/>
    <n v="1"/>
    <n v="0.05"/>
    <n v="1"/>
    <n v="0.05"/>
    <m/>
  </r>
  <r>
    <s v="2020-21"/>
    <x v="4"/>
    <x v="46"/>
    <s v="L3"/>
    <m/>
    <s v="Time, Public, and Architecture"/>
    <n v="12"/>
    <x v="1"/>
    <x v="9"/>
    <n v="-1"/>
    <n v="0.05"/>
    <n v="1"/>
    <n v="-0.05"/>
    <m/>
  </r>
  <r>
    <s v="2020-21"/>
    <x v="4"/>
    <x v="47"/>
    <s v="L3"/>
    <m/>
    <s v="Through Words"/>
    <n v="1"/>
    <x v="0"/>
    <x v="0"/>
    <n v="1"/>
    <n v="0.12"/>
    <n v="1"/>
    <n v="0.12"/>
    <m/>
  </r>
  <r>
    <s v="2020-21"/>
    <x v="4"/>
    <x v="47"/>
    <s v="L3"/>
    <m/>
    <s v="Through Words"/>
    <n v="1"/>
    <x v="1"/>
    <x v="0"/>
    <n v="-1"/>
    <n v="0.12"/>
    <n v="1"/>
    <n v="0.12"/>
    <m/>
  </r>
  <r>
    <s v="2020-21"/>
    <x v="4"/>
    <x v="47"/>
    <s v="L3"/>
    <m/>
    <s v="Through Words"/>
    <n v="2"/>
    <x v="0"/>
    <x v="1"/>
    <n v="1"/>
    <n v="0.08"/>
    <n v="0.9"/>
    <n v="7.2000000000000008E-2"/>
    <m/>
  </r>
  <r>
    <s v="2020-21"/>
    <x v="4"/>
    <x v="47"/>
    <s v="L3"/>
    <m/>
    <s v="Through Words"/>
    <n v="2"/>
    <x v="1"/>
    <x v="1"/>
    <n v="-1"/>
    <n v="0.08"/>
    <n v="0.9"/>
    <n v="-7.2000000000000008E-2"/>
    <s v="Too broad a spectrum programmatically."/>
  </r>
  <r>
    <s v="2020-21"/>
    <x v="4"/>
    <x v="47"/>
    <s v="L3"/>
    <m/>
    <s v="Through Words"/>
    <n v="3"/>
    <x v="0"/>
    <x v="2"/>
    <n v="1"/>
    <n v="0.05"/>
    <n v="1"/>
    <n v="0.05"/>
    <m/>
  </r>
  <r>
    <s v="2020-21"/>
    <x v="4"/>
    <x v="47"/>
    <s v="L3"/>
    <m/>
    <s v="Through Words"/>
    <n v="3"/>
    <x v="1"/>
    <x v="2"/>
    <n v="0"/>
    <n v="0.05"/>
    <n v="1"/>
    <n v="0"/>
    <m/>
  </r>
  <r>
    <s v="2020-21"/>
    <x v="4"/>
    <x v="47"/>
    <s v="L3"/>
    <m/>
    <s v="Through Words"/>
    <n v="4"/>
    <x v="0"/>
    <x v="3"/>
    <n v="1"/>
    <n v="0.1"/>
    <n v="1"/>
    <n v="0.1"/>
    <m/>
  </r>
  <r>
    <s v="2020-21"/>
    <x v="4"/>
    <x v="47"/>
    <s v="L3"/>
    <m/>
    <s v="Through Words"/>
    <n v="4"/>
    <x v="1"/>
    <x v="3"/>
    <n v="0"/>
    <n v="0.1"/>
    <n v="1"/>
    <n v="0"/>
    <s v="Here is yet another example of a great opportunity lost. lucky are the students to get tutors like this, a program that has a huge potential and yet the students non engagement and absence of rigour at this stage ie L3 continues to be of a concern."/>
  </r>
  <r>
    <s v="2020-21"/>
    <x v="4"/>
    <x v="47"/>
    <s v="L3"/>
    <m/>
    <s v="Through Words"/>
    <n v="5"/>
    <x v="0"/>
    <x v="10"/>
    <n v="1"/>
    <n v="0.08"/>
    <n v="1"/>
    <n v="0.08"/>
    <m/>
  </r>
  <r>
    <s v="2020-21"/>
    <x v="4"/>
    <x v="47"/>
    <s v="L3"/>
    <m/>
    <s v="Through Words"/>
    <n v="5"/>
    <x v="1"/>
    <x v="10"/>
    <n v="-1"/>
    <n v="0.08"/>
    <n v="1"/>
    <n v="-0.08"/>
    <s v="The student work shows that have struggled to express the conceptual realm."/>
  </r>
  <r>
    <s v="2020-21"/>
    <x v="4"/>
    <x v="47"/>
    <s v="L3"/>
    <m/>
    <s v="Through Words"/>
    <n v="6"/>
    <x v="0"/>
    <x v="4"/>
    <n v="0"/>
    <n v="7.0000000000000007E-2"/>
    <n v="1"/>
    <n v="0"/>
    <m/>
  </r>
  <r>
    <s v="2020-21"/>
    <x v="4"/>
    <x v="47"/>
    <s v="L3"/>
    <m/>
    <s v="Through Words"/>
    <n v="6"/>
    <x v="1"/>
    <x v="4"/>
    <n v="-1"/>
    <n v="7.0000000000000007E-2"/>
    <n v="1"/>
    <n v="-7.0000000000000007E-2"/>
    <m/>
  </r>
  <r>
    <s v="2020-21"/>
    <x v="4"/>
    <x v="47"/>
    <s v="L3"/>
    <m/>
    <s v="Through Words"/>
    <n v="7"/>
    <x v="0"/>
    <x v="5"/>
    <n v="0"/>
    <n v="0.15"/>
    <n v="1"/>
    <n v="0"/>
    <m/>
  </r>
  <r>
    <s v="2020-21"/>
    <x v="4"/>
    <x v="47"/>
    <s v="L3"/>
    <m/>
    <s v="Through Words"/>
    <n v="7"/>
    <x v="1"/>
    <x v="5"/>
    <n v="0"/>
    <n v="0.15"/>
    <n v="1"/>
    <n v="0"/>
    <m/>
  </r>
  <r>
    <s v="2020-21"/>
    <x v="4"/>
    <x v="47"/>
    <s v="L3"/>
    <m/>
    <s v="Through Words"/>
    <n v="8"/>
    <x v="0"/>
    <x v="6"/>
    <n v="0"/>
    <n v="0.1"/>
    <n v="1"/>
    <n v="0"/>
    <m/>
  </r>
  <r>
    <s v="2020-21"/>
    <x v="4"/>
    <x v="47"/>
    <s v="L3"/>
    <m/>
    <s v="Through Words"/>
    <n v="8"/>
    <x v="1"/>
    <x v="6"/>
    <n v="0"/>
    <n v="0.1"/>
    <n v="1"/>
    <n v="0"/>
    <s v="Some students have shown a good analysing and critical thinking ability. There are few loose ends in terms of translation of the program to the processes that followed, but since this nature of studio is being offered for the first time and I believe that the same intent taken forward over few studios will refine the processes and the outcome further."/>
  </r>
  <r>
    <s v="2020-21"/>
    <x v="4"/>
    <x v="47"/>
    <s v="L3"/>
    <m/>
    <s v="Through Words"/>
    <n v="9"/>
    <x v="0"/>
    <x v="7"/>
    <n v="0"/>
    <n v="0.1"/>
    <n v="1"/>
    <n v="0"/>
    <m/>
  </r>
  <r>
    <s v="2020-21"/>
    <x v="4"/>
    <x v="47"/>
    <s v="L3"/>
    <m/>
    <s v="Through Words"/>
    <n v="9"/>
    <x v="1"/>
    <x v="7"/>
    <n v="-1"/>
    <n v="0.1"/>
    <n v="1"/>
    <n v="-0.1"/>
    <m/>
  </r>
  <r>
    <s v="2020-21"/>
    <x v="4"/>
    <x v="47"/>
    <s v="L3"/>
    <m/>
    <s v="Through Words"/>
    <n v="10"/>
    <x v="0"/>
    <x v="8"/>
    <n v="0"/>
    <n v="0.05"/>
    <n v="0.9"/>
    <n v="0"/>
    <m/>
  </r>
  <r>
    <s v="2020-21"/>
    <x v="4"/>
    <x v="47"/>
    <s v="L3"/>
    <m/>
    <s v="Through Words"/>
    <n v="10"/>
    <x v="1"/>
    <x v="8"/>
    <n v="0"/>
    <n v="0.05"/>
    <n v="0.9"/>
    <n v="0"/>
    <m/>
  </r>
  <r>
    <s v="2020-21"/>
    <x v="4"/>
    <x v="47"/>
    <s v="L3"/>
    <m/>
    <s v="Through Words"/>
    <n v="11"/>
    <x v="0"/>
    <x v="8"/>
    <n v="0"/>
    <n v="0.05"/>
    <n v="0.9"/>
    <n v="0"/>
    <m/>
  </r>
  <r>
    <s v="2020-21"/>
    <x v="4"/>
    <x v="47"/>
    <s v="L3"/>
    <m/>
    <s v="Through Words"/>
    <n v="11"/>
    <x v="1"/>
    <x v="8"/>
    <n v="0"/>
    <n v="0.05"/>
    <n v="0.9"/>
    <n v="0"/>
    <m/>
  </r>
  <r>
    <s v="2020-21"/>
    <x v="4"/>
    <x v="47"/>
    <s v="L3"/>
    <m/>
    <s v="Through Words"/>
    <n v="12"/>
    <x v="0"/>
    <x v="9"/>
    <n v="0"/>
    <n v="0.05"/>
    <n v="1"/>
    <n v="0"/>
    <m/>
  </r>
  <r>
    <s v="2020-21"/>
    <x v="4"/>
    <x v="47"/>
    <s v="L3"/>
    <m/>
    <s v="Through Words"/>
    <n v="12"/>
    <x v="1"/>
    <x v="9"/>
    <n v="-1"/>
    <n v="0.05"/>
    <n v="1"/>
    <n v="-0.05"/>
    <m/>
  </r>
  <r>
    <s v="2020-21"/>
    <x v="4"/>
    <x v="48"/>
    <s v="L3"/>
    <m/>
    <s v="Retrofit an ecosystem"/>
    <n v="1"/>
    <x v="0"/>
    <x v="0"/>
    <n v="1"/>
    <n v="0.12"/>
    <n v="1"/>
    <n v="0.12"/>
    <m/>
  </r>
  <r>
    <s v="2020-21"/>
    <x v="4"/>
    <x v="48"/>
    <s v="L3"/>
    <m/>
    <s v="Retrofit an ecosystem"/>
    <n v="1"/>
    <x v="1"/>
    <x v="0"/>
    <n v="-1"/>
    <n v="0.12"/>
    <n v="1"/>
    <n v="0.12"/>
    <s v="Interesting, holistic course objective with vague learning outcomes that could be better articulated by delving into the meaning behind the notions of empathy, environment, collective, etc."/>
  </r>
  <r>
    <s v="2020-21"/>
    <x v="4"/>
    <x v="48"/>
    <s v="L3"/>
    <m/>
    <s v="Retrofit an ecosystem"/>
    <n v="2"/>
    <x v="0"/>
    <x v="1"/>
    <n v="1"/>
    <n v="0.08"/>
    <n v="0.9"/>
    <n v="7.2000000000000008E-2"/>
    <m/>
  </r>
  <r>
    <s v="2020-21"/>
    <x v="4"/>
    <x v="48"/>
    <s v="L3"/>
    <m/>
    <s v="Retrofit an ecosystem"/>
    <n v="2"/>
    <x v="1"/>
    <x v="1"/>
    <n v="0"/>
    <n v="0.08"/>
    <n v="0.9"/>
    <n v="0"/>
    <m/>
  </r>
  <r>
    <s v="2020-21"/>
    <x v="4"/>
    <x v="48"/>
    <s v="L3"/>
    <m/>
    <s v="Retrofit an ecosystem"/>
    <n v="3"/>
    <x v="0"/>
    <x v="2"/>
    <n v="1"/>
    <n v="0.05"/>
    <n v="1"/>
    <n v="0.05"/>
    <m/>
  </r>
  <r>
    <s v="2020-21"/>
    <x v="4"/>
    <x v="48"/>
    <s v="L3"/>
    <m/>
    <s v="Retrofit an ecosystem"/>
    <n v="3"/>
    <x v="1"/>
    <x v="2"/>
    <n v="1"/>
    <n v="0.05"/>
    <n v="1"/>
    <n v="0.05"/>
    <m/>
  </r>
  <r>
    <s v="2020-21"/>
    <x v="4"/>
    <x v="48"/>
    <s v="L3"/>
    <m/>
    <s v="Retrofit an ecosystem"/>
    <n v="4"/>
    <x v="0"/>
    <x v="3"/>
    <n v="1"/>
    <n v="0.1"/>
    <n v="1"/>
    <n v="0.1"/>
    <m/>
  </r>
  <r>
    <s v="2020-21"/>
    <x v="4"/>
    <x v="48"/>
    <s v="L3"/>
    <m/>
    <s v="Retrofit an ecosystem"/>
    <n v="4"/>
    <x v="1"/>
    <x v="3"/>
    <n v="0"/>
    <n v="0.1"/>
    <n v="1"/>
    <n v="0"/>
    <s v="Good student output. Could have been interesting if the multidisciplinary approach to thinking in the course structure was visible in the student outcome as well."/>
  </r>
  <r>
    <s v="2020-21"/>
    <x v="4"/>
    <x v="48"/>
    <s v="L3"/>
    <m/>
    <s v="Retrofit an ecosystem"/>
    <n v="5"/>
    <x v="0"/>
    <x v="10"/>
    <n v="0"/>
    <n v="0.08"/>
    <n v="1"/>
    <n v="0"/>
    <m/>
  </r>
  <r>
    <s v="2020-21"/>
    <x v="4"/>
    <x v="48"/>
    <s v="L3"/>
    <m/>
    <s v="Retrofit an ecosystem"/>
    <n v="5"/>
    <x v="1"/>
    <x v="10"/>
    <n v="0"/>
    <n v="0.08"/>
    <n v="1"/>
    <n v="0"/>
    <m/>
  </r>
  <r>
    <s v="2020-21"/>
    <x v="4"/>
    <x v="48"/>
    <s v="L3"/>
    <m/>
    <s v="Retrofit an ecosystem"/>
    <n v="6"/>
    <x v="0"/>
    <x v="4"/>
    <n v="0"/>
    <n v="7.0000000000000007E-2"/>
    <n v="1"/>
    <n v="0"/>
    <m/>
  </r>
  <r>
    <s v="2020-21"/>
    <x v="4"/>
    <x v="48"/>
    <s v="L3"/>
    <m/>
    <s v="Retrofit an ecosystem"/>
    <n v="6"/>
    <x v="1"/>
    <x v="4"/>
    <n v="0"/>
    <n v="7.0000000000000007E-2"/>
    <n v="1"/>
    <n v="0"/>
    <s v="The unit in a small part seems to have done well.Some interesting representations in the form of collages etc. Somehow the initial intent set out by the tutor that has a lot of potential doesn't match up with the over all  architectural outcome."/>
  </r>
  <r>
    <s v="2020-21"/>
    <x v="4"/>
    <x v="48"/>
    <s v="L3"/>
    <m/>
    <s v="Retrofit an ecosystem"/>
    <n v="7"/>
    <x v="0"/>
    <x v="5"/>
    <n v="0"/>
    <n v="0.15"/>
    <n v="1"/>
    <n v="0"/>
    <m/>
  </r>
  <r>
    <s v="2020-21"/>
    <x v="4"/>
    <x v="48"/>
    <s v="L3"/>
    <m/>
    <s v="Retrofit an ecosystem"/>
    <n v="7"/>
    <x v="1"/>
    <x v="5"/>
    <n v="0"/>
    <n v="0.15"/>
    <n v="1"/>
    <n v="0"/>
    <m/>
  </r>
  <r>
    <s v="2020-21"/>
    <x v="4"/>
    <x v="48"/>
    <s v="L3"/>
    <m/>
    <s v="Retrofit an ecosystem"/>
    <n v="8"/>
    <x v="0"/>
    <x v="6"/>
    <n v="0"/>
    <n v="0.1"/>
    <n v="1"/>
    <n v="0"/>
    <m/>
  </r>
  <r>
    <s v="2020-21"/>
    <x v="4"/>
    <x v="48"/>
    <s v="L3"/>
    <m/>
    <s v="Retrofit an ecosystem"/>
    <n v="8"/>
    <x v="1"/>
    <x v="6"/>
    <n v="0"/>
    <n v="0.1"/>
    <n v="1"/>
    <n v="0"/>
    <m/>
  </r>
  <r>
    <s v="2020-21"/>
    <x v="4"/>
    <x v="48"/>
    <s v="L3"/>
    <m/>
    <s v="Retrofit an ecosystem"/>
    <n v="9"/>
    <x v="0"/>
    <x v="7"/>
    <n v="0"/>
    <n v="0.1"/>
    <n v="1"/>
    <n v="0"/>
    <m/>
  </r>
  <r>
    <s v="2020-21"/>
    <x v="4"/>
    <x v="48"/>
    <s v="L3"/>
    <m/>
    <s v="Retrofit an ecosystem"/>
    <n v="9"/>
    <x v="1"/>
    <x v="7"/>
    <n v="1"/>
    <n v="0.1"/>
    <n v="1"/>
    <n v="0.1"/>
    <m/>
  </r>
  <r>
    <s v="2020-21"/>
    <x v="4"/>
    <x v="48"/>
    <s v="L3"/>
    <m/>
    <s v="Retrofit an ecosystem"/>
    <n v="10"/>
    <x v="0"/>
    <x v="8"/>
    <n v="0"/>
    <n v="0.05"/>
    <n v="0.9"/>
    <n v="0"/>
    <m/>
  </r>
  <r>
    <s v="2020-21"/>
    <x v="4"/>
    <x v="48"/>
    <s v="L3"/>
    <m/>
    <s v="Retrofit an ecosystem"/>
    <n v="10"/>
    <x v="1"/>
    <x v="8"/>
    <n v="0"/>
    <n v="0.05"/>
    <n v="0.9"/>
    <n v="0"/>
    <m/>
  </r>
  <r>
    <s v="2020-21"/>
    <x v="4"/>
    <x v="48"/>
    <s v="L3"/>
    <m/>
    <s v="Retrofit an ecosystem"/>
    <n v="11"/>
    <x v="0"/>
    <x v="8"/>
    <n v="0"/>
    <n v="0.05"/>
    <n v="0.9"/>
    <n v="0"/>
    <m/>
  </r>
  <r>
    <s v="2020-21"/>
    <x v="4"/>
    <x v="48"/>
    <s v="L3"/>
    <m/>
    <s v="Retrofit an ecosystem"/>
    <n v="11"/>
    <x v="1"/>
    <x v="8"/>
    <n v="1"/>
    <n v="0.05"/>
    <n v="0.9"/>
    <n v="4.5000000000000005E-2"/>
    <m/>
  </r>
  <r>
    <s v="2020-21"/>
    <x v="4"/>
    <x v="48"/>
    <s v="L3"/>
    <m/>
    <s v="Retrofit an ecosystem"/>
    <n v="12"/>
    <x v="0"/>
    <x v="9"/>
    <n v="0"/>
    <n v="0.05"/>
    <n v="1"/>
    <n v="0"/>
    <m/>
  </r>
  <r>
    <s v="2020-21"/>
    <x v="4"/>
    <x v="48"/>
    <s v="L3"/>
    <m/>
    <s v="Retrofit an ecosystem"/>
    <n v="12"/>
    <x v="1"/>
    <x v="9"/>
    <n v="-1"/>
    <n v="0.05"/>
    <n v="1"/>
    <n v="-0.05"/>
    <m/>
  </r>
  <r>
    <s v="2020-21"/>
    <x v="4"/>
    <x v="49"/>
    <s v="L3"/>
    <m/>
    <s v="The Urban Plot-Play of XL Architecture"/>
    <n v="1"/>
    <x v="0"/>
    <x v="0"/>
    <n v="1"/>
    <n v="0.12"/>
    <n v="1"/>
    <n v="0.12"/>
    <m/>
  </r>
  <r>
    <s v="2020-21"/>
    <x v="4"/>
    <x v="49"/>
    <s v="L3"/>
    <m/>
    <s v="The Urban Plot-Play of XL Architecture"/>
    <n v="1"/>
    <x v="1"/>
    <x v="0"/>
    <n v="1"/>
    <n v="0.12"/>
    <n v="1"/>
    <n v="0.12"/>
    <m/>
  </r>
  <r>
    <s v="2020-21"/>
    <x v="4"/>
    <x v="49"/>
    <s v="L3"/>
    <m/>
    <s v="The Urban Plot-Play of XL Architecture"/>
    <n v="2"/>
    <x v="0"/>
    <x v="1"/>
    <n v="1"/>
    <n v="0.08"/>
    <n v="0.9"/>
    <n v="7.2000000000000008E-2"/>
    <m/>
  </r>
  <r>
    <s v="2020-21"/>
    <x v="4"/>
    <x v="49"/>
    <s v="L3"/>
    <m/>
    <s v="The Urban Plot-Play of XL Architecture"/>
    <n v="2"/>
    <x v="1"/>
    <x v="1"/>
    <n v="0"/>
    <n v="0.08"/>
    <n v="0.9"/>
    <n v="0"/>
    <s v="Well structured studio in terms of incorporating different scales and modes of thinking."/>
  </r>
  <r>
    <s v="2020-21"/>
    <x v="4"/>
    <x v="49"/>
    <s v="L3"/>
    <m/>
    <s v="The Urban Plot-Play of XL Architecture"/>
    <n v="3"/>
    <x v="0"/>
    <x v="2"/>
    <n v="1"/>
    <n v="0.05"/>
    <n v="1"/>
    <n v="0.05"/>
    <m/>
  </r>
  <r>
    <s v="2020-21"/>
    <x v="4"/>
    <x v="49"/>
    <s v="L3"/>
    <m/>
    <s v="The Urban Plot-Play of XL Architecture"/>
    <n v="3"/>
    <x v="1"/>
    <x v="2"/>
    <n v="1"/>
    <n v="0.05"/>
    <n v="1"/>
    <n v="0.05"/>
    <m/>
  </r>
  <r>
    <s v="2020-21"/>
    <x v="4"/>
    <x v="49"/>
    <s v="L3"/>
    <m/>
    <s v="The Urban Plot-Play of XL Architecture"/>
    <n v="4"/>
    <x v="0"/>
    <x v="3"/>
    <n v="1"/>
    <n v="0.1"/>
    <n v="1"/>
    <n v="0.1"/>
    <m/>
  </r>
  <r>
    <s v="2020-21"/>
    <x v="4"/>
    <x v="49"/>
    <s v="L3"/>
    <m/>
    <s v="The Urban Plot-Play of XL Architecture"/>
    <n v="4"/>
    <x v="1"/>
    <x v="3"/>
    <n v="0"/>
    <n v="0.1"/>
    <n v="1"/>
    <n v="0"/>
    <m/>
  </r>
  <r>
    <s v="2020-21"/>
    <x v="4"/>
    <x v="49"/>
    <s v="L3"/>
    <m/>
    <s v="The Urban Plot-Play of XL Architecture"/>
    <n v="5"/>
    <x v="0"/>
    <x v="10"/>
    <n v="1"/>
    <n v="0.08"/>
    <n v="1"/>
    <n v="0.08"/>
    <m/>
  </r>
  <r>
    <s v="2020-21"/>
    <x v="4"/>
    <x v="49"/>
    <s v="L3"/>
    <m/>
    <s v="The Urban Plot-Play of XL Architecture"/>
    <n v="5"/>
    <x v="1"/>
    <x v="10"/>
    <n v="0"/>
    <n v="0.08"/>
    <n v="1"/>
    <n v="0"/>
    <s v="The studio considers both a personal and spatial exploration, which is not always translated in the student output. Maybe simplifying the design deliverable and focusing on one medium (either film, graphic or spatial product) could have helped."/>
  </r>
  <r>
    <s v="2020-21"/>
    <x v="4"/>
    <x v="49"/>
    <s v="L3"/>
    <m/>
    <s v="The Urban Plot-Play of XL Architecture"/>
    <n v="6"/>
    <x v="0"/>
    <x v="4"/>
    <n v="1"/>
    <n v="7.0000000000000007E-2"/>
    <n v="1"/>
    <n v="7.0000000000000007E-2"/>
    <m/>
  </r>
  <r>
    <s v="2020-21"/>
    <x v="4"/>
    <x v="49"/>
    <s v="L3"/>
    <m/>
    <s v="The Urban Plot-Play of XL Architecture"/>
    <n v="6"/>
    <x v="1"/>
    <x v="4"/>
    <n v="0"/>
    <n v="7.0000000000000007E-2"/>
    <n v="1"/>
    <n v="0"/>
    <m/>
  </r>
  <r>
    <s v="2020-21"/>
    <x v="4"/>
    <x v="49"/>
    <s v="L3"/>
    <m/>
    <s v="The Urban Plot-Play of XL Architecture"/>
    <n v="7"/>
    <x v="0"/>
    <x v="5"/>
    <n v="1"/>
    <n v="0.15"/>
    <n v="1"/>
    <n v="0.15"/>
    <m/>
  </r>
  <r>
    <s v="2020-21"/>
    <x v="4"/>
    <x v="49"/>
    <s v="L3"/>
    <m/>
    <s v="The Urban Plot-Play of XL Architecture"/>
    <n v="7"/>
    <x v="1"/>
    <x v="5"/>
    <n v="0"/>
    <n v="0.15"/>
    <n v="1"/>
    <n v="0"/>
    <m/>
  </r>
  <r>
    <s v="2020-21"/>
    <x v="4"/>
    <x v="49"/>
    <s v="L3"/>
    <m/>
    <s v="The Urban Plot-Play of XL Architecture"/>
    <n v="8"/>
    <x v="0"/>
    <x v="6"/>
    <n v="1"/>
    <n v="0.1"/>
    <n v="1"/>
    <n v="0.1"/>
    <m/>
  </r>
  <r>
    <s v="2020-21"/>
    <x v="4"/>
    <x v="49"/>
    <s v="L3"/>
    <m/>
    <s v="The Urban Plot-Play of XL Architecture"/>
    <n v="8"/>
    <x v="1"/>
    <x v="6"/>
    <n v="-1"/>
    <n v="0.1"/>
    <n v="1"/>
    <n v="-0.1"/>
    <m/>
  </r>
  <r>
    <s v="2020-21"/>
    <x v="4"/>
    <x v="49"/>
    <s v="L3"/>
    <m/>
    <s v="The Urban Plot-Play of XL Architecture"/>
    <n v="9"/>
    <x v="0"/>
    <x v="7"/>
    <n v="1"/>
    <n v="0.1"/>
    <n v="1"/>
    <n v="0.1"/>
    <m/>
  </r>
  <r>
    <s v="2020-21"/>
    <x v="4"/>
    <x v="49"/>
    <s v="L3"/>
    <m/>
    <s v="The Urban Plot-Play of XL Architecture"/>
    <n v="9"/>
    <x v="1"/>
    <x v="7"/>
    <n v="0"/>
    <n v="0.1"/>
    <n v="1"/>
    <n v="0"/>
    <m/>
  </r>
  <r>
    <s v="2020-21"/>
    <x v="4"/>
    <x v="49"/>
    <s v="L3"/>
    <m/>
    <s v="The Urban Plot-Play of XL Architecture"/>
    <n v="10"/>
    <x v="0"/>
    <x v="8"/>
    <n v="1"/>
    <n v="0.05"/>
    <n v="0.9"/>
    <n v="4.5000000000000005E-2"/>
    <m/>
  </r>
  <r>
    <s v="2020-21"/>
    <x v="4"/>
    <x v="49"/>
    <s v="L3"/>
    <m/>
    <s v="The Urban Plot-Play of XL Architecture"/>
    <n v="10"/>
    <x v="1"/>
    <x v="8"/>
    <n v="0"/>
    <n v="0.05"/>
    <n v="0.9"/>
    <n v="0"/>
    <s v="I feel, not just with this studio but across many, the representation of so called &quot;data&quot; collected should be minimised to may be just one or two sheets and rest should be purely to do with architectural representation of the project which is an outcome of the various studies and data, which itself would convey the the extensive engagement one has been through in the studio to arrive at the outcome. At the moment the the quantum of data takes over the actual representation of the project."/>
  </r>
  <r>
    <s v="2020-21"/>
    <x v="4"/>
    <x v="49"/>
    <s v="L3"/>
    <m/>
    <s v="The Urban Plot-Play of XL Architecture"/>
    <n v="11"/>
    <x v="0"/>
    <x v="8"/>
    <n v="1"/>
    <n v="0.05"/>
    <n v="0.9"/>
    <n v="4.5000000000000005E-2"/>
    <m/>
  </r>
  <r>
    <s v="2020-21"/>
    <x v="4"/>
    <x v="49"/>
    <s v="L3"/>
    <m/>
    <s v="The Urban Plot-Play of XL Architecture"/>
    <n v="11"/>
    <x v="1"/>
    <x v="8"/>
    <n v="0"/>
    <n v="0.05"/>
    <n v="0.9"/>
    <n v="0"/>
    <m/>
  </r>
  <r>
    <s v="2020-21"/>
    <x v="4"/>
    <x v="49"/>
    <s v="L3"/>
    <m/>
    <s v="The Urban Plot-Play of XL Architecture"/>
    <n v="12"/>
    <x v="0"/>
    <x v="9"/>
    <n v="1"/>
    <n v="0.05"/>
    <n v="1"/>
    <n v="0.05"/>
    <m/>
  </r>
  <r>
    <s v="2020-21"/>
    <x v="4"/>
    <x v="49"/>
    <s v="L3"/>
    <m/>
    <s v="The Urban Plot-Play of XL Architecture"/>
    <n v="12"/>
    <x v="1"/>
    <x v="9"/>
    <n v="-1"/>
    <n v="0.05"/>
    <n v="1"/>
    <n v="-0.0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606B55-F879-4D4E-855E-F4B95D55FCA6}" name="PivotTable2" cacheId="4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1" firstDataRow="2" firstDataCol="1"/>
  <pivotFields count="14">
    <pivotField showAll="0"/>
    <pivotField axis="axisRow" showAll="0">
      <items count="6">
        <item x="0"/>
        <item x="1"/>
        <item x="2"/>
        <item x="3"/>
        <item x="4"/>
        <item t="default"/>
      </items>
    </pivotField>
    <pivotField axis="axisRow" showAll="0">
      <items count="52">
        <item h="1" x="0"/>
        <item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x="24"/>
        <item h="1" x="25"/>
        <item h="1" x="26"/>
        <item h="1" x="27"/>
        <item h="1" x="28"/>
        <item h="1" x="29"/>
        <item h="1" x="30"/>
        <item h="1" x="31"/>
        <item h="1" x="32"/>
        <item h="1" x="33"/>
        <item h="1" x="34"/>
        <item h="1" x="35"/>
        <item h="1" x="36"/>
        <item h="1" x="37"/>
        <item h="1" x="38"/>
        <item h="1" m="1" x="50"/>
        <item h="1" x="39"/>
        <item h="1" x="40"/>
        <item h="1" x="41"/>
        <item h="1" x="42"/>
        <item h="1" x="43"/>
        <item h="1" x="44"/>
        <item h="1" x="45"/>
        <item h="1" x="46"/>
        <item h="1" x="47"/>
        <item h="1" x="48"/>
        <item h="1" x="49"/>
        <item t="default"/>
      </items>
    </pivotField>
    <pivotField showAll="0"/>
    <pivotField showAll="0"/>
    <pivotField showAll="0"/>
    <pivotField showAll="0"/>
    <pivotField axis="axisCol" showAll="0">
      <items count="3">
        <item x="0"/>
        <item x="1"/>
        <item t="default"/>
      </items>
    </pivotField>
    <pivotField showAll="0"/>
    <pivotField showAll="0"/>
    <pivotField numFmtId="9" showAll="0"/>
    <pivotField numFmtId="43" showAll="0"/>
    <pivotField dataField="1" numFmtId="43" showAll="0"/>
    <pivotField showAll="0"/>
  </pivotFields>
  <rowFields count="2">
    <field x="2"/>
    <field x="1"/>
  </rowFields>
  <rowItems count="2">
    <i>
      <x v="1"/>
    </i>
    <i t="grand">
      <x/>
    </i>
  </rowItems>
  <colFields count="1">
    <field x="7"/>
  </colFields>
  <colItems count="3">
    <i>
      <x/>
    </i>
    <i>
      <x v="1"/>
    </i>
    <i t="grand">
      <x/>
    </i>
  </colItems>
  <dataFields count="1">
    <dataField name="Sum of Final_Score" fld="12" baseField="0" baseItem="0" numFmtId="43"/>
  </dataFields>
  <formats count="1">
    <format dxfId="44">
      <pivotArea dataOnly="0" labelOnly="1" fieldPosition="0">
        <references count="1">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96AEB-D82B-1741-9310-261CEC4F80B1}" name="PivotTable2"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9" firstHeaderRow="1" firstDataRow="2" firstDataCol="1"/>
  <pivotFields count="14">
    <pivotField showAll="0"/>
    <pivotField axis="axisRow" showAll="0">
      <items count="6">
        <item x="0"/>
        <item x="1"/>
        <item x="2"/>
        <item x="3"/>
        <item x="4"/>
        <item t="default"/>
      </items>
    </pivotField>
    <pivotField axis="axisRow"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showAll="0"/>
    <pivotField axis="axisCol" showAll="0">
      <items count="3">
        <item x="0"/>
        <item x="1"/>
        <item t="default"/>
      </items>
    </pivotField>
    <pivotField showAll="0"/>
    <pivotField showAll="0"/>
    <pivotField numFmtId="9" showAll="0"/>
    <pivotField numFmtId="43" showAll="0"/>
    <pivotField dataField="1" numFmtId="43" showAll="0"/>
    <pivotField showAll="0"/>
  </pivotFields>
  <rowFields count="2">
    <field x="1"/>
    <field x="2"/>
  </rowFields>
  <rowItems count="75">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6"/>
    </i>
    <i r="1">
      <x v="17"/>
    </i>
    <i r="1">
      <x v="18"/>
    </i>
    <i r="1">
      <x v="19"/>
    </i>
    <i r="1">
      <x v="20"/>
    </i>
    <i r="1">
      <x v="21"/>
    </i>
    <i r="1">
      <x v="22"/>
    </i>
    <i r="1">
      <x v="23"/>
    </i>
    <i>
      <x v="2"/>
    </i>
    <i r="1">
      <x v="1"/>
    </i>
    <i r="1">
      <x v="4"/>
    </i>
    <i r="1">
      <x v="5"/>
    </i>
    <i r="1">
      <x v="6"/>
    </i>
    <i r="1">
      <x v="7"/>
    </i>
    <i r="1">
      <x v="9"/>
    </i>
    <i r="1">
      <x v="14"/>
    </i>
    <i r="1">
      <x v="18"/>
    </i>
    <i r="1">
      <x v="20"/>
    </i>
    <i r="1">
      <x v="24"/>
    </i>
    <i r="1">
      <x v="25"/>
    </i>
    <i r="1">
      <x v="26"/>
    </i>
    <i r="1">
      <x v="27"/>
    </i>
    <i r="1">
      <x v="28"/>
    </i>
    <i r="1">
      <x v="29"/>
    </i>
    <i r="1">
      <x v="30"/>
    </i>
    <i r="1">
      <x v="31"/>
    </i>
    <i>
      <x v="3"/>
    </i>
    <i r="1">
      <x v="1"/>
    </i>
    <i r="1">
      <x v="2"/>
    </i>
    <i r="1">
      <x v="6"/>
    </i>
    <i r="1">
      <x v="9"/>
    </i>
    <i r="1">
      <x v="17"/>
    </i>
    <i r="1">
      <x v="18"/>
    </i>
    <i r="1">
      <x v="25"/>
    </i>
    <i r="1">
      <x v="27"/>
    </i>
    <i r="1">
      <x v="28"/>
    </i>
    <i r="1">
      <x v="30"/>
    </i>
    <i r="1">
      <x v="32"/>
    </i>
    <i r="1">
      <x v="33"/>
    </i>
    <i r="1">
      <x v="34"/>
    </i>
    <i r="1">
      <x v="35"/>
    </i>
    <i r="1">
      <x v="36"/>
    </i>
    <i r="1">
      <x v="37"/>
    </i>
    <i r="1">
      <x v="38"/>
    </i>
    <i>
      <x v="4"/>
    </i>
    <i r="1">
      <x v="1"/>
    </i>
    <i t="grand">
      <x/>
    </i>
  </rowItems>
  <colFields count="1">
    <field x="7"/>
  </colFields>
  <colItems count="3">
    <i>
      <x/>
    </i>
    <i>
      <x v="1"/>
    </i>
    <i t="grand">
      <x/>
    </i>
  </colItems>
  <dataFields count="1">
    <dataField name="Sum of Final_Score"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169917-F96A-424C-9811-F6E90C69F208}" name="PivotTable5"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1" firstDataRow="2" firstDataCol="1" rowPageCount="1" colPageCount="1"/>
  <pivotFields count="14">
    <pivotField showAll="0"/>
    <pivotField axis="axisPage" multipleItemSelectionAllowed="1" showAll="0">
      <items count="6">
        <item x="0"/>
        <item h="1" x="2"/>
        <item h="1" x="1"/>
        <item h="1" x="3"/>
        <item h="1" x="4"/>
        <item t="default"/>
      </items>
    </pivotField>
    <pivotField axis="axisRow" showAll="0">
      <items count="40">
        <item x="0"/>
        <item x="1"/>
        <item x="2"/>
        <item x="24"/>
        <item x="16"/>
        <item x="3"/>
        <item x="4"/>
        <item x="5"/>
        <item x="6"/>
        <item x="7"/>
        <item x="8"/>
        <item x="9"/>
        <item x="10"/>
        <item x="17"/>
        <item x="18"/>
        <item x="19"/>
        <item x="25"/>
        <item x="26"/>
        <item x="27"/>
        <item x="28"/>
        <item x="11"/>
        <item x="12"/>
        <item x="13"/>
        <item x="14"/>
        <item x="15"/>
        <item x="20"/>
        <item x="29"/>
        <item x="21"/>
        <item x="22"/>
        <item x="23"/>
        <item x="30"/>
        <item x="31"/>
        <item x="32"/>
        <item x="33"/>
        <item x="34"/>
        <item x="35"/>
        <item x="36"/>
        <item x="37"/>
        <item x="38"/>
        <item t="default"/>
      </items>
    </pivotField>
    <pivotField showAll="0"/>
    <pivotField showAll="0"/>
    <pivotField showAll="0"/>
    <pivotField showAll="0"/>
    <pivotField axis="axisCol" showAll="0">
      <items count="3">
        <item x="0"/>
        <item x="1"/>
        <item t="default"/>
      </items>
    </pivotField>
    <pivotField showAll="0"/>
    <pivotField showAll="0"/>
    <pivotField numFmtId="9" showAll="0"/>
    <pivotField numFmtId="43" showAll="0"/>
    <pivotField dataField="1" numFmtId="43" showAll="0"/>
    <pivotField showAll="0"/>
  </pivotFields>
  <rowFields count="1">
    <field x="2"/>
  </rowFields>
  <rowItems count="17">
    <i>
      <x/>
    </i>
    <i>
      <x v="1"/>
    </i>
    <i>
      <x v="2"/>
    </i>
    <i>
      <x v="5"/>
    </i>
    <i>
      <x v="6"/>
    </i>
    <i>
      <x v="7"/>
    </i>
    <i>
      <x v="8"/>
    </i>
    <i>
      <x v="9"/>
    </i>
    <i>
      <x v="10"/>
    </i>
    <i>
      <x v="11"/>
    </i>
    <i>
      <x v="12"/>
    </i>
    <i>
      <x v="20"/>
    </i>
    <i>
      <x v="21"/>
    </i>
    <i>
      <x v="22"/>
    </i>
    <i>
      <x v="23"/>
    </i>
    <i>
      <x v="24"/>
    </i>
    <i t="grand">
      <x/>
    </i>
  </rowItems>
  <colFields count="1">
    <field x="7"/>
  </colFields>
  <colItems count="3">
    <i>
      <x/>
    </i>
    <i>
      <x v="1"/>
    </i>
    <i t="grand">
      <x/>
    </i>
  </colItems>
  <pageFields count="1">
    <pageField fld="1" hier="-1"/>
  </pageFields>
  <dataFields count="1">
    <dataField name="Sum of Final_Score"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B6E809-7AEC-AE48-A00B-EE08D6CAF1CC}" name="PivotTable3" cacheId="4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46" firstHeaderRow="1" firstDataRow="2" firstDataCol="1"/>
  <pivotFields count="14">
    <pivotField showAll="0"/>
    <pivotField axis="axisRow" showAll="0">
      <items count="6">
        <item x="0"/>
        <item x="1"/>
        <item x="2"/>
        <item x="3"/>
        <item x="4"/>
        <item t="default"/>
      </items>
    </pivotField>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m="1" x="50"/>
        <item x="39"/>
        <item x="40"/>
        <item x="41"/>
        <item x="42"/>
        <item x="43"/>
        <item x="44"/>
        <item x="45"/>
        <item x="46"/>
        <item x="47"/>
        <item x="48"/>
        <item x="49"/>
        <item t="default"/>
      </items>
    </pivotField>
    <pivotField showAll="0"/>
    <pivotField showAll="0"/>
    <pivotField showAll="0"/>
    <pivotField showAll="0"/>
    <pivotField axis="axisCol" showAll="0">
      <items count="3">
        <item x="0"/>
        <item x="1"/>
        <item t="default"/>
      </items>
    </pivotField>
    <pivotField axis="axisRow" showAll="0">
      <items count="12">
        <item x="0"/>
        <item x="8"/>
        <item x="9"/>
        <item x="1"/>
        <item x="2"/>
        <item x="3"/>
        <item x="4"/>
        <item x="5"/>
        <item x="6"/>
        <item x="7"/>
        <item x="10"/>
        <item t="default"/>
      </items>
    </pivotField>
    <pivotField showAll="0"/>
    <pivotField numFmtId="9" showAll="0"/>
    <pivotField numFmtId="43" showAll="0"/>
    <pivotField dataField="1" numFmtId="43" showAll="0"/>
    <pivotField showAll="0"/>
  </pivotFields>
  <rowFields count="3">
    <field x="1"/>
    <field x="2"/>
    <field x="8"/>
  </rowFields>
  <rowItems count="1042">
    <i>
      <x/>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r="1">
      <x v="3"/>
    </i>
    <i r="2">
      <x/>
    </i>
    <i r="2">
      <x v="1"/>
    </i>
    <i r="2">
      <x v="2"/>
    </i>
    <i r="2">
      <x v="3"/>
    </i>
    <i r="2">
      <x v="4"/>
    </i>
    <i r="2">
      <x v="5"/>
    </i>
    <i r="2">
      <x v="6"/>
    </i>
    <i r="2">
      <x v="7"/>
    </i>
    <i r="2">
      <x v="8"/>
    </i>
    <i r="2">
      <x v="9"/>
    </i>
    <i r="1">
      <x v="4"/>
    </i>
    <i r="2">
      <x/>
    </i>
    <i r="2">
      <x v="1"/>
    </i>
    <i r="2">
      <x v="2"/>
    </i>
    <i r="2">
      <x v="3"/>
    </i>
    <i r="2">
      <x v="4"/>
    </i>
    <i r="2">
      <x v="5"/>
    </i>
    <i r="2">
      <x v="6"/>
    </i>
    <i r="2">
      <x v="7"/>
    </i>
    <i r="2">
      <x v="8"/>
    </i>
    <i r="2">
      <x v="9"/>
    </i>
    <i r="1">
      <x v="5"/>
    </i>
    <i r="2">
      <x/>
    </i>
    <i r="2">
      <x v="1"/>
    </i>
    <i r="2">
      <x v="2"/>
    </i>
    <i r="2">
      <x v="3"/>
    </i>
    <i r="2">
      <x v="4"/>
    </i>
    <i r="2">
      <x v="5"/>
    </i>
    <i r="2">
      <x v="6"/>
    </i>
    <i r="2">
      <x v="7"/>
    </i>
    <i r="2">
      <x v="8"/>
    </i>
    <i r="2">
      <x v="9"/>
    </i>
    <i r="1">
      <x v="6"/>
    </i>
    <i r="2">
      <x/>
    </i>
    <i r="2">
      <x v="1"/>
    </i>
    <i r="2">
      <x v="2"/>
    </i>
    <i r="2">
      <x v="3"/>
    </i>
    <i r="2">
      <x v="4"/>
    </i>
    <i r="2">
      <x v="5"/>
    </i>
    <i r="2">
      <x v="6"/>
    </i>
    <i r="2">
      <x v="7"/>
    </i>
    <i r="2">
      <x v="8"/>
    </i>
    <i r="2">
      <x v="9"/>
    </i>
    <i r="1">
      <x v="7"/>
    </i>
    <i r="2">
      <x/>
    </i>
    <i r="2">
      <x v="1"/>
    </i>
    <i r="2">
      <x v="2"/>
    </i>
    <i r="2">
      <x v="3"/>
    </i>
    <i r="2">
      <x v="4"/>
    </i>
    <i r="2">
      <x v="5"/>
    </i>
    <i r="2">
      <x v="6"/>
    </i>
    <i r="2">
      <x v="7"/>
    </i>
    <i r="2">
      <x v="8"/>
    </i>
    <i r="2">
      <x v="9"/>
    </i>
    <i r="1">
      <x v="8"/>
    </i>
    <i r="2">
      <x/>
    </i>
    <i r="2">
      <x v="1"/>
    </i>
    <i r="2">
      <x v="2"/>
    </i>
    <i r="2">
      <x v="3"/>
    </i>
    <i r="2">
      <x v="4"/>
    </i>
    <i r="2">
      <x v="5"/>
    </i>
    <i r="2">
      <x v="6"/>
    </i>
    <i r="2">
      <x v="7"/>
    </i>
    <i r="2">
      <x v="8"/>
    </i>
    <i r="2">
      <x v="9"/>
    </i>
    <i r="1">
      <x v="9"/>
    </i>
    <i r="2">
      <x/>
    </i>
    <i r="2">
      <x v="1"/>
    </i>
    <i r="2">
      <x v="2"/>
    </i>
    <i r="2">
      <x v="3"/>
    </i>
    <i r="2">
      <x v="4"/>
    </i>
    <i r="2">
      <x v="5"/>
    </i>
    <i r="2">
      <x v="6"/>
    </i>
    <i r="2">
      <x v="7"/>
    </i>
    <i r="2">
      <x v="8"/>
    </i>
    <i r="2">
      <x v="9"/>
    </i>
    <i r="1">
      <x v="10"/>
    </i>
    <i r="2">
      <x/>
    </i>
    <i r="2">
      <x v="1"/>
    </i>
    <i r="2">
      <x v="2"/>
    </i>
    <i r="2">
      <x v="3"/>
    </i>
    <i r="2">
      <x v="4"/>
    </i>
    <i r="2">
      <x v="5"/>
    </i>
    <i r="2">
      <x v="6"/>
    </i>
    <i r="2">
      <x v="7"/>
    </i>
    <i r="2">
      <x v="8"/>
    </i>
    <i r="2">
      <x v="9"/>
    </i>
    <i r="1">
      <x v="11"/>
    </i>
    <i r="2">
      <x/>
    </i>
    <i r="2">
      <x v="1"/>
    </i>
    <i r="2">
      <x v="2"/>
    </i>
    <i r="2">
      <x v="3"/>
    </i>
    <i r="2">
      <x v="4"/>
    </i>
    <i r="2">
      <x v="5"/>
    </i>
    <i r="2">
      <x v="6"/>
    </i>
    <i r="2">
      <x v="7"/>
    </i>
    <i r="2">
      <x v="8"/>
    </i>
    <i r="2">
      <x v="9"/>
    </i>
    <i r="1">
      <x v="12"/>
    </i>
    <i r="2">
      <x/>
    </i>
    <i r="2">
      <x v="1"/>
    </i>
    <i r="2">
      <x v="2"/>
    </i>
    <i r="2">
      <x v="3"/>
    </i>
    <i r="2">
      <x v="4"/>
    </i>
    <i r="2">
      <x v="5"/>
    </i>
    <i r="2">
      <x v="6"/>
    </i>
    <i r="2">
      <x v="7"/>
    </i>
    <i r="2">
      <x v="8"/>
    </i>
    <i r="2">
      <x v="9"/>
    </i>
    <i r="1">
      <x v="13"/>
    </i>
    <i r="2">
      <x/>
    </i>
    <i r="2">
      <x v="1"/>
    </i>
    <i r="2">
      <x v="2"/>
    </i>
    <i r="2">
      <x v="3"/>
    </i>
    <i r="2">
      <x v="4"/>
    </i>
    <i r="2">
      <x v="5"/>
    </i>
    <i r="2">
      <x v="6"/>
    </i>
    <i r="2">
      <x v="7"/>
    </i>
    <i r="2">
      <x v="8"/>
    </i>
    <i r="2">
      <x v="9"/>
    </i>
    <i r="1">
      <x v="14"/>
    </i>
    <i r="2">
      <x/>
    </i>
    <i r="2">
      <x v="1"/>
    </i>
    <i r="2">
      <x v="2"/>
    </i>
    <i r="2">
      <x v="3"/>
    </i>
    <i r="2">
      <x v="4"/>
    </i>
    <i r="2">
      <x v="5"/>
    </i>
    <i r="2">
      <x v="6"/>
    </i>
    <i r="2">
      <x v="7"/>
    </i>
    <i r="2">
      <x v="8"/>
    </i>
    <i r="2">
      <x v="9"/>
    </i>
    <i r="1">
      <x v="15"/>
    </i>
    <i r="2">
      <x/>
    </i>
    <i r="2">
      <x v="1"/>
    </i>
    <i r="2">
      <x v="2"/>
    </i>
    <i r="2">
      <x v="3"/>
    </i>
    <i r="2">
      <x v="4"/>
    </i>
    <i r="2">
      <x v="5"/>
    </i>
    <i r="2">
      <x v="6"/>
    </i>
    <i r="2">
      <x v="7"/>
    </i>
    <i r="2">
      <x v="8"/>
    </i>
    <i r="2">
      <x v="9"/>
    </i>
    <i>
      <x v="1"/>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r="1">
      <x v="3"/>
    </i>
    <i r="2">
      <x/>
    </i>
    <i r="2">
      <x v="1"/>
    </i>
    <i r="2">
      <x v="2"/>
    </i>
    <i r="2">
      <x v="3"/>
    </i>
    <i r="2">
      <x v="4"/>
    </i>
    <i r="2">
      <x v="5"/>
    </i>
    <i r="2">
      <x v="6"/>
    </i>
    <i r="2">
      <x v="7"/>
    </i>
    <i r="2">
      <x v="8"/>
    </i>
    <i r="2">
      <x v="9"/>
    </i>
    <i r="1">
      <x v="4"/>
    </i>
    <i r="2">
      <x/>
    </i>
    <i r="2">
      <x v="1"/>
    </i>
    <i r="2">
      <x v="2"/>
    </i>
    <i r="2">
      <x v="3"/>
    </i>
    <i r="2">
      <x v="4"/>
    </i>
    <i r="2">
      <x v="5"/>
    </i>
    <i r="2">
      <x v="6"/>
    </i>
    <i r="2">
      <x v="7"/>
    </i>
    <i r="2">
      <x v="8"/>
    </i>
    <i r="2">
      <x v="9"/>
    </i>
    <i r="1">
      <x v="5"/>
    </i>
    <i r="2">
      <x/>
    </i>
    <i r="2">
      <x v="1"/>
    </i>
    <i r="2">
      <x v="2"/>
    </i>
    <i r="2">
      <x v="3"/>
    </i>
    <i r="2">
      <x v="4"/>
    </i>
    <i r="2">
      <x v="5"/>
    </i>
    <i r="2">
      <x v="6"/>
    </i>
    <i r="2">
      <x v="7"/>
    </i>
    <i r="2">
      <x v="8"/>
    </i>
    <i r="2">
      <x v="9"/>
    </i>
    <i r="1">
      <x v="6"/>
    </i>
    <i r="2">
      <x/>
    </i>
    <i r="2">
      <x v="1"/>
    </i>
    <i r="2">
      <x v="2"/>
    </i>
    <i r="2">
      <x v="3"/>
    </i>
    <i r="2">
      <x v="4"/>
    </i>
    <i r="2">
      <x v="5"/>
    </i>
    <i r="2">
      <x v="6"/>
    </i>
    <i r="2">
      <x v="7"/>
    </i>
    <i r="2">
      <x v="8"/>
    </i>
    <i r="2">
      <x v="9"/>
    </i>
    <i r="1">
      <x v="7"/>
    </i>
    <i r="2">
      <x/>
    </i>
    <i r="2">
      <x v="1"/>
    </i>
    <i r="2">
      <x v="2"/>
    </i>
    <i r="2">
      <x v="3"/>
    </i>
    <i r="2">
      <x v="4"/>
    </i>
    <i r="2">
      <x v="5"/>
    </i>
    <i r="2">
      <x v="6"/>
    </i>
    <i r="2">
      <x v="7"/>
    </i>
    <i r="2">
      <x v="8"/>
    </i>
    <i r="2">
      <x v="9"/>
    </i>
    <i r="1">
      <x v="8"/>
    </i>
    <i r="2">
      <x/>
    </i>
    <i r="2">
      <x v="1"/>
    </i>
    <i r="2">
      <x v="2"/>
    </i>
    <i r="2">
      <x v="3"/>
    </i>
    <i r="2">
      <x v="4"/>
    </i>
    <i r="2">
      <x v="5"/>
    </i>
    <i r="2">
      <x v="6"/>
    </i>
    <i r="2">
      <x v="7"/>
    </i>
    <i r="2">
      <x v="8"/>
    </i>
    <i r="2">
      <x v="9"/>
    </i>
    <i r="1">
      <x v="9"/>
    </i>
    <i r="2">
      <x/>
    </i>
    <i r="2">
      <x v="1"/>
    </i>
    <i r="2">
      <x v="2"/>
    </i>
    <i r="2">
      <x v="3"/>
    </i>
    <i r="2">
      <x v="4"/>
    </i>
    <i r="2">
      <x v="5"/>
    </i>
    <i r="2">
      <x v="6"/>
    </i>
    <i r="2">
      <x v="7"/>
    </i>
    <i r="2">
      <x v="8"/>
    </i>
    <i r="2">
      <x v="9"/>
    </i>
    <i r="1">
      <x v="16"/>
    </i>
    <i r="2">
      <x/>
    </i>
    <i r="2">
      <x v="1"/>
    </i>
    <i r="2">
      <x v="2"/>
    </i>
    <i r="2">
      <x v="3"/>
    </i>
    <i r="2">
      <x v="4"/>
    </i>
    <i r="2">
      <x v="5"/>
    </i>
    <i r="2">
      <x v="6"/>
    </i>
    <i r="2">
      <x v="7"/>
    </i>
    <i r="2">
      <x v="8"/>
    </i>
    <i r="2">
      <x v="9"/>
    </i>
    <i r="1">
      <x v="17"/>
    </i>
    <i r="2">
      <x/>
    </i>
    <i r="2">
      <x v="1"/>
    </i>
    <i r="2">
      <x v="2"/>
    </i>
    <i r="2">
      <x v="3"/>
    </i>
    <i r="2">
      <x v="4"/>
    </i>
    <i r="2">
      <x v="5"/>
    </i>
    <i r="2">
      <x v="6"/>
    </i>
    <i r="2">
      <x v="7"/>
    </i>
    <i r="2">
      <x v="8"/>
    </i>
    <i r="2">
      <x v="9"/>
    </i>
    <i r="1">
      <x v="18"/>
    </i>
    <i r="2">
      <x/>
    </i>
    <i r="2">
      <x v="1"/>
    </i>
    <i r="2">
      <x v="2"/>
    </i>
    <i r="2">
      <x v="3"/>
    </i>
    <i r="2">
      <x v="4"/>
    </i>
    <i r="2">
      <x v="5"/>
    </i>
    <i r="2">
      <x v="6"/>
    </i>
    <i r="2">
      <x v="7"/>
    </i>
    <i r="2">
      <x v="8"/>
    </i>
    <i r="2">
      <x v="9"/>
    </i>
    <i r="1">
      <x v="19"/>
    </i>
    <i r="2">
      <x/>
    </i>
    <i r="2">
      <x v="1"/>
    </i>
    <i r="2">
      <x v="2"/>
    </i>
    <i r="2">
      <x v="3"/>
    </i>
    <i r="2">
      <x v="4"/>
    </i>
    <i r="2">
      <x v="5"/>
    </i>
    <i r="2">
      <x v="6"/>
    </i>
    <i r="2">
      <x v="7"/>
    </i>
    <i r="2">
      <x v="8"/>
    </i>
    <i r="2">
      <x v="9"/>
    </i>
    <i r="1">
      <x v="20"/>
    </i>
    <i r="2">
      <x/>
    </i>
    <i r="2">
      <x v="1"/>
    </i>
    <i r="2">
      <x v="2"/>
    </i>
    <i r="2">
      <x v="3"/>
    </i>
    <i r="2">
      <x v="4"/>
    </i>
    <i r="2">
      <x v="5"/>
    </i>
    <i r="2">
      <x v="6"/>
    </i>
    <i r="2">
      <x v="7"/>
    </i>
    <i r="2">
      <x v="8"/>
    </i>
    <i r="2">
      <x v="9"/>
    </i>
    <i r="1">
      <x v="21"/>
    </i>
    <i r="2">
      <x/>
    </i>
    <i r="2">
      <x v="1"/>
    </i>
    <i r="2">
      <x v="2"/>
    </i>
    <i r="2">
      <x v="3"/>
    </i>
    <i r="2">
      <x v="4"/>
    </i>
    <i r="2">
      <x v="5"/>
    </i>
    <i r="2">
      <x v="6"/>
    </i>
    <i r="2">
      <x v="7"/>
    </i>
    <i r="2">
      <x v="8"/>
    </i>
    <i r="2">
      <x v="9"/>
    </i>
    <i r="1">
      <x v="22"/>
    </i>
    <i r="2">
      <x/>
    </i>
    <i r="2">
      <x v="1"/>
    </i>
    <i r="2">
      <x v="2"/>
    </i>
    <i r="2">
      <x v="3"/>
    </i>
    <i r="2">
      <x v="4"/>
    </i>
    <i r="2">
      <x v="5"/>
    </i>
    <i r="2">
      <x v="6"/>
    </i>
    <i r="2">
      <x v="7"/>
    </i>
    <i r="2">
      <x v="8"/>
    </i>
    <i r="2">
      <x v="9"/>
    </i>
    <i r="1">
      <x v="23"/>
    </i>
    <i r="2">
      <x/>
    </i>
    <i r="2">
      <x v="1"/>
    </i>
    <i r="2">
      <x v="2"/>
    </i>
    <i r="2">
      <x v="3"/>
    </i>
    <i r="2">
      <x v="4"/>
    </i>
    <i r="2">
      <x v="5"/>
    </i>
    <i r="2">
      <x v="6"/>
    </i>
    <i r="2">
      <x v="7"/>
    </i>
    <i r="2">
      <x v="8"/>
    </i>
    <i r="2">
      <x v="9"/>
    </i>
    <i>
      <x v="2"/>
    </i>
    <i r="1">
      <x v="1"/>
    </i>
    <i r="2">
      <x/>
    </i>
    <i r="2">
      <x v="1"/>
    </i>
    <i r="2">
      <x v="2"/>
    </i>
    <i r="2">
      <x v="3"/>
    </i>
    <i r="2">
      <x v="4"/>
    </i>
    <i r="2">
      <x v="5"/>
    </i>
    <i r="2">
      <x v="6"/>
    </i>
    <i r="2">
      <x v="7"/>
    </i>
    <i r="2">
      <x v="8"/>
    </i>
    <i r="2">
      <x v="9"/>
    </i>
    <i r="1">
      <x v="4"/>
    </i>
    <i r="2">
      <x/>
    </i>
    <i r="2">
      <x v="1"/>
    </i>
    <i r="2">
      <x v="2"/>
    </i>
    <i r="2">
      <x v="3"/>
    </i>
    <i r="2">
      <x v="4"/>
    </i>
    <i r="2">
      <x v="5"/>
    </i>
    <i r="2">
      <x v="6"/>
    </i>
    <i r="2">
      <x v="7"/>
    </i>
    <i r="2">
      <x v="8"/>
    </i>
    <i r="2">
      <x v="9"/>
    </i>
    <i r="1">
      <x v="5"/>
    </i>
    <i r="2">
      <x/>
    </i>
    <i r="2">
      <x v="1"/>
    </i>
    <i r="2">
      <x v="2"/>
    </i>
    <i r="2">
      <x v="3"/>
    </i>
    <i r="2">
      <x v="4"/>
    </i>
    <i r="2">
      <x v="5"/>
    </i>
    <i r="2">
      <x v="6"/>
    </i>
    <i r="2">
      <x v="7"/>
    </i>
    <i r="2">
      <x v="8"/>
    </i>
    <i r="2">
      <x v="9"/>
    </i>
    <i r="1">
      <x v="6"/>
    </i>
    <i r="2">
      <x/>
    </i>
    <i r="2">
      <x v="1"/>
    </i>
    <i r="2">
      <x v="2"/>
    </i>
    <i r="2">
      <x v="3"/>
    </i>
    <i r="2">
      <x v="4"/>
    </i>
    <i r="2">
      <x v="5"/>
    </i>
    <i r="2">
      <x v="6"/>
    </i>
    <i r="2">
      <x v="7"/>
    </i>
    <i r="2">
      <x v="8"/>
    </i>
    <i r="2">
      <x v="9"/>
    </i>
    <i r="1">
      <x v="7"/>
    </i>
    <i r="2">
      <x/>
    </i>
    <i r="2">
      <x v="1"/>
    </i>
    <i r="2">
      <x v="2"/>
    </i>
    <i r="2">
      <x v="3"/>
    </i>
    <i r="2">
      <x v="4"/>
    </i>
    <i r="2">
      <x v="5"/>
    </i>
    <i r="2">
      <x v="6"/>
    </i>
    <i r="2">
      <x v="7"/>
    </i>
    <i r="2">
      <x v="8"/>
    </i>
    <i r="2">
      <x v="9"/>
    </i>
    <i r="1">
      <x v="9"/>
    </i>
    <i r="2">
      <x/>
    </i>
    <i r="2">
      <x v="1"/>
    </i>
    <i r="2">
      <x v="2"/>
    </i>
    <i r="2">
      <x v="3"/>
    </i>
    <i r="2">
      <x v="4"/>
    </i>
    <i r="2">
      <x v="5"/>
    </i>
    <i r="2">
      <x v="6"/>
    </i>
    <i r="2">
      <x v="7"/>
    </i>
    <i r="2">
      <x v="8"/>
    </i>
    <i r="2">
      <x v="9"/>
    </i>
    <i r="1">
      <x v="14"/>
    </i>
    <i r="2">
      <x/>
    </i>
    <i r="2">
      <x v="1"/>
    </i>
    <i r="2">
      <x v="2"/>
    </i>
    <i r="2">
      <x v="3"/>
    </i>
    <i r="2">
      <x v="4"/>
    </i>
    <i r="2">
      <x v="5"/>
    </i>
    <i r="2">
      <x v="6"/>
    </i>
    <i r="2">
      <x v="7"/>
    </i>
    <i r="2">
      <x v="8"/>
    </i>
    <i r="2">
      <x v="9"/>
    </i>
    <i r="1">
      <x v="18"/>
    </i>
    <i r="2">
      <x/>
    </i>
    <i r="2">
      <x v="1"/>
    </i>
    <i r="2">
      <x v="2"/>
    </i>
    <i r="2">
      <x v="3"/>
    </i>
    <i r="2">
      <x v="4"/>
    </i>
    <i r="2">
      <x v="5"/>
    </i>
    <i r="2">
      <x v="6"/>
    </i>
    <i r="2">
      <x v="7"/>
    </i>
    <i r="2">
      <x v="8"/>
    </i>
    <i r="2">
      <x v="9"/>
    </i>
    <i r="1">
      <x v="20"/>
    </i>
    <i r="2">
      <x/>
    </i>
    <i r="2">
      <x v="1"/>
    </i>
    <i r="2">
      <x v="2"/>
    </i>
    <i r="2">
      <x v="3"/>
    </i>
    <i r="2">
      <x v="4"/>
    </i>
    <i r="2">
      <x v="5"/>
    </i>
    <i r="2">
      <x v="6"/>
    </i>
    <i r="2">
      <x v="7"/>
    </i>
    <i r="2">
      <x v="8"/>
    </i>
    <i r="2">
      <x v="9"/>
    </i>
    <i r="1">
      <x v="24"/>
    </i>
    <i r="2">
      <x/>
    </i>
    <i r="2">
      <x v="1"/>
    </i>
    <i r="2">
      <x v="2"/>
    </i>
    <i r="2">
      <x v="3"/>
    </i>
    <i r="2">
      <x v="4"/>
    </i>
    <i r="2">
      <x v="5"/>
    </i>
    <i r="2">
      <x v="6"/>
    </i>
    <i r="2">
      <x v="7"/>
    </i>
    <i r="2">
      <x v="8"/>
    </i>
    <i r="2">
      <x v="9"/>
    </i>
    <i r="1">
      <x v="25"/>
    </i>
    <i r="2">
      <x/>
    </i>
    <i r="2">
      <x v="1"/>
    </i>
    <i r="2">
      <x v="2"/>
    </i>
    <i r="2">
      <x v="3"/>
    </i>
    <i r="2">
      <x v="4"/>
    </i>
    <i r="2">
      <x v="5"/>
    </i>
    <i r="2">
      <x v="6"/>
    </i>
    <i r="2">
      <x v="7"/>
    </i>
    <i r="2">
      <x v="8"/>
    </i>
    <i r="2">
      <x v="9"/>
    </i>
    <i r="1">
      <x v="26"/>
    </i>
    <i r="2">
      <x/>
    </i>
    <i r="2">
      <x v="1"/>
    </i>
    <i r="2">
      <x v="2"/>
    </i>
    <i r="2">
      <x v="3"/>
    </i>
    <i r="2">
      <x v="4"/>
    </i>
    <i r="2">
      <x v="5"/>
    </i>
    <i r="2">
      <x v="6"/>
    </i>
    <i r="2">
      <x v="7"/>
    </i>
    <i r="2">
      <x v="8"/>
    </i>
    <i r="2">
      <x v="9"/>
    </i>
    <i r="1">
      <x v="27"/>
    </i>
    <i r="2">
      <x/>
    </i>
    <i r="2">
      <x v="1"/>
    </i>
    <i r="2">
      <x v="2"/>
    </i>
    <i r="2">
      <x v="3"/>
    </i>
    <i r="2">
      <x v="4"/>
    </i>
    <i r="2">
      <x v="5"/>
    </i>
    <i r="2">
      <x v="6"/>
    </i>
    <i r="2">
      <x v="7"/>
    </i>
    <i r="2">
      <x v="8"/>
    </i>
    <i r="2">
      <x v="9"/>
    </i>
    <i r="1">
      <x v="28"/>
    </i>
    <i r="2">
      <x/>
    </i>
    <i r="2">
      <x v="1"/>
    </i>
    <i r="2">
      <x v="2"/>
    </i>
    <i r="2">
      <x v="3"/>
    </i>
    <i r="2">
      <x v="4"/>
    </i>
    <i r="2">
      <x v="5"/>
    </i>
    <i r="2">
      <x v="6"/>
    </i>
    <i r="2">
      <x v="7"/>
    </i>
    <i r="2">
      <x v="8"/>
    </i>
    <i r="2">
      <x v="9"/>
    </i>
    <i r="1">
      <x v="29"/>
    </i>
    <i r="2">
      <x/>
    </i>
    <i r="2">
      <x v="1"/>
    </i>
    <i r="2">
      <x v="2"/>
    </i>
    <i r="2">
      <x v="3"/>
    </i>
    <i r="2">
      <x v="4"/>
    </i>
    <i r="2">
      <x v="5"/>
    </i>
    <i r="2">
      <x v="6"/>
    </i>
    <i r="2">
      <x v="7"/>
    </i>
    <i r="2">
      <x v="8"/>
    </i>
    <i r="2">
      <x v="9"/>
    </i>
    <i r="1">
      <x v="30"/>
    </i>
    <i r="2">
      <x/>
    </i>
    <i r="2">
      <x v="1"/>
    </i>
    <i r="2">
      <x v="2"/>
    </i>
    <i r="2">
      <x v="3"/>
    </i>
    <i r="2">
      <x v="4"/>
    </i>
    <i r="2">
      <x v="5"/>
    </i>
    <i r="2">
      <x v="6"/>
    </i>
    <i r="2">
      <x v="7"/>
    </i>
    <i r="2">
      <x v="8"/>
    </i>
    <i r="2">
      <x v="9"/>
    </i>
    <i r="1">
      <x v="31"/>
    </i>
    <i r="2">
      <x/>
    </i>
    <i r="2">
      <x v="1"/>
    </i>
    <i r="2">
      <x v="2"/>
    </i>
    <i r="2">
      <x v="3"/>
    </i>
    <i r="2">
      <x v="4"/>
    </i>
    <i r="2">
      <x v="5"/>
    </i>
    <i r="2">
      <x v="6"/>
    </i>
    <i r="2">
      <x v="7"/>
    </i>
    <i r="2">
      <x v="8"/>
    </i>
    <i r="2">
      <x v="9"/>
    </i>
    <i>
      <x v="3"/>
    </i>
    <i r="1">
      <x v="1"/>
    </i>
    <i r="2">
      <x/>
    </i>
    <i r="2">
      <x v="1"/>
    </i>
    <i r="2">
      <x v="2"/>
    </i>
    <i r="2">
      <x v="3"/>
    </i>
    <i r="2">
      <x v="4"/>
    </i>
    <i r="2">
      <x v="5"/>
    </i>
    <i r="2">
      <x v="6"/>
    </i>
    <i r="2">
      <x v="7"/>
    </i>
    <i r="2">
      <x v="8"/>
    </i>
    <i r="2">
      <x v="9"/>
    </i>
    <i r="1">
      <x v="2"/>
    </i>
    <i r="2">
      <x/>
    </i>
    <i r="2">
      <x v="1"/>
    </i>
    <i r="2">
      <x v="2"/>
    </i>
    <i r="2">
      <x v="3"/>
    </i>
    <i r="2">
      <x v="4"/>
    </i>
    <i r="2">
      <x v="5"/>
    </i>
    <i r="2">
      <x v="6"/>
    </i>
    <i r="2">
      <x v="7"/>
    </i>
    <i r="2">
      <x v="8"/>
    </i>
    <i r="2">
      <x v="9"/>
    </i>
    <i r="1">
      <x v="6"/>
    </i>
    <i r="2">
      <x/>
    </i>
    <i r="2">
      <x v="1"/>
    </i>
    <i r="2">
      <x v="2"/>
    </i>
    <i r="2">
      <x v="3"/>
    </i>
    <i r="2">
      <x v="4"/>
    </i>
    <i r="2">
      <x v="5"/>
    </i>
    <i r="2">
      <x v="6"/>
    </i>
    <i r="2">
      <x v="7"/>
    </i>
    <i r="2">
      <x v="8"/>
    </i>
    <i r="2">
      <x v="9"/>
    </i>
    <i r="1">
      <x v="9"/>
    </i>
    <i r="2">
      <x/>
    </i>
    <i r="2">
      <x v="1"/>
    </i>
    <i r="2">
      <x v="2"/>
    </i>
    <i r="2">
      <x v="3"/>
    </i>
    <i r="2">
      <x v="4"/>
    </i>
    <i r="2">
      <x v="5"/>
    </i>
    <i r="2">
      <x v="6"/>
    </i>
    <i r="2">
      <x v="7"/>
    </i>
    <i r="2">
      <x v="8"/>
    </i>
    <i r="2">
      <x v="9"/>
    </i>
    <i r="1">
      <x v="17"/>
    </i>
    <i r="2">
      <x/>
    </i>
    <i r="2">
      <x v="1"/>
    </i>
    <i r="2">
      <x v="2"/>
    </i>
    <i r="2">
      <x v="3"/>
    </i>
    <i r="2">
      <x v="4"/>
    </i>
    <i r="2">
      <x v="5"/>
    </i>
    <i r="2">
      <x v="6"/>
    </i>
    <i r="2">
      <x v="7"/>
    </i>
    <i r="2">
      <x v="8"/>
    </i>
    <i r="2">
      <x v="9"/>
    </i>
    <i r="1">
      <x v="18"/>
    </i>
    <i r="2">
      <x/>
    </i>
    <i r="2">
      <x v="1"/>
    </i>
    <i r="2">
      <x v="2"/>
    </i>
    <i r="2">
      <x v="3"/>
    </i>
    <i r="2">
      <x v="4"/>
    </i>
    <i r="2">
      <x v="5"/>
    </i>
    <i r="2">
      <x v="6"/>
    </i>
    <i r="2">
      <x v="7"/>
    </i>
    <i r="2">
      <x v="8"/>
    </i>
    <i r="2">
      <x v="9"/>
    </i>
    <i r="1">
      <x v="25"/>
    </i>
    <i r="2">
      <x/>
    </i>
    <i r="2">
      <x v="1"/>
    </i>
    <i r="2">
      <x v="2"/>
    </i>
    <i r="2">
      <x v="3"/>
    </i>
    <i r="2">
      <x v="4"/>
    </i>
    <i r="2">
      <x v="5"/>
    </i>
    <i r="2">
      <x v="6"/>
    </i>
    <i r="2">
      <x v="7"/>
    </i>
    <i r="2">
      <x v="8"/>
    </i>
    <i r="2">
      <x v="9"/>
    </i>
    <i r="1">
      <x v="27"/>
    </i>
    <i r="2">
      <x/>
    </i>
    <i r="2">
      <x v="1"/>
    </i>
    <i r="2">
      <x v="2"/>
    </i>
    <i r="2">
      <x v="3"/>
    </i>
    <i r="2">
      <x v="4"/>
    </i>
    <i r="2">
      <x v="5"/>
    </i>
    <i r="2">
      <x v="6"/>
    </i>
    <i r="2">
      <x v="7"/>
    </i>
    <i r="2">
      <x v="8"/>
    </i>
    <i r="2">
      <x v="9"/>
    </i>
    <i r="1">
      <x v="28"/>
    </i>
    <i r="2">
      <x/>
    </i>
    <i r="2">
      <x v="1"/>
    </i>
    <i r="2">
      <x v="2"/>
    </i>
    <i r="2">
      <x v="3"/>
    </i>
    <i r="2">
      <x v="4"/>
    </i>
    <i r="2">
      <x v="5"/>
    </i>
    <i r="2">
      <x v="6"/>
    </i>
    <i r="2">
      <x v="7"/>
    </i>
    <i r="2">
      <x v="8"/>
    </i>
    <i r="2">
      <x v="9"/>
    </i>
    <i r="1">
      <x v="30"/>
    </i>
    <i r="2">
      <x/>
    </i>
    <i r="2">
      <x v="1"/>
    </i>
    <i r="2">
      <x v="2"/>
    </i>
    <i r="2">
      <x v="3"/>
    </i>
    <i r="2">
      <x v="4"/>
    </i>
    <i r="2">
      <x v="5"/>
    </i>
    <i r="2">
      <x v="6"/>
    </i>
    <i r="2">
      <x v="7"/>
    </i>
    <i r="2">
      <x v="8"/>
    </i>
    <i r="2">
      <x v="9"/>
    </i>
    <i r="1">
      <x v="32"/>
    </i>
    <i r="2">
      <x/>
    </i>
    <i r="2">
      <x v="1"/>
    </i>
    <i r="2">
      <x v="2"/>
    </i>
    <i r="2">
      <x v="3"/>
    </i>
    <i r="2">
      <x v="4"/>
    </i>
    <i r="2">
      <x v="5"/>
    </i>
    <i r="2">
      <x v="6"/>
    </i>
    <i r="2">
      <x v="7"/>
    </i>
    <i r="2">
      <x v="8"/>
    </i>
    <i r="2">
      <x v="9"/>
    </i>
    <i r="1">
      <x v="33"/>
    </i>
    <i r="2">
      <x/>
    </i>
    <i r="2">
      <x v="1"/>
    </i>
    <i r="2">
      <x v="2"/>
    </i>
    <i r="2">
      <x v="3"/>
    </i>
    <i r="2">
      <x v="4"/>
    </i>
    <i r="2">
      <x v="5"/>
    </i>
    <i r="2">
      <x v="6"/>
    </i>
    <i r="2">
      <x v="7"/>
    </i>
    <i r="2">
      <x v="8"/>
    </i>
    <i r="2">
      <x v="9"/>
    </i>
    <i r="1">
      <x v="34"/>
    </i>
    <i r="2">
      <x/>
    </i>
    <i r="2">
      <x v="1"/>
    </i>
    <i r="2">
      <x v="2"/>
    </i>
    <i r="2">
      <x v="3"/>
    </i>
    <i r="2">
      <x v="4"/>
    </i>
    <i r="2">
      <x v="5"/>
    </i>
    <i r="2">
      <x v="6"/>
    </i>
    <i r="2">
      <x v="7"/>
    </i>
    <i r="2">
      <x v="8"/>
    </i>
    <i r="2">
      <x v="9"/>
    </i>
    <i r="1">
      <x v="35"/>
    </i>
    <i r="2">
      <x/>
    </i>
    <i r="2">
      <x v="1"/>
    </i>
    <i r="2">
      <x v="2"/>
    </i>
    <i r="2">
      <x v="3"/>
    </i>
    <i r="2">
      <x v="4"/>
    </i>
    <i r="2">
      <x v="5"/>
    </i>
    <i r="2">
      <x v="6"/>
    </i>
    <i r="2">
      <x v="7"/>
    </i>
    <i r="2">
      <x v="8"/>
    </i>
    <i r="2">
      <x v="9"/>
    </i>
    <i r="1">
      <x v="36"/>
    </i>
    <i r="2">
      <x/>
    </i>
    <i r="2">
      <x v="1"/>
    </i>
    <i r="2">
      <x v="2"/>
    </i>
    <i r="2">
      <x v="3"/>
    </i>
    <i r="2">
      <x v="4"/>
    </i>
    <i r="2">
      <x v="5"/>
    </i>
    <i r="2">
      <x v="6"/>
    </i>
    <i r="2">
      <x v="7"/>
    </i>
    <i r="2">
      <x v="8"/>
    </i>
    <i r="2">
      <x v="9"/>
    </i>
    <i r="1">
      <x v="37"/>
    </i>
    <i r="2">
      <x/>
    </i>
    <i r="2">
      <x v="1"/>
    </i>
    <i r="2">
      <x v="2"/>
    </i>
    <i r="2">
      <x v="3"/>
    </i>
    <i r="2">
      <x v="4"/>
    </i>
    <i r="2">
      <x v="5"/>
    </i>
    <i r="2">
      <x v="6"/>
    </i>
    <i r="2">
      <x v="7"/>
    </i>
    <i r="2">
      <x v="8"/>
    </i>
    <i r="2">
      <x v="9"/>
    </i>
    <i r="1">
      <x v="38"/>
    </i>
    <i r="2">
      <x/>
    </i>
    <i r="2">
      <x v="1"/>
    </i>
    <i r="2">
      <x v="2"/>
    </i>
    <i r="2">
      <x v="3"/>
    </i>
    <i r="2">
      <x v="4"/>
    </i>
    <i r="2">
      <x v="5"/>
    </i>
    <i r="2">
      <x v="6"/>
    </i>
    <i r="2">
      <x v="7"/>
    </i>
    <i r="2">
      <x v="8"/>
    </i>
    <i r="2">
      <x v="9"/>
    </i>
    <i>
      <x v="4"/>
    </i>
    <i r="1">
      <x v="1"/>
    </i>
    <i r="2">
      <x/>
    </i>
    <i r="2">
      <x v="1"/>
    </i>
    <i r="2">
      <x v="2"/>
    </i>
    <i r="2">
      <x v="3"/>
    </i>
    <i r="2">
      <x v="4"/>
    </i>
    <i r="2">
      <x v="5"/>
    </i>
    <i r="2">
      <x v="6"/>
    </i>
    <i r="2">
      <x v="7"/>
    </i>
    <i r="2">
      <x v="8"/>
    </i>
    <i r="2">
      <x v="9"/>
    </i>
    <i r="2">
      <x v="10"/>
    </i>
    <i r="1">
      <x v="4"/>
    </i>
    <i r="2">
      <x/>
    </i>
    <i r="2">
      <x v="1"/>
    </i>
    <i r="2">
      <x v="2"/>
    </i>
    <i r="2">
      <x v="3"/>
    </i>
    <i r="2">
      <x v="4"/>
    </i>
    <i r="2">
      <x v="5"/>
    </i>
    <i r="2">
      <x v="6"/>
    </i>
    <i r="2">
      <x v="7"/>
    </i>
    <i r="2">
      <x v="8"/>
    </i>
    <i r="2">
      <x v="9"/>
    </i>
    <i r="2">
      <x v="10"/>
    </i>
    <i r="1">
      <x v="6"/>
    </i>
    <i r="2">
      <x/>
    </i>
    <i r="2">
      <x v="1"/>
    </i>
    <i r="2">
      <x v="2"/>
    </i>
    <i r="2">
      <x v="3"/>
    </i>
    <i r="2">
      <x v="4"/>
    </i>
    <i r="2">
      <x v="5"/>
    </i>
    <i r="2">
      <x v="6"/>
    </i>
    <i r="2">
      <x v="7"/>
    </i>
    <i r="2">
      <x v="8"/>
    </i>
    <i r="2">
      <x v="9"/>
    </i>
    <i r="2">
      <x v="10"/>
    </i>
    <i r="1">
      <x v="9"/>
    </i>
    <i r="2">
      <x/>
    </i>
    <i r="2">
      <x v="1"/>
    </i>
    <i r="2">
      <x v="2"/>
    </i>
    <i r="2">
      <x v="3"/>
    </i>
    <i r="2">
      <x v="4"/>
    </i>
    <i r="2">
      <x v="5"/>
    </i>
    <i r="2">
      <x v="6"/>
    </i>
    <i r="2">
      <x v="7"/>
    </i>
    <i r="2">
      <x v="8"/>
    </i>
    <i r="2">
      <x v="9"/>
    </i>
    <i r="2">
      <x v="10"/>
    </i>
    <i r="1">
      <x v="17"/>
    </i>
    <i r="2">
      <x/>
    </i>
    <i r="2">
      <x v="1"/>
    </i>
    <i r="2">
      <x v="2"/>
    </i>
    <i r="2">
      <x v="3"/>
    </i>
    <i r="2">
      <x v="4"/>
    </i>
    <i r="2">
      <x v="5"/>
    </i>
    <i r="2">
      <x v="6"/>
    </i>
    <i r="2">
      <x v="7"/>
    </i>
    <i r="2">
      <x v="8"/>
    </i>
    <i r="2">
      <x v="9"/>
    </i>
    <i r="2">
      <x v="10"/>
    </i>
    <i r="1">
      <x v="18"/>
    </i>
    <i r="2">
      <x/>
    </i>
    <i r="2">
      <x v="1"/>
    </i>
    <i r="2">
      <x v="2"/>
    </i>
    <i r="2">
      <x v="3"/>
    </i>
    <i r="2">
      <x v="4"/>
    </i>
    <i r="2">
      <x v="5"/>
    </i>
    <i r="2">
      <x v="6"/>
    </i>
    <i r="2">
      <x v="7"/>
    </i>
    <i r="2">
      <x v="8"/>
    </i>
    <i r="2">
      <x v="9"/>
    </i>
    <i r="2">
      <x v="10"/>
    </i>
    <i r="1">
      <x v="25"/>
    </i>
    <i r="2">
      <x/>
    </i>
    <i r="2">
      <x v="1"/>
    </i>
    <i r="2">
      <x v="2"/>
    </i>
    <i r="2">
      <x v="3"/>
    </i>
    <i r="2">
      <x v="4"/>
    </i>
    <i r="2">
      <x v="5"/>
    </i>
    <i r="2">
      <x v="6"/>
    </i>
    <i r="2">
      <x v="7"/>
    </i>
    <i r="2">
      <x v="8"/>
    </i>
    <i r="2">
      <x v="9"/>
    </i>
    <i r="2">
      <x v="10"/>
    </i>
    <i r="1">
      <x v="26"/>
    </i>
    <i r="2">
      <x/>
    </i>
    <i r="2">
      <x v="1"/>
    </i>
    <i r="2">
      <x v="2"/>
    </i>
    <i r="2">
      <x v="3"/>
    </i>
    <i r="2">
      <x v="4"/>
    </i>
    <i r="2">
      <x v="5"/>
    </i>
    <i r="2">
      <x v="6"/>
    </i>
    <i r="2">
      <x v="7"/>
    </i>
    <i r="2">
      <x v="8"/>
    </i>
    <i r="2">
      <x v="9"/>
    </i>
    <i r="2">
      <x v="10"/>
    </i>
    <i r="1">
      <x v="27"/>
    </i>
    <i r="2">
      <x/>
    </i>
    <i r="2">
      <x v="1"/>
    </i>
    <i r="2">
      <x v="2"/>
    </i>
    <i r="2">
      <x v="3"/>
    </i>
    <i r="2">
      <x v="4"/>
    </i>
    <i r="2">
      <x v="5"/>
    </i>
    <i r="2">
      <x v="6"/>
    </i>
    <i r="2">
      <x v="7"/>
    </i>
    <i r="2">
      <x v="8"/>
    </i>
    <i r="2">
      <x v="9"/>
    </i>
    <i r="2">
      <x v="10"/>
    </i>
    <i r="1">
      <x v="29"/>
    </i>
    <i r="2">
      <x/>
    </i>
    <i r="2">
      <x v="1"/>
    </i>
    <i r="2">
      <x v="2"/>
    </i>
    <i r="2">
      <x v="3"/>
    </i>
    <i r="2">
      <x v="4"/>
    </i>
    <i r="2">
      <x v="5"/>
    </i>
    <i r="2">
      <x v="6"/>
    </i>
    <i r="2">
      <x v="7"/>
    </i>
    <i r="2">
      <x v="8"/>
    </i>
    <i r="2">
      <x v="9"/>
    </i>
    <i r="2">
      <x v="10"/>
    </i>
    <i r="1">
      <x v="35"/>
    </i>
    <i r="2">
      <x/>
    </i>
    <i r="2">
      <x v="1"/>
    </i>
    <i r="2">
      <x v="2"/>
    </i>
    <i r="2">
      <x v="3"/>
    </i>
    <i r="2">
      <x v="4"/>
    </i>
    <i r="2">
      <x v="5"/>
    </i>
    <i r="2">
      <x v="6"/>
    </i>
    <i r="2">
      <x v="7"/>
    </i>
    <i r="2">
      <x v="8"/>
    </i>
    <i r="2">
      <x v="9"/>
    </i>
    <i r="2">
      <x v="10"/>
    </i>
    <i r="1">
      <x v="36"/>
    </i>
    <i r="2">
      <x/>
    </i>
    <i r="2">
      <x v="1"/>
    </i>
    <i r="2">
      <x v="2"/>
    </i>
    <i r="2">
      <x v="3"/>
    </i>
    <i r="2">
      <x v="4"/>
    </i>
    <i r="2">
      <x v="5"/>
    </i>
    <i r="2">
      <x v="6"/>
    </i>
    <i r="2">
      <x v="7"/>
    </i>
    <i r="2">
      <x v="8"/>
    </i>
    <i r="2">
      <x v="9"/>
    </i>
    <i r="2">
      <x v="10"/>
    </i>
    <i r="1">
      <x v="38"/>
    </i>
    <i r="2">
      <x/>
    </i>
    <i r="2">
      <x v="1"/>
    </i>
    <i r="2">
      <x v="2"/>
    </i>
    <i r="2">
      <x v="3"/>
    </i>
    <i r="2">
      <x v="4"/>
    </i>
    <i r="2">
      <x v="5"/>
    </i>
    <i r="2">
      <x v="6"/>
    </i>
    <i r="2">
      <x v="7"/>
    </i>
    <i r="2">
      <x v="8"/>
    </i>
    <i r="2">
      <x v="9"/>
    </i>
    <i r="2">
      <x v="10"/>
    </i>
    <i r="1">
      <x v="40"/>
    </i>
    <i r="2">
      <x/>
    </i>
    <i r="2">
      <x v="1"/>
    </i>
    <i r="2">
      <x v="2"/>
    </i>
    <i r="2">
      <x v="3"/>
    </i>
    <i r="2">
      <x v="4"/>
    </i>
    <i r="2">
      <x v="5"/>
    </i>
    <i r="2">
      <x v="6"/>
    </i>
    <i r="2">
      <x v="7"/>
    </i>
    <i r="2">
      <x v="8"/>
    </i>
    <i r="2">
      <x v="9"/>
    </i>
    <i r="2">
      <x v="10"/>
    </i>
    <i r="1">
      <x v="41"/>
    </i>
    <i r="2">
      <x/>
    </i>
    <i r="2">
      <x v="1"/>
    </i>
    <i r="2">
      <x v="2"/>
    </i>
    <i r="2">
      <x v="3"/>
    </i>
    <i r="2">
      <x v="4"/>
    </i>
    <i r="2">
      <x v="5"/>
    </i>
    <i r="2">
      <x v="6"/>
    </i>
    <i r="2">
      <x v="7"/>
    </i>
    <i r="2">
      <x v="8"/>
    </i>
    <i r="2">
      <x v="9"/>
    </i>
    <i r="2">
      <x v="10"/>
    </i>
    <i r="1">
      <x v="42"/>
    </i>
    <i r="2">
      <x/>
    </i>
    <i r="2">
      <x v="1"/>
    </i>
    <i r="2">
      <x v="2"/>
    </i>
    <i r="2">
      <x v="3"/>
    </i>
    <i r="2">
      <x v="4"/>
    </i>
    <i r="2">
      <x v="5"/>
    </i>
    <i r="2">
      <x v="6"/>
    </i>
    <i r="2">
      <x v="7"/>
    </i>
    <i r="2">
      <x v="8"/>
    </i>
    <i r="2">
      <x v="9"/>
    </i>
    <i r="2">
      <x v="10"/>
    </i>
    <i r="1">
      <x v="43"/>
    </i>
    <i r="2">
      <x/>
    </i>
    <i r="2">
      <x v="1"/>
    </i>
    <i r="2">
      <x v="2"/>
    </i>
    <i r="2">
      <x v="3"/>
    </i>
    <i r="2">
      <x v="4"/>
    </i>
    <i r="2">
      <x v="5"/>
    </i>
    <i r="2">
      <x v="6"/>
    </i>
    <i r="2">
      <x v="7"/>
    </i>
    <i r="2">
      <x v="8"/>
    </i>
    <i r="2">
      <x v="9"/>
    </i>
    <i r="2">
      <x v="10"/>
    </i>
    <i r="1">
      <x v="44"/>
    </i>
    <i r="2">
      <x/>
    </i>
    <i r="2">
      <x v="1"/>
    </i>
    <i r="2">
      <x v="2"/>
    </i>
    <i r="2">
      <x v="3"/>
    </i>
    <i r="2">
      <x v="4"/>
    </i>
    <i r="2">
      <x v="5"/>
    </i>
    <i r="2">
      <x v="6"/>
    </i>
    <i r="2">
      <x v="7"/>
    </i>
    <i r="2">
      <x v="8"/>
    </i>
    <i r="2">
      <x v="9"/>
    </i>
    <i r="2">
      <x v="10"/>
    </i>
    <i r="1">
      <x v="45"/>
    </i>
    <i r="2">
      <x/>
    </i>
    <i r="2">
      <x v="1"/>
    </i>
    <i r="2">
      <x v="2"/>
    </i>
    <i r="2">
      <x v="3"/>
    </i>
    <i r="2">
      <x v="4"/>
    </i>
    <i r="2">
      <x v="5"/>
    </i>
    <i r="2">
      <x v="6"/>
    </i>
    <i r="2">
      <x v="7"/>
    </i>
    <i r="2">
      <x v="8"/>
    </i>
    <i r="2">
      <x v="9"/>
    </i>
    <i r="2">
      <x v="10"/>
    </i>
    <i r="1">
      <x v="46"/>
    </i>
    <i r="2">
      <x/>
    </i>
    <i r="2">
      <x v="1"/>
    </i>
    <i r="2">
      <x v="2"/>
    </i>
    <i r="2">
      <x v="3"/>
    </i>
    <i r="2">
      <x v="4"/>
    </i>
    <i r="2">
      <x v="5"/>
    </i>
    <i r="2">
      <x v="6"/>
    </i>
    <i r="2">
      <x v="7"/>
    </i>
    <i r="2">
      <x v="8"/>
    </i>
    <i r="2">
      <x v="9"/>
    </i>
    <i r="2">
      <x v="10"/>
    </i>
    <i r="1">
      <x v="47"/>
    </i>
    <i r="2">
      <x/>
    </i>
    <i r="2">
      <x v="1"/>
    </i>
    <i r="2">
      <x v="2"/>
    </i>
    <i r="2">
      <x v="3"/>
    </i>
    <i r="2">
      <x v="4"/>
    </i>
    <i r="2">
      <x v="5"/>
    </i>
    <i r="2">
      <x v="6"/>
    </i>
    <i r="2">
      <x v="7"/>
    </i>
    <i r="2">
      <x v="8"/>
    </i>
    <i r="2">
      <x v="9"/>
    </i>
    <i r="2">
      <x v="10"/>
    </i>
    <i r="1">
      <x v="48"/>
    </i>
    <i r="2">
      <x/>
    </i>
    <i r="2">
      <x v="1"/>
    </i>
    <i r="2">
      <x v="2"/>
    </i>
    <i r="2">
      <x v="3"/>
    </i>
    <i r="2">
      <x v="4"/>
    </i>
    <i r="2">
      <x v="5"/>
    </i>
    <i r="2">
      <x v="6"/>
    </i>
    <i r="2">
      <x v="7"/>
    </i>
    <i r="2">
      <x v="8"/>
    </i>
    <i r="2">
      <x v="9"/>
    </i>
    <i r="2">
      <x v="10"/>
    </i>
    <i r="1">
      <x v="49"/>
    </i>
    <i r="2">
      <x/>
    </i>
    <i r="2">
      <x v="1"/>
    </i>
    <i r="2">
      <x v="2"/>
    </i>
    <i r="2">
      <x v="3"/>
    </i>
    <i r="2">
      <x v="4"/>
    </i>
    <i r="2">
      <x v="5"/>
    </i>
    <i r="2">
      <x v="6"/>
    </i>
    <i r="2">
      <x v="7"/>
    </i>
    <i r="2">
      <x v="8"/>
    </i>
    <i r="2">
      <x v="9"/>
    </i>
    <i r="2">
      <x v="10"/>
    </i>
    <i r="1">
      <x v="50"/>
    </i>
    <i r="2">
      <x/>
    </i>
    <i r="2">
      <x v="1"/>
    </i>
    <i r="2">
      <x v="2"/>
    </i>
    <i r="2">
      <x v="3"/>
    </i>
    <i r="2">
      <x v="4"/>
    </i>
    <i r="2">
      <x v="5"/>
    </i>
    <i r="2">
      <x v="6"/>
    </i>
    <i r="2">
      <x v="7"/>
    </i>
    <i r="2">
      <x v="8"/>
    </i>
    <i r="2">
      <x v="9"/>
    </i>
    <i r="2">
      <x v="10"/>
    </i>
    <i t="grand">
      <x/>
    </i>
  </rowItems>
  <colFields count="1">
    <field x="7"/>
  </colFields>
  <colItems count="3">
    <i>
      <x/>
    </i>
    <i>
      <x v="1"/>
    </i>
    <i t="grand">
      <x/>
    </i>
  </colItems>
  <dataFields count="1">
    <dataField name="Sum of Final_Score"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5080DD-723D-4B44-85AB-9CD131746DAF}" name="PivotTable4" cacheId="47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D96" firstHeaderRow="1" firstDataRow="2" firstDataCol="2"/>
  <pivotFields count="14">
    <pivotField compact="0" outline="0" subtotalTop="0" showAll="0" defaultSubtotal="0"/>
    <pivotField axis="axisRow" compact="0" outline="0" showAll="0" defaultSubtotal="0">
      <items count="5">
        <item x="0"/>
        <item x="1"/>
        <item x="2"/>
        <item x="3"/>
        <item x="4"/>
      </items>
    </pivotField>
    <pivotField axis="axisRow" compact="0" outline="0" showAll="0" defaultSubtota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m="1" x="50"/>
        <item x="39"/>
        <item x="40"/>
        <item x="41"/>
        <item x="42"/>
        <item x="43"/>
        <item x="44"/>
        <item x="45"/>
        <item x="46"/>
        <item x="47"/>
        <item x="48"/>
        <item x="49"/>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pivotField compact="0" outline="0" showAll="0" defaultSubtotal="0"/>
    <pivotField compact="0" numFmtId="9" outline="0" showAll="0" defaultSubtotal="0"/>
    <pivotField compact="0" numFmtId="43" outline="0" showAll="0" defaultSubtotal="0"/>
    <pivotField dataField="1" compact="0" numFmtId="43" outline="0" showAll="0" defaultSubtotal="0"/>
    <pivotField compact="0" outline="0" showAll="0" defaultSubtotal="0"/>
  </pivotFields>
  <rowFields count="2">
    <field x="2"/>
    <field x="1"/>
  </rowFields>
  <rowItems count="92">
    <i>
      <x/>
      <x/>
    </i>
    <i r="1">
      <x v="1"/>
    </i>
    <i>
      <x v="1"/>
      <x/>
    </i>
    <i r="1">
      <x v="1"/>
    </i>
    <i r="1">
      <x v="2"/>
    </i>
    <i r="1">
      <x v="3"/>
    </i>
    <i r="1">
      <x v="4"/>
    </i>
    <i>
      <x v="2"/>
      <x/>
    </i>
    <i r="1">
      <x v="1"/>
    </i>
    <i r="1">
      <x v="3"/>
    </i>
    <i>
      <x v="3"/>
      <x/>
    </i>
    <i r="1">
      <x v="1"/>
    </i>
    <i>
      <x v="4"/>
      <x/>
    </i>
    <i r="1">
      <x v="1"/>
    </i>
    <i r="1">
      <x v="2"/>
    </i>
    <i r="1">
      <x v="4"/>
    </i>
    <i>
      <x v="5"/>
      <x/>
    </i>
    <i r="1">
      <x v="1"/>
    </i>
    <i r="1">
      <x v="2"/>
    </i>
    <i>
      <x v="6"/>
      <x/>
    </i>
    <i r="1">
      <x v="1"/>
    </i>
    <i r="1">
      <x v="2"/>
    </i>
    <i r="1">
      <x v="3"/>
    </i>
    <i r="1">
      <x v="4"/>
    </i>
    <i>
      <x v="7"/>
      <x/>
    </i>
    <i r="1">
      <x v="1"/>
    </i>
    <i r="1">
      <x v="2"/>
    </i>
    <i>
      <x v="8"/>
      <x/>
    </i>
    <i r="1">
      <x v="1"/>
    </i>
    <i>
      <x v="9"/>
      <x/>
    </i>
    <i r="1">
      <x v="1"/>
    </i>
    <i r="1">
      <x v="2"/>
    </i>
    <i r="1">
      <x v="3"/>
    </i>
    <i r="1">
      <x v="4"/>
    </i>
    <i>
      <x v="10"/>
      <x/>
    </i>
    <i>
      <x v="11"/>
      <x/>
    </i>
    <i>
      <x v="12"/>
      <x/>
    </i>
    <i>
      <x v="13"/>
      <x/>
    </i>
    <i>
      <x v="14"/>
      <x/>
    </i>
    <i r="1">
      <x v="2"/>
    </i>
    <i>
      <x v="15"/>
      <x/>
    </i>
    <i>
      <x v="16"/>
      <x v="1"/>
    </i>
    <i>
      <x v="17"/>
      <x v="1"/>
    </i>
    <i r="1">
      <x v="3"/>
    </i>
    <i r="1">
      <x v="4"/>
    </i>
    <i>
      <x v="18"/>
      <x v="1"/>
    </i>
    <i r="1">
      <x v="2"/>
    </i>
    <i r="1">
      <x v="3"/>
    </i>
    <i r="1">
      <x v="4"/>
    </i>
    <i>
      <x v="19"/>
      <x v="1"/>
    </i>
    <i>
      <x v="20"/>
      <x v="1"/>
    </i>
    <i r="1">
      <x v="2"/>
    </i>
    <i>
      <x v="21"/>
      <x v="1"/>
    </i>
    <i>
      <x v="22"/>
      <x v="1"/>
    </i>
    <i>
      <x v="23"/>
      <x v="1"/>
    </i>
    <i>
      <x v="24"/>
      <x v="2"/>
    </i>
    <i>
      <x v="25"/>
      <x v="2"/>
    </i>
    <i r="1">
      <x v="3"/>
    </i>
    <i r="1">
      <x v="4"/>
    </i>
    <i>
      <x v="26"/>
      <x v="2"/>
    </i>
    <i r="1">
      <x v="4"/>
    </i>
    <i>
      <x v="27"/>
      <x v="2"/>
    </i>
    <i r="1">
      <x v="3"/>
    </i>
    <i r="1">
      <x v="4"/>
    </i>
    <i>
      <x v="28"/>
      <x v="2"/>
    </i>
    <i r="1">
      <x v="3"/>
    </i>
    <i>
      <x v="29"/>
      <x v="2"/>
    </i>
    <i r="1">
      <x v="4"/>
    </i>
    <i>
      <x v="30"/>
      <x v="2"/>
    </i>
    <i r="1">
      <x v="3"/>
    </i>
    <i>
      <x v="31"/>
      <x v="2"/>
    </i>
    <i>
      <x v="32"/>
      <x v="3"/>
    </i>
    <i>
      <x v="33"/>
      <x v="3"/>
    </i>
    <i>
      <x v="34"/>
      <x v="3"/>
    </i>
    <i>
      <x v="35"/>
      <x v="3"/>
    </i>
    <i r="1">
      <x v="4"/>
    </i>
    <i>
      <x v="36"/>
      <x v="3"/>
    </i>
    <i r="1">
      <x v="4"/>
    </i>
    <i>
      <x v="37"/>
      <x v="3"/>
    </i>
    <i>
      <x v="38"/>
      <x v="3"/>
    </i>
    <i r="1">
      <x v="4"/>
    </i>
    <i>
      <x v="40"/>
      <x v="4"/>
    </i>
    <i>
      <x v="41"/>
      <x v="4"/>
    </i>
    <i>
      <x v="42"/>
      <x v="4"/>
    </i>
    <i>
      <x v="43"/>
      <x v="4"/>
    </i>
    <i>
      <x v="44"/>
      <x v="4"/>
    </i>
    <i>
      <x v="45"/>
      <x v="4"/>
    </i>
    <i>
      <x v="46"/>
      <x v="4"/>
    </i>
    <i>
      <x v="47"/>
      <x v="4"/>
    </i>
    <i>
      <x v="48"/>
      <x v="4"/>
    </i>
    <i>
      <x v="49"/>
      <x v="4"/>
    </i>
    <i>
      <x v="50"/>
      <x v="4"/>
    </i>
  </rowItems>
  <colFields count="1">
    <field x="7"/>
  </colFields>
  <colItems count="2">
    <i>
      <x/>
    </i>
    <i>
      <x v="1"/>
    </i>
  </colItems>
  <dataFields count="1">
    <dataField name="Sum of Final_Score" fld="12" baseField="0" baseItem="0" numFmtId="43"/>
  </dataFields>
  <formats count="4">
    <format dxfId="40">
      <pivotArea collapsedLevelsAreSubtotals="1" fieldPosition="0">
        <references count="1">
          <reference field="1" count="1">
            <x v="0"/>
          </reference>
        </references>
      </pivotArea>
    </format>
    <format dxfId="41">
      <pivotArea collapsedLevelsAreSubtotals="1" fieldPosition="0">
        <references count="2">
          <reference field="1" count="1" selected="0">
            <x v="0"/>
          </reference>
          <reference field="2" count="16">
            <x v="0"/>
            <x v="1"/>
            <x v="2"/>
            <x v="3"/>
            <x v="4"/>
            <x v="5"/>
            <x v="6"/>
            <x v="7"/>
            <x v="8"/>
            <x v="9"/>
            <x v="10"/>
            <x v="11"/>
            <x v="12"/>
            <x v="13"/>
            <x v="14"/>
            <x v="15"/>
          </reference>
        </references>
      </pivotArea>
    </format>
    <format dxfId="42">
      <pivotArea collapsedLevelsAreSubtotals="1" fieldPosition="0">
        <references count="1">
          <reference field="1" count="1">
            <x v="1"/>
          </reference>
        </references>
      </pivotArea>
    </format>
    <format dxfId="43">
      <pivotArea collapsedLevelsAreSubtotals="1" fieldPosition="0">
        <references count="2">
          <reference field="1" count="1" selected="0">
            <x v="1"/>
          </reference>
          <reference field="2" count="13">
            <x v="0"/>
            <x v="1"/>
            <x v="2"/>
            <x v="3"/>
            <x v="4"/>
            <x v="5"/>
            <x v="6"/>
            <x v="7"/>
            <x v="8"/>
            <x v="9"/>
            <x v="16"/>
            <x v="17"/>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91E4EA-7CBC-784A-ABEC-44B43B459C5C}" name="PivotTable6"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251" firstHeaderRow="1" firstDataRow="2" firstDataCol="1"/>
  <pivotFields count="14">
    <pivotField showAll="0"/>
    <pivotField axis="axisRow" showAll="0">
      <items count="6">
        <item x="0"/>
        <item x="2"/>
        <item x="1"/>
        <item x="3"/>
        <item x="4"/>
        <item t="default"/>
      </items>
    </pivotField>
    <pivotField axis="axisRow" showAll="0">
      <items count="40">
        <item x="0"/>
        <item x="1"/>
        <item x="2"/>
        <item x="24"/>
        <item x="16"/>
        <item x="3"/>
        <item x="4"/>
        <item x="5"/>
        <item x="6"/>
        <item x="7"/>
        <item x="8"/>
        <item x="9"/>
        <item x="10"/>
        <item x="17"/>
        <item x="18"/>
        <item x="19"/>
        <item x="25"/>
        <item x="26"/>
        <item x="27"/>
        <item x="28"/>
        <item x="11"/>
        <item x="12"/>
        <item x="13"/>
        <item x="14"/>
        <item x="15"/>
        <item x="20"/>
        <item x="29"/>
        <item x="21"/>
        <item x="22"/>
        <item x="23"/>
        <item x="30"/>
        <item x="31"/>
        <item x="32"/>
        <item x="33"/>
        <item x="34"/>
        <item x="35"/>
        <item x="36"/>
        <item x="37"/>
        <item x="38"/>
        <item t="default"/>
      </items>
    </pivotField>
    <pivotField showAll="0"/>
    <pivotField showAll="0"/>
    <pivotField showAll="0"/>
    <pivotField showAll="0"/>
    <pivotField axis="axisRow" showAll="0">
      <items count="3">
        <item x="0"/>
        <item x="1"/>
        <item t="default"/>
      </items>
    </pivotField>
    <pivotField axis="axisCol" showAll="0">
      <items count="12">
        <item x="0"/>
        <item x="8"/>
        <item x="9"/>
        <item x="1"/>
        <item x="2"/>
        <item x="3"/>
        <item x="4"/>
        <item x="5"/>
        <item x="6"/>
        <item x="7"/>
        <item x="10"/>
        <item t="default"/>
      </items>
    </pivotField>
    <pivotField showAll="0"/>
    <pivotField numFmtId="9" showAll="0"/>
    <pivotField numFmtId="43" showAll="0"/>
    <pivotField dataField="1" numFmtId="43" showAll="0"/>
    <pivotField showAll="0"/>
  </pivotFields>
  <rowFields count="3">
    <field x="2"/>
    <field x="1"/>
    <field x="7"/>
  </rowFields>
  <rowItems count="247">
    <i>
      <x/>
    </i>
    <i r="1">
      <x/>
    </i>
    <i r="2">
      <x/>
    </i>
    <i r="2">
      <x v="1"/>
    </i>
    <i r="1">
      <x v="2"/>
    </i>
    <i r="2">
      <x/>
    </i>
    <i r="2">
      <x v="1"/>
    </i>
    <i>
      <x v="1"/>
    </i>
    <i r="1">
      <x/>
    </i>
    <i r="2">
      <x/>
    </i>
    <i r="2">
      <x v="1"/>
    </i>
    <i r="1">
      <x v="1"/>
    </i>
    <i r="2">
      <x/>
    </i>
    <i r="2">
      <x v="1"/>
    </i>
    <i r="1">
      <x v="2"/>
    </i>
    <i r="2">
      <x/>
    </i>
    <i r="2">
      <x v="1"/>
    </i>
    <i r="1">
      <x v="3"/>
    </i>
    <i r="2">
      <x/>
    </i>
    <i r="2">
      <x v="1"/>
    </i>
    <i r="1">
      <x v="4"/>
    </i>
    <i r="2">
      <x/>
    </i>
    <i r="2">
      <x v="1"/>
    </i>
    <i>
      <x v="2"/>
    </i>
    <i r="1">
      <x/>
    </i>
    <i r="2">
      <x/>
    </i>
    <i r="2">
      <x v="1"/>
    </i>
    <i r="1">
      <x v="2"/>
    </i>
    <i r="2">
      <x/>
    </i>
    <i r="2">
      <x v="1"/>
    </i>
    <i r="1">
      <x v="3"/>
    </i>
    <i r="2">
      <x/>
    </i>
    <i r="2">
      <x v="1"/>
    </i>
    <i>
      <x v="3"/>
    </i>
    <i r="1">
      <x v="1"/>
    </i>
    <i r="2">
      <x/>
    </i>
    <i r="2">
      <x v="1"/>
    </i>
    <i>
      <x v="4"/>
    </i>
    <i r="1">
      <x v="2"/>
    </i>
    <i r="2">
      <x/>
    </i>
    <i r="2">
      <x v="1"/>
    </i>
    <i>
      <x v="5"/>
    </i>
    <i r="1">
      <x/>
    </i>
    <i r="2">
      <x/>
    </i>
    <i r="2">
      <x v="1"/>
    </i>
    <i r="1">
      <x v="2"/>
    </i>
    <i r="2">
      <x/>
    </i>
    <i r="2">
      <x v="1"/>
    </i>
    <i>
      <x v="6"/>
    </i>
    <i r="1">
      <x/>
    </i>
    <i r="2">
      <x/>
    </i>
    <i r="2">
      <x v="1"/>
    </i>
    <i r="1">
      <x v="1"/>
    </i>
    <i r="2">
      <x/>
    </i>
    <i r="2">
      <x v="1"/>
    </i>
    <i r="1">
      <x v="2"/>
    </i>
    <i r="2">
      <x/>
    </i>
    <i r="2">
      <x v="1"/>
    </i>
    <i>
      <x v="7"/>
    </i>
    <i r="1">
      <x/>
    </i>
    <i r="2">
      <x/>
    </i>
    <i r="2">
      <x v="1"/>
    </i>
    <i r="1">
      <x v="1"/>
    </i>
    <i r="2">
      <x/>
    </i>
    <i r="2">
      <x v="1"/>
    </i>
    <i r="1">
      <x v="2"/>
    </i>
    <i r="2">
      <x/>
    </i>
    <i r="2">
      <x v="1"/>
    </i>
    <i>
      <x v="8"/>
    </i>
    <i r="1">
      <x/>
    </i>
    <i r="2">
      <x/>
    </i>
    <i r="2">
      <x v="1"/>
    </i>
    <i r="1">
      <x v="1"/>
    </i>
    <i r="2">
      <x/>
    </i>
    <i r="2">
      <x v="1"/>
    </i>
    <i r="1">
      <x v="2"/>
    </i>
    <i r="2">
      <x/>
    </i>
    <i r="2">
      <x v="1"/>
    </i>
    <i r="1">
      <x v="3"/>
    </i>
    <i r="2">
      <x/>
    </i>
    <i r="2">
      <x v="1"/>
    </i>
    <i>
      <x v="9"/>
    </i>
    <i r="1">
      <x/>
    </i>
    <i r="2">
      <x/>
    </i>
    <i r="2">
      <x v="1"/>
    </i>
    <i r="1">
      <x v="1"/>
    </i>
    <i r="2">
      <x/>
    </i>
    <i r="2">
      <x v="1"/>
    </i>
    <i r="1">
      <x v="2"/>
    </i>
    <i r="2">
      <x/>
    </i>
    <i r="2">
      <x v="1"/>
    </i>
    <i>
      <x v="10"/>
    </i>
    <i r="1">
      <x/>
    </i>
    <i r="2">
      <x/>
    </i>
    <i r="2">
      <x v="1"/>
    </i>
    <i r="1">
      <x v="2"/>
    </i>
    <i r="2">
      <x/>
    </i>
    <i r="2">
      <x v="1"/>
    </i>
    <i>
      <x v="11"/>
    </i>
    <i r="1">
      <x/>
    </i>
    <i r="2">
      <x/>
    </i>
    <i r="2">
      <x v="1"/>
    </i>
    <i r="1">
      <x v="1"/>
    </i>
    <i r="2">
      <x/>
    </i>
    <i r="2">
      <x v="1"/>
    </i>
    <i r="1">
      <x v="2"/>
    </i>
    <i r="2">
      <x/>
    </i>
    <i r="2">
      <x v="1"/>
    </i>
    <i r="1">
      <x v="3"/>
    </i>
    <i r="2">
      <x/>
    </i>
    <i r="2">
      <x v="1"/>
    </i>
    <i>
      <x v="12"/>
    </i>
    <i r="1">
      <x/>
    </i>
    <i r="2">
      <x/>
    </i>
    <i r="2">
      <x v="1"/>
    </i>
    <i>
      <x v="13"/>
    </i>
    <i r="1">
      <x v="2"/>
    </i>
    <i r="2">
      <x/>
    </i>
    <i r="2">
      <x v="1"/>
    </i>
    <i r="1">
      <x v="3"/>
    </i>
    <i r="2">
      <x/>
    </i>
    <i r="2">
      <x v="1"/>
    </i>
    <i>
      <x v="14"/>
    </i>
    <i r="1">
      <x v="1"/>
    </i>
    <i r="2">
      <x/>
    </i>
    <i r="2">
      <x v="1"/>
    </i>
    <i r="1">
      <x v="2"/>
    </i>
    <i r="2">
      <x/>
    </i>
    <i r="2">
      <x v="1"/>
    </i>
    <i r="1">
      <x v="3"/>
    </i>
    <i r="2">
      <x/>
    </i>
    <i r="2">
      <x v="1"/>
    </i>
    <i>
      <x v="15"/>
    </i>
    <i r="1">
      <x v="2"/>
    </i>
    <i r="2">
      <x/>
    </i>
    <i r="2">
      <x v="1"/>
    </i>
    <i>
      <x v="16"/>
    </i>
    <i r="1">
      <x v="1"/>
    </i>
    <i r="2">
      <x/>
    </i>
    <i r="2">
      <x v="1"/>
    </i>
    <i r="1">
      <x v="3"/>
    </i>
    <i r="2">
      <x/>
    </i>
    <i r="2">
      <x v="1"/>
    </i>
    <i>
      <x v="17"/>
    </i>
    <i r="1">
      <x v="1"/>
    </i>
    <i r="2">
      <x/>
    </i>
    <i r="2">
      <x v="1"/>
    </i>
    <i>
      <x v="18"/>
    </i>
    <i r="1">
      <x v="1"/>
    </i>
    <i r="2">
      <x/>
    </i>
    <i r="2">
      <x v="1"/>
    </i>
    <i r="1">
      <x v="3"/>
    </i>
    <i r="2">
      <x/>
    </i>
    <i r="2">
      <x v="1"/>
    </i>
    <i>
      <x v="19"/>
    </i>
    <i r="1">
      <x v="1"/>
    </i>
    <i r="2">
      <x/>
    </i>
    <i r="2">
      <x v="1"/>
    </i>
    <i r="1">
      <x v="3"/>
    </i>
    <i r="2">
      <x/>
    </i>
    <i r="2">
      <x v="1"/>
    </i>
    <i>
      <x v="20"/>
    </i>
    <i r="1">
      <x/>
    </i>
    <i r="2">
      <x/>
    </i>
    <i r="2">
      <x v="1"/>
    </i>
    <i>
      <x v="21"/>
    </i>
    <i r="1">
      <x/>
    </i>
    <i r="2">
      <x/>
    </i>
    <i r="2">
      <x v="1"/>
    </i>
    <i>
      <x v="22"/>
    </i>
    <i r="1">
      <x/>
    </i>
    <i r="2">
      <x/>
    </i>
    <i r="2">
      <x v="1"/>
    </i>
    <i>
      <x v="23"/>
    </i>
    <i r="1">
      <x/>
    </i>
    <i r="2">
      <x/>
    </i>
    <i r="2">
      <x v="1"/>
    </i>
    <i r="1">
      <x v="1"/>
    </i>
    <i r="2">
      <x/>
    </i>
    <i r="2">
      <x v="1"/>
    </i>
    <i>
      <x v="24"/>
    </i>
    <i r="1">
      <x/>
    </i>
    <i r="2">
      <x/>
    </i>
    <i r="2">
      <x v="1"/>
    </i>
    <i>
      <x v="25"/>
    </i>
    <i r="1">
      <x v="1"/>
    </i>
    <i r="2">
      <x/>
    </i>
    <i r="2">
      <x v="1"/>
    </i>
    <i r="1">
      <x v="2"/>
    </i>
    <i r="2">
      <x/>
    </i>
    <i r="2">
      <x v="1"/>
    </i>
    <i>
      <x v="26"/>
    </i>
    <i r="1">
      <x v="1"/>
    </i>
    <i r="2">
      <x/>
    </i>
    <i r="2">
      <x v="1"/>
    </i>
    <i>
      <x v="27"/>
    </i>
    <i r="1">
      <x v="2"/>
    </i>
    <i r="2">
      <x/>
    </i>
    <i r="2">
      <x v="1"/>
    </i>
    <i>
      <x v="28"/>
    </i>
    <i r="1">
      <x v="2"/>
    </i>
    <i r="2">
      <x/>
    </i>
    <i r="2">
      <x v="1"/>
    </i>
    <i>
      <x v="29"/>
    </i>
    <i r="1">
      <x v="2"/>
    </i>
    <i r="2">
      <x/>
    </i>
    <i r="2">
      <x v="1"/>
    </i>
    <i>
      <x v="30"/>
    </i>
    <i r="1">
      <x v="1"/>
    </i>
    <i r="2">
      <x/>
    </i>
    <i r="2">
      <x v="1"/>
    </i>
    <i r="1">
      <x v="3"/>
    </i>
    <i r="2">
      <x/>
    </i>
    <i r="2">
      <x v="1"/>
    </i>
    <i>
      <x v="31"/>
    </i>
    <i r="1">
      <x v="1"/>
    </i>
    <i r="2">
      <x/>
    </i>
    <i r="2">
      <x v="1"/>
    </i>
    <i>
      <x v="32"/>
    </i>
    <i r="1">
      <x v="3"/>
    </i>
    <i r="2">
      <x/>
    </i>
    <i r="2">
      <x v="1"/>
    </i>
    <i>
      <x v="33"/>
    </i>
    <i r="1">
      <x v="3"/>
    </i>
    <i r="2">
      <x/>
    </i>
    <i r="2">
      <x v="1"/>
    </i>
    <i>
      <x v="34"/>
    </i>
    <i r="1">
      <x v="3"/>
    </i>
    <i r="2">
      <x/>
    </i>
    <i r="2">
      <x v="1"/>
    </i>
    <i>
      <x v="35"/>
    </i>
    <i r="1">
      <x v="3"/>
    </i>
    <i r="2">
      <x/>
    </i>
    <i r="2">
      <x v="1"/>
    </i>
    <i>
      <x v="36"/>
    </i>
    <i r="1">
      <x v="3"/>
    </i>
    <i r="2">
      <x/>
    </i>
    <i r="2">
      <x v="1"/>
    </i>
    <i>
      <x v="37"/>
    </i>
    <i r="1">
      <x v="3"/>
    </i>
    <i r="2">
      <x/>
    </i>
    <i r="2">
      <x v="1"/>
    </i>
    <i>
      <x v="38"/>
    </i>
    <i r="1">
      <x v="3"/>
    </i>
    <i r="2">
      <x/>
    </i>
    <i r="2">
      <x v="1"/>
    </i>
    <i t="grand">
      <x/>
    </i>
  </rowItems>
  <colFields count="1">
    <field x="8"/>
  </colFields>
  <colItems count="12">
    <i>
      <x/>
    </i>
    <i>
      <x v="1"/>
    </i>
    <i>
      <x v="2"/>
    </i>
    <i>
      <x v="3"/>
    </i>
    <i>
      <x v="4"/>
    </i>
    <i>
      <x v="5"/>
    </i>
    <i>
      <x v="6"/>
    </i>
    <i>
      <x v="7"/>
    </i>
    <i>
      <x v="8"/>
    </i>
    <i>
      <x v="9"/>
    </i>
    <i>
      <x v="10"/>
    </i>
    <i t="grand">
      <x/>
    </i>
  </colItems>
  <dataFields count="1">
    <dataField name="Sum of Final_Score"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2C624A-4D5E-F140-846B-0C20A13B0F45}" name="PivotTable7"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22" firstHeaderRow="1" firstDataRow="2" firstDataCol="1" rowPageCount="1" colPageCount="1"/>
  <pivotFields count="14">
    <pivotField showAll="0"/>
    <pivotField axis="axisPage" multipleItemSelectionAllowed="1" showAll="0">
      <items count="4">
        <item x="0"/>
        <item h="1" x="2"/>
        <item h="1" x="1"/>
        <item t="default"/>
      </items>
    </pivotField>
    <pivotField axis="axisRow" multipleItemSelectionAllowed="1" showAll="0">
      <items count="33">
        <item x="0"/>
        <item x="1"/>
        <item x="2"/>
        <item x="24"/>
        <item x="16"/>
        <item x="3"/>
        <item x="4"/>
        <item x="5"/>
        <item x="6"/>
        <item x="7"/>
        <item x="8"/>
        <item x="9"/>
        <item x="10"/>
        <item x="17"/>
        <item x="18"/>
        <item x="19"/>
        <item x="25"/>
        <item x="26"/>
        <item x="27"/>
        <item x="28"/>
        <item x="11"/>
        <item x="12"/>
        <item x="13"/>
        <item x="14"/>
        <item x="15"/>
        <item x="20"/>
        <item x="29"/>
        <item x="21"/>
        <item x="22"/>
        <item x="23"/>
        <item x="30"/>
        <item x="31"/>
        <item t="default"/>
      </items>
    </pivotField>
    <pivotField showAll="0"/>
    <pivotField showAll="0"/>
    <pivotField showAll="0"/>
    <pivotField showAll="0"/>
    <pivotField axis="axisCol" showAll="0">
      <items count="3">
        <item x="0"/>
        <item x="1"/>
        <item t="default"/>
      </items>
    </pivotField>
    <pivotField showAll="0">
      <items count="11">
        <item x="0"/>
        <item x="8"/>
        <item x="9"/>
        <item x="1"/>
        <item x="2"/>
        <item x="3"/>
        <item x="4"/>
        <item x="5"/>
        <item x="6"/>
        <item x="7"/>
        <item t="default"/>
      </items>
    </pivotField>
    <pivotField showAll="0"/>
    <pivotField numFmtId="9" showAll="0"/>
    <pivotField numFmtId="43" showAll="0"/>
    <pivotField dataField="1" numFmtId="43" showAll="0"/>
    <pivotField showAll="0"/>
  </pivotFields>
  <rowFields count="1">
    <field x="2"/>
  </rowFields>
  <rowItems count="17">
    <i>
      <x/>
    </i>
    <i>
      <x v="1"/>
    </i>
    <i>
      <x v="2"/>
    </i>
    <i>
      <x v="5"/>
    </i>
    <i>
      <x v="6"/>
    </i>
    <i>
      <x v="7"/>
    </i>
    <i>
      <x v="8"/>
    </i>
    <i>
      <x v="9"/>
    </i>
    <i>
      <x v="10"/>
    </i>
    <i>
      <x v="11"/>
    </i>
    <i>
      <x v="12"/>
    </i>
    <i>
      <x v="20"/>
    </i>
    <i>
      <x v="21"/>
    </i>
    <i>
      <x v="22"/>
    </i>
    <i>
      <x v="23"/>
    </i>
    <i>
      <x v="24"/>
    </i>
    <i t="grand">
      <x/>
    </i>
  </rowItems>
  <colFields count="1">
    <field x="7"/>
  </colFields>
  <colItems count="3">
    <i>
      <x/>
    </i>
    <i>
      <x v="1"/>
    </i>
    <i t="grand">
      <x/>
    </i>
  </colItems>
  <pageFields count="1">
    <pageField fld="1" hier="-1"/>
  </pageFields>
  <dataFields count="1">
    <dataField name="Sum of Final_Score"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3E066-D04E-2440-B21A-F43B1B4985A4}" name="tScores" displayName="tScores" ref="A5:N2165" totalsRowShown="0" headerRowDxfId="39" tableBorderDxfId="38">
  <autoFilter ref="A5:N2165" xr:uid="{96B3E066-D04E-2440-B21A-F43B1B4985A4}"/>
  <tableColumns count="14">
    <tableColumn id="1" xr3:uid="{40494A39-711D-B240-A934-554CE2BB4CBB}" name="0" dataDxfId="37"/>
    <tableColumn id="2" xr3:uid="{38085D61-DD32-804E-AE80-CE5F93F74508}" name="Semester" dataDxfId="36"/>
    <tableColumn id="3" xr3:uid="{754149EE-4F65-4E42-BCB6-606FA3DF79FF}" name="Studio_Code" dataDxfId="35"/>
    <tableColumn id="4" xr3:uid="{019670D6-E55E-F545-A1B2-E991EAE44E75}" name="Level" dataDxfId="34"/>
    <tableColumn id="5" xr3:uid="{8C6CD23C-94FE-6648-A957-3B45AD35E91B}" name="Studio_Focus_Area" dataDxfId="33"/>
    <tableColumn id="6" xr3:uid="{A179BA43-8428-D840-AFC7-3ED3422E220B}" name="Studio_Title" dataDxfId="32"/>
    <tableColumn id="7" xr3:uid="{3E4067F9-61D4-AC46-992A-A856453A4111}" name="Question_No" dataDxfId="31"/>
    <tableColumn id="8" xr3:uid="{3EC3B4F2-C5EB-9B49-9A63-9910BE522BDC}" name="Panel_ID" dataDxfId="30"/>
    <tableColumn id="9" xr3:uid="{78FC943D-20F9-804D-B1B6-42E59CE3EE58}" name="Construct_ID" dataDxfId="29"/>
    <tableColumn id="10" xr3:uid="{5795A014-DB24-A147-9C91-F084D837E619}" name="Raw_Rating_Text" dataDxfId="28"/>
    <tableColumn id="11" xr3:uid="{30D4AF97-A68D-3D44-AE70-2D2F734B7882}" name="Weight" dataDxfId="27" dataCellStyle="Percent">
      <calculatedColumnFormula>AB6/COUNTIFS($B:$B,$B6,$C:$C,$C6,$H:$H,$H6,$I:$I,$I6)</calculatedColumnFormula>
    </tableColumn>
    <tableColumn id="12" xr3:uid="{0561817B-58D1-3149-8C39-FA7DF09BD71F}" name="Confidence" dataDxfId="26" dataCellStyle="Comma">
      <calculatedColumnFormula>AC6</calculatedColumnFormula>
    </tableColumn>
    <tableColumn id="13" xr3:uid="{D0905BCE-CFC6-9D47-9161-FF1CD28FAC16}" name="Final_Score" dataDxfId="25">
      <calculatedColumnFormula>J6*K6*L6</calculatedColumnFormula>
    </tableColumn>
    <tableColumn id="14" xr3:uid="{DE03E057-4F2C-7844-ACAB-55AE873F58B4}" name="Note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D02468-F18F-B741-946E-F4FC381250D4}" name="tScores4" displayName="tScores4" ref="A5:N1127" totalsRowShown="0" headerRowDxfId="60" tableBorderDxfId="59">
  <autoFilter ref="A5:N1127" xr:uid="{96B3E066-D04E-2440-B21A-F43B1B4985A4}"/>
  <tableColumns count="14">
    <tableColumn id="1" xr3:uid="{EE981B9E-E517-B347-9774-6C36B8A740D4}" name="AY" dataDxfId="58"/>
    <tableColumn id="2" xr3:uid="{7DA96BB5-B1E8-EC41-BB62-778CA0EEFFEE}" name="Semester" dataDxfId="57"/>
    <tableColumn id="3" xr3:uid="{0DB1972D-C4C0-7641-8B20-4123F2C695A8}" name="Studio_Code" dataDxfId="56"/>
    <tableColumn id="4" xr3:uid="{1A66B511-1006-D543-AB88-37865603B05B}" name="Level" dataDxfId="55"/>
    <tableColumn id="5" xr3:uid="{ED0F74DA-64DA-B843-A1C1-3AF68441BDC0}" name="Studio_Focus_Area" dataDxfId="54"/>
    <tableColumn id="6" xr3:uid="{386FBEE8-94C8-ED45-B5FA-BE4ADDC88717}" name="Studio_Title" dataDxfId="53"/>
    <tableColumn id="7" xr3:uid="{167FEF59-EBC8-8F40-9D3B-454B180BFC58}" name="Question_No" dataDxfId="52"/>
    <tableColumn id="8" xr3:uid="{E3BD2170-0A0E-1D44-A833-5E4D752D512B}" name="Panel_ID" dataDxfId="51"/>
    <tableColumn id="9" xr3:uid="{558FE455-5337-FB41-B3E8-784879F79637}" name="Construct_ID" dataDxfId="50"/>
    <tableColumn id="10" xr3:uid="{80790298-E767-1F43-8AE4-01EC18361604}" name="Raw_Rating_Text" dataDxfId="49"/>
    <tableColumn id="11" xr3:uid="{97F2B44E-C517-F645-8595-0E98C4B6277F}" name="Weight" dataDxfId="48" dataCellStyle="Percent">
      <calculatedColumnFormula>VLOOKUP(I6,'Weights and Confidence'!$D$16:$AC$26,5,FALSE)/COUNTIFS($B:$B,$B6,$C:$C,$C6,$H:$H,$H6,$I:$I,$I6)</calculatedColumnFormula>
    </tableColumn>
    <tableColumn id="12" xr3:uid="{AC72F5D8-67DC-A744-A7D3-70BEF92AAD52}" name="Confidence" dataDxfId="47" dataCellStyle="Comma">
      <calculatedColumnFormula>VLOOKUP(I6,'Weights and Confidence'!$D$16:$AC$26,6,FALSE)</calculatedColumnFormula>
    </tableColumn>
    <tableColumn id="13" xr3:uid="{1F04E883-6851-EC47-AD5E-FE6294271549}" name="Final_Score" dataDxfId="46">
      <calculatedColumnFormula>tScores4[[#This Row],[Raw_Rating_Text]]</calculatedColumnFormula>
    </tableColumn>
    <tableColumn id="14" xr3:uid="{47C0FC08-7AB1-254D-A68B-ED10AF3D0333}" name="Notes" dataDxfId="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L@"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B230-B20C-0142-B3BF-B3BFD3EAD4B5}">
  <dimension ref="A3:D6"/>
  <sheetViews>
    <sheetView workbookViewId="0">
      <selection activeCell="A3" sqref="A3"/>
    </sheetView>
  </sheetViews>
  <sheetFormatPr baseColWidth="10" defaultRowHeight="16" x14ac:dyDescent="0.2"/>
  <cols>
    <col min="1" max="1" width="16.83203125" bestFit="1" customWidth="1"/>
    <col min="2" max="2" width="16" bestFit="1" customWidth="1"/>
    <col min="3" max="3" width="6" bestFit="1" customWidth="1"/>
    <col min="4" max="4" width="10.5" bestFit="1" customWidth="1"/>
    <col min="5" max="5" width="20.83203125" bestFit="1" customWidth="1"/>
    <col min="6" max="6" width="21.1640625" bestFit="1" customWidth="1"/>
    <col min="7" max="7" width="25.33203125" bestFit="1" customWidth="1"/>
  </cols>
  <sheetData>
    <row r="3" spans="1:4" x14ac:dyDescent="0.2">
      <c r="A3" s="12" t="s">
        <v>95</v>
      </c>
      <c r="B3" s="12" t="s">
        <v>96</v>
      </c>
    </row>
    <row r="4" spans="1:4" x14ac:dyDescent="0.2">
      <c r="A4" s="12" t="s">
        <v>93</v>
      </c>
      <c r="B4" s="9" t="s">
        <v>17</v>
      </c>
      <c r="C4" t="s">
        <v>18</v>
      </c>
      <c r="D4" t="s">
        <v>94</v>
      </c>
    </row>
    <row r="5" spans="1:4" x14ac:dyDescent="0.2">
      <c r="A5" s="13" t="s">
        <v>44</v>
      </c>
      <c r="B5" s="8">
        <v>0.25249999999999995</v>
      </c>
      <c r="C5" s="8">
        <v>1.9729999999999999</v>
      </c>
      <c r="D5" s="8">
        <v>2.2254999999999998</v>
      </c>
    </row>
    <row r="6" spans="1:4" x14ac:dyDescent="0.2">
      <c r="A6" s="13" t="s">
        <v>94</v>
      </c>
      <c r="B6" s="8">
        <v>0.25249999999999995</v>
      </c>
      <c r="C6" s="8">
        <v>1.9729999999999999</v>
      </c>
      <c r="D6" s="8">
        <v>2.2254999999999998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F41F-5CDF-FF47-8EB0-BE2D3C13E883}">
  <dimension ref="A3:N79"/>
  <sheetViews>
    <sheetView topLeftCell="A20" zoomScale="75" workbookViewId="0">
      <selection activeCell="C55" sqref="C55"/>
    </sheetView>
  </sheetViews>
  <sheetFormatPr baseColWidth="10" defaultRowHeight="16" x14ac:dyDescent="0.2"/>
  <cols>
    <col min="1" max="1" width="17.5" bestFit="1" customWidth="1"/>
    <col min="2" max="2" width="17.33203125" bestFit="1" customWidth="1"/>
    <col min="3" max="3" width="7.6640625" bestFit="1" customWidth="1"/>
    <col min="4" max="4" width="11" bestFit="1" customWidth="1"/>
  </cols>
  <sheetData>
    <row r="3" spans="1:6" x14ac:dyDescent="0.2">
      <c r="A3" s="12" t="s">
        <v>95</v>
      </c>
      <c r="B3" s="12" t="s">
        <v>96</v>
      </c>
    </row>
    <row r="4" spans="1:6" x14ac:dyDescent="0.2">
      <c r="A4" s="12" t="s">
        <v>93</v>
      </c>
      <c r="B4" t="s">
        <v>17</v>
      </c>
      <c r="C4" t="s">
        <v>18</v>
      </c>
      <c r="D4" t="s">
        <v>94</v>
      </c>
      <c r="E4" t="s">
        <v>97</v>
      </c>
      <c r="F4" t="s">
        <v>98</v>
      </c>
    </row>
    <row r="5" spans="1:6" x14ac:dyDescent="0.2">
      <c r="A5" s="13" t="s">
        <v>1</v>
      </c>
      <c r="B5" s="8">
        <v>3.9989999999999988</v>
      </c>
      <c r="C5" s="8">
        <v>5.3665000000000003</v>
      </c>
      <c r="D5" s="8">
        <v>9.3655000000000008</v>
      </c>
    </row>
    <row r="6" spans="1:6" x14ac:dyDescent="0.2">
      <c r="A6" s="14" t="s">
        <v>15</v>
      </c>
      <c r="B6" s="8">
        <v>0.78649999999999998</v>
      </c>
      <c r="C6" s="8">
        <v>0.91899999999999993</v>
      </c>
      <c r="D6" s="8">
        <v>1.7054999999999998</v>
      </c>
    </row>
    <row r="7" spans="1:6" x14ac:dyDescent="0.2">
      <c r="A7" s="14" t="s">
        <v>44</v>
      </c>
      <c r="B7" s="8">
        <v>0.23399999999999999</v>
      </c>
      <c r="C7" s="8">
        <v>0.91899999999999993</v>
      </c>
      <c r="D7" s="8">
        <v>1.153</v>
      </c>
    </row>
    <row r="8" spans="1:6" x14ac:dyDescent="0.2">
      <c r="A8" s="14" t="s">
        <v>47</v>
      </c>
      <c r="B8" s="8">
        <v>0.67899999999999994</v>
      </c>
      <c r="C8" s="8">
        <v>0.81899999999999995</v>
      </c>
      <c r="D8" s="8">
        <v>1.4979999999999998</v>
      </c>
    </row>
    <row r="9" spans="1:6" x14ac:dyDescent="0.2">
      <c r="A9" s="14" t="s">
        <v>48</v>
      </c>
      <c r="B9" s="8">
        <v>-0.12499999999999997</v>
      </c>
      <c r="C9" s="8">
        <v>0.36899999999999994</v>
      </c>
      <c r="D9" s="8">
        <v>0.24399999999999997</v>
      </c>
    </row>
    <row r="10" spans="1:6" x14ac:dyDescent="0.2">
      <c r="A10" s="14" t="s">
        <v>50</v>
      </c>
      <c r="B10" s="8">
        <v>0.77899999999999991</v>
      </c>
      <c r="C10" s="8">
        <v>0.91899999999999993</v>
      </c>
      <c r="D10" s="8">
        <v>1.698</v>
      </c>
    </row>
    <row r="11" spans="1:6" x14ac:dyDescent="0.2">
      <c r="A11" s="14" t="s">
        <v>52</v>
      </c>
      <c r="B11" s="8">
        <v>0.96899999999999997</v>
      </c>
      <c r="C11" s="8">
        <v>0.70899999999999996</v>
      </c>
      <c r="D11" s="8">
        <v>1.6779999999999999</v>
      </c>
    </row>
    <row r="12" spans="1:6" x14ac:dyDescent="0.2">
      <c r="A12" s="14" t="s">
        <v>54</v>
      </c>
      <c r="B12" s="8">
        <v>-0.55649999999999999</v>
      </c>
      <c r="C12" s="8">
        <v>0.46649999999999997</v>
      </c>
      <c r="D12" s="8">
        <v>-9.0000000000000024E-2</v>
      </c>
    </row>
    <row r="13" spans="1:6" x14ac:dyDescent="0.2">
      <c r="A13" s="14" t="s">
        <v>55</v>
      </c>
      <c r="B13" s="8">
        <v>0.96899999999999997</v>
      </c>
      <c r="C13" s="8">
        <v>0.96899999999999997</v>
      </c>
      <c r="D13" s="8">
        <v>1.9379999999999999</v>
      </c>
    </row>
    <row r="14" spans="1:6" x14ac:dyDescent="0.2">
      <c r="A14" s="14" t="s">
        <v>57</v>
      </c>
      <c r="B14" s="8">
        <v>-0.54</v>
      </c>
      <c r="C14" s="8">
        <v>-0.48000000000000004</v>
      </c>
      <c r="D14" s="8">
        <v>-1.02</v>
      </c>
    </row>
    <row r="15" spans="1:6" x14ac:dyDescent="0.2">
      <c r="A15" s="14" t="s">
        <v>59</v>
      </c>
      <c r="B15" s="8">
        <v>0.96899999999999997</v>
      </c>
      <c r="C15" s="8">
        <v>0.96899999999999997</v>
      </c>
      <c r="D15" s="8">
        <v>1.9379999999999999</v>
      </c>
    </row>
    <row r="16" spans="1:6" x14ac:dyDescent="0.2">
      <c r="A16" s="14" t="s">
        <v>61</v>
      </c>
      <c r="B16" s="8">
        <v>0.15750000000000003</v>
      </c>
      <c r="C16" s="8">
        <v>-0.33250000000000002</v>
      </c>
      <c r="D16" s="8">
        <v>-0.17499999999999999</v>
      </c>
    </row>
    <row r="17" spans="1:14" x14ac:dyDescent="0.2">
      <c r="A17" s="14" t="s">
        <v>63</v>
      </c>
      <c r="B17" s="8">
        <v>-0.29250000000000004</v>
      </c>
      <c r="C17" s="8">
        <v>-0.6925</v>
      </c>
      <c r="D17" s="8">
        <v>-0.9850000000000001</v>
      </c>
    </row>
    <row r="18" spans="1:14" x14ac:dyDescent="0.2">
      <c r="A18" s="14" t="s">
        <v>66</v>
      </c>
      <c r="B18" s="8">
        <v>0.57000000000000006</v>
      </c>
      <c r="C18" s="8">
        <v>-5.5000000000000007E-2</v>
      </c>
      <c r="D18" s="8">
        <v>0.51500000000000001</v>
      </c>
    </row>
    <row r="19" spans="1:14" x14ac:dyDescent="0.2">
      <c r="A19" s="14" t="s">
        <v>68</v>
      </c>
      <c r="B19" s="8">
        <v>-0.52</v>
      </c>
      <c r="C19" s="8">
        <v>-0.73499999999999999</v>
      </c>
      <c r="D19" s="8">
        <v>-1.2549999999999999</v>
      </c>
    </row>
    <row r="20" spans="1:14" x14ac:dyDescent="0.2">
      <c r="A20" s="14" t="s">
        <v>70</v>
      </c>
      <c r="B20" s="8">
        <v>0.33499999999999996</v>
      </c>
      <c r="C20" s="8">
        <v>0.66899999999999993</v>
      </c>
      <c r="D20" s="8">
        <v>1.004</v>
      </c>
    </row>
    <row r="21" spans="1:14" x14ac:dyDescent="0.2">
      <c r="A21" s="14" t="s">
        <v>72</v>
      </c>
      <c r="B21" s="8">
        <v>-0.41499999999999998</v>
      </c>
      <c r="C21" s="8">
        <v>-6.6000000000000017E-2</v>
      </c>
      <c r="D21" s="8">
        <v>-0.48099999999999998</v>
      </c>
    </row>
    <row r="22" spans="1:14" x14ac:dyDescent="0.2">
      <c r="A22" s="13" t="s">
        <v>0</v>
      </c>
      <c r="B22" s="8">
        <v>2.7514999999999992</v>
      </c>
      <c r="C22" s="8">
        <v>3.7765000000000004</v>
      </c>
      <c r="D22" s="8">
        <v>6.5279999999999996</v>
      </c>
    </row>
    <row r="23" spans="1:14" x14ac:dyDescent="0.2">
      <c r="A23" s="14" t="s">
        <v>15</v>
      </c>
      <c r="B23" s="8">
        <v>0.63400000000000001</v>
      </c>
      <c r="C23" s="8">
        <v>-0.41599999999999998</v>
      </c>
      <c r="D23" s="8">
        <v>0.21800000000000003</v>
      </c>
    </row>
    <row r="24" spans="1:14" x14ac:dyDescent="0.2">
      <c r="A24" s="14" t="s">
        <v>44</v>
      </c>
      <c r="B24" s="8">
        <v>7.4999999999999997E-3</v>
      </c>
      <c r="C24" s="8">
        <v>-0.24099999999999999</v>
      </c>
      <c r="D24" s="8">
        <v>-0.23349999999999999</v>
      </c>
    </row>
    <row r="25" spans="1:14" x14ac:dyDescent="0.2">
      <c r="A25" s="14" t="s">
        <v>47</v>
      </c>
      <c r="B25" s="8">
        <v>-0.12</v>
      </c>
      <c r="C25" s="8">
        <v>0.71899999999999997</v>
      </c>
      <c r="D25" s="8">
        <v>0.59899999999999998</v>
      </c>
    </row>
    <row r="26" spans="1:14" x14ac:dyDescent="0.2">
      <c r="A26" s="14" t="s">
        <v>48</v>
      </c>
      <c r="B26" s="8">
        <v>-0.06</v>
      </c>
      <c r="C26" s="8">
        <v>0.14900000000000002</v>
      </c>
      <c r="D26" s="8">
        <v>8.9000000000000024E-2</v>
      </c>
    </row>
    <row r="27" spans="1:14" x14ac:dyDescent="0.2">
      <c r="A27" s="14" t="s">
        <v>50</v>
      </c>
      <c r="B27" s="8">
        <v>0.16999999999999998</v>
      </c>
      <c r="C27" s="8">
        <v>0.96899999999999997</v>
      </c>
      <c r="D27" s="8">
        <v>1.139</v>
      </c>
    </row>
    <row r="28" spans="1:14" x14ac:dyDescent="0.2">
      <c r="A28" s="14" t="s">
        <v>52</v>
      </c>
      <c r="B28" s="8">
        <v>0.71899999999999997</v>
      </c>
      <c r="C28" s="8">
        <v>0.62899999999999989</v>
      </c>
      <c r="D28" s="8">
        <v>1.3479999999999999</v>
      </c>
    </row>
    <row r="29" spans="1:14" x14ac:dyDescent="0.2">
      <c r="A29" s="14" t="s">
        <v>54</v>
      </c>
      <c r="B29" s="8">
        <v>-0.15000000000000002</v>
      </c>
      <c r="C29" s="8">
        <v>0.91899999999999993</v>
      </c>
      <c r="D29" s="8">
        <v>0.76899999999999991</v>
      </c>
      <c r="I29" t="s">
        <v>95</v>
      </c>
      <c r="J29" t="s">
        <v>96</v>
      </c>
    </row>
    <row r="30" spans="1:14" x14ac:dyDescent="0.2">
      <c r="A30" s="14" t="s">
        <v>55</v>
      </c>
      <c r="B30" s="8">
        <v>0.82650000000000001</v>
      </c>
      <c r="C30" s="8">
        <v>0.76899999999999991</v>
      </c>
      <c r="D30" s="8">
        <v>1.5954999999999999</v>
      </c>
      <c r="J30" t="s">
        <v>17</v>
      </c>
      <c r="K30" t="s">
        <v>18</v>
      </c>
      <c r="L30" t="s">
        <v>94</v>
      </c>
      <c r="M30" s="9" t="s">
        <v>99</v>
      </c>
      <c r="N30" s="9" t="s">
        <v>100</v>
      </c>
    </row>
    <row r="31" spans="1:14" x14ac:dyDescent="0.2">
      <c r="A31" s="14" t="s">
        <v>57</v>
      </c>
      <c r="B31" s="8">
        <v>-0.34249999999999997</v>
      </c>
      <c r="C31" s="8">
        <v>-0.88400000000000001</v>
      </c>
      <c r="D31" s="8">
        <v>-1.2264999999999999</v>
      </c>
    </row>
    <row r="32" spans="1:14" x14ac:dyDescent="0.2">
      <c r="A32" s="14" t="s">
        <v>59</v>
      </c>
      <c r="B32" s="8">
        <v>0.74249999999999994</v>
      </c>
      <c r="C32" s="8">
        <v>0.96899999999999997</v>
      </c>
      <c r="D32" s="8">
        <v>1.7115</v>
      </c>
      <c r="I32" t="s">
        <v>15</v>
      </c>
      <c r="J32" s="16">
        <v>0.78649999999999998</v>
      </c>
      <c r="K32" s="16">
        <v>0.91899999999999993</v>
      </c>
      <c r="L32" s="16">
        <v>1.7054999999999998</v>
      </c>
      <c r="M32" s="8">
        <f>L32/2</f>
        <v>0.8527499999999999</v>
      </c>
      <c r="N32">
        <f>IF(K32&gt;J32,K32-J32,J32-K32)</f>
        <v>0.13249999999999995</v>
      </c>
    </row>
    <row r="33" spans="1:14" x14ac:dyDescent="0.2">
      <c r="A33" s="14" t="s">
        <v>92</v>
      </c>
      <c r="B33" s="8">
        <v>0.43399999999999994</v>
      </c>
      <c r="C33" s="8">
        <v>0.96899999999999997</v>
      </c>
      <c r="D33" s="8">
        <v>1.403</v>
      </c>
      <c r="I33" t="s">
        <v>44</v>
      </c>
      <c r="J33" s="16">
        <v>0.23399999999999999</v>
      </c>
      <c r="K33" s="16">
        <v>0.91899999999999993</v>
      </c>
      <c r="L33" s="16">
        <v>1.153</v>
      </c>
      <c r="M33" s="8">
        <f t="shared" ref="M33:M50" si="0">L33/2</f>
        <v>0.57650000000000001</v>
      </c>
      <c r="N33">
        <f t="shared" ref="N33:N50" si="1">IF(K33&gt;J33,K33-J33,J33-K33)</f>
        <v>0.68499999999999994</v>
      </c>
    </row>
    <row r="34" spans="1:14" x14ac:dyDescent="0.2">
      <c r="A34" s="14" t="s">
        <v>144</v>
      </c>
      <c r="B34" s="8">
        <v>0.73399999999999999</v>
      </c>
      <c r="C34" s="8">
        <v>0.76899999999999991</v>
      </c>
      <c r="D34" s="8">
        <v>1.5029999999999999</v>
      </c>
      <c r="I34" t="s">
        <v>47</v>
      </c>
      <c r="J34" s="16">
        <v>0.67899999999999994</v>
      </c>
      <c r="K34" s="16">
        <v>0.81899999999999995</v>
      </c>
      <c r="L34" s="16">
        <v>1.4979999999999998</v>
      </c>
      <c r="M34" s="8">
        <f t="shared" si="0"/>
        <v>0.74899999999999989</v>
      </c>
      <c r="N34">
        <f t="shared" si="1"/>
        <v>0.14000000000000001</v>
      </c>
    </row>
    <row r="35" spans="1:14" x14ac:dyDescent="0.2">
      <c r="A35" s="14" t="s">
        <v>149</v>
      </c>
      <c r="B35" s="8">
        <v>-0.10250000000000001</v>
      </c>
      <c r="C35" s="8">
        <v>0.8165</v>
      </c>
      <c r="D35" s="8">
        <v>0.71399999999999997</v>
      </c>
      <c r="I35" t="s">
        <v>48</v>
      </c>
      <c r="J35" s="16">
        <v>-0.12499999999999997</v>
      </c>
      <c r="K35" s="16">
        <v>0.36899999999999994</v>
      </c>
      <c r="L35" s="16">
        <v>0.24399999999999997</v>
      </c>
      <c r="M35" s="8">
        <f t="shared" si="0"/>
        <v>0.12199999999999998</v>
      </c>
      <c r="N35">
        <f t="shared" si="1"/>
        <v>0.49399999999999988</v>
      </c>
    </row>
    <row r="36" spans="1:14" x14ac:dyDescent="0.2">
      <c r="A36" s="14" t="s">
        <v>154</v>
      </c>
      <c r="B36" s="8">
        <v>0.5665</v>
      </c>
      <c r="C36" s="8">
        <v>0.13400000000000001</v>
      </c>
      <c r="D36" s="8">
        <v>0.70050000000000001</v>
      </c>
      <c r="I36" t="s">
        <v>50</v>
      </c>
      <c r="J36" s="16">
        <v>0.77899999999999991</v>
      </c>
      <c r="K36" s="16">
        <v>0.91899999999999993</v>
      </c>
      <c r="L36" s="16">
        <v>1.698</v>
      </c>
      <c r="M36" s="8">
        <f t="shared" si="0"/>
        <v>0.84899999999999998</v>
      </c>
      <c r="N36">
        <f t="shared" si="1"/>
        <v>0.14000000000000001</v>
      </c>
    </row>
    <row r="37" spans="1:14" x14ac:dyDescent="0.2">
      <c r="A37" s="14" t="s">
        <v>162</v>
      </c>
      <c r="B37" s="8">
        <v>0.61899999999999999</v>
      </c>
      <c r="C37" s="8">
        <v>-0.57250000000000001</v>
      </c>
      <c r="D37" s="8">
        <v>4.6499999999999986E-2</v>
      </c>
      <c r="I37" t="s">
        <v>52</v>
      </c>
      <c r="J37" s="16">
        <v>0.96899999999999997</v>
      </c>
      <c r="K37" s="16">
        <v>0.70899999999999996</v>
      </c>
      <c r="L37" s="16">
        <v>1.6779999999999999</v>
      </c>
      <c r="M37" s="8">
        <f t="shared" si="0"/>
        <v>0.83899999999999997</v>
      </c>
      <c r="N37">
        <f t="shared" si="1"/>
        <v>0.26</v>
      </c>
    </row>
    <row r="38" spans="1:14" x14ac:dyDescent="0.2">
      <c r="A38" s="14" t="s">
        <v>164</v>
      </c>
      <c r="B38" s="8">
        <v>-0.79899999999999993</v>
      </c>
      <c r="C38" s="8">
        <v>-0.6925</v>
      </c>
      <c r="D38" s="8">
        <v>-1.4914999999999998</v>
      </c>
      <c r="I38" t="s">
        <v>54</v>
      </c>
      <c r="J38" s="16">
        <v>-0.55649999999999999</v>
      </c>
      <c r="K38" s="16">
        <v>0.46649999999999997</v>
      </c>
      <c r="L38" s="16">
        <v>-9.0000000000000024E-2</v>
      </c>
      <c r="M38" s="8">
        <f t="shared" si="0"/>
        <v>-4.5000000000000012E-2</v>
      </c>
      <c r="N38">
        <f t="shared" si="1"/>
        <v>1.0229999999999999</v>
      </c>
    </row>
    <row r="39" spans="1:14" x14ac:dyDescent="0.2">
      <c r="A39" s="14" t="s">
        <v>168</v>
      </c>
      <c r="B39" s="8">
        <v>-0.64249999999999996</v>
      </c>
      <c r="C39" s="8">
        <v>-0.76400000000000001</v>
      </c>
      <c r="D39" s="8">
        <v>-1.4064999999999999</v>
      </c>
      <c r="I39" t="s">
        <v>55</v>
      </c>
      <c r="J39" s="16">
        <v>0.96899999999999997</v>
      </c>
      <c r="K39" s="16">
        <v>0.96899999999999997</v>
      </c>
      <c r="L39" s="16">
        <v>1.9379999999999999</v>
      </c>
      <c r="M39" s="8">
        <f t="shared" si="0"/>
        <v>0.96899999999999997</v>
      </c>
      <c r="N39">
        <f t="shared" si="1"/>
        <v>0</v>
      </c>
    </row>
    <row r="40" spans="1:14" x14ac:dyDescent="0.2">
      <c r="A40" s="14" t="s">
        <v>174</v>
      </c>
      <c r="B40" s="8">
        <v>-0.48499999999999993</v>
      </c>
      <c r="C40" s="8">
        <v>-0.46500000000000002</v>
      </c>
      <c r="D40" s="8">
        <v>-0.95</v>
      </c>
      <c r="I40" t="s">
        <v>57</v>
      </c>
      <c r="J40" s="16">
        <v>-0.54</v>
      </c>
      <c r="K40" s="16">
        <v>-0.48000000000000004</v>
      </c>
      <c r="L40" s="16">
        <v>-1.02</v>
      </c>
      <c r="M40" s="8">
        <f t="shared" si="0"/>
        <v>-0.51</v>
      </c>
      <c r="N40">
        <f t="shared" si="1"/>
        <v>0.06</v>
      </c>
    </row>
    <row r="41" spans="1:14" x14ac:dyDescent="0.2">
      <c r="A41" s="13" t="s">
        <v>86</v>
      </c>
      <c r="B41" s="8">
        <v>0.86899999999999977</v>
      </c>
      <c r="C41" s="8">
        <v>9.1514999999999969</v>
      </c>
      <c r="D41" s="8">
        <v>10.0205</v>
      </c>
      <c r="I41" t="s">
        <v>59</v>
      </c>
      <c r="J41" s="16">
        <v>0.96899999999999997</v>
      </c>
      <c r="K41" s="16">
        <v>0.96899999999999997</v>
      </c>
      <c r="L41" s="16">
        <v>1.9379999999999999</v>
      </c>
      <c r="M41" s="8">
        <f t="shared" si="0"/>
        <v>0.96899999999999997</v>
      </c>
      <c r="N41">
        <f t="shared" si="1"/>
        <v>0</v>
      </c>
    </row>
    <row r="42" spans="1:14" x14ac:dyDescent="0.2">
      <c r="A42" s="14" t="s">
        <v>44</v>
      </c>
      <c r="B42" s="8">
        <v>-0.28999999999999998</v>
      </c>
      <c r="C42" s="8">
        <v>0.31899999999999995</v>
      </c>
      <c r="D42" s="8">
        <v>2.899999999999997E-2</v>
      </c>
      <c r="I42" t="s">
        <v>61</v>
      </c>
      <c r="J42" s="16">
        <v>0.15750000000000003</v>
      </c>
      <c r="K42" s="16">
        <v>-0.33250000000000002</v>
      </c>
      <c r="L42" s="16">
        <v>-0.17499999999999999</v>
      </c>
      <c r="M42" s="8">
        <f t="shared" si="0"/>
        <v>-8.7499999999999994E-2</v>
      </c>
      <c r="N42">
        <f t="shared" si="1"/>
        <v>0.49000000000000005</v>
      </c>
    </row>
    <row r="43" spans="1:14" x14ac:dyDescent="0.2">
      <c r="A43" s="14" t="s">
        <v>50</v>
      </c>
      <c r="B43" s="8">
        <v>0.91899999999999993</v>
      </c>
      <c r="C43" s="8">
        <v>0.96899999999999997</v>
      </c>
      <c r="D43" s="8">
        <v>1.8879999999999999</v>
      </c>
      <c r="I43" t="s">
        <v>63</v>
      </c>
      <c r="J43" s="16">
        <v>-0.29250000000000004</v>
      </c>
      <c r="K43" s="16">
        <v>-0.6925</v>
      </c>
      <c r="L43" s="16">
        <v>-0.9850000000000001</v>
      </c>
      <c r="M43" s="8">
        <f t="shared" si="0"/>
        <v>-0.49250000000000005</v>
      </c>
      <c r="N43">
        <f t="shared" si="1"/>
        <v>0.39999999999999997</v>
      </c>
    </row>
    <row r="44" spans="1:14" x14ac:dyDescent="0.2">
      <c r="A44" s="14" t="s">
        <v>52</v>
      </c>
      <c r="B44" s="8">
        <v>-0.28000000000000003</v>
      </c>
      <c r="C44" s="8">
        <v>0.255</v>
      </c>
      <c r="D44" s="8">
        <v>-2.5000000000000022E-2</v>
      </c>
      <c r="I44" t="s">
        <v>66</v>
      </c>
      <c r="J44" s="16">
        <v>0.57000000000000006</v>
      </c>
      <c r="K44" s="16">
        <v>-5.5000000000000007E-2</v>
      </c>
      <c r="L44" s="16">
        <v>0.51500000000000001</v>
      </c>
      <c r="M44" s="8">
        <f t="shared" si="0"/>
        <v>0.25750000000000001</v>
      </c>
      <c r="N44">
        <f t="shared" si="1"/>
        <v>0.62500000000000011</v>
      </c>
    </row>
    <row r="45" spans="1:14" x14ac:dyDescent="0.2">
      <c r="A45" s="14" t="s">
        <v>54</v>
      </c>
      <c r="B45" s="8">
        <v>-0.2525</v>
      </c>
      <c r="C45" s="8">
        <v>0.91899999999999993</v>
      </c>
      <c r="D45" s="8">
        <v>0.66649999999999987</v>
      </c>
      <c r="I45" t="s">
        <v>68</v>
      </c>
      <c r="J45" s="16">
        <v>-0.52</v>
      </c>
      <c r="K45" s="16">
        <v>-0.73499999999999999</v>
      </c>
      <c r="L45" s="16">
        <v>-1.2549999999999999</v>
      </c>
      <c r="M45" s="8">
        <f t="shared" si="0"/>
        <v>-0.62749999999999995</v>
      </c>
      <c r="N45">
        <f t="shared" si="1"/>
        <v>0.21499999999999997</v>
      </c>
    </row>
    <row r="46" spans="1:14" x14ac:dyDescent="0.2">
      <c r="A46" s="14" t="s">
        <v>55</v>
      </c>
      <c r="B46" s="8">
        <v>0.51649999999999996</v>
      </c>
      <c r="C46" s="8">
        <v>0.96899999999999997</v>
      </c>
      <c r="D46" s="8">
        <v>1.4855</v>
      </c>
      <c r="I46" t="s">
        <v>70</v>
      </c>
      <c r="J46" s="16">
        <v>0.33499999999999996</v>
      </c>
      <c r="K46" s="16">
        <v>0.66899999999999993</v>
      </c>
      <c r="L46" s="16">
        <v>1.004</v>
      </c>
      <c r="M46" s="8">
        <f t="shared" si="0"/>
        <v>0.502</v>
      </c>
      <c r="N46">
        <f t="shared" si="1"/>
        <v>0.33399999999999996</v>
      </c>
    </row>
    <row r="47" spans="1:14" x14ac:dyDescent="0.2">
      <c r="A47" s="14" t="s">
        <v>59</v>
      </c>
      <c r="B47" s="8">
        <v>0.88400000000000001</v>
      </c>
      <c r="C47" s="8">
        <v>0.91899999999999993</v>
      </c>
      <c r="D47" s="8">
        <v>1.8029999999999999</v>
      </c>
      <c r="I47" t="s">
        <v>72</v>
      </c>
      <c r="J47" s="16">
        <v>-0.41499999999999998</v>
      </c>
      <c r="K47" s="16">
        <v>-6.6000000000000017E-2</v>
      </c>
      <c r="L47" s="16">
        <v>-0.48099999999999998</v>
      </c>
      <c r="M47" s="8">
        <f t="shared" si="0"/>
        <v>-0.24049999999999999</v>
      </c>
      <c r="N47">
        <f t="shared" si="1"/>
        <v>0.34899999999999998</v>
      </c>
    </row>
    <row r="48" spans="1:14" x14ac:dyDescent="0.2">
      <c r="A48" s="14" t="s">
        <v>70</v>
      </c>
      <c r="B48" s="8">
        <v>-0.34499999999999997</v>
      </c>
      <c r="C48" s="8">
        <v>0.45899999999999996</v>
      </c>
      <c r="D48" s="8">
        <v>0.11399999999999999</v>
      </c>
      <c r="J48" s="16"/>
      <c r="K48" s="16"/>
      <c r="L48" s="16"/>
      <c r="M48" s="8"/>
    </row>
    <row r="49" spans="1:14" x14ac:dyDescent="0.2">
      <c r="A49" s="14" t="s">
        <v>149</v>
      </c>
      <c r="B49" s="8">
        <v>0.51899999999999991</v>
      </c>
      <c r="C49" s="8">
        <v>0.91899999999999993</v>
      </c>
      <c r="D49" s="8">
        <v>1.4379999999999997</v>
      </c>
      <c r="I49" t="s">
        <v>15</v>
      </c>
      <c r="J49" s="16">
        <v>0.63400000000000001</v>
      </c>
      <c r="K49" s="16">
        <v>-0.41599999999999998</v>
      </c>
      <c r="L49" s="16">
        <v>0.21800000000000003</v>
      </c>
      <c r="M49" s="8">
        <f t="shared" si="0"/>
        <v>0.10900000000000001</v>
      </c>
      <c r="N49">
        <f t="shared" si="1"/>
        <v>1.05</v>
      </c>
    </row>
    <row r="50" spans="1:14" x14ac:dyDescent="0.2">
      <c r="A50" s="14" t="s">
        <v>162</v>
      </c>
      <c r="B50" s="8">
        <v>0.184</v>
      </c>
      <c r="C50" s="8">
        <v>-0.34399999999999997</v>
      </c>
      <c r="D50" s="8">
        <v>-0.15999999999999998</v>
      </c>
      <c r="I50" t="s">
        <v>44</v>
      </c>
      <c r="J50" s="16">
        <v>7.4999999999999997E-3</v>
      </c>
      <c r="K50" s="16">
        <v>-0.24099999999999999</v>
      </c>
      <c r="L50" s="16">
        <v>-0.23349999999999999</v>
      </c>
      <c r="M50" s="8">
        <f t="shared" si="0"/>
        <v>-0.11674999999999999</v>
      </c>
      <c r="N50">
        <f t="shared" si="1"/>
        <v>0.2485</v>
      </c>
    </row>
    <row r="51" spans="1:14" x14ac:dyDescent="0.2">
      <c r="A51" s="14" t="s">
        <v>90</v>
      </c>
      <c r="B51" s="8">
        <v>-0.59250000000000003</v>
      </c>
      <c r="C51" s="8">
        <v>0.40899999999999997</v>
      </c>
      <c r="D51" s="8">
        <v>-0.18350000000000005</v>
      </c>
    </row>
    <row r="52" spans="1:14" x14ac:dyDescent="0.2">
      <c r="A52" s="14" t="s">
        <v>281</v>
      </c>
      <c r="B52" s="8">
        <v>-0.3175</v>
      </c>
      <c r="C52" s="8">
        <v>0.80899999999999994</v>
      </c>
      <c r="D52" s="8">
        <v>0.49149999999999994</v>
      </c>
    </row>
    <row r="53" spans="1:14" x14ac:dyDescent="0.2">
      <c r="A53" s="14" t="s">
        <v>290</v>
      </c>
      <c r="B53" s="8">
        <v>-0.56400000000000006</v>
      </c>
      <c r="C53" s="8">
        <v>0.66899999999999993</v>
      </c>
      <c r="D53" s="8">
        <v>0.10499999999999987</v>
      </c>
    </row>
    <row r="54" spans="1:14" x14ac:dyDescent="0.2">
      <c r="A54" s="14" t="s">
        <v>299</v>
      </c>
      <c r="B54" s="8">
        <v>9.9999999999999811E-3</v>
      </c>
      <c r="C54" s="8">
        <v>0.26</v>
      </c>
      <c r="D54" s="8">
        <v>0.27</v>
      </c>
    </row>
    <row r="55" spans="1:14" x14ac:dyDescent="0.2">
      <c r="A55" s="14" t="s">
        <v>311</v>
      </c>
      <c r="B55" s="8">
        <v>0.46649999999999997</v>
      </c>
      <c r="C55" s="8">
        <v>0.81899999999999995</v>
      </c>
      <c r="D55" s="8">
        <v>1.2854999999999999</v>
      </c>
    </row>
    <row r="56" spans="1:14" x14ac:dyDescent="0.2">
      <c r="A56" s="14" t="s">
        <v>339</v>
      </c>
      <c r="B56" s="8">
        <v>0.42649999999999999</v>
      </c>
      <c r="C56" s="8">
        <v>0.77899999999999991</v>
      </c>
      <c r="D56" s="8">
        <v>1.2054999999999998</v>
      </c>
    </row>
    <row r="57" spans="1:14" x14ac:dyDescent="0.2">
      <c r="A57" s="14" t="s">
        <v>346</v>
      </c>
      <c r="B57" s="8">
        <v>-0.51400000000000001</v>
      </c>
      <c r="C57" s="8">
        <v>-0.43649999999999994</v>
      </c>
      <c r="D57" s="8">
        <v>-0.9504999999999999</v>
      </c>
    </row>
    <row r="58" spans="1:14" x14ac:dyDescent="0.2">
      <c r="A58" s="14" t="s">
        <v>355</v>
      </c>
      <c r="B58" s="8">
        <v>9.8999999999999963E-2</v>
      </c>
      <c r="C58" s="8">
        <v>0.45899999999999996</v>
      </c>
      <c r="D58" s="8">
        <v>0.55799999999999994</v>
      </c>
    </row>
    <row r="59" spans="1:14" x14ac:dyDescent="0.2">
      <c r="A59" s="13" t="s">
        <v>187</v>
      </c>
      <c r="B59" s="8">
        <v>7.3360000000000003</v>
      </c>
      <c r="C59" s="8">
        <v>4.048</v>
      </c>
      <c r="D59" s="8">
        <v>11.384</v>
      </c>
    </row>
    <row r="60" spans="1:14" x14ac:dyDescent="0.2">
      <c r="A60" s="14" t="s">
        <v>44</v>
      </c>
      <c r="B60" s="8">
        <v>0.23399999999999999</v>
      </c>
      <c r="C60" s="8">
        <v>0.75600000000000001</v>
      </c>
      <c r="D60" s="8">
        <v>0.99</v>
      </c>
    </row>
    <row r="61" spans="1:14" x14ac:dyDescent="0.2">
      <c r="A61" s="14" t="s">
        <v>47</v>
      </c>
      <c r="B61" s="8">
        <v>0.23399999999999999</v>
      </c>
      <c r="C61" s="8">
        <v>0.78399999999999992</v>
      </c>
      <c r="D61" s="8">
        <v>1.0179999999999998</v>
      </c>
    </row>
    <row r="62" spans="1:14" x14ac:dyDescent="0.2">
      <c r="A62" s="14" t="s">
        <v>54</v>
      </c>
      <c r="B62" s="8">
        <v>0.42399999999999999</v>
      </c>
      <c r="C62" s="8">
        <v>0.83399999999999996</v>
      </c>
      <c r="D62" s="8">
        <v>1.258</v>
      </c>
    </row>
    <row r="63" spans="1:14" x14ac:dyDescent="0.2">
      <c r="A63" s="14" t="s">
        <v>59</v>
      </c>
      <c r="B63" s="8">
        <v>0.184</v>
      </c>
      <c r="C63" s="8">
        <v>0.21400000000000002</v>
      </c>
      <c r="D63" s="8">
        <v>0.39800000000000002</v>
      </c>
    </row>
    <row r="64" spans="1:14" x14ac:dyDescent="0.2">
      <c r="A64" s="14" t="s">
        <v>144</v>
      </c>
      <c r="B64" s="8">
        <v>0.184</v>
      </c>
      <c r="C64" s="8">
        <v>0.88400000000000001</v>
      </c>
      <c r="D64" s="8">
        <v>1.0680000000000001</v>
      </c>
    </row>
    <row r="65" spans="1:4" x14ac:dyDescent="0.2">
      <c r="A65" s="14" t="s">
        <v>149</v>
      </c>
      <c r="B65" s="8">
        <v>0.48399999999999999</v>
      </c>
      <c r="C65" s="8">
        <v>0.184</v>
      </c>
      <c r="D65" s="8">
        <v>0.66799999999999993</v>
      </c>
    </row>
    <row r="66" spans="1:4" x14ac:dyDescent="0.2">
      <c r="A66" s="14" t="s">
        <v>281</v>
      </c>
      <c r="B66" s="8">
        <v>0.16999999999999998</v>
      </c>
      <c r="C66" s="8">
        <v>0.52400000000000002</v>
      </c>
      <c r="D66" s="8">
        <v>0.69399999999999995</v>
      </c>
    </row>
    <row r="67" spans="1:4" x14ac:dyDescent="0.2">
      <c r="A67" s="14" t="s">
        <v>299</v>
      </c>
      <c r="B67" s="8">
        <v>0.88400000000000001</v>
      </c>
      <c r="C67" s="8">
        <v>0.23399999999999999</v>
      </c>
      <c r="D67" s="8">
        <v>1.1179999999999999</v>
      </c>
    </row>
    <row r="68" spans="1:4" x14ac:dyDescent="0.2">
      <c r="A68" s="14" t="s">
        <v>311</v>
      </c>
      <c r="B68" s="8">
        <v>0.44399999999999995</v>
      </c>
      <c r="C68" s="8">
        <v>0.184</v>
      </c>
      <c r="D68" s="8">
        <v>0.62799999999999989</v>
      </c>
    </row>
    <row r="69" spans="1:4" x14ac:dyDescent="0.2">
      <c r="A69" s="14" t="s">
        <v>346</v>
      </c>
      <c r="B69" s="8">
        <v>0.16999999999999998</v>
      </c>
      <c r="C69" s="8">
        <v>5.9999999999999915E-3</v>
      </c>
      <c r="D69" s="8">
        <v>0.17599999999999999</v>
      </c>
    </row>
    <row r="70" spans="1:4" x14ac:dyDescent="0.2">
      <c r="A70" s="14" t="s">
        <v>417</v>
      </c>
      <c r="B70" s="8">
        <v>0.33399999999999996</v>
      </c>
      <c r="C70" s="8">
        <v>-0.53</v>
      </c>
      <c r="D70" s="8">
        <v>-0.19600000000000006</v>
      </c>
    </row>
    <row r="71" spans="1:4" x14ac:dyDescent="0.2">
      <c r="A71" s="14" t="s">
        <v>455</v>
      </c>
      <c r="B71" s="8">
        <v>0.48399999999999999</v>
      </c>
      <c r="C71" s="8">
        <v>6.9999999999999993E-2</v>
      </c>
      <c r="D71" s="8">
        <v>0.55399999999999994</v>
      </c>
    </row>
    <row r="72" spans="1:4" x14ac:dyDescent="0.2">
      <c r="A72" s="14" t="s">
        <v>464</v>
      </c>
      <c r="B72" s="8">
        <v>0.63400000000000001</v>
      </c>
      <c r="C72" s="8">
        <v>0.88400000000000001</v>
      </c>
      <c r="D72" s="8">
        <v>1.518</v>
      </c>
    </row>
    <row r="73" spans="1:4" x14ac:dyDescent="0.2">
      <c r="A73" s="14" t="s">
        <v>502</v>
      </c>
      <c r="B73" s="8">
        <v>0.88400000000000001</v>
      </c>
      <c r="C73" s="8">
        <v>0.23399999999999999</v>
      </c>
      <c r="D73" s="8">
        <v>1.1179999999999999</v>
      </c>
    </row>
    <row r="74" spans="1:4" x14ac:dyDescent="0.2">
      <c r="A74" s="14" t="s">
        <v>517</v>
      </c>
      <c r="B74" s="8">
        <v>0.88400000000000001</v>
      </c>
      <c r="C74" s="8">
        <v>-0.28000000000000003</v>
      </c>
      <c r="D74" s="8">
        <v>0.60399999999999998</v>
      </c>
    </row>
    <row r="75" spans="1:4" x14ac:dyDescent="0.2">
      <c r="A75" s="14" t="s">
        <v>529</v>
      </c>
      <c r="B75" s="8">
        <v>0.58399999999999996</v>
      </c>
      <c r="C75" s="8">
        <v>-0.29000000000000004</v>
      </c>
      <c r="D75" s="8">
        <v>0.29399999999999993</v>
      </c>
    </row>
    <row r="76" spans="1:4" x14ac:dyDescent="0.2">
      <c r="A76" s="14" t="s">
        <v>550</v>
      </c>
      <c r="B76" s="8">
        <v>0.12</v>
      </c>
      <c r="C76" s="8">
        <v>-0.64400000000000002</v>
      </c>
      <c r="D76" s="8">
        <v>-0.52400000000000002</v>
      </c>
    </row>
    <row r="77" spans="1:4" x14ac:dyDescent="0.2">
      <c r="A77" s="13" t="s">
        <v>87</v>
      </c>
      <c r="B77" s="8">
        <v>0</v>
      </c>
      <c r="C77" s="8">
        <v>0</v>
      </c>
      <c r="D77" s="8">
        <v>0</v>
      </c>
    </row>
    <row r="78" spans="1:4" x14ac:dyDescent="0.2">
      <c r="A78" s="14" t="s">
        <v>44</v>
      </c>
      <c r="B78" s="8">
        <v>0</v>
      </c>
      <c r="C78" s="8">
        <v>0</v>
      </c>
      <c r="D78" s="8">
        <v>0</v>
      </c>
    </row>
    <row r="79" spans="1:4" x14ac:dyDescent="0.2">
      <c r="A79" s="13" t="s">
        <v>94</v>
      </c>
      <c r="B79" s="8">
        <v>14.955499999999995</v>
      </c>
      <c r="C79" s="8">
        <v>22.342500000000001</v>
      </c>
      <c r="D79" s="8">
        <v>37.298000000000016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6AA4C-7FAF-0546-8283-12DCC44CEB47}">
  <dimension ref="A1:D21"/>
  <sheetViews>
    <sheetView workbookViewId="0">
      <selection activeCell="B18" sqref="B18"/>
    </sheetView>
  </sheetViews>
  <sheetFormatPr baseColWidth="10" defaultRowHeight="16" x14ac:dyDescent="0.2"/>
  <cols>
    <col min="1" max="1" width="16.83203125" bestFit="1" customWidth="1"/>
    <col min="2" max="2" width="16" bestFit="1" customWidth="1"/>
    <col min="3" max="3" width="6.6640625" bestFit="1" customWidth="1"/>
    <col min="4" max="4" width="10.5" bestFit="1" customWidth="1"/>
  </cols>
  <sheetData>
    <row r="1" spans="1:4" x14ac:dyDescent="0.2">
      <c r="A1" s="12" t="s">
        <v>2</v>
      </c>
      <c r="B1" t="s">
        <v>1</v>
      </c>
    </row>
    <row r="3" spans="1:4" x14ac:dyDescent="0.2">
      <c r="A3" s="12" t="s">
        <v>95</v>
      </c>
      <c r="B3" s="12" t="s">
        <v>96</v>
      </c>
    </row>
    <row r="4" spans="1:4" x14ac:dyDescent="0.2">
      <c r="A4" s="12" t="s">
        <v>93</v>
      </c>
      <c r="B4" t="s">
        <v>17</v>
      </c>
      <c r="C4" t="s">
        <v>18</v>
      </c>
      <c r="D4" t="s">
        <v>94</v>
      </c>
    </row>
    <row r="5" spans="1:4" x14ac:dyDescent="0.2">
      <c r="A5" s="13" t="s">
        <v>15</v>
      </c>
      <c r="B5" s="8">
        <v>0.78649999999999998</v>
      </c>
      <c r="C5" s="8">
        <v>0.91899999999999993</v>
      </c>
      <c r="D5" s="8">
        <v>1.7054999999999998</v>
      </c>
    </row>
    <row r="6" spans="1:4" x14ac:dyDescent="0.2">
      <c r="A6" s="13" t="s">
        <v>44</v>
      </c>
      <c r="B6" s="8">
        <v>0.23399999999999999</v>
      </c>
      <c r="C6" s="8">
        <v>0.91899999999999993</v>
      </c>
      <c r="D6" s="8">
        <v>1.153</v>
      </c>
    </row>
    <row r="7" spans="1:4" x14ac:dyDescent="0.2">
      <c r="A7" s="13" t="s">
        <v>47</v>
      </c>
      <c r="B7" s="8">
        <v>0.67899999999999994</v>
      </c>
      <c r="C7" s="8">
        <v>0.81899999999999995</v>
      </c>
      <c r="D7" s="8">
        <v>1.4979999999999998</v>
      </c>
    </row>
    <row r="8" spans="1:4" x14ac:dyDescent="0.2">
      <c r="A8" s="13" t="s">
        <v>48</v>
      </c>
      <c r="B8" s="8">
        <v>-0.12499999999999997</v>
      </c>
      <c r="C8" s="8">
        <v>0.36899999999999994</v>
      </c>
      <c r="D8" s="8">
        <v>0.24399999999999997</v>
      </c>
    </row>
    <row r="9" spans="1:4" x14ac:dyDescent="0.2">
      <c r="A9" s="13" t="s">
        <v>50</v>
      </c>
      <c r="B9" s="8">
        <v>0.77899999999999991</v>
      </c>
      <c r="C9" s="8">
        <v>0.91899999999999993</v>
      </c>
      <c r="D9" s="8">
        <v>1.698</v>
      </c>
    </row>
    <row r="10" spans="1:4" x14ac:dyDescent="0.2">
      <c r="A10" s="13" t="s">
        <v>52</v>
      </c>
      <c r="B10" s="8">
        <v>0.96899999999999997</v>
      </c>
      <c r="C10" s="8">
        <v>0.70899999999999996</v>
      </c>
      <c r="D10" s="8">
        <v>1.6779999999999999</v>
      </c>
    </row>
    <row r="11" spans="1:4" x14ac:dyDescent="0.2">
      <c r="A11" s="13" t="s">
        <v>54</v>
      </c>
      <c r="B11" s="8">
        <v>-0.55649999999999999</v>
      </c>
      <c r="C11" s="8">
        <v>0.46649999999999997</v>
      </c>
      <c r="D11" s="8">
        <v>-9.0000000000000024E-2</v>
      </c>
    </row>
    <row r="12" spans="1:4" x14ac:dyDescent="0.2">
      <c r="A12" s="13" t="s">
        <v>55</v>
      </c>
      <c r="B12" s="8">
        <v>0.96899999999999997</v>
      </c>
      <c r="C12" s="8">
        <v>0.96899999999999997</v>
      </c>
      <c r="D12" s="8">
        <v>1.9379999999999999</v>
      </c>
    </row>
    <row r="13" spans="1:4" x14ac:dyDescent="0.2">
      <c r="A13" s="13" t="s">
        <v>57</v>
      </c>
      <c r="B13" s="8">
        <v>-0.54</v>
      </c>
      <c r="C13" s="8">
        <v>-0.48000000000000004</v>
      </c>
      <c r="D13" s="8">
        <v>-1.02</v>
      </c>
    </row>
    <row r="14" spans="1:4" x14ac:dyDescent="0.2">
      <c r="A14" s="13" t="s">
        <v>59</v>
      </c>
      <c r="B14" s="8">
        <v>0.96899999999999997</v>
      </c>
      <c r="C14" s="8">
        <v>0.96899999999999997</v>
      </c>
      <c r="D14" s="8">
        <v>1.9379999999999999</v>
      </c>
    </row>
    <row r="15" spans="1:4" x14ac:dyDescent="0.2">
      <c r="A15" s="13" t="s">
        <v>61</v>
      </c>
      <c r="B15" s="8">
        <v>0.15750000000000003</v>
      </c>
      <c r="C15" s="8">
        <v>-0.33250000000000002</v>
      </c>
      <c r="D15" s="8">
        <v>-0.17499999999999999</v>
      </c>
    </row>
    <row r="16" spans="1:4" x14ac:dyDescent="0.2">
      <c r="A16" s="13" t="s">
        <v>63</v>
      </c>
      <c r="B16" s="8">
        <v>-0.29250000000000004</v>
      </c>
      <c r="C16" s="8">
        <v>-0.6925</v>
      </c>
      <c r="D16" s="8">
        <v>-0.9850000000000001</v>
      </c>
    </row>
    <row r="17" spans="1:4" x14ac:dyDescent="0.2">
      <c r="A17" s="13" t="s">
        <v>66</v>
      </c>
      <c r="B17" s="8">
        <v>0.57000000000000006</v>
      </c>
      <c r="C17" s="8">
        <v>-5.5000000000000007E-2</v>
      </c>
      <c r="D17" s="8">
        <v>0.51500000000000001</v>
      </c>
    </row>
    <row r="18" spans="1:4" x14ac:dyDescent="0.2">
      <c r="A18" s="13" t="s">
        <v>68</v>
      </c>
      <c r="B18" s="8">
        <v>-0.52</v>
      </c>
      <c r="C18" s="8">
        <v>-0.73499999999999999</v>
      </c>
      <c r="D18" s="8">
        <v>-1.2549999999999999</v>
      </c>
    </row>
    <row r="19" spans="1:4" x14ac:dyDescent="0.2">
      <c r="A19" s="13" t="s">
        <v>70</v>
      </c>
      <c r="B19" s="8">
        <v>0.33499999999999996</v>
      </c>
      <c r="C19" s="8">
        <v>0.66899999999999993</v>
      </c>
      <c r="D19" s="8">
        <v>1.004</v>
      </c>
    </row>
    <row r="20" spans="1:4" x14ac:dyDescent="0.2">
      <c r="A20" s="13" t="s">
        <v>72</v>
      </c>
      <c r="B20" s="8">
        <v>-0.41499999999999998</v>
      </c>
      <c r="C20" s="8">
        <v>-6.6000000000000017E-2</v>
      </c>
      <c r="D20" s="8">
        <v>-0.48099999999999998</v>
      </c>
    </row>
    <row r="21" spans="1:4" x14ac:dyDescent="0.2">
      <c r="A21" s="13" t="s">
        <v>94</v>
      </c>
      <c r="B21" s="8">
        <v>3.9989999999999988</v>
      </c>
      <c r="C21" s="8">
        <v>5.3665000000000003</v>
      </c>
      <c r="D21" s="8">
        <v>9.3655000000000008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6B2C-1405-6647-8135-0DF5C114F228}">
  <dimension ref="L24:N30"/>
  <sheetViews>
    <sheetView topLeftCell="A4" workbookViewId="0">
      <selection activeCell="G18" sqref="G18"/>
    </sheetView>
  </sheetViews>
  <sheetFormatPr baseColWidth="10" defaultRowHeight="16" x14ac:dyDescent="0.2"/>
  <sheetData>
    <row r="24" spans="12:14" x14ac:dyDescent="0.2">
      <c r="M24" t="s">
        <v>17</v>
      </c>
      <c r="N24" t="s">
        <v>18</v>
      </c>
    </row>
    <row r="25" spans="12:14" x14ac:dyDescent="0.2">
      <c r="L25" t="s">
        <v>1</v>
      </c>
      <c r="M25">
        <v>-0.5</v>
      </c>
      <c r="N25">
        <v>0.2</v>
      </c>
    </row>
    <row r="26" spans="12:14" x14ac:dyDescent="0.2">
      <c r="L26" t="s">
        <v>0</v>
      </c>
      <c r="M26">
        <v>-1</v>
      </c>
      <c r="N26">
        <v>0.5</v>
      </c>
    </row>
    <row r="27" spans="12:14" x14ac:dyDescent="0.2">
      <c r="L27" t="s">
        <v>86</v>
      </c>
      <c r="M27">
        <v>1</v>
      </c>
      <c r="N27">
        <v>1</v>
      </c>
    </row>
    <row r="28" spans="12:14" x14ac:dyDescent="0.2">
      <c r="L28" t="s">
        <v>187</v>
      </c>
      <c r="M28">
        <v>0</v>
      </c>
      <c r="N28">
        <v>1</v>
      </c>
    </row>
    <row r="29" spans="12:14" x14ac:dyDescent="0.2">
      <c r="L29" t="s">
        <v>87</v>
      </c>
      <c r="M29">
        <v>0</v>
      </c>
      <c r="N29">
        <v>0</v>
      </c>
    </row>
    <row r="30" spans="12:14" x14ac:dyDescent="0.2">
      <c r="L30" t="s">
        <v>188</v>
      </c>
      <c r="M30">
        <v>0.25</v>
      </c>
      <c r="N30">
        <v>-0.25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320A-69FC-1943-A2F6-2258FEA4E5F6}">
  <dimension ref="A1:H54"/>
  <sheetViews>
    <sheetView topLeftCell="A33" zoomScale="174" zoomScaleNormal="181" workbookViewId="0">
      <selection activeCell="K41" sqref="K41"/>
    </sheetView>
  </sheetViews>
  <sheetFormatPr baseColWidth="10" defaultRowHeight="16" x14ac:dyDescent="0.2"/>
  <sheetData>
    <row r="1" spans="1:4" x14ac:dyDescent="0.2">
      <c r="B1" s="9" t="s">
        <v>17</v>
      </c>
      <c r="C1" s="9" t="s">
        <v>18</v>
      </c>
    </row>
    <row r="2" spans="1:4" x14ac:dyDescent="0.2">
      <c r="A2" t="s">
        <v>55</v>
      </c>
      <c r="B2">
        <v>0.96899999999999997</v>
      </c>
      <c r="C2">
        <v>0.96899999999999997</v>
      </c>
      <c r="D2">
        <v>1.9379999999999999</v>
      </c>
    </row>
    <row r="3" spans="1:4" x14ac:dyDescent="0.2">
      <c r="A3" t="s">
        <v>59</v>
      </c>
      <c r="B3">
        <v>0.96899999999999997</v>
      </c>
      <c r="C3">
        <v>0.96899999999999997</v>
      </c>
      <c r="D3">
        <v>1.9379999999999999</v>
      </c>
    </row>
    <row r="4" spans="1:4" x14ac:dyDescent="0.2">
      <c r="A4" t="s">
        <v>15</v>
      </c>
      <c r="B4">
        <v>0.78649999999999998</v>
      </c>
      <c r="C4">
        <v>0.91899999999999993</v>
      </c>
      <c r="D4">
        <v>1.7054999999999998</v>
      </c>
    </row>
    <row r="5" spans="1:4" x14ac:dyDescent="0.2">
      <c r="A5" t="s">
        <v>50</v>
      </c>
      <c r="B5">
        <v>0.77899999999999991</v>
      </c>
      <c r="C5">
        <v>0.91899999999999993</v>
      </c>
      <c r="D5">
        <v>1.698</v>
      </c>
    </row>
    <row r="6" spans="1:4" x14ac:dyDescent="0.2">
      <c r="A6" t="s">
        <v>52</v>
      </c>
      <c r="B6">
        <v>0.96899999999999997</v>
      </c>
      <c r="C6">
        <v>0.70899999999999996</v>
      </c>
      <c r="D6">
        <v>1.6779999999999999</v>
      </c>
    </row>
    <row r="7" spans="1:4" x14ac:dyDescent="0.2">
      <c r="A7" t="s">
        <v>47</v>
      </c>
      <c r="B7">
        <v>0.67899999999999994</v>
      </c>
      <c r="C7">
        <v>0.81899999999999995</v>
      </c>
      <c r="D7">
        <v>1.4979999999999998</v>
      </c>
    </row>
    <row r="8" spans="1:4" x14ac:dyDescent="0.2">
      <c r="A8" t="s">
        <v>44</v>
      </c>
      <c r="B8">
        <v>0.23399999999999999</v>
      </c>
      <c r="C8">
        <v>0.91899999999999993</v>
      </c>
      <c r="D8">
        <v>1.153</v>
      </c>
    </row>
    <row r="9" spans="1:4" x14ac:dyDescent="0.2">
      <c r="A9" t="s">
        <v>70</v>
      </c>
      <c r="B9">
        <v>0.33499999999999996</v>
      </c>
      <c r="C9">
        <v>0.66899999999999993</v>
      </c>
      <c r="D9">
        <v>1.004</v>
      </c>
    </row>
    <row r="10" spans="1:4" x14ac:dyDescent="0.2">
      <c r="A10" t="s">
        <v>66</v>
      </c>
      <c r="B10">
        <v>0.57000000000000006</v>
      </c>
      <c r="C10">
        <v>-5.5000000000000007E-2</v>
      </c>
      <c r="D10">
        <v>0.51500000000000001</v>
      </c>
    </row>
    <row r="11" spans="1:4" x14ac:dyDescent="0.2">
      <c r="A11" t="s">
        <v>48</v>
      </c>
      <c r="B11">
        <v>-0.12499999999999997</v>
      </c>
      <c r="C11">
        <v>0.36899999999999994</v>
      </c>
      <c r="D11">
        <v>0.24399999999999997</v>
      </c>
    </row>
    <row r="12" spans="1:4" x14ac:dyDescent="0.2">
      <c r="A12" t="s">
        <v>54</v>
      </c>
      <c r="B12">
        <v>-0.55649999999999999</v>
      </c>
      <c r="C12">
        <v>0.46649999999999997</v>
      </c>
      <c r="D12">
        <v>-9.0000000000000024E-2</v>
      </c>
    </row>
    <row r="13" spans="1:4" x14ac:dyDescent="0.2">
      <c r="A13" t="s">
        <v>61</v>
      </c>
      <c r="B13">
        <v>0.15750000000000003</v>
      </c>
      <c r="C13">
        <v>-0.33250000000000002</v>
      </c>
      <c r="D13">
        <v>-0.17499999999999999</v>
      </c>
    </row>
    <row r="14" spans="1:4" x14ac:dyDescent="0.2">
      <c r="A14" t="s">
        <v>72</v>
      </c>
      <c r="B14">
        <v>-0.41499999999999998</v>
      </c>
      <c r="C14">
        <v>-6.6000000000000017E-2</v>
      </c>
      <c r="D14">
        <v>-0.48099999999999998</v>
      </c>
    </row>
    <row r="15" spans="1:4" x14ac:dyDescent="0.2">
      <c r="A15" t="s">
        <v>63</v>
      </c>
      <c r="B15">
        <v>-0.29250000000000004</v>
      </c>
      <c r="C15">
        <v>-0.6925</v>
      </c>
      <c r="D15">
        <v>-0.9850000000000001</v>
      </c>
    </row>
    <row r="16" spans="1:4" x14ac:dyDescent="0.2">
      <c r="A16" t="s">
        <v>57</v>
      </c>
      <c r="B16">
        <v>-0.54</v>
      </c>
      <c r="C16">
        <v>-0.48000000000000004</v>
      </c>
      <c r="D16">
        <v>-1.02</v>
      </c>
    </row>
    <row r="17" spans="1:8" x14ac:dyDescent="0.2">
      <c r="A17" t="s">
        <v>68</v>
      </c>
      <c r="B17">
        <v>-0.52</v>
      </c>
      <c r="C17">
        <v>-0.73499999999999999</v>
      </c>
      <c r="D17">
        <v>-1.2549999999999999</v>
      </c>
    </row>
    <row r="24" spans="1:8" x14ac:dyDescent="0.2">
      <c r="B24" s="9" t="s">
        <v>17</v>
      </c>
      <c r="C24" s="9" t="s">
        <v>18</v>
      </c>
    </row>
    <row r="31" spans="1:8" x14ac:dyDescent="0.2">
      <c r="B31" s="9" t="s">
        <v>183</v>
      </c>
      <c r="C31" s="9" t="s">
        <v>184</v>
      </c>
      <c r="D31" t="s">
        <v>179</v>
      </c>
      <c r="E31" t="s">
        <v>182</v>
      </c>
      <c r="F31" t="s">
        <v>180</v>
      </c>
      <c r="G31" t="s">
        <v>99</v>
      </c>
      <c r="H31" t="s">
        <v>181</v>
      </c>
    </row>
    <row r="32" spans="1:8" x14ac:dyDescent="0.2">
      <c r="A32" t="s">
        <v>70</v>
      </c>
      <c r="B32">
        <v>0.33499999999999996</v>
      </c>
      <c r="C32">
        <v>0.66899999999999993</v>
      </c>
      <c r="D32">
        <f>MIN(B32:C32)</f>
        <v>0.33499999999999996</v>
      </c>
      <c r="E32">
        <f>F32-D32</f>
        <v>0.33399999999999996</v>
      </c>
      <c r="F32">
        <f>MAX(B32:C32)</f>
        <v>0.66899999999999993</v>
      </c>
      <c r="G32">
        <f>AVERAGE(B32:C32)</f>
        <v>0.502</v>
      </c>
      <c r="H32">
        <v>0</v>
      </c>
    </row>
    <row r="33" spans="1:8" x14ac:dyDescent="0.2">
      <c r="A33" t="s">
        <v>66</v>
      </c>
      <c r="B33">
        <v>0.57000000000000006</v>
      </c>
      <c r="C33">
        <v>-5.5000000000000007E-2</v>
      </c>
      <c r="D33">
        <f t="shared" ref="D33:D36" si="0">MIN(B33:C33)</f>
        <v>-5.5000000000000007E-2</v>
      </c>
      <c r="E33">
        <f t="shared" ref="E33:E36" si="1">F33-D33</f>
        <v>0.62500000000000011</v>
      </c>
      <c r="F33">
        <f t="shared" ref="F33:F36" si="2">MAX(B33:C33)</f>
        <v>0.57000000000000006</v>
      </c>
      <c r="G33">
        <f t="shared" ref="G33:G36" si="3">AVERAGE(B33:C33)</f>
        <v>0.25750000000000001</v>
      </c>
      <c r="H33">
        <v>0</v>
      </c>
    </row>
    <row r="34" spans="1:8" x14ac:dyDescent="0.2">
      <c r="A34" t="s">
        <v>72</v>
      </c>
      <c r="B34">
        <v>-0.41499999999999998</v>
      </c>
      <c r="C34">
        <v>-6.6000000000000017E-2</v>
      </c>
      <c r="D34">
        <f t="shared" si="0"/>
        <v>-0.41499999999999998</v>
      </c>
      <c r="E34">
        <f t="shared" si="1"/>
        <v>0.34899999999999998</v>
      </c>
      <c r="F34">
        <f t="shared" si="2"/>
        <v>-6.6000000000000017E-2</v>
      </c>
      <c r="G34">
        <f t="shared" si="3"/>
        <v>-0.24049999999999999</v>
      </c>
      <c r="H34">
        <v>0</v>
      </c>
    </row>
    <row r="35" spans="1:8" x14ac:dyDescent="0.2">
      <c r="A35" t="s">
        <v>63</v>
      </c>
      <c r="B35">
        <v>-0.29250000000000004</v>
      </c>
      <c r="C35">
        <v>-0.6925</v>
      </c>
      <c r="D35">
        <f t="shared" si="0"/>
        <v>-0.6925</v>
      </c>
      <c r="E35">
        <f t="shared" si="1"/>
        <v>0.39999999999999997</v>
      </c>
      <c r="F35">
        <f t="shared" si="2"/>
        <v>-0.29250000000000004</v>
      </c>
      <c r="G35">
        <f t="shared" si="3"/>
        <v>-0.49250000000000005</v>
      </c>
      <c r="H35">
        <v>0</v>
      </c>
    </row>
    <row r="36" spans="1:8" x14ac:dyDescent="0.2">
      <c r="A36" t="s">
        <v>68</v>
      </c>
      <c r="B36">
        <v>-0.52</v>
      </c>
      <c r="C36">
        <v>-0.73499999999999999</v>
      </c>
      <c r="D36">
        <f t="shared" si="0"/>
        <v>-0.73499999999999999</v>
      </c>
      <c r="E36">
        <f t="shared" si="1"/>
        <v>0.21499999999999997</v>
      </c>
      <c r="F36">
        <f t="shared" si="2"/>
        <v>-0.52</v>
      </c>
      <c r="G36">
        <f t="shared" si="3"/>
        <v>-0.62749999999999995</v>
      </c>
      <c r="H36">
        <v>0</v>
      </c>
    </row>
    <row r="39" spans="1:8" x14ac:dyDescent="0.2">
      <c r="B39" t="str">
        <f t="shared" ref="B39:E39" si="4">B31</f>
        <v>Panel 1</v>
      </c>
      <c r="C39" t="str">
        <f t="shared" si="4"/>
        <v>Panel 2</v>
      </c>
      <c r="D39" t="str">
        <f t="shared" si="4"/>
        <v>Conn_Start</v>
      </c>
      <c r="E39" t="str">
        <f t="shared" si="4"/>
        <v>Conn_Len</v>
      </c>
    </row>
    <row r="40" spans="1:8" x14ac:dyDescent="0.2">
      <c r="A40" s="74" t="str">
        <f>A32</f>
        <v>AR3004</v>
      </c>
      <c r="B40">
        <f t="shared" ref="B40" si="5">B32</f>
        <v>0.33499999999999996</v>
      </c>
    </row>
    <row r="41" spans="1:8" x14ac:dyDescent="0.2">
      <c r="A41" s="74"/>
      <c r="C41">
        <f>C32</f>
        <v>0.66899999999999993</v>
      </c>
    </row>
    <row r="42" spans="1:8" x14ac:dyDescent="0.2">
      <c r="A42" s="74"/>
      <c r="D42">
        <f>D32</f>
        <v>0.33499999999999996</v>
      </c>
      <c r="E42">
        <f>E32</f>
        <v>0.33399999999999996</v>
      </c>
    </row>
    <row r="43" spans="1:8" x14ac:dyDescent="0.2">
      <c r="A43" s="74" t="str">
        <f t="shared" ref="A43:B43" si="6">A33</f>
        <v>AR3002</v>
      </c>
      <c r="B43">
        <f t="shared" si="6"/>
        <v>0.57000000000000006</v>
      </c>
    </row>
    <row r="44" spans="1:8" x14ac:dyDescent="0.2">
      <c r="A44" s="74"/>
      <c r="C44">
        <f>C33</f>
        <v>-5.5000000000000007E-2</v>
      </c>
    </row>
    <row r="45" spans="1:8" x14ac:dyDescent="0.2">
      <c r="A45" s="74"/>
      <c r="D45">
        <f>D33</f>
        <v>-5.5000000000000007E-2</v>
      </c>
      <c r="E45">
        <f>E33</f>
        <v>0.62500000000000011</v>
      </c>
    </row>
    <row r="46" spans="1:8" x14ac:dyDescent="0.2">
      <c r="A46" s="74" t="str">
        <f t="shared" ref="A46:B46" si="7">A34</f>
        <v>AR3005</v>
      </c>
      <c r="B46">
        <f t="shared" si="7"/>
        <v>-0.41499999999999998</v>
      </c>
    </row>
    <row r="47" spans="1:8" x14ac:dyDescent="0.2">
      <c r="A47" s="74"/>
      <c r="C47">
        <f>C34</f>
        <v>-6.6000000000000017E-2</v>
      </c>
    </row>
    <row r="48" spans="1:8" x14ac:dyDescent="0.2">
      <c r="A48" s="74"/>
      <c r="D48">
        <f>D34</f>
        <v>-0.41499999999999998</v>
      </c>
      <c r="E48">
        <f>E34</f>
        <v>0.34899999999999998</v>
      </c>
    </row>
    <row r="49" spans="1:5" x14ac:dyDescent="0.2">
      <c r="A49" s="74" t="str">
        <f t="shared" ref="A49:B49" si="8">A35</f>
        <v>AR3001</v>
      </c>
      <c r="B49">
        <f t="shared" si="8"/>
        <v>-0.29250000000000004</v>
      </c>
    </row>
    <row r="50" spans="1:5" x14ac:dyDescent="0.2">
      <c r="A50" s="74"/>
      <c r="C50">
        <f>C35</f>
        <v>-0.6925</v>
      </c>
    </row>
    <row r="51" spans="1:5" x14ac:dyDescent="0.2">
      <c r="A51" s="74"/>
      <c r="D51">
        <f>D35</f>
        <v>-0.6925</v>
      </c>
      <c r="E51">
        <f>E35</f>
        <v>0.39999999999999997</v>
      </c>
    </row>
    <row r="52" spans="1:5" x14ac:dyDescent="0.2">
      <c r="A52" s="74" t="str">
        <f t="shared" ref="A52:B52" si="9">A36</f>
        <v>AR3003</v>
      </c>
      <c r="B52">
        <f t="shared" si="9"/>
        <v>-0.52</v>
      </c>
    </row>
    <row r="53" spans="1:5" x14ac:dyDescent="0.2">
      <c r="A53" s="74"/>
      <c r="C53">
        <f>C36</f>
        <v>-0.73499999999999999</v>
      </c>
    </row>
    <row r="54" spans="1:5" x14ac:dyDescent="0.2">
      <c r="A54" s="74"/>
      <c r="D54">
        <f>B52</f>
        <v>-0.52</v>
      </c>
      <c r="E54">
        <f>-E36</f>
        <v>-0.21499999999999997</v>
      </c>
    </row>
  </sheetData>
  <sortState xmlns:xlrd2="http://schemas.microsoft.com/office/spreadsheetml/2017/richdata2" ref="A2:D17">
    <sortCondition descending="1" ref="D2:D17"/>
  </sortState>
  <mergeCells count="5">
    <mergeCell ref="A40:A42"/>
    <mergeCell ref="A43:A45"/>
    <mergeCell ref="A46:A48"/>
    <mergeCell ref="A49:A51"/>
    <mergeCell ref="A52:A5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6242-399A-FA4F-A274-B3AF83AC4448}">
  <dimension ref="A3:D1046"/>
  <sheetViews>
    <sheetView topLeftCell="A154" workbookViewId="0">
      <selection activeCell="F86" sqref="F86"/>
    </sheetView>
  </sheetViews>
  <sheetFormatPr baseColWidth="10" defaultRowHeight="16" x14ac:dyDescent="0.2"/>
  <cols>
    <col min="1" max="1" width="16.83203125" bestFit="1" customWidth="1"/>
    <col min="2" max="2" width="16" bestFit="1" customWidth="1"/>
    <col min="3" max="3" width="7" bestFit="1" customWidth="1"/>
    <col min="4" max="4" width="10.5" bestFit="1" customWidth="1"/>
  </cols>
  <sheetData>
    <row r="3" spans="1:4" x14ac:dyDescent="0.2">
      <c r="A3" s="12" t="s">
        <v>95</v>
      </c>
      <c r="B3" s="12" t="s">
        <v>96</v>
      </c>
    </row>
    <row r="4" spans="1:4" x14ac:dyDescent="0.2">
      <c r="A4" s="12" t="s">
        <v>93</v>
      </c>
      <c r="B4" t="s">
        <v>17</v>
      </c>
      <c r="C4" t="s">
        <v>18</v>
      </c>
      <c r="D4" t="s">
        <v>94</v>
      </c>
    </row>
    <row r="5" spans="1:4" x14ac:dyDescent="0.2">
      <c r="A5" s="13" t="s">
        <v>1</v>
      </c>
      <c r="B5" s="8">
        <v>3.9989999999999974</v>
      </c>
      <c r="C5" s="8">
        <v>5.366500000000002</v>
      </c>
      <c r="D5" s="8">
        <v>9.3654999999999937</v>
      </c>
    </row>
    <row r="6" spans="1:4" x14ac:dyDescent="0.2">
      <c r="A6" s="14" t="s">
        <v>15</v>
      </c>
      <c r="B6" s="8">
        <v>0.78649999999999998</v>
      </c>
      <c r="C6" s="8">
        <v>0.91900000000000004</v>
      </c>
      <c r="D6" s="8">
        <v>1.7055</v>
      </c>
    </row>
    <row r="7" spans="1:4" x14ac:dyDescent="0.2">
      <c r="A7" s="15" t="s">
        <v>19</v>
      </c>
      <c r="B7" s="8">
        <v>0.12</v>
      </c>
      <c r="C7" s="8">
        <v>0.12</v>
      </c>
      <c r="D7" s="8">
        <v>0.24</v>
      </c>
    </row>
    <row r="8" spans="1:4" x14ac:dyDescent="0.2">
      <c r="A8" s="15" t="s">
        <v>27</v>
      </c>
      <c r="B8" s="8">
        <v>4.2500000000000003E-2</v>
      </c>
      <c r="C8" s="8">
        <v>8.5000000000000006E-2</v>
      </c>
      <c r="D8" s="8">
        <v>0.1275</v>
      </c>
    </row>
    <row r="9" spans="1:4" x14ac:dyDescent="0.2">
      <c r="A9" s="15" t="s">
        <v>28</v>
      </c>
      <c r="B9" s="8">
        <v>0.05</v>
      </c>
      <c r="C9" s="8">
        <v>0</v>
      </c>
      <c r="D9" s="8">
        <v>0.05</v>
      </c>
    </row>
    <row r="10" spans="1:4" x14ac:dyDescent="0.2">
      <c r="A10" s="15" t="s">
        <v>20</v>
      </c>
      <c r="B10" s="8">
        <v>6.4000000000000001E-2</v>
      </c>
      <c r="C10" s="8">
        <v>6.4000000000000001E-2</v>
      </c>
      <c r="D10" s="8">
        <v>0.128</v>
      </c>
    </row>
    <row r="11" spans="1:4" x14ac:dyDescent="0.2">
      <c r="A11" s="15" t="s">
        <v>21</v>
      </c>
      <c r="B11" s="8">
        <v>0.05</v>
      </c>
      <c r="C11" s="8">
        <v>0.05</v>
      </c>
      <c r="D11" s="8">
        <v>0.1</v>
      </c>
    </row>
    <row r="12" spans="1:4" x14ac:dyDescent="0.2">
      <c r="A12" s="15" t="s">
        <v>22</v>
      </c>
      <c r="B12" s="8">
        <v>0</v>
      </c>
      <c r="C12" s="8">
        <v>0.14000000000000001</v>
      </c>
      <c r="D12" s="8">
        <v>0.14000000000000001</v>
      </c>
    </row>
    <row r="13" spans="1:4" x14ac:dyDescent="0.2">
      <c r="A13" s="15" t="s">
        <v>23</v>
      </c>
      <c r="B13" s="8">
        <v>0.11</v>
      </c>
      <c r="C13" s="8">
        <v>0.11</v>
      </c>
      <c r="D13" s="8">
        <v>0.22</v>
      </c>
    </row>
    <row r="14" spans="1:4" x14ac:dyDescent="0.2">
      <c r="A14" s="15" t="s">
        <v>24</v>
      </c>
      <c r="B14" s="8">
        <v>0.15</v>
      </c>
      <c r="C14" s="8">
        <v>0.15</v>
      </c>
      <c r="D14" s="8">
        <v>0.3</v>
      </c>
    </row>
    <row r="15" spans="1:4" x14ac:dyDescent="0.2">
      <c r="A15" s="15" t="s">
        <v>25</v>
      </c>
      <c r="B15" s="8">
        <v>0.1</v>
      </c>
      <c r="C15" s="8">
        <v>0.1</v>
      </c>
      <c r="D15" s="8">
        <v>0.2</v>
      </c>
    </row>
    <row r="16" spans="1:4" x14ac:dyDescent="0.2">
      <c r="A16" s="15" t="s">
        <v>26</v>
      </c>
      <c r="B16" s="8">
        <v>0.1</v>
      </c>
      <c r="C16" s="8">
        <v>0.1</v>
      </c>
      <c r="D16" s="8">
        <v>0.2</v>
      </c>
    </row>
    <row r="17" spans="1:4" x14ac:dyDescent="0.2">
      <c r="A17" s="14" t="s">
        <v>44</v>
      </c>
      <c r="B17" s="8">
        <v>0.23399999999999999</v>
      </c>
      <c r="C17" s="8">
        <v>0.91900000000000004</v>
      </c>
      <c r="D17" s="8">
        <v>1.1530000000000002</v>
      </c>
    </row>
    <row r="18" spans="1:4" x14ac:dyDescent="0.2">
      <c r="A18" s="15" t="s">
        <v>19</v>
      </c>
      <c r="B18" s="8">
        <v>0.12</v>
      </c>
      <c r="C18" s="8">
        <v>0.12</v>
      </c>
      <c r="D18" s="8">
        <v>0.24</v>
      </c>
    </row>
    <row r="19" spans="1:4" x14ac:dyDescent="0.2">
      <c r="A19" s="15" t="s">
        <v>27</v>
      </c>
      <c r="B19" s="8">
        <v>0</v>
      </c>
      <c r="C19" s="8">
        <v>8.5000000000000006E-2</v>
      </c>
      <c r="D19" s="8">
        <v>8.5000000000000006E-2</v>
      </c>
    </row>
    <row r="20" spans="1:4" x14ac:dyDescent="0.2">
      <c r="A20" s="15" t="s">
        <v>28</v>
      </c>
      <c r="B20" s="8">
        <v>0</v>
      </c>
      <c r="C20" s="8">
        <v>0</v>
      </c>
      <c r="D20" s="8">
        <v>0</v>
      </c>
    </row>
    <row r="21" spans="1:4" x14ac:dyDescent="0.2">
      <c r="A21" s="15" t="s">
        <v>20</v>
      </c>
      <c r="B21" s="8">
        <v>6.4000000000000001E-2</v>
      </c>
      <c r="C21" s="8">
        <v>6.4000000000000001E-2</v>
      </c>
      <c r="D21" s="8">
        <v>0.128</v>
      </c>
    </row>
    <row r="22" spans="1:4" x14ac:dyDescent="0.2">
      <c r="A22" s="15" t="s">
        <v>21</v>
      </c>
      <c r="B22" s="8">
        <v>0.05</v>
      </c>
      <c r="C22" s="8">
        <v>0.05</v>
      </c>
      <c r="D22" s="8">
        <v>0.1</v>
      </c>
    </row>
    <row r="23" spans="1:4" x14ac:dyDescent="0.2">
      <c r="A23" s="15" t="s">
        <v>22</v>
      </c>
      <c r="B23" s="8">
        <v>0</v>
      </c>
      <c r="C23" s="8">
        <v>0.14000000000000001</v>
      </c>
      <c r="D23" s="8">
        <v>0.14000000000000001</v>
      </c>
    </row>
    <row r="24" spans="1:4" x14ac:dyDescent="0.2">
      <c r="A24" s="15" t="s">
        <v>23</v>
      </c>
      <c r="B24" s="8">
        <v>0</v>
      </c>
      <c r="C24" s="8">
        <v>0.11</v>
      </c>
      <c r="D24" s="8">
        <v>0.11</v>
      </c>
    </row>
    <row r="25" spans="1:4" x14ac:dyDescent="0.2">
      <c r="A25" s="15" t="s">
        <v>24</v>
      </c>
      <c r="B25" s="8">
        <v>0</v>
      </c>
      <c r="C25" s="8">
        <v>0.15</v>
      </c>
      <c r="D25" s="8">
        <v>0.15</v>
      </c>
    </row>
    <row r="26" spans="1:4" x14ac:dyDescent="0.2">
      <c r="A26" s="15" t="s">
        <v>25</v>
      </c>
      <c r="B26" s="8">
        <v>0</v>
      </c>
      <c r="C26" s="8">
        <v>0.1</v>
      </c>
      <c r="D26" s="8">
        <v>0.1</v>
      </c>
    </row>
    <row r="27" spans="1:4" x14ac:dyDescent="0.2">
      <c r="A27" s="15" t="s">
        <v>26</v>
      </c>
      <c r="B27" s="8">
        <v>0</v>
      </c>
      <c r="C27" s="8">
        <v>0.1</v>
      </c>
      <c r="D27" s="8">
        <v>0.1</v>
      </c>
    </row>
    <row r="28" spans="1:4" x14ac:dyDescent="0.2">
      <c r="A28" s="14" t="s">
        <v>47</v>
      </c>
      <c r="B28" s="8">
        <v>0.67899999999999994</v>
      </c>
      <c r="C28" s="8">
        <v>0.81900000000000006</v>
      </c>
      <c r="D28" s="8">
        <v>1.498</v>
      </c>
    </row>
    <row r="29" spans="1:4" x14ac:dyDescent="0.2">
      <c r="A29" s="15" t="s">
        <v>19</v>
      </c>
      <c r="B29" s="8">
        <v>0.12</v>
      </c>
      <c r="C29" s="8">
        <v>0.12</v>
      </c>
      <c r="D29" s="8">
        <v>0.24</v>
      </c>
    </row>
    <row r="30" spans="1:4" x14ac:dyDescent="0.2">
      <c r="A30" s="15" t="s">
        <v>27</v>
      </c>
      <c r="B30" s="8">
        <v>8.5000000000000006E-2</v>
      </c>
      <c r="C30" s="8">
        <v>8.5000000000000006E-2</v>
      </c>
      <c r="D30" s="8">
        <v>0.17</v>
      </c>
    </row>
    <row r="31" spans="1:4" x14ac:dyDescent="0.2">
      <c r="A31" s="15" t="s">
        <v>28</v>
      </c>
      <c r="B31" s="8">
        <v>0.05</v>
      </c>
      <c r="C31" s="8">
        <v>0</v>
      </c>
      <c r="D31" s="8">
        <v>0.05</v>
      </c>
    </row>
    <row r="32" spans="1:4" x14ac:dyDescent="0.2">
      <c r="A32" s="15" t="s">
        <v>20</v>
      </c>
      <c r="B32" s="8">
        <v>6.4000000000000001E-2</v>
      </c>
      <c r="C32" s="8">
        <v>6.4000000000000001E-2</v>
      </c>
      <c r="D32" s="8">
        <v>0.128</v>
      </c>
    </row>
    <row r="33" spans="1:4" x14ac:dyDescent="0.2">
      <c r="A33" s="15" t="s">
        <v>21</v>
      </c>
      <c r="B33" s="8">
        <v>0</v>
      </c>
      <c r="C33" s="8">
        <v>0.05</v>
      </c>
      <c r="D33" s="8">
        <v>0.05</v>
      </c>
    </row>
    <row r="34" spans="1:4" x14ac:dyDescent="0.2">
      <c r="A34" s="15" t="s">
        <v>22</v>
      </c>
      <c r="B34" s="8">
        <v>0</v>
      </c>
      <c r="C34" s="8">
        <v>0.14000000000000001</v>
      </c>
      <c r="D34" s="8">
        <v>0.14000000000000001</v>
      </c>
    </row>
    <row r="35" spans="1:4" x14ac:dyDescent="0.2">
      <c r="A35" s="15" t="s">
        <v>23</v>
      </c>
      <c r="B35" s="8">
        <v>0.11</v>
      </c>
      <c r="C35" s="8">
        <v>0.11</v>
      </c>
      <c r="D35" s="8">
        <v>0.22</v>
      </c>
    </row>
    <row r="36" spans="1:4" x14ac:dyDescent="0.2">
      <c r="A36" s="15" t="s">
        <v>24</v>
      </c>
      <c r="B36" s="8">
        <v>0.15</v>
      </c>
      <c r="C36" s="8">
        <v>0.15</v>
      </c>
      <c r="D36" s="8">
        <v>0.3</v>
      </c>
    </row>
    <row r="37" spans="1:4" x14ac:dyDescent="0.2">
      <c r="A37" s="15" t="s">
        <v>25</v>
      </c>
      <c r="B37" s="8">
        <v>0</v>
      </c>
      <c r="C37" s="8">
        <v>0</v>
      </c>
      <c r="D37" s="8">
        <v>0</v>
      </c>
    </row>
    <row r="38" spans="1:4" x14ac:dyDescent="0.2">
      <c r="A38" s="15" t="s">
        <v>26</v>
      </c>
      <c r="B38" s="8">
        <v>0.1</v>
      </c>
      <c r="C38" s="8">
        <v>0.1</v>
      </c>
      <c r="D38" s="8">
        <v>0.2</v>
      </c>
    </row>
    <row r="39" spans="1:4" x14ac:dyDescent="0.2">
      <c r="A39" s="14" t="s">
        <v>48</v>
      </c>
      <c r="B39" s="8">
        <v>-0.12499999999999999</v>
      </c>
      <c r="C39" s="8">
        <v>0.36899999999999999</v>
      </c>
      <c r="D39" s="8">
        <v>0.24400000000000005</v>
      </c>
    </row>
    <row r="40" spans="1:4" x14ac:dyDescent="0.2">
      <c r="A40" s="15" t="s">
        <v>19</v>
      </c>
      <c r="B40" s="8">
        <v>0</v>
      </c>
      <c r="C40" s="8">
        <v>0.12</v>
      </c>
      <c r="D40" s="8">
        <v>0.12</v>
      </c>
    </row>
    <row r="41" spans="1:4" x14ac:dyDescent="0.2">
      <c r="A41" s="15" t="s">
        <v>27</v>
      </c>
      <c r="B41" s="8">
        <v>8.5000000000000006E-2</v>
      </c>
      <c r="C41" s="8">
        <v>8.5000000000000006E-2</v>
      </c>
      <c r="D41" s="8">
        <v>0.17</v>
      </c>
    </row>
    <row r="42" spans="1:4" x14ac:dyDescent="0.2">
      <c r="A42" s="15" t="s">
        <v>28</v>
      </c>
      <c r="B42" s="8">
        <v>0</v>
      </c>
      <c r="C42" s="8">
        <v>-0.05</v>
      </c>
      <c r="D42" s="8">
        <v>-0.05</v>
      </c>
    </row>
    <row r="43" spans="1:4" x14ac:dyDescent="0.2">
      <c r="A43" s="15" t="s">
        <v>20</v>
      </c>
      <c r="B43" s="8">
        <v>0</v>
      </c>
      <c r="C43" s="8">
        <v>6.4000000000000001E-2</v>
      </c>
      <c r="D43" s="8">
        <v>6.4000000000000001E-2</v>
      </c>
    </row>
    <row r="44" spans="1:4" x14ac:dyDescent="0.2">
      <c r="A44" s="15" t="s">
        <v>21</v>
      </c>
      <c r="B44" s="8">
        <v>0.05</v>
      </c>
      <c r="C44" s="8">
        <v>0</v>
      </c>
      <c r="D44" s="8">
        <v>0.05</v>
      </c>
    </row>
    <row r="45" spans="1:4" x14ac:dyDescent="0.2">
      <c r="A45" s="15" t="s">
        <v>22</v>
      </c>
      <c r="B45" s="8">
        <v>0</v>
      </c>
      <c r="C45" s="8">
        <v>0</v>
      </c>
      <c r="D45" s="8">
        <v>0</v>
      </c>
    </row>
    <row r="46" spans="1:4" x14ac:dyDescent="0.2">
      <c r="A46" s="15" t="s">
        <v>23</v>
      </c>
      <c r="B46" s="8">
        <v>-0.11</v>
      </c>
      <c r="C46" s="8">
        <v>0</v>
      </c>
      <c r="D46" s="8">
        <v>-0.11</v>
      </c>
    </row>
    <row r="47" spans="1:4" x14ac:dyDescent="0.2">
      <c r="A47" s="15" t="s">
        <v>24</v>
      </c>
      <c r="B47" s="8">
        <v>-0.15</v>
      </c>
      <c r="C47" s="8">
        <v>0.15</v>
      </c>
      <c r="D47" s="8">
        <v>0</v>
      </c>
    </row>
    <row r="48" spans="1:4" x14ac:dyDescent="0.2">
      <c r="A48" s="15" t="s">
        <v>25</v>
      </c>
      <c r="B48" s="8">
        <v>0</v>
      </c>
      <c r="C48" s="8">
        <v>0</v>
      </c>
      <c r="D48" s="8">
        <v>0</v>
      </c>
    </row>
    <row r="49" spans="1:4" x14ac:dyDescent="0.2">
      <c r="A49" s="15" t="s">
        <v>26</v>
      </c>
      <c r="B49" s="8">
        <v>0</v>
      </c>
      <c r="C49" s="8">
        <v>0</v>
      </c>
      <c r="D49" s="8">
        <v>0</v>
      </c>
    </row>
    <row r="50" spans="1:4" x14ac:dyDescent="0.2">
      <c r="A50" s="14" t="s">
        <v>50</v>
      </c>
      <c r="B50" s="8">
        <v>0.77899999999999991</v>
      </c>
      <c r="C50" s="8">
        <v>0.91900000000000004</v>
      </c>
      <c r="D50" s="8">
        <v>1.698</v>
      </c>
    </row>
    <row r="51" spans="1:4" x14ac:dyDescent="0.2">
      <c r="A51" s="15" t="s">
        <v>19</v>
      </c>
      <c r="B51" s="8">
        <v>0.12</v>
      </c>
      <c r="C51" s="8">
        <v>0.12</v>
      </c>
      <c r="D51" s="8">
        <v>0.24</v>
      </c>
    </row>
    <row r="52" spans="1:4" x14ac:dyDescent="0.2">
      <c r="A52" s="15" t="s">
        <v>27</v>
      </c>
      <c r="B52" s="8">
        <v>8.5000000000000006E-2</v>
      </c>
      <c r="C52" s="8">
        <v>8.5000000000000006E-2</v>
      </c>
      <c r="D52" s="8">
        <v>0.17</v>
      </c>
    </row>
    <row r="53" spans="1:4" x14ac:dyDescent="0.2">
      <c r="A53" s="15" t="s">
        <v>28</v>
      </c>
      <c r="B53" s="8">
        <v>0.05</v>
      </c>
      <c r="C53" s="8">
        <v>0</v>
      </c>
      <c r="D53" s="8">
        <v>0.05</v>
      </c>
    </row>
    <row r="54" spans="1:4" x14ac:dyDescent="0.2">
      <c r="A54" s="15" t="s">
        <v>20</v>
      </c>
      <c r="B54" s="8">
        <v>6.4000000000000001E-2</v>
      </c>
      <c r="C54" s="8">
        <v>6.4000000000000001E-2</v>
      </c>
      <c r="D54" s="8">
        <v>0.128</v>
      </c>
    </row>
    <row r="55" spans="1:4" x14ac:dyDescent="0.2">
      <c r="A55" s="15" t="s">
        <v>21</v>
      </c>
      <c r="B55" s="8">
        <v>0</v>
      </c>
      <c r="C55" s="8">
        <v>0.05</v>
      </c>
      <c r="D55" s="8">
        <v>0.05</v>
      </c>
    </row>
    <row r="56" spans="1:4" x14ac:dyDescent="0.2">
      <c r="A56" s="15" t="s">
        <v>22</v>
      </c>
      <c r="B56" s="8">
        <v>0</v>
      </c>
      <c r="C56" s="8">
        <v>0.14000000000000001</v>
      </c>
      <c r="D56" s="8">
        <v>0.14000000000000001</v>
      </c>
    </row>
    <row r="57" spans="1:4" x14ac:dyDescent="0.2">
      <c r="A57" s="15" t="s">
        <v>23</v>
      </c>
      <c r="B57" s="8">
        <v>0.11</v>
      </c>
      <c r="C57" s="8">
        <v>0.11</v>
      </c>
      <c r="D57" s="8">
        <v>0.22</v>
      </c>
    </row>
    <row r="58" spans="1:4" x14ac:dyDescent="0.2">
      <c r="A58" s="15" t="s">
        <v>24</v>
      </c>
      <c r="B58" s="8">
        <v>0.15</v>
      </c>
      <c r="C58" s="8">
        <v>0.15</v>
      </c>
      <c r="D58" s="8">
        <v>0.3</v>
      </c>
    </row>
    <row r="59" spans="1:4" x14ac:dyDescent="0.2">
      <c r="A59" s="15" t="s">
        <v>25</v>
      </c>
      <c r="B59" s="8">
        <v>0.1</v>
      </c>
      <c r="C59" s="8">
        <v>0.1</v>
      </c>
      <c r="D59" s="8">
        <v>0.2</v>
      </c>
    </row>
    <row r="60" spans="1:4" x14ac:dyDescent="0.2">
      <c r="A60" s="15" t="s">
        <v>26</v>
      </c>
      <c r="B60" s="8">
        <v>0.1</v>
      </c>
      <c r="C60" s="8">
        <v>0.1</v>
      </c>
      <c r="D60" s="8">
        <v>0.2</v>
      </c>
    </row>
    <row r="61" spans="1:4" x14ac:dyDescent="0.2">
      <c r="A61" s="14" t="s">
        <v>52</v>
      </c>
      <c r="B61" s="8">
        <v>0.96899999999999997</v>
      </c>
      <c r="C61" s="8">
        <v>0.70899999999999996</v>
      </c>
      <c r="D61" s="8">
        <v>1.6780000000000002</v>
      </c>
    </row>
    <row r="62" spans="1:4" x14ac:dyDescent="0.2">
      <c r="A62" s="15" t="s">
        <v>19</v>
      </c>
      <c r="B62" s="8">
        <v>0.12</v>
      </c>
      <c r="C62" s="8">
        <v>0.12</v>
      </c>
      <c r="D62" s="8">
        <v>0.24</v>
      </c>
    </row>
    <row r="63" spans="1:4" x14ac:dyDescent="0.2">
      <c r="A63" s="15" t="s">
        <v>27</v>
      </c>
      <c r="B63" s="8">
        <v>8.5000000000000006E-2</v>
      </c>
      <c r="C63" s="8">
        <v>8.5000000000000006E-2</v>
      </c>
      <c r="D63" s="8">
        <v>0.17</v>
      </c>
    </row>
    <row r="64" spans="1:4" x14ac:dyDescent="0.2">
      <c r="A64" s="15" t="s">
        <v>28</v>
      </c>
      <c r="B64" s="8">
        <v>0.05</v>
      </c>
      <c r="C64" s="8">
        <v>0</v>
      </c>
      <c r="D64" s="8">
        <v>0.05</v>
      </c>
    </row>
    <row r="65" spans="1:4" x14ac:dyDescent="0.2">
      <c r="A65" s="15" t="s">
        <v>20</v>
      </c>
      <c r="B65" s="8">
        <v>6.4000000000000001E-2</v>
      </c>
      <c r="C65" s="8">
        <v>6.4000000000000001E-2</v>
      </c>
      <c r="D65" s="8">
        <v>0.128</v>
      </c>
    </row>
    <row r="66" spans="1:4" x14ac:dyDescent="0.2">
      <c r="A66" s="15" t="s">
        <v>21</v>
      </c>
      <c r="B66" s="8">
        <v>0.05</v>
      </c>
      <c r="C66" s="8">
        <v>0.05</v>
      </c>
      <c r="D66" s="8">
        <v>0.1</v>
      </c>
    </row>
    <row r="67" spans="1:4" x14ac:dyDescent="0.2">
      <c r="A67" s="15" t="s">
        <v>22</v>
      </c>
      <c r="B67" s="8">
        <v>0.14000000000000001</v>
      </c>
      <c r="C67" s="8">
        <v>0.14000000000000001</v>
      </c>
      <c r="D67" s="8">
        <v>0.28000000000000003</v>
      </c>
    </row>
    <row r="68" spans="1:4" x14ac:dyDescent="0.2">
      <c r="A68" s="15" t="s">
        <v>23</v>
      </c>
      <c r="B68" s="8">
        <v>0.11</v>
      </c>
      <c r="C68" s="8">
        <v>0</v>
      </c>
      <c r="D68" s="8">
        <v>0.11</v>
      </c>
    </row>
    <row r="69" spans="1:4" x14ac:dyDescent="0.2">
      <c r="A69" s="15" t="s">
        <v>24</v>
      </c>
      <c r="B69" s="8">
        <v>0.15</v>
      </c>
      <c r="C69" s="8">
        <v>0.15</v>
      </c>
      <c r="D69" s="8">
        <v>0.3</v>
      </c>
    </row>
    <row r="70" spans="1:4" x14ac:dyDescent="0.2">
      <c r="A70" s="15" t="s">
        <v>25</v>
      </c>
      <c r="B70" s="8">
        <v>0.1</v>
      </c>
      <c r="C70" s="8">
        <v>0.1</v>
      </c>
      <c r="D70" s="8">
        <v>0.2</v>
      </c>
    </row>
    <row r="71" spans="1:4" x14ac:dyDescent="0.2">
      <c r="A71" s="15" t="s">
        <v>26</v>
      </c>
      <c r="B71" s="8">
        <v>0.1</v>
      </c>
      <c r="C71" s="8">
        <v>0</v>
      </c>
      <c r="D71" s="8">
        <v>0.1</v>
      </c>
    </row>
    <row r="72" spans="1:4" x14ac:dyDescent="0.2">
      <c r="A72" s="14" t="s">
        <v>54</v>
      </c>
      <c r="B72" s="8">
        <v>-0.55649999999999999</v>
      </c>
      <c r="C72" s="8">
        <v>0.46650000000000003</v>
      </c>
      <c r="D72" s="8">
        <v>-9.0000000000000011E-2</v>
      </c>
    </row>
    <row r="73" spans="1:4" x14ac:dyDescent="0.2">
      <c r="A73" s="15" t="s">
        <v>19</v>
      </c>
      <c r="B73" s="8">
        <v>0</v>
      </c>
      <c r="C73" s="8">
        <v>0.12</v>
      </c>
      <c r="D73" s="8">
        <v>0.12</v>
      </c>
    </row>
    <row r="74" spans="1:4" x14ac:dyDescent="0.2">
      <c r="A74" s="15" t="s">
        <v>27</v>
      </c>
      <c r="B74" s="8">
        <v>-4.2500000000000003E-2</v>
      </c>
      <c r="C74" s="8">
        <v>4.2500000000000003E-2</v>
      </c>
      <c r="D74" s="8">
        <v>0</v>
      </c>
    </row>
    <row r="75" spans="1:4" x14ac:dyDescent="0.2">
      <c r="A75" s="15" t="s">
        <v>28</v>
      </c>
      <c r="B75" s="8">
        <v>-0.05</v>
      </c>
      <c r="C75" s="8">
        <v>-0.05</v>
      </c>
      <c r="D75" s="8">
        <v>-0.1</v>
      </c>
    </row>
    <row r="76" spans="1:4" x14ac:dyDescent="0.2">
      <c r="A76" s="15" t="s">
        <v>20</v>
      </c>
      <c r="B76" s="8">
        <v>-6.4000000000000001E-2</v>
      </c>
      <c r="C76" s="8">
        <v>6.4000000000000001E-2</v>
      </c>
      <c r="D76" s="8">
        <v>0</v>
      </c>
    </row>
    <row r="77" spans="1:4" x14ac:dyDescent="0.2">
      <c r="A77" s="15" t="s">
        <v>21</v>
      </c>
      <c r="B77" s="8">
        <v>0.05</v>
      </c>
      <c r="C77" s="8">
        <v>0.05</v>
      </c>
      <c r="D77" s="8">
        <v>0.1</v>
      </c>
    </row>
    <row r="78" spans="1:4" x14ac:dyDescent="0.2">
      <c r="A78" s="15" t="s">
        <v>22</v>
      </c>
      <c r="B78" s="8">
        <v>-0.14000000000000001</v>
      </c>
      <c r="C78" s="8">
        <v>0.14000000000000001</v>
      </c>
      <c r="D78" s="8">
        <v>0</v>
      </c>
    </row>
    <row r="79" spans="1:4" x14ac:dyDescent="0.2">
      <c r="A79" s="15" t="s">
        <v>23</v>
      </c>
      <c r="B79" s="8">
        <v>-0.11</v>
      </c>
      <c r="C79" s="8">
        <v>0</v>
      </c>
      <c r="D79" s="8">
        <v>-0.11</v>
      </c>
    </row>
    <row r="80" spans="1:4" x14ac:dyDescent="0.2">
      <c r="A80" s="15" t="s">
        <v>24</v>
      </c>
      <c r="B80" s="8">
        <v>0</v>
      </c>
      <c r="C80" s="8">
        <v>0</v>
      </c>
      <c r="D80" s="8">
        <v>0</v>
      </c>
    </row>
    <row r="81" spans="1:4" x14ac:dyDescent="0.2">
      <c r="A81" s="15" t="s">
        <v>25</v>
      </c>
      <c r="B81" s="8">
        <v>-0.1</v>
      </c>
      <c r="C81" s="8">
        <v>0.1</v>
      </c>
      <c r="D81" s="8">
        <v>0</v>
      </c>
    </row>
    <row r="82" spans="1:4" x14ac:dyDescent="0.2">
      <c r="A82" s="15" t="s">
        <v>26</v>
      </c>
      <c r="B82" s="8">
        <v>-0.1</v>
      </c>
      <c r="C82" s="8">
        <v>0</v>
      </c>
      <c r="D82" s="8">
        <v>-0.1</v>
      </c>
    </row>
    <row r="83" spans="1:4" x14ac:dyDescent="0.2">
      <c r="A83" s="14" t="s">
        <v>55</v>
      </c>
      <c r="B83" s="8">
        <v>0.96899999999999997</v>
      </c>
      <c r="C83" s="8">
        <v>0.96899999999999997</v>
      </c>
      <c r="D83" s="8">
        <v>1.9379999999999999</v>
      </c>
    </row>
    <row r="84" spans="1:4" x14ac:dyDescent="0.2">
      <c r="A84" s="15" t="s">
        <v>19</v>
      </c>
      <c r="B84" s="8">
        <v>0.12</v>
      </c>
      <c r="C84" s="8">
        <v>0.12</v>
      </c>
      <c r="D84" s="8">
        <v>0.24</v>
      </c>
    </row>
    <row r="85" spans="1:4" x14ac:dyDescent="0.2">
      <c r="A85" s="15" t="s">
        <v>27</v>
      </c>
      <c r="B85" s="8">
        <v>8.5000000000000006E-2</v>
      </c>
      <c r="C85" s="8">
        <v>8.5000000000000006E-2</v>
      </c>
      <c r="D85" s="8">
        <v>0.17</v>
      </c>
    </row>
    <row r="86" spans="1:4" x14ac:dyDescent="0.2">
      <c r="A86" s="15" t="s">
        <v>28</v>
      </c>
      <c r="B86" s="8">
        <v>0.05</v>
      </c>
      <c r="C86" s="8">
        <v>0.05</v>
      </c>
      <c r="D86" s="8">
        <v>0.1</v>
      </c>
    </row>
    <row r="87" spans="1:4" x14ac:dyDescent="0.2">
      <c r="A87" s="15" t="s">
        <v>20</v>
      </c>
      <c r="B87" s="8">
        <v>6.4000000000000001E-2</v>
      </c>
      <c r="C87" s="8">
        <v>6.4000000000000001E-2</v>
      </c>
      <c r="D87" s="8">
        <v>0.128</v>
      </c>
    </row>
    <row r="88" spans="1:4" x14ac:dyDescent="0.2">
      <c r="A88" s="15" t="s">
        <v>21</v>
      </c>
      <c r="B88" s="8">
        <v>0.05</v>
      </c>
      <c r="C88" s="8">
        <v>0.05</v>
      </c>
      <c r="D88" s="8">
        <v>0.1</v>
      </c>
    </row>
    <row r="89" spans="1:4" x14ac:dyDescent="0.2">
      <c r="A89" s="15" t="s">
        <v>22</v>
      </c>
      <c r="B89" s="8">
        <v>0.14000000000000001</v>
      </c>
      <c r="C89" s="8">
        <v>0.14000000000000001</v>
      </c>
      <c r="D89" s="8">
        <v>0.28000000000000003</v>
      </c>
    </row>
    <row r="90" spans="1:4" x14ac:dyDescent="0.2">
      <c r="A90" s="15" t="s">
        <v>23</v>
      </c>
      <c r="B90" s="8">
        <v>0.11</v>
      </c>
      <c r="C90" s="8">
        <v>0.11</v>
      </c>
      <c r="D90" s="8">
        <v>0.22</v>
      </c>
    </row>
    <row r="91" spans="1:4" x14ac:dyDescent="0.2">
      <c r="A91" s="15" t="s">
        <v>24</v>
      </c>
      <c r="B91" s="8">
        <v>0.15</v>
      </c>
      <c r="C91" s="8">
        <v>0.15</v>
      </c>
      <c r="D91" s="8">
        <v>0.3</v>
      </c>
    </row>
    <row r="92" spans="1:4" x14ac:dyDescent="0.2">
      <c r="A92" s="15" t="s">
        <v>25</v>
      </c>
      <c r="B92" s="8">
        <v>0.1</v>
      </c>
      <c r="C92" s="8">
        <v>0.1</v>
      </c>
      <c r="D92" s="8">
        <v>0.2</v>
      </c>
    </row>
    <row r="93" spans="1:4" x14ac:dyDescent="0.2">
      <c r="A93" s="15" t="s">
        <v>26</v>
      </c>
      <c r="B93" s="8">
        <v>0.1</v>
      </c>
      <c r="C93" s="8">
        <v>0.1</v>
      </c>
      <c r="D93" s="8">
        <v>0.2</v>
      </c>
    </row>
    <row r="94" spans="1:4" x14ac:dyDescent="0.2">
      <c r="A94" s="14" t="s">
        <v>57</v>
      </c>
      <c r="B94" s="8">
        <v>-0.53999999999999992</v>
      </c>
      <c r="C94" s="8">
        <v>-0.48</v>
      </c>
      <c r="D94" s="8">
        <v>-1.02</v>
      </c>
    </row>
    <row r="95" spans="1:4" x14ac:dyDescent="0.2">
      <c r="A95" s="15" t="s">
        <v>19</v>
      </c>
      <c r="B95" s="8">
        <v>0</v>
      </c>
      <c r="C95" s="8">
        <v>0.12</v>
      </c>
      <c r="D95" s="8">
        <v>0.12</v>
      </c>
    </row>
    <row r="96" spans="1:4" x14ac:dyDescent="0.2">
      <c r="A96" s="15" t="s">
        <v>27</v>
      </c>
      <c r="B96" s="8">
        <v>0</v>
      </c>
      <c r="C96" s="8">
        <v>0</v>
      </c>
      <c r="D96" s="8">
        <v>0</v>
      </c>
    </row>
    <row r="97" spans="1:4" x14ac:dyDescent="0.2">
      <c r="A97" s="15" t="s">
        <v>28</v>
      </c>
      <c r="B97" s="8">
        <v>-0.05</v>
      </c>
      <c r="C97" s="8">
        <v>-0.05</v>
      </c>
      <c r="D97" s="8">
        <v>-0.1</v>
      </c>
    </row>
    <row r="98" spans="1:4" x14ac:dyDescent="0.2">
      <c r="A98" s="15" t="s">
        <v>20</v>
      </c>
      <c r="B98" s="8">
        <v>0</v>
      </c>
      <c r="C98" s="8">
        <v>0</v>
      </c>
      <c r="D98" s="8">
        <v>0</v>
      </c>
    </row>
    <row r="99" spans="1:4" x14ac:dyDescent="0.2">
      <c r="A99" s="15" t="s">
        <v>21</v>
      </c>
      <c r="B99" s="8">
        <v>0</v>
      </c>
      <c r="C99" s="8">
        <v>-0.05</v>
      </c>
      <c r="D99" s="8">
        <v>-0.05</v>
      </c>
    </row>
    <row r="100" spans="1:4" x14ac:dyDescent="0.2">
      <c r="A100" s="15" t="s">
        <v>22</v>
      </c>
      <c r="B100" s="8">
        <v>-0.14000000000000001</v>
      </c>
      <c r="C100" s="8">
        <v>-0.14000000000000001</v>
      </c>
      <c r="D100" s="8">
        <v>-0.28000000000000003</v>
      </c>
    </row>
    <row r="101" spans="1:4" x14ac:dyDescent="0.2">
      <c r="A101" s="15" t="s">
        <v>23</v>
      </c>
      <c r="B101" s="8">
        <v>0</v>
      </c>
      <c r="C101" s="8">
        <v>-0.11</v>
      </c>
      <c r="D101" s="8">
        <v>-0.11</v>
      </c>
    </row>
    <row r="102" spans="1:4" x14ac:dyDescent="0.2">
      <c r="A102" s="15" t="s">
        <v>24</v>
      </c>
      <c r="B102" s="8">
        <v>-0.15</v>
      </c>
      <c r="C102" s="8">
        <v>-0.15</v>
      </c>
      <c r="D102" s="8">
        <v>-0.3</v>
      </c>
    </row>
    <row r="103" spans="1:4" x14ac:dyDescent="0.2">
      <c r="A103" s="15" t="s">
        <v>25</v>
      </c>
      <c r="B103" s="8">
        <v>-0.1</v>
      </c>
      <c r="C103" s="8">
        <v>-0.1</v>
      </c>
      <c r="D103" s="8">
        <v>-0.2</v>
      </c>
    </row>
    <row r="104" spans="1:4" x14ac:dyDescent="0.2">
      <c r="A104" s="15" t="s">
        <v>26</v>
      </c>
      <c r="B104" s="8">
        <v>-0.1</v>
      </c>
      <c r="C104" s="8">
        <v>0</v>
      </c>
      <c r="D104" s="8">
        <v>-0.1</v>
      </c>
    </row>
    <row r="105" spans="1:4" x14ac:dyDescent="0.2">
      <c r="A105" s="14" t="s">
        <v>59</v>
      </c>
      <c r="B105" s="8">
        <v>0.96899999999999997</v>
      </c>
      <c r="C105" s="8">
        <v>0.96899999999999997</v>
      </c>
      <c r="D105" s="8">
        <v>1.9379999999999999</v>
      </c>
    </row>
    <row r="106" spans="1:4" x14ac:dyDescent="0.2">
      <c r="A106" s="15" t="s">
        <v>19</v>
      </c>
      <c r="B106" s="8">
        <v>0.12</v>
      </c>
      <c r="C106" s="8">
        <v>0.12</v>
      </c>
      <c r="D106" s="8">
        <v>0.24</v>
      </c>
    </row>
    <row r="107" spans="1:4" x14ac:dyDescent="0.2">
      <c r="A107" s="15" t="s">
        <v>27</v>
      </c>
      <c r="B107" s="8">
        <v>8.5000000000000006E-2</v>
      </c>
      <c r="C107" s="8">
        <v>8.5000000000000006E-2</v>
      </c>
      <c r="D107" s="8">
        <v>0.17</v>
      </c>
    </row>
    <row r="108" spans="1:4" x14ac:dyDescent="0.2">
      <c r="A108" s="15" t="s">
        <v>28</v>
      </c>
      <c r="B108" s="8">
        <v>0.05</v>
      </c>
      <c r="C108" s="8">
        <v>0.05</v>
      </c>
      <c r="D108" s="8">
        <v>0.1</v>
      </c>
    </row>
    <row r="109" spans="1:4" x14ac:dyDescent="0.2">
      <c r="A109" s="15" t="s">
        <v>20</v>
      </c>
      <c r="B109" s="8">
        <v>6.4000000000000001E-2</v>
      </c>
      <c r="C109" s="8">
        <v>6.4000000000000001E-2</v>
      </c>
      <c r="D109" s="8">
        <v>0.128</v>
      </c>
    </row>
    <row r="110" spans="1:4" x14ac:dyDescent="0.2">
      <c r="A110" s="15" t="s">
        <v>21</v>
      </c>
      <c r="B110" s="8">
        <v>0.05</v>
      </c>
      <c r="C110" s="8">
        <v>0.05</v>
      </c>
      <c r="D110" s="8">
        <v>0.1</v>
      </c>
    </row>
    <row r="111" spans="1:4" x14ac:dyDescent="0.2">
      <c r="A111" s="15" t="s">
        <v>22</v>
      </c>
      <c r="B111" s="8">
        <v>0.14000000000000001</v>
      </c>
      <c r="C111" s="8">
        <v>0.14000000000000001</v>
      </c>
      <c r="D111" s="8">
        <v>0.28000000000000003</v>
      </c>
    </row>
    <row r="112" spans="1:4" x14ac:dyDescent="0.2">
      <c r="A112" s="15" t="s">
        <v>23</v>
      </c>
      <c r="B112" s="8">
        <v>0.11</v>
      </c>
      <c r="C112" s="8">
        <v>0.11</v>
      </c>
      <c r="D112" s="8">
        <v>0.22</v>
      </c>
    </row>
    <row r="113" spans="1:4" x14ac:dyDescent="0.2">
      <c r="A113" s="15" t="s">
        <v>24</v>
      </c>
      <c r="B113" s="8">
        <v>0.15</v>
      </c>
      <c r="C113" s="8">
        <v>0.15</v>
      </c>
      <c r="D113" s="8">
        <v>0.3</v>
      </c>
    </row>
    <row r="114" spans="1:4" x14ac:dyDescent="0.2">
      <c r="A114" s="15" t="s">
        <v>25</v>
      </c>
      <c r="B114" s="8">
        <v>0.1</v>
      </c>
      <c r="C114" s="8">
        <v>0.1</v>
      </c>
      <c r="D114" s="8">
        <v>0.2</v>
      </c>
    </row>
    <row r="115" spans="1:4" x14ac:dyDescent="0.2">
      <c r="A115" s="15" t="s">
        <v>26</v>
      </c>
      <c r="B115" s="8">
        <v>0.1</v>
      </c>
      <c r="C115" s="8">
        <v>0.1</v>
      </c>
      <c r="D115" s="8">
        <v>0.2</v>
      </c>
    </row>
    <row r="116" spans="1:4" x14ac:dyDescent="0.2">
      <c r="A116" s="14" t="s">
        <v>61</v>
      </c>
      <c r="B116" s="8">
        <v>0.15750000000000006</v>
      </c>
      <c r="C116" s="8">
        <v>-0.33250000000000002</v>
      </c>
      <c r="D116" s="8">
        <v>-0.17500000000000004</v>
      </c>
    </row>
    <row r="117" spans="1:4" x14ac:dyDescent="0.2">
      <c r="A117" s="15" t="s">
        <v>19</v>
      </c>
      <c r="B117" s="8">
        <v>0</v>
      </c>
      <c r="C117" s="8">
        <v>0</v>
      </c>
      <c r="D117" s="8">
        <v>0</v>
      </c>
    </row>
    <row r="118" spans="1:4" x14ac:dyDescent="0.2">
      <c r="A118" s="15" t="s">
        <v>27</v>
      </c>
      <c r="B118" s="8">
        <v>-4.2500000000000003E-2</v>
      </c>
      <c r="C118" s="8">
        <v>-4.2500000000000003E-2</v>
      </c>
      <c r="D118" s="8">
        <v>-8.5000000000000006E-2</v>
      </c>
    </row>
    <row r="119" spans="1:4" x14ac:dyDescent="0.2">
      <c r="A119" s="15" t="s">
        <v>28</v>
      </c>
      <c r="B119" s="8">
        <v>0</v>
      </c>
      <c r="C119" s="8">
        <v>-0.05</v>
      </c>
      <c r="D119" s="8">
        <v>-0.05</v>
      </c>
    </row>
    <row r="120" spans="1:4" x14ac:dyDescent="0.2">
      <c r="A120" s="15" t="s">
        <v>20</v>
      </c>
      <c r="B120" s="8">
        <v>0</v>
      </c>
      <c r="C120" s="8">
        <v>0</v>
      </c>
      <c r="D120" s="8">
        <v>0</v>
      </c>
    </row>
    <row r="121" spans="1:4" x14ac:dyDescent="0.2">
      <c r="A121" s="15" t="s">
        <v>21</v>
      </c>
      <c r="B121" s="8">
        <v>0</v>
      </c>
      <c r="C121" s="8">
        <v>0</v>
      </c>
      <c r="D121" s="8">
        <v>0</v>
      </c>
    </row>
    <row r="122" spans="1:4" x14ac:dyDescent="0.2">
      <c r="A122" s="15" t="s">
        <v>22</v>
      </c>
      <c r="B122" s="8">
        <v>0.14000000000000001</v>
      </c>
      <c r="C122" s="8">
        <v>-0.14000000000000001</v>
      </c>
      <c r="D122" s="8">
        <v>0</v>
      </c>
    </row>
    <row r="123" spans="1:4" x14ac:dyDescent="0.2">
      <c r="A123" s="15" t="s">
        <v>23</v>
      </c>
      <c r="B123" s="8">
        <v>0.11</v>
      </c>
      <c r="C123" s="8">
        <v>0</v>
      </c>
      <c r="D123" s="8">
        <v>0.11</v>
      </c>
    </row>
    <row r="124" spans="1:4" x14ac:dyDescent="0.2">
      <c r="A124" s="15" t="s">
        <v>24</v>
      </c>
      <c r="B124" s="8">
        <v>0.15</v>
      </c>
      <c r="C124" s="8">
        <v>0</v>
      </c>
      <c r="D124" s="8">
        <v>0.15</v>
      </c>
    </row>
    <row r="125" spans="1:4" x14ac:dyDescent="0.2">
      <c r="A125" s="15" t="s">
        <v>25</v>
      </c>
      <c r="B125" s="8">
        <v>-0.1</v>
      </c>
      <c r="C125" s="8">
        <v>0</v>
      </c>
      <c r="D125" s="8">
        <v>-0.1</v>
      </c>
    </row>
    <row r="126" spans="1:4" x14ac:dyDescent="0.2">
      <c r="A126" s="15" t="s">
        <v>26</v>
      </c>
      <c r="B126" s="8">
        <v>-0.1</v>
      </c>
      <c r="C126" s="8">
        <v>-0.1</v>
      </c>
      <c r="D126" s="8">
        <v>-0.2</v>
      </c>
    </row>
    <row r="127" spans="1:4" x14ac:dyDescent="0.2">
      <c r="A127" s="14" t="s">
        <v>63</v>
      </c>
      <c r="B127" s="8">
        <v>-0.29249999999999998</v>
      </c>
      <c r="C127" s="8">
        <v>-0.6925</v>
      </c>
      <c r="D127" s="8">
        <v>-0.98499999999999999</v>
      </c>
    </row>
    <row r="128" spans="1:4" x14ac:dyDescent="0.2">
      <c r="A128" s="15" t="s">
        <v>19</v>
      </c>
      <c r="B128" s="8">
        <v>0</v>
      </c>
      <c r="C128" s="8">
        <v>0</v>
      </c>
      <c r="D128" s="8">
        <v>0</v>
      </c>
    </row>
    <row r="129" spans="1:4" x14ac:dyDescent="0.2">
      <c r="A129" s="15" t="s">
        <v>27</v>
      </c>
      <c r="B129" s="8">
        <v>-4.2500000000000003E-2</v>
      </c>
      <c r="C129" s="8">
        <v>-4.2500000000000003E-2</v>
      </c>
      <c r="D129" s="8">
        <v>-8.5000000000000006E-2</v>
      </c>
    </row>
    <row r="130" spans="1:4" x14ac:dyDescent="0.2">
      <c r="A130" s="15" t="s">
        <v>28</v>
      </c>
      <c r="B130" s="8">
        <v>-0.05</v>
      </c>
      <c r="C130" s="8">
        <v>-0.05</v>
      </c>
      <c r="D130" s="8">
        <v>-0.1</v>
      </c>
    </row>
    <row r="131" spans="1:4" x14ac:dyDescent="0.2">
      <c r="A131" s="15" t="s">
        <v>20</v>
      </c>
      <c r="B131" s="8">
        <v>0</v>
      </c>
      <c r="C131" s="8">
        <v>0</v>
      </c>
      <c r="D131" s="8">
        <v>0</v>
      </c>
    </row>
    <row r="132" spans="1:4" x14ac:dyDescent="0.2">
      <c r="A132" s="15" t="s">
        <v>21</v>
      </c>
      <c r="B132" s="8">
        <v>0.05</v>
      </c>
      <c r="C132" s="8">
        <v>0</v>
      </c>
      <c r="D132" s="8">
        <v>0.05</v>
      </c>
    </row>
    <row r="133" spans="1:4" x14ac:dyDescent="0.2">
      <c r="A133" s="15" t="s">
        <v>22</v>
      </c>
      <c r="B133" s="8">
        <v>-0.14000000000000001</v>
      </c>
      <c r="C133" s="8">
        <v>-0.14000000000000001</v>
      </c>
      <c r="D133" s="8">
        <v>-0.28000000000000003</v>
      </c>
    </row>
    <row r="134" spans="1:4" x14ac:dyDescent="0.2">
      <c r="A134" s="15" t="s">
        <v>23</v>
      </c>
      <c r="B134" s="8">
        <v>-0.11</v>
      </c>
      <c r="C134" s="8">
        <v>-0.11</v>
      </c>
      <c r="D134" s="8">
        <v>-0.22</v>
      </c>
    </row>
    <row r="135" spans="1:4" x14ac:dyDescent="0.2">
      <c r="A135" s="15" t="s">
        <v>24</v>
      </c>
      <c r="B135" s="8">
        <v>0</v>
      </c>
      <c r="C135" s="8">
        <v>-0.15</v>
      </c>
      <c r="D135" s="8">
        <v>-0.15</v>
      </c>
    </row>
    <row r="136" spans="1:4" x14ac:dyDescent="0.2">
      <c r="A136" s="15" t="s">
        <v>25</v>
      </c>
      <c r="B136" s="8">
        <v>0</v>
      </c>
      <c r="C136" s="8">
        <v>-0.1</v>
      </c>
      <c r="D136" s="8">
        <v>-0.1</v>
      </c>
    </row>
    <row r="137" spans="1:4" x14ac:dyDescent="0.2">
      <c r="A137" s="15" t="s">
        <v>26</v>
      </c>
      <c r="B137" s="8">
        <v>0</v>
      </c>
      <c r="C137" s="8">
        <v>-0.1</v>
      </c>
      <c r="D137" s="8">
        <v>-0.1</v>
      </c>
    </row>
    <row r="138" spans="1:4" x14ac:dyDescent="0.2">
      <c r="A138" s="14" t="s">
        <v>66</v>
      </c>
      <c r="B138" s="8">
        <v>0.56999999999999995</v>
      </c>
      <c r="C138" s="8">
        <v>-5.5000000000000007E-2</v>
      </c>
      <c r="D138" s="8">
        <v>0.51500000000000001</v>
      </c>
    </row>
    <row r="139" spans="1:4" x14ac:dyDescent="0.2">
      <c r="A139" s="15" t="s">
        <v>19</v>
      </c>
      <c r="B139" s="8">
        <v>0.12</v>
      </c>
      <c r="C139" s="8">
        <v>0</v>
      </c>
      <c r="D139" s="8">
        <v>0.12</v>
      </c>
    </row>
    <row r="140" spans="1:4" x14ac:dyDescent="0.2">
      <c r="A140" s="15" t="s">
        <v>27</v>
      </c>
      <c r="B140" s="8">
        <v>0</v>
      </c>
      <c r="C140" s="8">
        <v>8.5000000000000006E-2</v>
      </c>
      <c r="D140" s="8">
        <v>8.5000000000000006E-2</v>
      </c>
    </row>
    <row r="141" spans="1:4" x14ac:dyDescent="0.2">
      <c r="A141" s="15" t="s">
        <v>28</v>
      </c>
      <c r="B141" s="8">
        <v>0.05</v>
      </c>
      <c r="C141" s="8">
        <v>-0.05</v>
      </c>
      <c r="D141" s="8">
        <v>0</v>
      </c>
    </row>
    <row r="142" spans="1:4" x14ac:dyDescent="0.2">
      <c r="A142" s="15" t="s">
        <v>20</v>
      </c>
      <c r="B142" s="8">
        <v>0</v>
      </c>
      <c r="C142" s="8">
        <v>0</v>
      </c>
      <c r="D142" s="8">
        <v>0</v>
      </c>
    </row>
    <row r="143" spans="1:4" x14ac:dyDescent="0.2">
      <c r="A143" s="15" t="s">
        <v>21</v>
      </c>
      <c r="B143" s="8">
        <v>0.05</v>
      </c>
      <c r="C143" s="8">
        <v>0.05</v>
      </c>
      <c r="D143" s="8">
        <v>0.1</v>
      </c>
    </row>
    <row r="144" spans="1:4" x14ac:dyDescent="0.2">
      <c r="A144" s="15" t="s">
        <v>22</v>
      </c>
      <c r="B144" s="8">
        <v>0.14000000000000001</v>
      </c>
      <c r="C144" s="8">
        <v>-0.14000000000000001</v>
      </c>
      <c r="D144" s="8">
        <v>0</v>
      </c>
    </row>
    <row r="145" spans="1:4" x14ac:dyDescent="0.2">
      <c r="A145" s="15" t="s">
        <v>23</v>
      </c>
      <c r="B145" s="8">
        <v>0.11</v>
      </c>
      <c r="C145" s="8">
        <v>0</v>
      </c>
      <c r="D145" s="8">
        <v>0.11</v>
      </c>
    </row>
    <row r="146" spans="1:4" x14ac:dyDescent="0.2">
      <c r="A146" s="15" t="s">
        <v>24</v>
      </c>
      <c r="B146" s="8">
        <v>0</v>
      </c>
      <c r="C146" s="8">
        <v>0</v>
      </c>
      <c r="D146" s="8">
        <v>0</v>
      </c>
    </row>
    <row r="147" spans="1:4" x14ac:dyDescent="0.2">
      <c r="A147" s="15" t="s">
        <v>25</v>
      </c>
      <c r="B147" s="8">
        <v>0.1</v>
      </c>
      <c r="C147" s="8">
        <v>0</v>
      </c>
      <c r="D147" s="8">
        <v>0.1</v>
      </c>
    </row>
    <row r="148" spans="1:4" x14ac:dyDescent="0.2">
      <c r="A148" s="15" t="s">
        <v>26</v>
      </c>
      <c r="B148" s="8">
        <v>0</v>
      </c>
      <c r="C148" s="8">
        <v>0</v>
      </c>
      <c r="D148" s="8">
        <v>0</v>
      </c>
    </row>
    <row r="149" spans="1:4" x14ac:dyDescent="0.2">
      <c r="A149" s="14" t="s">
        <v>68</v>
      </c>
      <c r="B149" s="8">
        <v>-0.52</v>
      </c>
      <c r="C149" s="8">
        <v>-0.73499999999999999</v>
      </c>
      <c r="D149" s="8">
        <v>-1.2550000000000001</v>
      </c>
    </row>
    <row r="150" spans="1:4" x14ac:dyDescent="0.2">
      <c r="A150" s="15" t="s">
        <v>19</v>
      </c>
      <c r="B150" s="8">
        <v>-0.12</v>
      </c>
      <c r="C150" s="8">
        <v>0</v>
      </c>
      <c r="D150" s="8">
        <v>-0.12</v>
      </c>
    </row>
    <row r="151" spans="1:4" x14ac:dyDescent="0.2">
      <c r="A151" s="15" t="s">
        <v>27</v>
      </c>
      <c r="B151" s="8">
        <v>0</v>
      </c>
      <c r="C151" s="8">
        <v>-8.5000000000000006E-2</v>
      </c>
      <c r="D151" s="8">
        <v>-8.5000000000000006E-2</v>
      </c>
    </row>
    <row r="152" spans="1:4" x14ac:dyDescent="0.2">
      <c r="A152" s="15" t="s">
        <v>28</v>
      </c>
      <c r="B152" s="8">
        <v>0</v>
      </c>
      <c r="C152" s="8">
        <v>-0.05</v>
      </c>
      <c r="D152" s="8">
        <v>-0.05</v>
      </c>
    </row>
    <row r="153" spans="1:4" x14ac:dyDescent="0.2">
      <c r="A153" s="15" t="s">
        <v>20</v>
      </c>
      <c r="B153" s="8">
        <v>0</v>
      </c>
      <c r="C153" s="8">
        <v>0</v>
      </c>
      <c r="D153" s="8">
        <v>0</v>
      </c>
    </row>
    <row r="154" spans="1:4" x14ac:dyDescent="0.2">
      <c r="A154" s="15" t="s">
        <v>21</v>
      </c>
      <c r="B154" s="8">
        <v>0</v>
      </c>
      <c r="C154" s="8">
        <v>0</v>
      </c>
      <c r="D154" s="8">
        <v>0</v>
      </c>
    </row>
    <row r="155" spans="1:4" x14ac:dyDescent="0.2">
      <c r="A155" s="15" t="s">
        <v>22</v>
      </c>
      <c r="B155" s="8">
        <v>-0.14000000000000001</v>
      </c>
      <c r="C155" s="8">
        <v>-0.14000000000000001</v>
      </c>
      <c r="D155" s="8">
        <v>-0.28000000000000003</v>
      </c>
    </row>
    <row r="156" spans="1:4" x14ac:dyDescent="0.2">
      <c r="A156" s="15" t="s">
        <v>23</v>
      </c>
      <c r="B156" s="8">
        <v>-0.11</v>
      </c>
      <c r="C156" s="8">
        <v>-0.11</v>
      </c>
      <c r="D156" s="8">
        <v>-0.22</v>
      </c>
    </row>
    <row r="157" spans="1:4" x14ac:dyDescent="0.2">
      <c r="A157" s="15" t="s">
        <v>24</v>
      </c>
      <c r="B157" s="8">
        <v>-0.15</v>
      </c>
      <c r="C157" s="8">
        <v>-0.15</v>
      </c>
      <c r="D157" s="8">
        <v>-0.3</v>
      </c>
    </row>
    <row r="158" spans="1:4" x14ac:dyDescent="0.2">
      <c r="A158" s="15" t="s">
        <v>25</v>
      </c>
      <c r="B158" s="8">
        <v>0</v>
      </c>
      <c r="C158" s="8">
        <v>-0.1</v>
      </c>
      <c r="D158" s="8">
        <v>-0.1</v>
      </c>
    </row>
    <row r="159" spans="1:4" x14ac:dyDescent="0.2">
      <c r="A159" s="15" t="s">
        <v>26</v>
      </c>
      <c r="B159" s="8">
        <v>0</v>
      </c>
      <c r="C159" s="8">
        <v>-0.1</v>
      </c>
      <c r="D159" s="8">
        <v>-0.1</v>
      </c>
    </row>
    <row r="160" spans="1:4" x14ac:dyDescent="0.2">
      <c r="A160" s="14" t="s">
        <v>70</v>
      </c>
      <c r="B160" s="8">
        <v>0.33500000000000002</v>
      </c>
      <c r="C160" s="8">
        <v>0.66900000000000004</v>
      </c>
      <c r="D160" s="8">
        <v>1.004</v>
      </c>
    </row>
    <row r="161" spans="1:4" x14ac:dyDescent="0.2">
      <c r="A161" s="15" t="s">
        <v>19</v>
      </c>
      <c r="B161" s="8">
        <v>0</v>
      </c>
      <c r="C161" s="8">
        <v>0.12</v>
      </c>
      <c r="D161" s="8">
        <v>0.12</v>
      </c>
    </row>
    <row r="162" spans="1:4" x14ac:dyDescent="0.2">
      <c r="A162" s="15" t="s">
        <v>27</v>
      </c>
      <c r="B162" s="8">
        <v>8.5000000000000006E-2</v>
      </c>
      <c r="C162" s="8">
        <v>8.5000000000000006E-2</v>
      </c>
      <c r="D162" s="8">
        <v>0.17</v>
      </c>
    </row>
    <row r="163" spans="1:4" x14ac:dyDescent="0.2">
      <c r="A163" s="15" t="s">
        <v>28</v>
      </c>
      <c r="B163" s="8">
        <v>0</v>
      </c>
      <c r="C163" s="8">
        <v>-0.05</v>
      </c>
      <c r="D163" s="8">
        <v>-0.05</v>
      </c>
    </row>
    <row r="164" spans="1:4" x14ac:dyDescent="0.2">
      <c r="A164" s="15" t="s">
        <v>20</v>
      </c>
      <c r="B164" s="8">
        <v>0</v>
      </c>
      <c r="C164" s="8">
        <v>6.4000000000000001E-2</v>
      </c>
      <c r="D164" s="8">
        <v>6.4000000000000001E-2</v>
      </c>
    </row>
    <row r="165" spans="1:4" x14ac:dyDescent="0.2">
      <c r="A165" s="15" t="s">
        <v>21</v>
      </c>
      <c r="B165" s="8">
        <v>0.05</v>
      </c>
      <c r="C165" s="8">
        <v>0.05</v>
      </c>
      <c r="D165" s="8">
        <v>0.1</v>
      </c>
    </row>
    <row r="166" spans="1:4" x14ac:dyDescent="0.2">
      <c r="A166" s="15" t="s">
        <v>22</v>
      </c>
      <c r="B166" s="8">
        <v>0</v>
      </c>
      <c r="C166" s="8">
        <v>0.14000000000000001</v>
      </c>
      <c r="D166" s="8">
        <v>0.14000000000000001</v>
      </c>
    </row>
    <row r="167" spans="1:4" x14ac:dyDescent="0.2">
      <c r="A167" s="15" t="s">
        <v>23</v>
      </c>
      <c r="B167" s="8">
        <v>0</v>
      </c>
      <c r="C167" s="8">
        <v>0.11</v>
      </c>
      <c r="D167" s="8">
        <v>0.11</v>
      </c>
    </row>
    <row r="168" spans="1:4" x14ac:dyDescent="0.2">
      <c r="A168" s="15" t="s">
        <v>24</v>
      </c>
      <c r="B168" s="8">
        <v>0</v>
      </c>
      <c r="C168" s="8">
        <v>0.15</v>
      </c>
      <c r="D168" s="8">
        <v>0.15</v>
      </c>
    </row>
    <row r="169" spans="1:4" x14ac:dyDescent="0.2">
      <c r="A169" s="15" t="s">
        <v>25</v>
      </c>
      <c r="B169" s="8">
        <v>0.1</v>
      </c>
      <c r="C169" s="8">
        <v>0</v>
      </c>
      <c r="D169" s="8">
        <v>0.1</v>
      </c>
    </row>
    <row r="170" spans="1:4" x14ac:dyDescent="0.2">
      <c r="A170" s="15" t="s">
        <v>26</v>
      </c>
      <c r="B170" s="8">
        <v>0.1</v>
      </c>
      <c r="C170" s="8">
        <v>0</v>
      </c>
      <c r="D170" s="8">
        <v>0.1</v>
      </c>
    </row>
    <row r="171" spans="1:4" x14ac:dyDescent="0.2">
      <c r="A171" s="14" t="s">
        <v>72</v>
      </c>
      <c r="B171" s="8">
        <v>-0.41500000000000004</v>
      </c>
      <c r="C171" s="8">
        <v>-6.6000000000000003E-2</v>
      </c>
      <c r="D171" s="8">
        <v>-0.48100000000000004</v>
      </c>
    </row>
    <row r="172" spans="1:4" x14ac:dyDescent="0.2">
      <c r="A172" s="15" t="s">
        <v>19</v>
      </c>
      <c r="B172" s="8">
        <v>0.12</v>
      </c>
      <c r="C172" s="8">
        <v>0.12</v>
      </c>
      <c r="D172" s="8">
        <v>0.24</v>
      </c>
    </row>
    <row r="173" spans="1:4" x14ac:dyDescent="0.2">
      <c r="A173" s="15" t="s">
        <v>27</v>
      </c>
      <c r="B173" s="8">
        <v>-8.5000000000000006E-2</v>
      </c>
      <c r="C173" s="8">
        <v>0</v>
      </c>
      <c r="D173" s="8">
        <v>-8.5000000000000006E-2</v>
      </c>
    </row>
    <row r="174" spans="1:4" x14ac:dyDescent="0.2">
      <c r="A174" s="15" t="s">
        <v>28</v>
      </c>
      <c r="B174" s="8">
        <v>-0.05</v>
      </c>
      <c r="C174" s="8">
        <v>-0.05</v>
      </c>
      <c r="D174" s="8">
        <v>-0.1</v>
      </c>
    </row>
    <row r="175" spans="1:4" x14ac:dyDescent="0.2">
      <c r="A175" s="15" t="s">
        <v>20</v>
      </c>
      <c r="B175" s="8">
        <v>0</v>
      </c>
      <c r="C175" s="8">
        <v>6.4000000000000001E-2</v>
      </c>
      <c r="D175" s="8">
        <v>6.4000000000000001E-2</v>
      </c>
    </row>
    <row r="176" spans="1:4" x14ac:dyDescent="0.2">
      <c r="A176" s="15" t="s">
        <v>21</v>
      </c>
      <c r="B176" s="8">
        <v>0.05</v>
      </c>
      <c r="C176" s="8">
        <v>0</v>
      </c>
      <c r="D176" s="8">
        <v>0.05</v>
      </c>
    </row>
    <row r="177" spans="1:4" x14ac:dyDescent="0.2">
      <c r="A177" s="15" t="s">
        <v>22</v>
      </c>
      <c r="B177" s="8">
        <v>-0.14000000000000001</v>
      </c>
      <c r="C177" s="8">
        <v>0</v>
      </c>
      <c r="D177" s="8">
        <v>-0.14000000000000001</v>
      </c>
    </row>
    <row r="178" spans="1:4" x14ac:dyDescent="0.2">
      <c r="A178" s="15" t="s">
        <v>23</v>
      </c>
      <c r="B178" s="8">
        <v>-0.11</v>
      </c>
      <c r="C178" s="8">
        <v>0</v>
      </c>
      <c r="D178" s="8">
        <v>-0.11</v>
      </c>
    </row>
    <row r="179" spans="1:4" x14ac:dyDescent="0.2">
      <c r="A179" s="15" t="s">
        <v>24</v>
      </c>
      <c r="B179" s="8">
        <v>0</v>
      </c>
      <c r="C179" s="8">
        <v>0</v>
      </c>
      <c r="D179" s="8">
        <v>0</v>
      </c>
    </row>
    <row r="180" spans="1:4" x14ac:dyDescent="0.2">
      <c r="A180" s="15" t="s">
        <v>25</v>
      </c>
      <c r="B180" s="8">
        <v>-0.1</v>
      </c>
      <c r="C180" s="8">
        <v>-0.1</v>
      </c>
      <c r="D180" s="8">
        <v>-0.2</v>
      </c>
    </row>
    <row r="181" spans="1:4" x14ac:dyDescent="0.2">
      <c r="A181" s="15" t="s">
        <v>26</v>
      </c>
      <c r="B181" s="8">
        <v>-0.1</v>
      </c>
      <c r="C181" s="8">
        <v>-0.1</v>
      </c>
      <c r="D181" s="8">
        <v>-0.2</v>
      </c>
    </row>
    <row r="182" spans="1:4" x14ac:dyDescent="0.2">
      <c r="A182" s="13" t="s">
        <v>0</v>
      </c>
      <c r="B182" s="8">
        <v>2.7514999999999996</v>
      </c>
      <c r="C182" s="8">
        <v>3.7765000000000004</v>
      </c>
      <c r="D182" s="8">
        <v>6.5280000000000067</v>
      </c>
    </row>
    <row r="183" spans="1:4" x14ac:dyDescent="0.2">
      <c r="A183" s="14" t="s">
        <v>15</v>
      </c>
      <c r="B183" s="8">
        <v>0.63400000000000001</v>
      </c>
      <c r="C183" s="8">
        <v>-0.41600000000000004</v>
      </c>
      <c r="D183" s="8">
        <v>0.218</v>
      </c>
    </row>
    <row r="184" spans="1:4" x14ac:dyDescent="0.2">
      <c r="A184" s="15" t="s">
        <v>19</v>
      </c>
      <c r="B184" s="8">
        <v>0.12</v>
      </c>
      <c r="C184" s="8">
        <v>0.12</v>
      </c>
      <c r="D184" s="8">
        <v>0.24</v>
      </c>
    </row>
    <row r="185" spans="1:4" x14ac:dyDescent="0.2">
      <c r="A185" s="15" t="s">
        <v>27</v>
      </c>
      <c r="B185" s="8">
        <v>0</v>
      </c>
      <c r="C185" s="8">
        <v>0</v>
      </c>
      <c r="D185" s="8">
        <v>0</v>
      </c>
    </row>
    <row r="186" spans="1:4" x14ac:dyDescent="0.2">
      <c r="A186" s="15" t="s">
        <v>28</v>
      </c>
      <c r="B186" s="8">
        <v>0</v>
      </c>
      <c r="C186" s="8">
        <v>-0.05</v>
      </c>
      <c r="D186" s="8">
        <v>-0.05</v>
      </c>
    </row>
    <row r="187" spans="1:4" x14ac:dyDescent="0.2">
      <c r="A187" s="15" t="s">
        <v>20</v>
      </c>
      <c r="B187" s="8">
        <v>6.4000000000000001E-2</v>
      </c>
      <c r="C187" s="8">
        <v>6.4000000000000001E-2</v>
      </c>
      <c r="D187" s="8">
        <v>0.128</v>
      </c>
    </row>
    <row r="188" spans="1:4" x14ac:dyDescent="0.2">
      <c r="A188" s="15" t="s">
        <v>21</v>
      </c>
      <c r="B188" s="8">
        <v>0.05</v>
      </c>
      <c r="C188" s="8">
        <v>-0.05</v>
      </c>
      <c r="D188" s="8">
        <v>0</v>
      </c>
    </row>
    <row r="189" spans="1:4" x14ac:dyDescent="0.2">
      <c r="A189" s="15" t="s">
        <v>22</v>
      </c>
      <c r="B189" s="8">
        <v>0.14000000000000001</v>
      </c>
      <c r="C189" s="8">
        <v>-0.14000000000000001</v>
      </c>
      <c r="D189" s="8">
        <v>0</v>
      </c>
    </row>
    <row r="190" spans="1:4" x14ac:dyDescent="0.2">
      <c r="A190" s="15" t="s">
        <v>23</v>
      </c>
      <c r="B190" s="8">
        <v>0.11</v>
      </c>
      <c r="C190" s="8">
        <v>-0.11</v>
      </c>
      <c r="D190" s="8">
        <v>0</v>
      </c>
    </row>
    <row r="191" spans="1:4" x14ac:dyDescent="0.2">
      <c r="A191" s="15" t="s">
        <v>24</v>
      </c>
      <c r="B191" s="8">
        <v>0.15</v>
      </c>
      <c r="C191" s="8">
        <v>-0.15</v>
      </c>
      <c r="D191" s="8">
        <v>0</v>
      </c>
    </row>
    <row r="192" spans="1:4" x14ac:dyDescent="0.2">
      <c r="A192" s="15" t="s">
        <v>25</v>
      </c>
      <c r="B192" s="8">
        <v>0</v>
      </c>
      <c r="C192" s="8">
        <v>-0.1</v>
      </c>
      <c r="D192" s="8">
        <v>-0.1</v>
      </c>
    </row>
    <row r="193" spans="1:4" x14ac:dyDescent="0.2">
      <c r="A193" s="15" t="s">
        <v>26</v>
      </c>
      <c r="B193" s="8">
        <v>0</v>
      </c>
      <c r="C193" s="8">
        <v>0</v>
      </c>
      <c r="D193" s="8">
        <v>0</v>
      </c>
    </row>
    <row r="194" spans="1:4" x14ac:dyDescent="0.2">
      <c r="A194" s="14" t="s">
        <v>44</v>
      </c>
      <c r="B194" s="8">
        <v>7.4999999999999997E-3</v>
      </c>
      <c r="C194" s="8">
        <v>-0.24099999999999996</v>
      </c>
      <c r="D194" s="8">
        <v>-0.23350000000000001</v>
      </c>
    </row>
    <row r="195" spans="1:4" x14ac:dyDescent="0.2">
      <c r="A195" s="15" t="s">
        <v>19</v>
      </c>
      <c r="B195" s="8">
        <v>0</v>
      </c>
      <c r="C195" s="8">
        <v>0.12</v>
      </c>
      <c r="D195" s="8">
        <v>0.12</v>
      </c>
    </row>
    <row r="196" spans="1:4" x14ac:dyDescent="0.2">
      <c r="A196" s="15" t="s">
        <v>27</v>
      </c>
      <c r="B196" s="8">
        <v>-4.2500000000000003E-2</v>
      </c>
      <c r="C196" s="8">
        <v>8.5000000000000006E-2</v>
      </c>
      <c r="D196" s="8">
        <v>4.2500000000000003E-2</v>
      </c>
    </row>
    <row r="197" spans="1:4" x14ac:dyDescent="0.2">
      <c r="A197" s="15" t="s">
        <v>28</v>
      </c>
      <c r="B197" s="8">
        <v>0</v>
      </c>
      <c r="C197" s="8">
        <v>-0.05</v>
      </c>
      <c r="D197" s="8">
        <v>-0.05</v>
      </c>
    </row>
    <row r="198" spans="1:4" x14ac:dyDescent="0.2">
      <c r="A198" s="15" t="s">
        <v>20</v>
      </c>
      <c r="B198" s="8">
        <v>0</v>
      </c>
      <c r="C198" s="8">
        <v>6.4000000000000001E-2</v>
      </c>
      <c r="D198" s="8">
        <v>6.4000000000000001E-2</v>
      </c>
    </row>
    <row r="199" spans="1:4" x14ac:dyDescent="0.2">
      <c r="A199" s="15" t="s">
        <v>21</v>
      </c>
      <c r="B199" s="8">
        <v>0.05</v>
      </c>
      <c r="C199" s="8">
        <v>0</v>
      </c>
      <c r="D199" s="8">
        <v>0.05</v>
      </c>
    </row>
    <row r="200" spans="1:4" x14ac:dyDescent="0.2">
      <c r="A200" s="15" t="s">
        <v>22</v>
      </c>
      <c r="B200" s="8">
        <v>0</v>
      </c>
      <c r="C200" s="8">
        <v>0</v>
      </c>
      <c r="D200" s="8">
        <v>0</v>
      </c>
    </row>
    <row r="201" spans="1:4" x14ac:dyDescent="0.2">
      <c r="A201" s="15" t="s">
        <v>23</v>
      </c>
      <c r="B201" s="8">
        <v>0</v>
      </c>
      <c r="C201" s="8">
        <v>-0.11</v>
      </c>
      <c r="D201" s="8">
        <v>-0.11</v>
      </c>
    </row>
    <row r="202" spans="1:4" x14ac:dyDescent="0.2">
      <c r="A202" s="15" t="s">
        <v>24</v>
      </c>
      <c r="B202" s="8">
        <v>0</v>
      </c>
      <c r="C202" s="8">
        <v>-0.15</v>
      </c>
      <c r="D202" s="8">
        <v>-0.15</v>
      </c>
    </row>
    <row r="203" spans="1:4" x14ac:dyDescent="0.2">
      <c r="A203" s="15" t="s">
        <v>25</v>
      </c>
      <c r="B203" s="8">
        <v>0</v>
      </c>
      <c r="C203" s="8">
        <v>-0.1</v>
      </c>
      <c r="D203" s="8">
        <v>-0.1</v>
      </c>
    </row>
    <row r="204" spans="1:4" x14ac:dyDescent="0.2">
      <c r="A204" s="15" t="s">
        <v>26</v>
      </c>
      <c r="B204" s="8">
        <v>0</v>
      </c>
      <c r="C204" s="8">
        <v>-0.1</v>
      </c>
      <c r="D204" s="8">
        <v>-0.1</v>
      </c>
    </row>
    <row r="205" spans="1:4" x14ac:dyDescent="0.2">
      <c r="A205" s="14" t="s">
        <v>47</v>
      </c>
      <c r="B205" s="8">
        <v>-0.12</v>
      </c>
      <c r="C205" s="8">
        <v>0.71900000000000008</v>
      </c>
      <c r="D205" s="8">
        <v>0.59899999999999998</v>
      </c>
    </row>
    <row r="206" spans="1:4" x14ac:dyDescent="0.2">
      <c r="A206" s="15" t="s">
        <v>19</v>
      </c>
      <c r="B206" s="8">
        <v>-0.12</v>
      </c>
      <c r="C206" s="8">
        <v>0.12</v>
      </c>
      <c r="D206" s="8">
        <v>0</v>
      </c>
    </row>
    <row r="207" spans="1:4" x14ac:dyDescent="0.2">
      <c r="A207" s="15" t="s">
        <v>27</v>
      </c>
      <c r="B207" s="8">
        <v>0</v>
      </c>
      <c r="C207" s="8">
        <v>8.5000000000000006E-2</v>
      </c>
      <c r="D207" s="8">
        <v>8.5000000000000006E-2</v>
      </c>
    </row>
    <row r="208" spans="1:4" x14ac:dyDescent="0.2">
      <c r="A208" s="15" t="s">
        <v>28</v>
      </c>
      <c r="B208" s="8">
        <v>0</v>
      </c>
      <c r="C208" s="8">
        <v>0</v>
      </c>
      <c r="D208" s="8">
        <v>0</v>
      </c>
    </row>
    <row r="209" spans="1:4" x14ac:dyDescent="0.2">
      <c r="A209" s="15" t="s">
        <v>20</v>
      </c>
      <c r="B209" s="8">
        <v>0</v>
      </c>
      <c r="C209" s="8">
        <v>6.4000000000000001E-2</v>
      </c>
      <c r="D209" s="8">
        <v>6.4000000000000001E-2</v>
      </c>
    </row>
    <row r="210" spans="1:4" x14ac:dyDescent="0.2">
      <c r="A210" s="15" t="s">
        <v>21</v>
      </c>
      <c r="B210" s="8">
        <v>0</v>
      </c>
      <c r="C210" s="8">
        <v>0.05</v>
      </c>
      <c r="D210" s="8">
        <v>0.05</v>
      </c>
    </row>
    <row r="211" spans="1:4" x14ac:dyDescent="0.2">
      <c r="A211" s="15" t="s">
        <v>22</v>
      </c>
      <c r="B211" s="8">
        <v>0</v>
      </c>
      <c r="C211" s="8">
        <v>0.14000000000000001</v>
      </c>
      <c r="D211" s="8">
        <v>0.14000000000000001</v>
      </c>
    </row>
    <row r="212" spans="1:4" x14ac:dyDescent="0.2">
      <c r="A212" s="15" t="s">
        <v>23</v>
      </c>
      <c r="B212" s="8">
        <v>0</v>
      </c>
      <c r="C212" s="8">
        <v>0.11</v>
      </c>
      <c r="D212" s="8">
        <v>0.11</v>
      </c>
    </row>
    <row r="213" spans="1:4" x14ac:dyDescent="0.2">
      <c r="A213" s="15" t="s">
        <v>24</v>
      </c>
      <c r="B213" s="8">
        <v>0</v>
      </c>
      <c r="C213" s="8">
        <v>0.15</v>
      </c>
      <c r="D213" s="8">
        <v>0.15</v>
      </c>
    </row>
    <row r="214" spans="1:4" x14ac:dyDescent="0.2">
      <c r="A214" s="15" t="s">
        <v>25</v>
      </c>
      <c r="B214" s="8">
        <v>0</v>
      </c>
      <c r="C214" s="8">
        <v>0</v>
      </c>
      <c r="D214" s="8">
        <v>0</v>
      </c>
    </row>
    <row r="215" spans="1:4" x14ac:dyDescent="0.2">
      <c r="A215" s="15" t="s">
        <v>26</v>
      </c>
      <c r="B215" s="8">
        <v>0</v>
      </c>
      <c r="C215" s="8">
        <v>0</v>
      </c>
      <c r="D215" s="8">
        <v>0</v>
      </c>
    </row>
    <row r="216" spans="1:4" x14ac:dyDescent="0.2">
      <c r="A216" s="14" t="s">
        <v>48</v>
      </c>
      <c r="B216" s="8">
        <v>-0.06</v>
      </c>
      <c r="C216" s="8">
        <v>0.14900000000000002</v>
      </c>
      <c r="D216" s="8">
        <v>8.900000000000001E-2</v>
      </c>
    </row>
    <row r="217" spans="1:4" x14ac:dyDescent="0.2">
      <c r="A217" s="15" t="s">
        <v>19</v>
      </c>
      <c r="B217" s="8">
        <v>0</v>
      </c>
      <c r="C217" s="8">
        <v>0</v>
      </c>
      <c r="D217" s="8">
        <v>0</v>
      </c>
    </row>
    <row r="218" spans="1:4" x14ac:dyDescent="0.2">
      <c r="A218" s="15" t="s">
        <v>27</v>
      </c>
      <c r="B218" s="8">
        <v>0</v>
      </c>
      <c r="C218" s="8">
        <v>8.5000000000000006E-2</v>
      </c>
      <c r="D218" s="8">
        <v>8.5000000000000006E-2</v>
      </c>
    </row>
    <row r="219" spans="1:4" x14ac:dyDescent="0.2">
      <c r="A219" s="15" t="s">
        <v>28</v>
      </c>
      <c r="B219" s="8">
        <v>0</v>
      </c>
      <c r="C219" s="8">
        <v>-0.05</v>
      </c>
      <c r="D219" s="8">
        <v>-0.05</v>
      </c>
    </row>
    <row r="220" spans="1:4" x14ac:dyDescent="0.2">
      <c r="A220" s="15" t="s">
        <v>20</v>
      </c>
      <c r="B220" s="8">
        <v>0</v>
      </c>
      <c r="C220" s="8">
        <v>6.4000000000000001E-2</v>
      </c>
      <c r="D220" s="8">
        <v>6.4000000000000001E-2</v>
      </c>
    </row>
    <row r="221" spans="1:4" x14ac:dyDescent="0.2">
      <c r="A221" s="15" t="s">
        <v>21</v>
      </c>
      <c r="B221" s="8">
        <v>0.05</v>
      </c>
      <c r="C221" s="8">
        <v>-0.05</v>
      </c>
      <c r="D221" s="8">
        <v>0</v>
      </c>
    </row>
    <row r="222" spans="1:4" x14ac:dyDescent="0.2">
      <c r="A222" s="15" t="s">
        <v>22</v>
      </c>
      <c r="B222" s="8">
        <v>0</v>
      </c>
      <c r="C222" s="8">
        <v>0</v>
      </c>
      <c r="D222" s="8">
        <v>0</v>
      </c>
    </row>
    <row r="223" spans="1:4" x14ac:dyDescent="0.2">
      <c r="A223" s="15" t="s">
        <v>23</v>
      </c>
      <c r="B223" s="8">
        <v>-0.11</v>
      </c>
      <c r="C223" s="8">
        <v>0</v>
      </c>
      <c r="D223" s="8">
        <v>-0.11</v>
      </c>
    </row>
    <row r="224" spans="1:4" x14ac:dyDescent="0.2">
      <c r="A224" s="15" t="s">
        <v>24</v>
      </c>
      <c r="B224" s="8">
        <v>0</v>
      </c>
      <c r="C224" s="8">
        <v>0</v>
      </c>
      <c r="D224" s="8">
        <v>0</v>
      </c>
    </row>
    <row r="225" spans="1:4" x14ac:dyDescent="0.2">
      <c r="A225" s="15" t="s">
        <v>25</v>
      </c>
      <c r="B225" s="8">
        <v>0</v>
      </c>
      <c r="C225" s="8">
        <v>0</v>
      </c>
      <c r="D225" s="8">
        <v>0</v>
      </c>
    </row>
    <row r="226" spans="1:4" x14ac:dyDescent="0.2">
      <c r="A226" s="15" t="s">
        <v>26</v>
      </c>
      <c r="B226" s="8">
        <v>0</v>
      </c>
      <c r="C226" s="8">
        <v>0.1</v>
      </c>
      <c r="D226" s="8">
        <v>0.1</v>
      </c>
    </row>
    <row r="227" spans="1:4" x14ac:dyDescent="0.2">
      <c r="A227" s="14" t="s">
        <v>50</v>
      </c>
      <c r="B227" s="8">
        <v>0.16999999999999998</v>
      </c>
      <c r="C227" s="8">
        <v>0.96899999999999997</v>
      </c>
      <c r="D227" s="8">
        <v>1.1390000000000002</v>
      </c>
    </row>
    <row r="228" spans="1:4" x14ac:dyDescent="0.2">
      <c r="A228" s="15" t="s">
        <v>19</v>
      </c>
      <c r="B228" s="8">
        <v>0.12</v>
      </c>
      <c r="C228" s="8">
        <v>0.12</v>
      </c>
      <c r="D228" s="8">
        <v>0.24</v>
      </c>
    </row>
    <row r="229" spans="1:4" x14ac:dyDescent="0.2">
      <c r="A229" s="15" t="s">
        <v>27</v>
      </c>
      <c r="B229" s="8">
        <v>0</v>
      </c>
      <c r="C229" s="8">
        <v>8.5000000000000006E-2</v>
      </c>
      <c r="D229" s="8">
        <v>8.5000000000000006E-2</v>
      </c>
    </row>
    <row r="230" spans="1:4" x14ac:dyDescent="0.2">
      <c r="A230" s="15" t="s">
        <v>28</v>
      </c>
      <c r="B230" s="8">
        <v>0</v>
      </c>
      <c r="C230" s="8">
        <v>0.05</v>
      </c>
      <c r="D230" s="8">
        <v>0.05</v>
      </c>
    </row>
    <row r="231" spans="1:4" x14ac:dyDescent="0.2">
      <c r="A231" s="15" t="s">
        <v>20</v>
      </c>
      <c r="B231" s="8">
        <v>0</v>
      </c>
      <c r="C231" s="8">
        <v>6.4000000000000001E-2</v>
      </c>
      <c r="D231" s="8">
        <v>6.4000000000000001E-2</v>
      </c>
    </row>
    <row r="232" spans="1:4" x14ac:dyDescent="0.2">
      <c r="A232" s="15" t="s">
        <v>21</v>
      </c>
      <c r="B232" s="8">
        <v>0.05</v>
      </c>
      <c r="C232" s="8">
        <v>0.05</v>
      </c>
      <c r="D232" s="8">
        <v>0.1</v>
      </c>
    </row>
    <row r="233" spans="1:4" x14ac:dyDescent="0.2">
      <c r="A233" s="15" t="s">
        <v>22</v>
      </c>
      <c r="B233" s="8">
        <v>0</v>
      </c>
      <c r="C233" s="8">
        <v>0.14000000000000001</v>
      </c>
      <c r="D233" s="8">
        <v>0.14000000000000001</v>
      </c>
    </row>
    <row r="234" spans="1:4" x14ac:dyDescent="0.2">
      <c r="A234" s="15" t="s">
        <v>23</v>
      </c>
      <c r="B234" s="8">
        <v>0</v>
      </c>
      <c r="C234" s="8">
        <v>0.11</v>
      </c>
      <c r="D234" s="8">
        <v>0.11</v>
      </c>
    </row>
    <row r="235" spans="1:4" x14ac:dyDescent="0.2">
      <c r="A235" s="15" t="s">
        <v>24</v>
      </c>
      <c r="B235" s="8">
        <v>0</v>
      </c>
      <c r="C235" s="8">
        <v>0.15</v>
      </c>
      <c r="D235" s="8">
        <v>0.15</v>
      </c>
    </row>
    <row r="236" spans="1:4" x14ac:dyDescent="0.2">
      <c r="A236" s="15" t="s">
        <v>25</v>
      </c>
      <c r="B236" s="8">
        <v>0</v>
      </c>
      <c r="C236" s="8">
        <v>0.1</v>
      </c>
      <c r="D236" s="8">
        <v>0.1</v>
      </c>
    </row>
    <row r="237" spans="1:4" x14ac:dyDescent="0.2">
      <c r="A237" s="15" t="s">
        <v>26</v>
      </c>
      <c r="B237" s="8">
        <v>0</v>
      </c>
      <c r="C237" s="8">
        <v>0.1</v>
      </c>
      <c r="D237" s="8">
        <v>0.1</v>
      </c>
    </row>
    <row r="238" spans="1:4" x14ac:dyDescent="0.2">
      <c r="A238" s="14" t="s">
        <v>52</v>
      </c>
      <c r="B238" s="8">
        <v>0.71899999999999997</v>
      </c>
      <c r="C238" s="8">
        <v>0.629</v>
      </c>
      <c r="D238" s="8">
        <v>1.3480000000000001</v>
      </c>
    </row>
    <row r="239" spans="1:4" x14ac:dyDescent="0.2">
      <c r="A239" s="15" t="s">
        <v>19</v>
      </c>
      <c r="B239" s="8">
        <v>0.12</v>
      </c>
      <c r="C239" s="8">
        <v>0.12</v>
      </c>
      <c r="D239" s="8">
        <v>0.24</v>
      </c>
    </row>
    <row r="240" spans="1:4" x14ac:dyDescent="0.2">
      <c r="A240" s="15" t="s">
        <v>27</v>
      </c>
      <c r="B240" s="8">
        <v>8.5000000000000006E-2</v>
      </c>
      <c r="C240" s="8">
        <v>8.5000000000000006E-2</v>
      </c>
      <c r="D240" s="8">
        <v>0.17</v>
      </c>
    </row>
    <row r="241" spans="1:4" x14ac:dyDescent="0.2">
      <c r="A241" s="15" t="s">
        <v>28</v>
      </c>
      <c r="B241" s="8">
        <v>0.05</v>
      </c>
      <c r="C241" s="8">
        <v>-0.05</v>
      </c>
      <c r="D241" s="8">
        <v>0</v>
      </c>
    </row>
    <row r="242" spans="1:4" x14ac:dyDescent="0.2">
      <c r="A242" s="15" t="s">
        <v>20</v>
      </c>
      <c r="B242" s="8">
        <v>6.4000000000000001E-2</v>
      </c>
      <c r="C242" s="8">
        <v>6.4000000000000001E-2</v>
      </c>
      <c r="D242" s="8">
        <v>0.128</v>
      </c>
    </row>
    <row r="243" spans="1:4" x14ac:dyDescent="0.2">
      <c r="A243" s="15" t="s">
        <v>21</v>
      </c>
      <c r="B243" s="8">
        <v>0.05</v>
      </c>
      <c r="C243" s="8">
        <v>0.05</v>
      </c>
      <c r="D243" s="8">
        <v>0.1</v>
      </c>
    </row>
    <row r="244" spans="1:4" x14ac:dyDescent="0.2">
      <c r="A244" s="15" t="s">
        <v>22</v>
      </c>
      <c r="B244" s="8">
        <v>0</v>
      </c>
      <c r="C244" s="8">
        <v>0</v>
      </c>
      <c r="D244" s="8">
        <v>0</v>
      </c>
    </row>
    <row r="245" spans="1:4" x14ac:dyDescent="0.2">
      <c r="A245" s="15" t="s">
        <v>23</v>
      </c>
      <c r="B245" s="8">
        <v>0</v>
      </c>
      <c r="C245" s="8">
        <v>0.11</v>
      </c>
      <c r="D245" s="8">
        <v>0.11</v>
      </c>
    </row>
    <row r="246" spans="1:4" x14ac:dyDescent="0.2">
      <c r="A246" s="15" t="s">
        <v>24</v>
      </c>
      <c r="B246" s="8">
        <v>0.15</v>
      </c>
      <c r="C246" s="8">
        <v>0.15</v>
      </c>
      <c r="D246" s="8">
        <v>0.3</v>
      </c>
    </row>
    <row r="247" spans="1:4" x14ac:dyDescent="0.2">
      <c r="A247" s="15" t="s">
        <v>25</v>
      </c>
      <c r="B247" s="8">
        <v>0.1</v>
      </c>
      <c r="C247" s="8">
        <v>0.1</v>
      </c>
      <c r="D247" s="8">
        <v>0.2</v>
      </c>
    </row>
    <row r="248" spans="1:4" x14ac:dyDescent="0.2">
      <c r="A248" s="15" t="s">
        <v>26</v>
      </c>
      <c r="B248" s="8">
        <v>0.1</v>
      </c>
      <c r="C248" s="8">
        <v>0</v>
      </c>
      <c r="D248" s="8">
        <v>0.1</v>
      </c>
    </row>
    <row r="249" spans="1:4" x14ac:dyDescent="0.2">
      <c r="A249" s="14" t="s">
        <v>54</v>
      </c>
      <c r="B249" s="8">
        <v>-0.15</v>
      </c>
      <c r="C249" s="8">
        <v>0.91900000000000004</v>
      </c>
      <c r="D249" s="8">
        <v>0.76899999999999991</v>
      </c>
    </row>
    <row r="250" spans="1:4" x14ac:dyDescent="0.2">
      <c r="A250" s="15" t="s">
        <v>19</v>
      </c>
      <c r="B250" s="8">
        <v>0</v>
      </c>
      <c r="C250" s="8">
        <v>0.12</v>
      </c>
      <c r="D250" s="8">
        <v>0.12</v>
      </c>
    </row>
    <row r="251" spans="1:4" x14ac:dyDescent="0.2">
      <c r="A251" s="15" t="s">
        <v>27</v>
      </c>
      <c r="B251" s="8">
        <v>0</v>
      </c>
      <c r="C251" s="8">
        <v>8.5000000000000006E-2</v>
      </c>
      <c r="D251" s="8">
        <v>8.5000000000000006E-2</v>
      </c>
    </row>
    <row r="252" spans="1:4" x14ac:dyDescent="0.2">
      <c r="A252" s="15" t="s">
        <v>28</v>
      </c>
      <c r="B252" s="8">
        <v>-0.05</v>
      </c>
      <c r="C252" s="8">
        <v>0.05</v>
      </c>
      <c r="D252" s="8">
        <v>0</v>
      </c>
    </row>
    <row r="253" spans="1:4" x14ac:dyDescent="0.2">
      <c r="A253" s="15" t="s">
        <v>20</v>
      </c>
      <c r="B253" s="8">
        <v>0</v>
      </c>
      <c r="C253" s="8">
        <v>6.4000000000000001E-2</v>
      </c>
      <c r="D253" s="8">
        <v>6.4000000000000001E-2</v>
      </c>
    </row>
    <row r="254" spans="1:4" x14ac:dyDescent="0.2">
      <c r="A254" s="15" t="s">
        <v>21</v>
      </c>
      <c r="B254" s="8">
        <v>0.05</v>
      </c>
      <c r="C254" s="8">
        <v>0</v>
      </c>
      <c r="D254" s="8">
        <v>0.05</v>
      </c>
    </row>
    <row r="255" spans="1:4" x14ac:dyDescent="0.2">
      <c r="A255" s="15" t="s">
        <v>22</v>
      </c>
      <c r="B255" s="8">
        <v>-0.14000000000000001</v>
      </c>
      <c r="C255" s="8">
        <v>0.14000000000000001</v>
      </c>
      <c r="D255" s="8">
        <v>0</v>
      </c>
    </row>
    <row r="256" spans="1:4" x14ac:dyDescent="0.2">
      <c r="A256" s="15" t="s">
        <v>23</v>
      </c>
      <c r="B256" s="8">
        <v>-0.11</v>
      </c>
      <c r="C256" s="8">
        <v>0.11</v>
      </c>
      <c r="D256" s="8">
        <v>0</v>
      </c>
    </row>
    <row r="257" spans="1:4" x14ac:dyDescent="0.2">
      <c r="A257" s="15" t="s">
        <v>24</v>
      </c>
      <c r="B257" s="8">
        <v>0</v>
      </c>
      <c r="C257" s="8">
        <v>0.15</v>
      </c>
      <c r="D257" s="8">
        <v>0.15</v>
      </c>
    </row>
    <row r="258" spans="1:4" x14ac:dyDescent="0.2">
      <c r="A258" s="15" t="s">
        <v>25</v>
      </c>
      <c r="B258" s="8">
        <v>0</v>
      </c>
      <c r="C258" s="8">
        <v>0.1</v>
      </c>
      <c r="D258" s="8">
        <v>0.1</v>
      </c>
    </row>
    <row r="259" spans="1:4" x14ac:dyDescent="0.2">
      <c r="A259" s="15" t="s">
        <v>26</v>
      </c>
      <c r="B259" s="8">
        <v>0.1</v>
      </c>
      <c r="C259" s="8">
        <v>0.1</v>
      </c>
      <c r="D259" s="8">
        <v>0.2</v>
      </c>
    </row>
    <row r="260" spans="1:4" x14ac:dyDescent="0.2">
      <c r="A260" s="14" t="s">
        <v>55</v>
      </c>
      <c r="B260" s="8">
        <v>0.82650000000000001</v>
      </c>
      <c r="C260" s="8">
        <v>0.76900000000000002</v>
      </c>
      <c r="D260" s="8">
        <v>1.5954999999999999</v>
      </c>
    </row>
    <row r="261" spans="1:4" x14ac:dyDescent="0.2">
      <c r="A261" s="15" t="s">
        <v>19</v>
      </c>
      <c r="B261" s="8">
        <v>0.12</v>
      </c>
      <c r="C261" s="8">
        <v>0.12</v>
      </c>
      <c r="D261" s="8">
        <v>0.24</v>
      </c>
    </row>
    <row r="262" spans="1:4" x14ac:dyDescent="0.2">
      <c r="A262" s="15" t="s">
        <v>27</v>
      </c>
      <c r="B262" s="8">
        <v>4.2500000000000003E-2</v>
      </c>
      <c r="C262" s="8">
        <v>8.5000000000000006E-2</v>
      </c>
      <c r="D262" s="8">
        <v>0.1275</v>
      </c>
    </row>
    <row r="263" spans="1:4" x14ac:dyDescent="0.2">
      <c r="A263" s="15" t="s">
        <v>28</v>
      </c>
      <c r="B263" s="8">
        <v>0.05</v>
      </c>
      <c r="C263" s="8">
        <v>0</v>
      </c>
      <c r="D263" s="8">
        <v>0.05</v>
      </c>
    </row>
    <row r="264" spans="1:4" x14ac:dyDescent="0.2">
      <c r="A264" s="15" t="s">
        <v>20</v>
      </c>
      <c r="B264" s="8">
        <v>6.4000000000000001E-2</v>
      </c>
      <c r="C264" s="8">
        <v>6.4000000000000001E-2</v>
      </c>
      <c r="D264" s="8">
        <v>0.128</v>
      </c>
    </row>
    <row r="265" spans="1:4" x14ac:dyDescent="0.2">
      <c r="A265" s="15" t="s">
        <v>21</v>
      </c>
      <c r="B265" s="8">
        <v>0.05</v>
      </c>
      <c r="C265" s="8">
        <v>0.05</v>
      </c>
      <c r="D265" s="8">
        <v>0.1</v>
      </c>
    </row>
    <row r="266" spans="1:4" x14ac:dyDescent="0.2">
      <c r="A266" s="15" t="s">
        <v>22</v>
      </c>
      <c r="B266" s="8">
        <v>0.14000000000000001</v>
      </c>
      <c r="C266" s="8">
        <v>0.14000000000000001</v>
      </c>
      <c r="D266" s="8">
        <v>0.28000000000000003</v>
      </c>
    </row>
    <row r="267" spans="1:4" x14ac:dyDescent="0.2">
      <c r="A267" s="15" t="s">
        <v>23</v>
      </c>
      <c r="B267" s="8">
        <v>0.11</v>
      </c>
      <c r="C267" s="8">
        <v>0.11</v>
      </c>
      <c r="D267" s="8">
        <v>0.22</v>
      </c>
    </row>
    <row r="268" spans="1:4" x14ac:dyDescent="0.2">
      <c r="A268" s="15" t="s">
        <v>24</v>
      </c>
      <c r="B268" s="8">
        <v>0.15</v>
      </c>
      <c r="C268" s="8">
        <v>0</v>
      </c>
      <c r="D268" s="8">
        <v>0.15</v>
      </c>
    </row>
    <row r="269" spans="1:4" x14ac:dyDescent="0.2">
      <c r="A269" s="15" t="s">
        <v>25</v>
      </c>
      <c r="B269" s="8">
        <v>0.1</v>
      </c>
      <c r="C269" s="8">
        <v>0.1</v>
      </c>
      <c r="D269" s="8">
        <v>0.2</v>
      </c>
    </row>
    <row r="270" spans="1:4" x14ac:dyDescent="0.2">
      <c r="A270" s="15" t="s">
        <v>26</v>
      </c>
      <c r="B270" s="8">
        <v>0</v>
      </c>
      <c r="C270" s="8">
        <v>0.1</v>
      </c>
      <c r="D270" s="8">
        <v>0.1</v>
      </c>
    </row>
    <row r="271" spans="1:4" x14ac:dyDescent="0.2">
      <c r="A271" s="14" t="s">
        <v>57</v>
      </c>
      <c r="B271" s="8">
        <v>-0.34250000000000003</v>
      </c>
      <c r="C271" s="8">
        <v>-0.88400000000000001</v>
      </c>
      <c r="D271" s="8">
        <v>-1.2265000000000001</v>
      </c>
    </row>
    <row r="272" spans="1:4" x14ac:dyDescent="0.2">
      <c r="A272" s="15" t="s">
        <v>19</v>
      </c>
      <c r="B272" s="8">
        <v>0</v>
      </c>
      <c r="C272" s="8">
        <v>-0.12</v>
      </c>
      <c r="D272" s="8">
        <v>-0.12</v>
      </c>
    </row>
    <row r="273" spans="1:4" x14ac:dyDescent="0.2">
      <c r="A273" s="15" t="s">
        <v>27</v>
      </c>
      <c r="B273" s="8">
        <v>-4.2500000000000003E-2</v>
      </c>
      <c r="C273" s="8">
        <v>0</v>
      </c>
      <c r="D273" s="8">
        <v>-4.2500000000000003E-2</v>
      </c>
    </row>
    <row r="274" spans="1:4" x14ac:dyDescent="0.2">
      <c r="A274" s="15" t="s">
        <v>28</v>
      </c>
      <c r="B274" s="8">
        <v>-0.05</v>
      </c>
      <c r="C274" s="8">
        <v>-0.05</v>
      </c>
      <c r="D274" s="8">
        <v>-0.1</v>
      </c>
    </row>
    <row r="275" spans="1:4" x14ac:dyDescent="0.2">
      <c r="A275" s="15" t="s">
        <v>20</v>
      </c>
      <c r="B275" s="8">
        <v>0</v>
      </c>
      <c r="C275" s="8">
        <v>-6.4000000000000001E-2</v>
      </c>
      <c r="D275" s="8">
        <v>-6.4000000000000001E-2</v>
      </c>
    </row>
    <row r="276" spans="1:4" x14ac:dyDescent="0.2">
      <c r="A276" s="15" t="s">
        <v>21</v>
      </c>
      <c r="B276" s="8">
        <v>0</v>
      </c>
      <c r="C276" s="8">
        <v>-0.05</v>
      </c>
      <c r="D276" s="8">
        <v>-0.05</v>
      </c>
    </row>
    <row r="277" spans="1:4" x14ac:dyDescent="0.2">
      <c r="A277" s="15" t="s">
        <v>22</v>
      </c>
      <c r="B277" s="8">
        <v>-0.14000000000000001</v>
      </c>
      <c r="C277" s="8">
        <v>-0.14000000000000001</v>
      </c>
      <c r="D277" s="8">
        <v>-0.28000000000000003</v>
      </c>
    </row>
    <row r="278" spans="1:4" x14ac:dyDescent="0.2">
      <c r="A278" s="15" t="s">
        <v>23</v>
      </c>
      <c r="B278" s="8">
        <v>-0.11</v>
      </c>
      <c r="C278" s="8">
        <v>-0.11</v>
      </c>
      <c r="D278" s="8">
        <v>-0.22</v>
      </c>
    </row>
    <row r="279" spans="1:4" x14ac:dyDescent="0.2">
      <c r="A279" s="15" t="s">
        <v>24</v>
      </c>
      <c r="B279" s="8">
        <v>0</v>
      </c>
      <c r="C279" s="8">
        <v>-0.15</v>
      </c>
      <c r="D279" s="8">
        <v>-0.15</v>
      </c>
    </row>
    <row r="280" spans="1:4" x14ac:dyDescent="0.2">
      <c r="A280" s="15" t="s">
        <v>25</v>
      </c>
      <c r="B280" s="8">
        <v>0</v>
      </c>
      <c r="C280" s="8">
        <v>-0.1</v>
      </c>
      <c r="D280" s="8">
        <v>-0.1</v>
      </c>
    </row>
    <row r="281" spans="1:4" x14ac:dyDescent="0.2">
      <c r="A281" s="15" t="s">
        <v>26</v>
      </c>
      <c r="B281" s="8">
        <v>0</v>
      </c>
      <c r="C281" s="8">
        <v>-0.1</v>
      </c>
      <c r="D281" s="8">
        <v>-0.1</v>
      </c>
    </row>
    <row r="282" spans="1:4" x14ac:dyDescent="0.2">
      <c r="A282" s="14" t="s">
        <v>59</v>
      </c>
      <c r="B282" s="8">
        <v>0.74249999999999994</v>
      </c>
      <c r="C282" s="8">
        <v>0.96899999999999997</v>
      </c>
      <c r="D282" s="8">
        <v>1.7115</v>
      </c>
    </row>
    <row r="283" spans="1:4" x14ac:dyDescent="0.2">
      <c r="A283" s="15" t="s">
        <v>19</v>
      </c>
      <c r="B283" s="8">
        <v>0</v>
      </c>
      <c r="C283" s="8">
        <v>0.12</v>
      </c>
      <c r="D283" s="8">
        <v>0.12</v>
      </c>
    </row>
    <row r="284" spans="1:4" x14ac:dyDescent="0.2">
      <c r="A284" s="15" t="s">
        <v>27</v>
      </c>
      <c r="B284" s="8">
        <v>4.2500000000000003E-2</v>
      </c>
      <c r="C284" s="8">
        <v>8.5000000000000006E-2</v>
      </c>
      <c r="D284" s="8">
        <v>0.1275</v>
      </c>
    </row>
    <row r="285" spans="1:4" x14ac:dyDescent="0.2">
      <c r="A285" s="15" t="s">
        <v>28</v>
      </c>
      <c r="B285" s="8">
        <v>0.05</v>
      </c>
      <c r="C285" s="8">
        <v>0.05</v>
      </c>
      <c r="D285" s="8">
        <v>0.1</v>
      </c>
    </row>
    <row r="286" spans="1:4" x14ac:dyDescent="0.2">
      <c r="A286" s="15" t="s">
        <v>20</v>
      </c>
      <c r="B286" s="8">
        <v>0</v>
      </c>
      <c r="C286" s="8">
        <v>6.4000000000000001E-2</v>
      </c>
      <c r="D286" s="8">
        <v>6.4000000000000001E-2</v>
      </c>
    </row>
    <row r="287" spans="1:4" x14ac:dyDescent="0.2">
      <c r="A287" s="15" t="s">
        <v>21</v>
      </c>
      <c r="B287" s="8">
        <v>0.05</v>
      </c>
      <c r="C287" s="8">
        <v>0.05</v>
      </c>
      <c r="D287" s="8">
        <v>0.1</v>
      </c>
    </row>
    <row r="288" spans="1:4" x14ac:dyDescent="0.2">
      <c r="A288" s="15" t="s">
        <v>22</v>
      </c>
      <c r="B288" s="8">
        <v>0.14000000000000001</v>
      </c>
      <c r="C288" s="8">
        <v>0.14000000000000001</v>
      </c>
      <c r="D288" s="8">
        <v>0.28000000000000003</v>
      </c>
    </row>
    <row r="289" spans="1:4" x14ac:dyDescent="0.2">
      <c r="A289" s="15" t="s">
        <v>23</v>
      </c>
      <c r="B289" s="8">
        <v>0.11</v>
      </c>
      <c r="C289" s="8">
        <v>0.11</v>
      </c>
      <c r="D289" s="8">
        <v>0.22</v>
      </c>
    </row>
    <row r="290" spans="1:4" x14ac:dyDescent="0.2">
      <c r="A290" s="15" t="s">
        <v>24</v>
      </c>
      <c r="B290" s="8">
        <v>0.15</v>
      </c>
      <c r="C290" s="8">
        <v>0.15</v>
      </c>
      <c r="D290" s="8">
        <v>0.3</v>
      </c>
    </row>
    <row r="291" spans="1:4" x14ac:dyDescent="0.2">
      <c r="A291" s="15" t="s">
        <v>25</v>
      </c>
      <c r="B291" s="8">
        <v>0.1</v>
      </c>
      <c r="C291" s="8">
        <v>0.1</v>
      </c>
      <c r="D291" s="8">
        <v>0.2</v>
      </c>
    </row>
    <row r="292" spans="1:4" x14ac:dyDescent="0.2">
      <c r="A292" s="15" t="s">
        <v>26</v>
      </c>
      <c r="B292" s="8">
        <v>0.1</v>
      </c>
      <c r="C292" s="8">
        <v>0.1</v>
      </c>
      <c r="D292" s="8">
        <v>0.2</v>
      </c>
    </row>
    <row r="293" spans="1:4" x14ac:dyDescent="0.2">
      <c r="A293" s="14" t="s">
        <v>92</v>
      </c>
      <c r="B293" s="8">
        <v>0.43399999999999994</v>
      </c>
      <c r="C293" s="8">
        <v>0.96899999999999997</v>
      </c>
      <c r="D293" s="8">
        <v>1.4029999999999998</v>
      </c>
    </row>
    <row r="294" spans="1:4" x14ac:dyDescent="0.2">
      <c r="A294" s="15" t="s">
        <v>19</v>
      </c>
      <c r="B294" s="8">
        <v>0.12</v>
      </c>
      <c r="C294" s="8">
        <v>0.12</v>
      </c>
      <c r="D294" s="8">
        <v>0.24</v>
      </c>
    </row>
    <row r="295" spans="1:4" x14ac:dyDescent="0.2">
      <c r="A295" s="15" t="s">
        <v>27</v>
      </c>
      <c r="B295" s="8">
        <v>0</v>
      </c>
      <c r="C295" s="8">
        <v>8.5000000000000006E-2</v>
      </c>
      <c r="D295" s="8">
        <v>8.5000000000000006E-2</v>
      </c>
    </row>
    <row r="296" spans="1:4" x14ac:dyDescent="0.2">
      <c r="A296" s="15" t="s">
        <v>28</v>
      </c>
      <c r="B296" s="8">
        <v>0</v>
      </c>
      <c r="C296" s="8">
        <v>0.05</v>
      </c>
      <c r="D296" s="8">
        <v>0.05</v>
      </c>
    </row>
    <row r="297" spans="1:4" x14ac:dyDescent="0.2">
      <c r="A297" s="15" t="s">
        <v>20</v>
      </c>
      <c r="B297" s="8">
        <v>6.4000000000000001E-2</v>
      </c>
      <c r="C297" s="8">
        <v>6.4000000000000001E-2</v>
      </c>
      <c r="D297" s="8">
        <v>0.128</v>
      </c>
    </row>
    <row r="298" spans="1:4" x14ac:dyDescent="0.2">
      <c r="A298" s="15" t="s">
        <v>21</v>
      </c>
      <c r="B298" s="8">
        <v>0.05</v>
      </c>
      <c r="C298" s="8">
        <v>0.05</v>
      </c>
      <c r="D298" s="8">
        <v>0.1</v>
      </c>
    </row>
    <row r="299" spans="1:4" x14ac:dyDescent="0.2">
      <c r="A299" s="15" t="s">
        <v>22</v>
      </c>
      <c r="B299" s="8">
        <v>0</v>
      </c>
      <c r="C299" s="8">
        <v>0.14000000000000001</v>
      </c>
      <c r="D299" s="8">
        <v>0.14000000000000001</v>
      </c>
    </row>
    <row r="300" spans="1:4" x14ac:dyDescent="0.2">
      <c r="A300" s="15" t="s">
        <v>23</v>
      </c>
      <c r="B300" s="8">
        <v>0</v>
      </c>
      <c r="C300" s="8">
        <v>0.11</v>
      </c>
      <c r="D300" s="8">
        <v>0.11</v>
      </c>
    </row>
    <row r="301" spans="1:4" x14ac:dyDescent="0.2">
      <c r="A301" s="15" t="s">
        <v>24</v>
      </c>
      <c r="B301" s="8">
        <v>0</v>
      </c>
      <c r="C301" s="8">
        <v>0.15</v>
      </c>
      <c r="D301" s="8">
        <v>0.15</v>
      </c>
    </row>
    <row r="302" spans="1:4" x14ac:dyDescent="0.2">
      <c r="A302" s="15" t="s">
        <v>25</v>
      </c>
      <c r="B302" s="8">
        <v>0.1</v>
      </c>
      <c r="C302" s="8">
        <v>0.1</v>
      </c>
      <c r="D302" s="8">
        <v>0.2</v>
      </c>
    </row>
    <row r="303" spans="1:4" x14ac:dyDescent="0.2">
      <c r="A303" s="15" t="s">
        <v>26</v>
      </c>
      <c r="B303" s="8">
        <v>0.1</v>
      </c>
      <c r="C303" s="8">
        <v>0.1</v>
      </c>
      <c r="D303" s="8">
        <v>0.2</v>
      </c>
    </row>
    <row r="304" spans="1:4" x14ac:dyDescent="0.2">
      <c r="A304" s="14" t="s">
        <v>144</v>
      </c>
      <c r="B304" s="8">
        <v>0.73399999999999999</v>
      </c>
      <c r="C304" s="8">
        <v>0.76900000000000002</v>
      </c>
      <c r="D304" s="8">
        <v>1.5030000000000001</v>
      </c>
    </row>
    <row r="305" spans="1:4" x14ac:dyDescent="0.2">
      <c r="A305" s="15" t="s">
        <v>19</v>
      </c>
      <c r="B305" s="8">
        <v>0.12</v>
      </c>
      <c r="C305" s="8">
        <v>0.12</v>
      </c>
      <c r="D305" s="8">
        <v>0.24</v>
      </c>
    </row>
    <row r="306" spans="1:4" x14ac:dyDescent="0.2">
      <c r="A306" s="15" t="s">
        <v>27</v>
      </c>
      <c r="B306" s="8">
        <v>0</v>
      </c>
      <c r="C306" s="8">
        <v>8.5000000000000006E-2</v>
      </c>
      <c r="D306" s="8">
        <v>8.5000000000000006E-2</v>
      </c>
    </row>
    <row r="307" spans="1:4" x14ac:dyDescent="0.2">
      <c r="A307" s="15" t="s">
        <v>28</v>
      </c>
      <c r="B307" s="8">
        <v>0</v>
      </c>
      <c r="C307" s="8">
        <v>0</v>
      </c>
      <c r="D307" s="8">
        <v>0</v>
      </c>
    </row>
    <row r="308" spans="1:4" x14ac:dyDescent="0.2">
      <c r="A308" s="15" t="s">
        <v>20</v>
      </c>
      <c r="B308" s="8">
        <v>6.4000000000000001E-2</v>
      </c>
      <c r="C308" s="8">
        <v>6.4000000000000001E-2</v>
      </c>
      <c r="D308" s="8">
        <v>0.128</v>
      </c>
    </row>
    <row r="309" spans="1:4" x14ac:dyDescent="0.2">
      <c r="A309" s="15" t="s">
        <v>21</v>
      </c>
      <c r="B309" s="8">
        <v>0.05</v>
      </c>
      <c r="C309" s="8">
        <v>0.05</v>
      </c>
      <c r="D309" s="8">
        <v>0.1</v>
      </c>
    </row>
    <row r="310" spans="1:4" x14ac:dyDescent="0.2">
      <c r="A310" s="15" t="s">
        <v>22</v>
      </c>
      <c r="B310" s="8">
        <v>0.14000000000000001</v>
      </c>
      <c r="C310" s="8">
        <v>0.14000000000000001</v>
      </c>
      <c r="D310" s="8">
        <v>0.28000000000000003</v>
      </c>
    </row>
    <row r="311" spans="1:4" x14ac:dyDescent="0.2">
      <c r="A311" s="15" t="s">
        <v>23</v>
      </c>
      <c r="B311" s="8">
        <v>0.11</v>
      </c>
      <c r="C311" s="8">
        <v>0.11</v>
      </c>
      <c r="D311" s="8">
        <v>0.22</v>
      </c>
    </row>
    <row r="312" spans="1:4" x14ac:dyDescent="0.2">
      <c r="A312" s="15" t="s">
        <v>24</v>
      </c>
      <c r="B312" s="8">
        <v>0.15</v>
      </c>
      <c r="C312" s="8">
        <v>0</v>
      </c>
      <c r="D312" s="8">
        <v>0.15</v>
      </c>
    </row>
    <row r="313" spans="1:4" x14ac:dyDescent="0.2">
      <c r="A313" s="15" t="s">
        <v>25</v>
      </c>
      <c r="B313" s="8">
        <v>0.1</v>
      </c>
      <c r="C313" s="8">
        <v>0.1</v>
      </c>
      <c r="D313" s="8">
        <v>0.2</v>
      </c>
    </row>
    <row r="314" spans="1:4" x14ac:dyDescent="0.2">
      <c r="A314" s="15" t="s">
        <v>26</v>
      </c>
      <c r="B314" s="8">
        <v>0</v>
      </c>
      <c r="C314" s="8">
        <v>0.1</v>
      </c>
      <c r="D314" s="8">
        <v>0.1</v>
      </c>
    </row>
    <row r="315" spans="1:4" x14ac:dyDescent="0.2">
      <c r="A315" s="14" t="s">
        <v>149</v>
      </c>
      <c r="B315" s="8">
        <v>-0.10250000000000001</v>
      </c>
      <c r="C315" s="8">
        <v>0.8165</v>
      </c>
      <c r="D315" s="8">
        <v>0.71399999999999997</v>
      </c>
    </row>
    <row r="316" spans="1:4" x14ac:dyDescent="0.2">
      <c r="A316" s="15" t="s">
        <v>19</v>
      </c>
      <c r="B316" s="8">
        <v>0</v>
      </c>
      <c r="C316" s="8">
        <v>0.12</v>
      </c>
      <c r="D316" s="8">
        <v>0.12</v>
      </c>
    </row>
    <row r="317" spans="1:4" x14ac:dyDescent="0.2">
      <c r="A317" s="15" t="s">
        <v>27</v>
      </c>
      <c r="B317" s="8">
        <v>-4.2500000000000003E-2</v>
      </c>
      <c r="C317" s="8">
        <v>4.2500000000000003E-2</v>
      </c>
      <c r="D317" s="8">
        <v>0</v>
      </c>
    </row>
    <row r="318" spans="1:4" x14ac:dyDescent="0.2">
      <c r="A318" s="15" t="s">
        <v>28</v>
      </c>
      <c r="B318" s="8">
        <v>0</v>
      </c>
      <c r="C318" s="8">
        <v>0.05</v>
      </c>
      <c r="D318" s="8">
        <v>0.05</v>
      </c>
    </row>
    <row r="319" spans="1:4" x14ac:dyDescent="0.2">
      <c r="A319" s="15" t="s">
        <v>20</v>
      </c>
      <c r="B319" s="8">
        <v>0</v>
      </c>
      <c r="C319" s="8">
        <v>6.4000000000000001E-2</v>
      </c>
      <c r="D319" s="8">
        <v>6.4000000000000001E-2</v>
      </c>
    </row>
    <row r="320" spans="1:4" x14ac:dyDescent="0.2">
      <c r="A320" s="15" t="s">
        <v>21</v>
      </c>
      <c r="B320" s="8">
        <v>0.05</v>
      </c>
      <c r="C320" s="8">
        <v>0.05</v>
      </c>
      <c r="D320" s="8">
        <v>0.1</v>
      </c>
    </row>
    <row r="321" spans="1:4" x14ac:dyDescent="0.2">
      <c r="A321" s="15" t="s">
        <v>22</v>
      </c>
      <c r="B321" s="8">
        <v>0</v>
      </c>
      <c r="C321" s="8">
        <v>0.14000000000000001</v>
      </c>
      <c r="D321" s="8">
        <v>0.14000000000000001</v>
      </c>
    </row>
    <row r="322" spans="1:4" x14ac:dyDescent="0.2">
      <c r="A322" s="15" t="s">
        <v>23</v>
      </c>
      <c r="B322" s="8">
        <v>-0.11</v>
      </c>
      <c r="C322" s="8">
        <v>0</v>
      </c>
      <c r="D322" s="8">
        <v>-0.11</v>
      </c>
    </row>
    <row r="323" spans="1:4" x14ac:dyDescent="0.2">
      <c r="A323" s="15" t="s">
        <v>24</v>
      </c>
      <c r="B323" s="8">
        <v>0</v>
      </c>
      <c r="C323" s="8">
        <v>0.15</v>
      </c>
      <c r="D323" s="8">
        <v>0.15</v>
      </c>
    </row>
    <row r="324" spans="1:4" x14ac:dyDescent="0.2">
      <c r="A324" s="15" t="s">
        <v>25</v>
      </c>
      <c r="B324" s="8">
        <v>0</v>
      </c>
      <c r="C324" s="8">
        <v>0.1</v>
      </c>
      <c r="D324" s="8">
        <v>0.1</v>
      </c>
    </row>
    <row r="325" spans="1:4" x14ac:dyDescent="0.2">
      <c r="A325" s="15" t="s">
        <v>26</v>
      </c>
      <c r="B325" s="8">
        <v>0</v>
      </c>
      <c r="C325" s="8">
        <v>0.1</v>
      </c>
      <c r="D325" s="8">
        <v>0.1</v>
      </c>
    </row>
    <row r="326" spans="1:4" x14ac:dyDescent="0.2">
      <c r="A326" s="14" t="s">
        <v>154</v>
      </c>
      <c r="B326" s="8">
        <v>0.5665</v>
      </c>
      <c r="C326" s="8">
        <v>0.13400000000000001</v>
      </c>
      <c r="D326" s="8">
        <v>0.70050000000000001</v>
      </c>
    </row>
    <row r="327" spans="1:4" x14ac:dyDescent="0.2">
      <c r="A327" s="15" t="s">
        <v>19</v>
      </c>
      <c r="B327" s="8">
        <v>0.12</v>
      </c>
      <c r="C327" s="8">
        <v>0.12</v>
      </c>
      <c r="D327" s="8">
        <v>0.24</v>
      </c>
    </row>
    <row r="328" spans="1:4" x14ac:dyDescent="0.2">
      <c r="A328" s="15" t="s">
        <v>27</v>
      </c>
      <c r="B328" s="8">
        <v>4.2500000000000003E-2</v>
      </c>
      <c r="C328" s="8">
        <v>0</v>
      </c>
      <c r="D328" s="8">
        <v>4.2500000000000003E-2</v>
      </c>
    </row>
    <row r="329" spans="1:4" x14ac:dyDescent="0.2">
      <c r="A329" s="15" t="s">
        <v>28</v>
      </c>
      <c r="B329" s="8">
        <v>0</v>
      </c>
      <c r="C329" s="8">
        <v>-0.05</v>
      </c>
      <c r="D329" s="8">
        <v>-0.05</v>
      </c>
    </row>
    <row r="330" spans="1:4" x14ac:dyDescent="0.2">
      <c r="A330" s="15" t="s">
        <v>20</v>
      </c>
      <c r="B330" s="8">
        <v>6.4000000000000001E-2</v>
      </c>
      <c r="C330" s="8">
        <v>6.4000000000000001E-2</v>
      </c>
      <c r="D330" s="8">
        <v>0.128</v>
      </c>
    </row>
    <row r="331" spans="1:4" x14ac:dyDescent="0.2">
      <c r="A331" s="15" t="s">
        <v>21</v>
      </c>
      <c r="B331" s="8">
        <v>0.05</v>
      </c>
      <c r="C331" s="8">
        <v>0</v>
      </c>
      <c r="D331" s="8">
        <v>0.05</v>
      </c>
    </row>
    <row r="332" spans="1:4" x14ac:dyDescent="0.2">
      <c r="A332" s="15" t="s">
        <v>22</v>
      </c>
      <c r="B332" s="8">
        <v>0.14000000000000001</v>
      </c>
      <c r="C332" s="8">
        <v>0</v>
      </c>
      <c r="D332" s="8">
        <v>0.14000000000000001</v>
      </c>
    </row>
    <row r="333" spans="1:4" x14ac:dyDescent="0.2">
      <c r="A333" s="15" t="s">
        <v>23</v>
      </c>
      <c r="B333" s="8">
        <v>0</v>
      </c>
      <c r="C333" s="8">
        <v>0</v>
      </c>
      <c r="D333" s="8">
        <v>0</v>
      </c>
    </row>
    <row r="334" spans="1:4" x14ac:dyDescent="0.2">
      <c r="A334" s="15" t="s">
        <v>24</v>
      </c>
      <c r="B334" s="8">
        <v>0.15</v>
      </c>
      <c r="C334" s="8">
        <v>0</v>
      </c>
      <c r="D334" s="8">
        <v>0.15</v>
      </c>
    </row>
    <row r="335" spans="1:4" x14ac:dyDescent="0.2">
      <c r="A335" s="15" t="s">
        <v>25</v>
      </c>
      <c r="B335" s="8">
        <v>0</v>
      </c>
      <c r="C335" s="8">
        <v>0</v>
      </c>
      <c r="D335" s="8">
        <v>0</v>
      </c>
    </row>
    <row r="336" spans="1:4" x14ac:dyDescent="0.2">
      <c r="A336" s="15" t="s">
        <v>26</v>
      </c>
      <c r="B336" s="8">
        <v>0</v>
      </c>
      <c r="C336" s="8">
        <v>0</v>
      </c>
      <c r="D336" s="8">
        <v>0</v>
      </c>
    </row>
    <row r="337" spans="1:4" x14ac:dyDescent="0.2">
      <c r="A337" s="14" t="s">
        <v>162</v>
      </c>
      <c r="B337" s="8">
        <v>0.61899999999999999</v>
      </c>
      <c r="C337" s="8">
        <v>-0.57250000000000001</v>
      </c>
      <c r="D337" s="8">
        <v>4.6499999999999958E-2</v>
      </c>
    </row>
    <row r="338" spans="1:4" x14ac:dyDescent="0.2">
      <c r="A338" s="15" t="s">
        <v>19</v>
      </c>
      <c r="B338" s="8">
        <v>0.12</v>
      </c>
      <c r="C338" s="8">
        <v>0.12</v>
      </c>
      <c r="D338" s="8">
        <v>0.24</v>
      </c>
    </row>
    <row r="339" spans="1:4" x14ac:dyDescent="0.2">
      <c r="A339" s="15" t="s">
        <v>27</v>
      </c>
      <c r="B339" s="8">
        <v>8.5000000000000006E-2</v>
      </c>
      <c r="C339" s="8">
        <v>-4.2500000000000003E-2</v>
      </c>
      <c r="D339" s="8">
        <v>4.2500000000000003E-2</v>
      </c>
    </row>
    <row r="340" spans="1:4" x14ac:dyDescent="0.2">
      <c r="A340" s="15" t="s">
        <v>28</v>
      </c>
      <c r="B340" s="8">
        <v>0.05</v>
      </c>
      <c r="C340" s="8">
        <v>-0.05</v>
      </c>
      <c r="D340" s="8">
        <v>0</v>
      </c>
    </row>
    <row r="341" spans="1:4" x14ac:dyDescent="0.2">
      <c r="A341" s="15" t="s">
        <v>20</v>
      </c>
      <c r="B341" s="8">
        <v>6.4000000000000001E-2</v>
      </c>
      <c r="C341" s="8">
        <v>0</v>
      </c>
      <c r="D341" s="8">
        <v>6.4000000000000001E-2</v>
      </c>
    </row>
    <row r="342" spans="1:4" x14ac:dyDescent="0.2">
      <c r="A342" s="15" t="s">
        <v>21</v>
      </c>
      <c r="B342" s="8">
        <v>0.05</v>
      </c>
      <c r="C342" s="8">
        <v>0</v>
      </c>
      <c r="D342" s="8">
        <v>0.05</v>
      </c>
    </row>
    <row r="343" spans="1:4" x14ac:dyDescent="0.2">
      <c r="A343" s="15" t="s">
        <v>22</v>
      </c>
      <c r="B343" s="8">
        <v>0</v>
      </c>
      <c r="C343" s="8">
        <v>-0.14000000000000001</v>
      </c>
      <c r="D343" s="8">
        <v>-0.14000000000000001</v>
      </c>
    </row>
    <row r="344" spans="1:4" x14ac:dyDescent="0.2">
      <c r="A344" s="15" t="s">
        <v>23</v>
      </c>
      <c r="B344" s="8">
        <v>0</v>
      </c>
      <c r="C344" s="8">
        <v>-0.11</v>
      </c>
      <c r="D344" s="8">
        <v>-0.11</v>
      </c>
    </row>
    <row r="345" spans="1:4" x14ac:dyDescent="0.2">
      <c r="A345" s="15" t="s">
        <v>24</v>
      </c>
      <c r="B345" s="8">
        <v>0.15</v>
      </c>
      <c r="C345" s="8">
        <v>-0.15</v>
      </c>
      <c r="D345" s="8">
        <v>0</v>
      </c>
    </row>
    <row r="346" spans="1:4" x14ac:dyDescent="0.2">
      <c r="A346" s="15" t="s">
        <v>25</v>
      </c>
      <c r="B346" s="8">
        <v>0</v>
      </c>
      <c r="C346" s="8">
        <v>-0.1</v>
      </c>
      <c r="D346" s="8">
        <v>-0.1</v>
      </c>
    </row>
    <row r="347" spans="1:4" x14ac:dyDescent="0.2">
      <c r="A347" s="15" t="s">
        <v>26</v>
      </c>
      <c r="B347" s="8">
        <v>0.1</v>
      </c>
      <c r="C347" s="8">
        <v>-0.1</v>
      </c>
      <c r="D347" s="8">
        <v>0</v>
      </c>
    </row>
    <row r="348" spans="1:4" x14ac:dyDescent="0.2">
      <c r="A348" s="14" t="s">
        <v>164</v>
      </c>
      <c r="B348" s="8">
        <v>-0.79899999999999993</v>
      </c>
      <c r="C348" s="8">
        <v>-0.6925</v>
      </c>
      <c r="D348" s="8">
        <v>-1.4914999999999998</v>
      </c>
    </row>
    <row r="349" spans="1:4" x14ac:dyDescent="0.2">
      <c r="A349" s="15" t="s">
        <v>19</v>
      </c>
      <c r="B349" s="8">
        <v>0</v>
      </c>
      <c r="C349" s="8">
        <v>0</v>
      </c>
      <c r="D349" s="8">
        <v>0</v>
      </c>
    </row>
    <row r="350" spans="1:4" x14ac:dyDescent="0.2">
      <c r="A350" s="15" t="s">
        <v>27</v>
      </c>
      <c r="B350" s="8">
        <v>-8.5000000000000006E-2</v>
      </c>
      <c r="C350" s="8">
        <v>-4.2500000000000003E-2</v>
      </c>
      <c r="D350" s="8">
        <v>-0.1275</v>
      </c>
    </row>
    <row r="351" spans="1:4" x14ac:dyDescent="0.2">
      <c r="A351" s="15" t="s">
        <v>28</v>
      </c>
      <c r="B351" s="8">
        <v>-0.05</v>
      </c>
      <c r="C351" s="8">
        <v>-0.05</v>
      </c>
      <c r="D351" s="8">
        <v>-0.1</v>
      </c>
    </row>
    <row r="352" spans="1:4" x14ac:dyDescent="0.2">
      <c r="A352" s="15" t="s">
        <v>20</v>
      </c>
      <c r="B352" s="8">
        <v>-6.4000000000000001E-2</v>
      </c>
      <c r="C352" s="8">
        <v>0</v>
      </c>
      <c r="D352" s="8">
        <v>-6.4000000000000001E-2</v>
      </c>
    </row>
    <row r="353" spans="1:4" x14ac:dyDescent="0.2">
      <c r="A353" s="15" t="s">
        <v>21</v>
      </c>
      <c r="B353" s="8">
        <v>0</v>
      </c>
      <c r="C353" s="8">
        <v>0</v>
      </c>
      <c r="D353" s="8">
        <v>0</v>
      </c>
    </row>
    <row r="354" spans="1:4" x14ac:dyDescent="0.2">
      <c r="A354" s="15" t="s">
        <v>22</v>
      </c>
      <c r="B354" s="8">
        <v>-0.14000000000000001</v>
      </c>
      <c r="C354" s="8">
        <v>-0.14000000000000001</v>
      </c>
      <c r="D354" s="8">
        <v>-0.28000000000000003</v>
      </c>
    </row>
    <row r="355" spans="1:4" x14ac:dyDescent="0.2">
      <c r="A355" s="15" t="s">
        <v>23</v>
      </c>
      <c r="B355" s="8">
        <v>-0.11</v>
      </c>
      <c r="C355" s="8">
        <v>-0.11</v>
      </c>
      <c r="D355" s="8">
        <v>-0.22</v>
      </c>
    </row>
    <row r="356" spans="1:4" x14ac:dyDescent="0.2">
      <c r="A356" s="15" t="s">
        <v>24</v>
      </c>
      <c r="B356" s="8">
        <v>-0.15</v>
      </c>
      <c r="C356" s="8">
        <v>-0.15</v>
      </c>
      <c r="D356" s="8">
        <v>-0.3</v>
      </c>
    </row>
    <row r="357" spans="1:4" x14ac:dyDescent="0.2">
      <c r="A357" s="15" t="s">
        <v>25</v>
      </c>
      <c r="B357" s="8">
        <v>-0.1</v>
      </c>
      <c r="C357" s="8">
        <v>-0.1</v>
      </c>
      <c r="D357" s="8">
        <v>-0.2</v>
      </c>
    </row>
    <row r="358" spans="1:4" x14ac:dyDescent="0.2">
      <c r="A358" s="15" t="s">
        <v>26</v>
      </c>
      <c r="B358" s="8">
        <v>-0.1</v>
      </c>
      <c r="C358" s="8">
        <v>-0.1</v>
      </c>
      <c r="D358" s="8">
        <v>-0.2</v>
      </c>
    </row>
    <row r="359" spans="1:4" x14ac:dyDescent="0.2">
      <c r="A359" s="14" t="s">
        <v>168</v>
      </c>
      <c r="B359" s="8">
        <v>-0.64249999999999996</v>
      </c>
      <c r="C359" s="8">
        <v>-0.76400000000000001</v>
      </c>
      <c r="D359" s="8">
        <v>-1.4064999999999999</v>
      </c>
    </row>
    <row r="360" spans="1:4" x14ac:dyDescent="0.2">
      <c r="A360" s="15" t="s">
        <v>19</v>
      </c>
      <c r="B360" s="8">
        <v>0</v>
      </c>
      <c r="C360" s="8">
        <v>0</v>
      </c>
      <c r="D360" s="8">
        <v>0</v>
      </c>
    </row>
    <row r="361" spans="1:4" x14ac:dyDescent="0.2">
      <c r="A361" s="15" t="s">
        <v>27</v>
      </c>
      <c r="B361" s="8">
        <v>-4.2500000000000003E-2</v>
      </c>
      <c r="C361" s="8">
        <v>0</v>
      </c>
      <c r="D361" s="8">
        <v>-4.2500000000000003E-2</v>
      </c>
    </row>
    <row r="362" spans="1:4" x14ac:dyDescent="0.2">
      <c r="A362" s="15" t="s">
        <v>28</v>
      </c>
      <c r="B362" s="8">
        <v>-0.05</v>
      </c>
      <c r="C362" s="8">
        <v>-0.05</v>
      </c>
      <c r="D362" s="8">
        <v>-0.1</v>
      </c>
    </row>
    <row r="363" spans="1:4" x14ac:dyDescent="0.2">
      <c r="A363" s="15" t="s">
        <v>20</v>
      </c>
      <c r="B363" s="8">
        <v>0</v>
      </c>
      <c r="C363" s="8">
        <v>-6.4000000000000001E-2</v>
      </c>
      <c r="D363" s="8">
        <v>-6.4000000000000001E-2</v>
      </c>
    </row>
    <row r="364" spans="1:4" x14ac:dyDescent="0.2">
      <c r="A364" s="15" t="s">
        <v>21</v>
      </c>
      <c r="B364" s="8">
        <v>0.05</v>
      </c>
      <c r="C364" s="8">
        <v>-0.05</v>
      </c>
      <c r="D364" s="8">
        <v>0</v>
      </c>
    </row>
    <row r="365" spans="1:4" x14ac:dyDescent="0.2">
      <c r="A365" s="15" t="s">
        <v>22</v>
      </c>
      <c r="B365" s="8">
        <v>-0.14000000000000001</v>
      </c>
      <c r="C365" s="8">
        <v>-0.14000000000000001</v>
      </c>
      <c r="D365" s="8">
        <v>-0.28000000000000003</v>
      </c>
    </row>
    <row r="366" spans="1:4" x14ac:dyDescent="0.2">
      <c r="A366" s="15" t="s">
        <v>23</v>
      </c>
      <c r="B366" s="8">
        <v>-0.11</v>
      </c>
      <c r="C366" s="8">
        <v>-0.11</v>
      </c>
      <c r="D366" s="8">
        <v>-0.22</v>
      </c>
    </row>
    <row r="367" spans="1:4" x14ac:dyDescent="0.2">
      <c r="A367" s="15" t="s">
        <v>24</v>
      </c>
      <c r="B367" s="8">
        <v>-0.15</v>
      </c>
      <c r="C367" s="8">
        <v>-0.15</v>
      </c>
      <c r="D367" s="8">
        <v>-0.3</v>
      </c>
    </row>
    <row r="368" spans="1:4" x14ac:dyDescent="0.2">
      <c r="A368" s="15" t="s">
        <v>25</v>
      </c>
      <c r="B368" s="8">
        <v>-0.1</v>
      </c>
      <c r="C368" s="8">
        <v>-0.1</v>
      </c>
      <c r="D368" s="8">
        <v>-0.2</v>
      </c>
    </row>
    <row r="369" spans="1:4" x14ac:dyDescent="0.2">
      <c r="A369" s="15" t="s">
        <v>26</v>
      </c>
      <c r="B369" s="8">
        <v>-0.1</v>
      </c>
      <c r="C369" s="8">
        <v>-0.1</v>
      </c>
      <c r="D369" s="8">
        <v>-0.2</v>
      </c>
    </row>
    <row r="370" spans="1:4" x14ac:dyDescent="0.2">
      <c r="A370" s="14" t="s">
        <v>174</v>
      </c>
      <c r="B370" s="8">
        <v>-0.48499999999999999</v>
      </c>
      <c r="C370" s="8">
        <v>-0.46499999999999997</v>
      </c>
      <c r="D370" s="8">
        <v>-0.95000000000000007</v>
      </c>
    </row>
    <row r="371" spans="1:4" x14ac:dyDescent="0.2">
      <c r="A371" s="15" t="s">
        <v>19</v>
      </c>
      <c r="B371" s="8">
        <v>0</v>
      </c>
      <c r="C371" s="8">
        <v>0</v>
      </c>
      <c r="D371" s="8">
        <v>0</v>
      </c>
    </row>
    <row r="372" spans="1:4" x14ac:dyDescent="0.2">
      <c r="A372" s="15" t="s">
        <v>27</v>
      </c>
      <c r="B372" s="8">
        <v>-8.5000000000000006E-2</v>
      </c>
      <c r="C372" s="8">
        <v>8.5000000000000006E-2</v>
      </c>
      <c r="D372" s="8">
        <v>0</v>
      </c>
    </row>
    <row r="373" spans="1:4" x14ac:dyDescent="0.2">
      <c r="A373" s="15" t="s">
        <v>28</v>
      </c>
      <c r="B373" s="8">
        <v>-0.05</v>
      </c>
      <c r="C373" s="8">
        <v>-0.05</v>
      </c>
      <c r="D373" s="8">
        <v>-0.1</v>
      </c>
    </row>
    <row r="374" spans="1:4" x14ac:dyDescent="0.2">
      <c r="A374" s="15" t="s">
        <v>20</v>
      </c>
      <c r="B374" s="8">
        <v>0</v>
      </c>
      <c r="C374" s="8">
        <v>0</v>
      </c>
      <c r="D374" s="8">
        <v>0</v>
      </c>
    </row>
    <row r="375" spans="1:4" x14ac:dyDescent="0.2">
      <c r="A375" s="15" t="s">
        <v>21</v>
      </c>
      <c r="B375" s="8">
        <v>0.05</v>
      </c>
      <c r="C375" s="8">
        <v>0</v>
      </c>
      <c r="D375" s="8">
        <v>0.05</v>
      </c>
    </row>
    <row r="376" spans="1:4" x14ac:dyDescent="0.2">
      <c r="A376" s="15" t="s">
        <v>22</v>
      </c>
      <c r="B376" s="8">
        <v>-0.14000000000000001</v>
      </c>
      <c r="C376" s="8">
        <v>-0.14000000000000001</v>
      </c>
      <c r="D376" s="8">
        <v>-0.28000000000000003</v>
      </c>
    </row>
    <row r="377" spans="1:4" x14ac:dyDescent="0.2">
      <c r="A377" s="15" t="s">
        <v>23</v>
      </c>
      <c r="B377" s="8">
        <v>-0.11</v>
      </c>
      <c r="C377" s="8">
        <v>-0.11</v>
      </c>
      <c r="D377" s="8">
        <v>-0.22</v>
      </c>
    </row>
    <row r="378" spans="1:4" x14ac:dyDescent="0.2">
      <c r="A378" s="15" t="s">
        <v>24</v>
      </c>
      <c r="B378" s="8">
        <v>-0.15</v>
      </c>
      <c r="C378" s="8">
        <v>-0.15</v>
      </c>
      <c r="D378" s="8">
        <v>-0.3</v>
      </c>
    </row>
    <row r="379" spans="1:4" x14ac:dyDescent="0.2">
      <c r="A379" s="15" t="s">
        <v>25</v>
      </c>
      <c r="B379" s="8">
        <v>0</v>
      </c>
      <c r="C379" s="8">
        <v>-0.1</v>
      </c>
      <c r="D379" s="8">
        <v>-0.1</v>
      </c>
    </row>
    <row r="380" spans="1:4" x14ac:dyDescent="0.2">
      <c r="A380" s="15" t="s">
        <v>26</v>
      </c>
      <c r="B380" s="8">
        <v>0</v>
      </c>
      <c r="C380" s="8">
        <v>0</v>
      </c>
      <c r="D380" s="8">
        <v>0</v>
      </c>
    </row>
    <row r="381" spans="1:4" x14ac:dyDescent="0.2">
      <c r="A381" s="13" t="s">
        <v>86</v>
      </c>
      <c r="B381" s="8">
        <v>0.86900000000000066</v>
      </c>
      <c r="C381" s="8">
        <v>9.1514999999999969</v>
      </c>
      <c r="D381" s="8">
        <v>10.020499999999993</v>
      </c>
    </row>
    <row r="382" spans="1:4" x14ac:dyDescent="0.2">
      <c r="A382" s="14" t="s">
        <v>44</v>
      </c>
      <c r="B382" s="8">
        <v>-0.29000000000000004</v>
      </c>
      <c r="C382" s="8">
        <v>0.31900000000000001</v>
      </c>
      <c r="D382" s="8">
        <v>2.9000000000000054E-2</v>
      </c>
    </row>
    <row r="383" spans="1:4" x14ac:dyDescent="0.2">
      <c r="A383" s="15" t="s">
        <v>19</v>
      </c>
      <c r="B383" s="8">
        <v>0</v>
      </c>
      <c r="C383" s="8">
        <v>0.12</v>
      </c>
      <c r="D383" s="8">
        <v>0.12</v>
      </c>
    </row>
    <row r="384" spans="1:4" x14ac:dyDescent="0.2">
      <c r="A384" s="15" t="s">
        <v>27</v>
      </c>
      <c r="B384" s="8">
        <v>0</v>
      </c>
      <c r="C384" s="8">
        <v>8.5000000000000006E-2</v>
      </c>
      <c r="D384" s="8">
        <v>8.5000000000000006E-2</v>
      </c>
    </row>
    <row r="385" spans="1:4" x14ac:dyDescent="0.2">
      <c r="A385" s="15" t="s">
        <v>28</v>
      </c>
      <c r="B385" s="8">
        <v>-0.05</v>
      </c>
      <c r="C385" s="8">
        <v>0</v>
      </c>
      <c r="D385" s="8">
        <v>-0.05</v>
      </c>
    </row>
    <row r="386" spans="1:4" x14ac:dyDescent="0.2">
      <c r="A386" s="15" t="s">
        <v>20</v>
      </c>
      <c r="B386" s="8">
        <v>0</v>
      </c>
      <c r="C386" s="8">
        <v>6.4000000000000001E-2</v>
      </c>
      <c r="D386" s="8">
        <v>6.4000000000000001E-2</v>
      </c>
    </row>
    <row r="387" spans="1:4" x14ac:dyDescent="0.2">
      <c r="A387" s="15" t="s">
        <v>21</v>
      </c>
      <c r="B387" s="8">
        <v>0.05</v>
      </c>
      <c r="C387" s="8">
        <v>0.05</v>
      </c>
      <c r="D387" s="8">
        <v>0.1</v>
      </c>
    </row>
    <row r="388" spans="1:4" x14ac:dyDescent="0.2">
      <c r="A388" s="15" t="s">
        <v>22</v>
      </c>
      <c r="B388" s="8">
        <v>-0.14000000000000001</v>
      </c>
      <c r="C388" s="8">
        <v>0</v>
      </c>
      <c r="D388" s="8">
        <v>-0.14000000000000001</v>
      </c>
    </row>
    <row r="389" spans="1:4" x14ac:dyDescent="0.2">
      <c r="A389" s="15" t="s">
        <v>23</v>
      </c>
      <c r="B389" s="8">
        <v>0</v>
      </c>
      <c r="C389" s="8">
        <v>0</v>
      </c>
      <c r="D389" s="8">
        <v>0</v>
      </c>
    </row>
    <row r="390" spans="1:4" x14ac:dyDescent="0.2">
      <c r="A390" s="15" t="s">
        <v>24</v>
      </c>
      <c r="B390" s="8">
        <v>-0.15</v>
      </c>
      <c r="C390" s="8">
        <v>0</v>
      </c>
      <c r="D390" s="8">
        <v>-0.15</v>
      </c>
    </row>
    <row r="391" spans="1:4" x14ac:dyDescent="0.2">
      <c r="A391" s="15" t="s">
        <v>25</v>
      </c>
      <c r="B391" s="8">
        <v>0</v>
      </c>
      <c r="C391" s="8">
        <v>0</v>
      </c>
      <c r="D391" s="8">
        <v>0</v>
      </c>
    </row>
    <row r="392" spans="1:4" x14ac:dyDescent="0.2">
      <c r="A392" s="15" t="s">
        <v>26</v>
      </c>
      <c r="B392" s="8">
        <v>0</v>
      </c>
      <c r="C392" s="8">
        <v>0</v>
      </c>
      <c r="D392" s="8">
        <v>0</v>
      </c>
    </row>
    <row r="393" spans="1:4" x14ac:dyDescent="0.2">
      <c r="A393" s="14" t="s">
        <v>50</v>
      </c>
      <c r="B393" s="8">
        <v>0.91900000000000004</v>
      </c>
      <c r="C393" s="8">
        <v>0.96899999999999997</v>
      </c>
      <c r="D393" s="8">
        <v>1.8880000000000001</v>
      </c>
    </row>
    <row r="394" spans="1:4" x14ac:dyDescent="0.2">
      <c r="A394" s="15" t="s">
        <v>19</v>
      </c>
      <c r="B394" s="8">
        <v>0.12</v>
      </c>
      <c r="C394" s="8">
        <v>0.12</v>
      </c>
      <c r="D394" s="8">
        <v>0.24</v>
      </c>
    </row>
    <row r="395" spans="1:4" x14ac:dyDescent="0.2">
      <c r="A395" s="15" t="s">
        <v>27</v>
      </c>
      <c r="B395" s="8">
        <v>8.5000000000000006E-2</v>
      </c>
      <c r="C395" s="8">
        <v>8.5000000000000006E-2</v>
      </c>
      <c r="D395" s="8">
        <v>0.17</v>
      </c>
    </row>
    <row r="396" spans="1:4" x14ac:dyDescent="0.2">
      <c r="A396" s="15" t="s">
        <v>28</v>
      </c>
      <c r="B396" s="8">
        <v>0</v>
      </c>
      <c r="C396" s="8">
        <v>0.05</v>
      </c>
      <c r="D396" s="8">
        <v>0.05</v>
      </c>
    </row>
    <row r="397" spans="1:4" x14ac:dyDescent="0.2">
      <c r="A397" s="15" t="s">
        <v>20</v>
      </c>
      <c r="B397" s="8">
        <v>6.4000000000000001E-2</v>
      </c>
      <c r="C397" s="8">
        <v>6.4000000000000001E-2</v>
      </c>
      <c r="D397" s="8">
        <v>0.128</v>
      </c>
    </row>
    <row r="398" spans="1:4" x14ac:dyDescent="0.2">
      <c r="A398" s="15" t="s">
        <v>21</v>
      </c>
      <c r="B398" s="8">
        <v>0.05</v>
      </c>
      <c r="C398" s="8">
        <v>0.05</v>
      </c>
      <c r="D398" s="8">
        <v>0.1</v>
      </c>
    </row>
    <row r="399" spans="1:4" x14ac:dyDescent="0.2">
      <c r="A399" s="15" t="s">
        <v>22</v>
      </c>
      <c r="B399" s="8">
        <v>0.14000000000000001</v>
      </c>
      <c r="C399" s="8">
        <v>0.14000000000000001</v>
      </c>
      <c r="D399" s="8">
        <v>0.28000000000000003</v>
      </c>
    </row>
    <row r="400" spans="1:4" x14ac:dyDescent="0.2">
      <c r="A400" s="15" t="s">
        <v>23</v>
      </c>
      <c r="B400" s="8">
        <v>0.11</v>
      </c>
      <c r="C400" s="8">
        <v>0.11</v>
      </c>
      <c r="D400" s="8">
        <v>0.22</v>
      </c>
    </row>
    <row r="401" spans="1:4" x14ac:dyDescent="0.2">
      <c r="A401" s="15" t="s">
        <v>24</v>
      </c>
      <c r="B401" s="8">
        <v>0.15</v>
      </c>
      <c r="C401" s="8">
        <v>0.15</v>
      </c>
      <c r="D401" s="8">
        <v>0.3</v>
      </c>
    </row>
    <row r="402" spans="1:4" x14ac:dyDescent="0.2">
      <c r="A402" s="15" t="s">
        <v>25</v>
      </c>
      <c r="B402" s="8">
        <v>0.1</v>
      </c>
      <c r="C402" s="8">
        <v>0.1</v>
      </c>
      <c r="D402" s="8">
        <v>0.2</v>
      </c>
    </row>
    <row r="403" spans="1:4" x14ac:dyDescent="0.2">
      <c r="A403" s="15" t="s">
        <v>26</v>
      </c>
      <c r="B403" s="8">
        <v>0.1</v>
      </c>
      <c r="C403" s="8">
        <v>0.1</v>
      </c>
      <c r="D403" s="8">
        <v>0.2</v>
      </c>
    </row>
    <row r="404" spans="1:4" x14ac:dyDescent="0.2">
      <c r="A404" s="14" t="s">
        <v>52</v>
      </c>
      <c r="B404" s="8">
        <v>-0.28000000000000003</v>
      </c>
      <c r="C404" s="8">
        <v>0.255</v>
      </c>
      <c r="D404" s="8">
        <v>-2.5000000000000008E-2</v>
      </c>
    </row>
    <row r="405" spans="1:4" x14ac:dyDescent="0.2">
      <c r="A405" s="15" t="s">
        <v>19</v>
      </c>
      <c r="B405" s="8">
        <v>0.12</v>
      </c>
      <c r="C405" s="8">
        <v>0.12</v>
      </c>
      <c r="D405" s="8">
        <v>0.24</v>
      </c>
    </row>
    <row r="406" spans="1:4" x14ac:dyDescent="0.2">
      <c r="A406" s="15" t="s">
        <v>27</v>
      </c>
      <c r="B406" s="8">
        <v>0</v>
      </c>
      <c r="C406" s="8">
        <v>8.5000000000000006E-2</v>
      </c>
      <c r="D406" s="8">
        <v>8.5000000000000006E-2</v>
      </c>
    </row>
    <row r="407" spans="1:4" x14ac:dyDescent="0.2">
      <c r="A407" s="15" t="s">
        <v>28</v>
      </c>
      <c r="B407" s="8">
        <v>-0.05</v>
      </c>
      <c r="C407" s="8">
        <v>0</v>
      </c>
      <c r="D407" s="8">
        <v>-0.05</v>
      </c>
    </row>
    <row r="408" spans="1:4" x14ac:dyDescent="0.2">
      <c r="A408" s="15" t="s">
        <v>20</v>
      </c>
      <c r="B408" s="8">
        <v>0</v>
      </c>
      <c r="C408" s="8">
        <v>0</v>
      </c>
      <c r="D408" s="8">
        <v>0</v>
      </c>
    </row>
    <row r="409" spans="1:4" x14ac:dyDescent="0.2">
      <c r="A409" s="15" t="s">
        <v>21</v>
      </c>
      <c r="B409" s="8">
        <v>0.05</v>
      </c>
      <c r="C409" s="8">
        <v>0.05</v>
      </c>
      <c r="D409" s="8">
        <v>0.1</v>
      </c>
    </row>
    <row r="410" spans="1:4" x14ac:dyDescent="0.2">
      <c r="A410" s="15" t="s">
        <v>22</v>
      </c>
      <c r="B410" s="8">
        <v>-0.14000000000000001</v>
      </c>
      <c r="C410" s="8">
        <v>0</v>
      </c>
      <c r="D410" s="8">
        <v>-0.14000000000000001</v>
      </c>
    </row>
    <row r="411" spans="1:4" x14ac:dyDescent="0.2">
      <c r="A411" s="15" t="s">
        <v>23</v>
      </c>
      <c r="B411" s="8">
        <v>-0.11</v>
      </c>
      <c r="C411" s="8">
        <v>0</v>
      </c>
      <c r="D411" s="8">
        <v>-0.11</v>
      </c>
    </row>
    <row r="412" spans="1:4" x14ac:dyDescent="0.2">
      <c r="A412" s="15" t="s">
        <v>24</v>
      </c>
      <c r="B412" s="8">
        <v>-0.15</v>
      </c>
      <c r="C412" s="8">
        <v>0</v>
      </c>
      <c r="D412" s="8">
        <v>-0.15</v>
      </c>
    </row>
    <row r="413" spans="1:4" x14ac:dyDescent="0.2">
      <c r="A413" s="15" t="s">
        <v>25</v>
      </c>
      <c r="B413" s="8">
        <v>0</v>
      </c>
      <c r="C413" s="8">
        <v>0</v>
      </c>
      <c r="D413" s="8">
        <v>0</v>
      </c>
    </row>
    <row r="414" spans="1:4" x14ac:dyDescent="0.2">
      <c r="A414" s="15" t="s">
        <v>26</v>
      </c>
      <c r="B414" s="8">
        <v>0</v>
      </c>
      <c r="C414" s="8">
        <v>0</v>
      </c>
      <c r="D414" s="8">
        <v>0</v>
      </c>
    </row>
    <row r="415" spans="1:4" x14ac:dyDescent="0.2">
      <c r="A415" s="14" t="s">
        <v>54</v>
      </c>
      <c r="B415" s="8">
        <v>-0.2525</v>
      </c>
      <c r="C415" s="8">
        <v>0.91900000000000004</v>
      </c>
      <c r="D415" s="8">
        <v>0.66649999999999998</v>
      </c>
    </row>
    <row r="416" spans="1:4" x14ac:dyDescent="0.2">
      <c r="A416" s="15" t="s">
        <v>19</v>
      </c>
      <c r="B416" s="8">
        <v>0</v>
      </c>
      <c r="C416" s="8">
        <v>0.12</v>
      </c>
      <c r="D416" s="8">
        <v>0.12</v>
      </c>
    </row>
    <row r="417" spans="1:4" x14ac:dyDescent="0.2">
      <c r="A417" s="15" t="s">
        <v>27</v>
      </c>
      <c r="B417" s="8">
        <v>-4.2500000000000003E-2</v>
      </c>
      <c r="C417" s="8">
        <v>8.5000000000000006E-2</v>
      </c>
      <c r="D417" s="8">
        <v>4.2500000000000003E-2</v>
      </c>
    </row>
    <row r="418" spans="1:4" x14ac:dyDescent="0.2">
      <c r="A418" s="15" t="s">
        <v>28</v>
      </c>
      <c r="B418" s="8">
        <v>-0.05</v>
      </c>
      <c r="C418" s="8">
        <v>0</v>
      </c>
      <c r="D418" s="8">
        <v>-0.05</v>
      </c>
    </row>
    <row r="419" spans="1:4" x14ac:dyDescent="0.2">
      <c r="A419" s="15" t="s">
        <v>20</v>
      </c>
      <c r="B419" s="8">
        <v>0</v>
      </c>
      <c r="C419" s="8">
        <v>6.4000000000000001E-2</v>
      </c>
      <c r="D419" s="8">
        <v>6.4000000000000001E-2</v>
      </c>
    </row>
    <row r="420" spans="1:4" x14ac:dyDescent="0.2">
      <c r="A420" s="15" t="s">
        <v>21</v>
      </c>
      <c r="B420" s="8">
        <v>0.05</v>
      </c>
      <c r="C420" s="8">
        <v>0.05</v>
      </c>
      <c r="D420" s="8">
        <v>0.1</v>
      </c>
    </row>
    <row r="421" spans="1:4" x14ac:dyDescent="0.2">
      <c r="A421" s="15" t="s">
        <v>22</v>
      </c>
      <c r="B421" s="8">
        <v>0</v>
      </c>
      <c r="C421" s="8">
        <v>0.14000000000000001</v>
      </c>
      <c r="D421" s="8">
        <v>0.14000000000000001</v>
      </c>
    </row>
    <row r="422" spans="1:4" x14ac:dyDescent="0.2">
      <c r="A422" s="15" t="s">
        <v>23</v>
      </c>
      <c r="B422" s="8">
        <v>-0.11</v>
      </c>
      <c r="C422" s="8">
        <v>0.11</v>
      </c>
      <c r="D422" s="8">
        <v>0</v>
      </c>
    </row>
    <row r="423" spans="1:4" x14ac:dyDescent="0.2">
      <c r="A423" s="15" t="s">
        <v>24</v>
      </c>
      <c r="B423" s="8">
        <v>0</v>
      </c>
      <c r="C423" s="8">
        <v>0.15</v>
      </c>
      <c r="D423" s="8">
        <v>0.15</v>
      </c>
    </row>
    <row r="424" spans="1:4" x14ac:dyDescent="0.2">
      <c r="A424" s="15" t="s">
        <v>25</v>
      </c>
      <c r="B424" s="8">
        <v>-0.1</v>
      </c>
      <c r="C424" s="8">
        <v>0.1</v>
      </c>
      <c r="D424" s="8">
        <v>0</v>
      </c>
    </row>
    <row r="425" spans="1:4" x14ac:dyDescent="0.2">
      <c r="A425" s="15" t="s">
        <v>26</v>
      </c>
      <c r="B425" s="8">
        <v>0</v>
      </c>
      <c r="C425" s="8">
        <v>0.1</v>
      </c>
      <c r="D425" s="8">
        <v>0.1</v>
      </c>
    </row>
    <row r="426" spans="1:4" x14ac:dyDescent="0.2">
      <c r="A426" s="14" t="s">
        <v>55</v>
      </c>
      <c r="B426" s="8">
        <v>0.51650000000000007</v>
      </c>
      <c r="C426" s="8">
        <v>0.96899999999999997</v>
      </c>
      <c r="D426" s="8">
        <v>1.4855</v>
      </c>
    </row>
    <row r="427" spans="1:4" x14ac:dyDescent="0.2">
      <c r="A427" s="15" t="s">
        <v>19</v>
      </c>
      <c r="B427" s="8">
        <v>0.12</v>
      </c>
      <c r="C427" s="8">
        <v>0.12</v>
      </c>
      <c r="D427" s="8">
        <v>0.24</v>
      </c>
    </row>
    <row r="428" spans="1:4" x14ac:dyDescent="0.2">
      <c r="A428" s="15" t="s">
        <v>27</v>
      </c>
      <c r="B428" s="8">
        <v>4.2500000000000003E-2</v>
      </c>
      <c r="C428" s="8">
        <v>8.5000000000000006E-2</v>
      </c>
      <c r="D428" s="8">
        <v>0.1275</v>
      </c>
    </row>
    <row r="429" spans="1:4" x14ac:dyDescent="0.2">
      <c r="A429" s="15" t="s">
        <v>28</v>
      </c>
      <c r="B429" s="8">
        <v>0</v>
      </c>
      <c r="C429" s="8">
        <v>0.05</v>
      </c>
      <c r="D429" s="8">
        <v>0.05</v>
      </c>
    </row>
    <row r="430" spans="1:4" x14ac:dyDescent="0.2">
      <c r="A430" s="15" t="s">
        <v>20</v>
      </c>
      <c r="B430" s="8">
        <v>6.4000000000000001E-2</v>
      </c>
      <c r="C430" s="8">
        <v>6.4000000000000001E-2</v>
      </c>
      <c r="D430" s="8">
        <v>0.128</v>
      </c>
    </row>
    <row r="431" spans="1:4" x14ac:dyDescent="0.2">
      <c r="A431" s="15" t="s">
        <v>21</v>
      </c>
      <c r="B431" s="8">
        <v>0.05</v>
      </c>
      <c r="C431" s="8">
        <v>0.05</v>
      </c>
      <c r="D431" s="8">
        <v>0.1</v>
      </c>
    </row>
    <row r="432" spans="1:4" x14ac:dyDescent="0.2">
      <c r="A432" s="15" t="s">
        <v>22</v>
      </c>
      <c r="B432" s="8">
        <v>0.14000000000000001</v>
      </c>
      <c r="C432" s="8">
        <v>0.14000000000000001</v>
      </c>
      <c r="D432" s="8">
        <v>0.28000000000000003</v>
      </c>
    </row>
    <row r="433" spans="1:4" x14ac:dyDescent="0.2">
      <c r="A433" s="15" t="s">
        <v>23</v>
      </c>
      <c r="B433" s="8">
        <v>0</v>
      </c>
      <c r="C433" s="8">
        <v>0.11</v>
      </c>
      <c r="D433" s="8">
        <v>0.11</v>
      </c>
    </row>
    <row r="434" spans="1:4" x14ac:dyDescent="0.2">
      <c r="A434" s="15" t="s">
        <v>24</v>
      </c>
      <c r="B434" s="8">
        <v>0</v>
      </c>
      <c r="C434" s="8">
        <v>0.15</v>
      </c>
      <c r="D434" s="8">
        <v>0.15</v>
      </c>
    </row>
    <row r="435" spans="1:4" x14ac:dyDescent="0.2">
      <c r="A435" s="15" t="s">
        <v>25</v>
      </c>
      <c r="B435" s="8">
        <v>0</v>
      </c>
      <c r="C435" s="8">
        <v>0.1</v>
      </c>
      <c r="D435" s="8">
        <v>0.1</v>
      </c>
    </row>
    <row r="436" spans="1:4" x14ac:dyDescent="0.2">
      <c r="A436" s="15" t="s">
        <v>26</v>
      </c>
      <c r="B436" s="8">
        <v>0.1</v>
      </c>
      <c r="C436" s="8">
        <v>0.1</v>
      </c>
      <c r="D436" s="8">
        <v>0.2</v>
      </c>
    </row>
    <row r="437" spans="1:4" x14ac:dyDescent="0.2">
      <c r="A437" s="14" t="s">
        <v>59</v>
      </c>
      <c r="B437" s="8">
        <v>0.88400000000000001</v>
      </c>
      <c r="C437" s="8">
        <v>0.91900000000000004</v>
      </c>
      <c r="D437" s="8">
        <v>1.8029999999999999</v>
      </c>
    </row>
    <row r="438" spans="1:4" x14ac:dyDescent="0.2">
      <c r="A438" s="15" t="s">
        <v>19</v>
      </c>
      <c r="B438" s="8">
        <v>0.12</v>
      </c>
      <c r="C438" s="8">
        <v>0.12</v>
      </c>
      <c r="D438" s="8">
        <v>0.24</v>
      </c>
    </row>
    <row r="439" spans="1:4" x14ac:dyDescent="0.2">
      <c r="A439" s="15" t="s">
        <v>27</v>
      </c>
      <c r="B439" s="8">
        <v>0</v>
      </c>
      <c r="C439" s="8">
        <v>8.5000000000000006E-2</v>
      </c>
      <c r="D439" s="8">
        <v>8.5000000000000006E-2</v>
      </c>
    </row>
    <row r="440" spans="1:4" x14ac:dyDescent="0.2">
      <c r="A440" s="15" t="s">
        <v>28</v>
      </c>
      <c r="B440" s="8">
        <v>0.05</v>
      </c>
      <c r="C440" s="8">
        <v>0</v>
      </c>
      <c r="D440" s="8">
        <v>0.05</v>
      </c>
    </row>
    <row r="441" spans="1:4" x14ac:dyDescent="0.2">
      <c r="A441" s="15" t="s">
        <v>20</v>
      </c>
      <c r="B441" s="8">
        <v>6.4000000000000001E-2</v>
      </c>
      <c r="C441" s="8">
        <v>6.4000000000000001E-2</v>
      </c>
      <c r="D441" s="8">
        <v>0.128</v>
      </c>
    </row>
    <row r="442" spans="1:4" x14ac:dyDescent="0.2">
      <c r="A442" s="15" t="s">
        <v>21</v>
      </c>
      <c r="B442" s="8">
        <v>0.05</v>
      </c>
      <c r="C442" s="8">
        <v>0.05</v>
      </c>
      <c r="D442" s="8">
        <v>0.1</v>
      </c>
    </row>
    <row r="443" spans="1:4" x14ac:dyDescent="0.2">
      <c r="A443" s="15" t="s">
        <v>22</v>
      </c>
      <c r="B443" s="8">
        <v>0.14000000000000001</v>
      </c>
      <c r="C443" s="8">
        <v>0.14000000000000001</v>
      </c>
      <c r="D443" s="8">
        <v>0.28000000000000003</v>
      </c>
    </row>
    <row r="444" spans="1:4" x14ac:dyDescent="0.2">
      <c r="A444" s="15" t="s">
        <v>23</v>
      </c>
      <c r="B444" s="8">
        <v>0.11</v>
      </c>
      <c r="C444" s="8">
        <v>0.11</v>
      </c>
      <c r="D444" s="8">
        <v>0.22</v>
      </c>
    </row>
    <row r="445" spans="1:4" x14ac:dyDescent="0.2">
      <c r="A445" s="15" t="s">
        <v>24</v>
      </c>
      <c r="B445" s="8">
        <v>0.15</v>
      </c>
      <c r="C445" s="8">
        <v>0.15</v>
      </c>
      <c r="D445" s="8">
        <v>0.3</v>
      </c>
    </row>
    <row r="446" spans="1:4" x14ac:dyDescent="0.2">
      <c r="A446" s="15" t="s">
        <v>25</v>
      </c>
      <c r="B446" s="8">
        <v>0.1</v>
      </c>
      <c r="C446" s="8">
        <v>0.1</v>
      </c>
      <c r="D446" s="8">
        <v>0.2</v>
      </c>
    </row>
    <row r="447" spans="1:4" x14ac:dyDescent="0.2">
      <c r="A447" s="15" t="s">
        <v>26</v>
      </c>
      <c r="B447" s="8">
        <v>0.1</v>
      </c>
      <c r="C447" s="8">
        <v>0.1</v>
      </c>
      <c r="D447" s="8">
        <v>0.2</v>
      </c>
    </row>
    <row r="448" spans="1:4" x14ac:dyDescent="0.2">
      <c r="A448" s="14" t="s">
        <v>70</v>
      </c>
      <c r="B448" s="8">
        <v>-0.34499999999999997</v>
      </c>
      <c r="C448" s="8">
        <v>0.45900000000000002</v>
      </c>
      <c r="D448" s="8">
        <v>0.11400000000000002</v>
      </c>
    </row>
    <row r="449" spans="1:4" x14ac:dyDescent="0.2">
      <c r="A449" s="15" t="s">
        <v>19</v>
      </c>
      <c r="B449" s="8">
        <v>0</v>
      </c>
      <c r="C449" s="8">
        <v>0.12</v>
      </c>
      <c r="D449" s="8">
        <v>0.12</v>
      </c>
    </row>
    <row r="450" spans="1:4" x14ac:dyDescent="0.2">
      <c r="A450" s="15" t="s">
        <v>27</v>
      </c>
      <c r="B450" s="8">
        <v>-8.5000000000000006E-2</v>
      </c>
      <c r="C450" s="8">
        <v>8.5000000000000006E-2</v>
      </c>
      <c r="D450" s="8">
        <v>0</v>
      </c>
    </row>
    <row r="451" spans="1:4" x14ac:dyDescent="0.2">
      <c r="A451" s="15" t="s">
        <v>28</v>
      </c>
      <c r="B451" s="8">
        <v>-0.05</v>
      </c>
      <c r="C451" s="8">
        <v>0</v>
      </c>
      <c r="D451" s="8">
        <v>-0.05</v>
      </c>
    </row>
    <row r="452" spans="1:4" x14ac:dyDescent="0.2">
      <c r="A452" s="15" t="s">
        <v>20</v>
      </c>
      <c r="B452" s="8">
        <v>0</v>
      </c>
      <c r="C452" s="8">
        <v>6.4000000000000001E-2</v>
      </c>
      <c r="D452" s="8">
        <v>6.4000000000000001E-2</v>
      </c>
    </row>
    <row r="453" spans="1:4" x14ac:dyDescent="0.2">
      <c r="A453" s="15" t="s">
        <v>21</v>
      </c>
      <c r="B453" s="8">
        <v>0.05</v>
      </c>
      <c r="C453" s="8">
        <v>0.05</v>
      </c>
      <c r="D453" s="8">
        <v>0.1</v>
      </c>
    </row>
    <row r="454" spans="1:4" x14ac:dyDescent="0.2">
      <c r="A454" s="15" t="s">
        <v>22</v>
      </c>
      <c r="B454" s="8">
        <v>0</v>
      </c>
      <c r="C454" s="8">
        <v>0.14000000000000001</v>
      </c>
      <c r="D454" s="8">
        <v>0.14000000000000001</v>
      </c>
    </row>
    <row r="455" spans="1:4" x14ac:dyDescent="0.2">
      <c r="A455" s="15" t="s">
        <v>23</v>
      </c>
      <c r="B455" s="8">
        <v>-0.11</v>
      </c>
      <c r="C455" s="8">
        <v>0</v>
      </c>
      <c r="D455" s="8">
        <v>-0.11</v>
      </c>
    </row>
    <row r="456" spans="1:4" x14ac:dyDescent="0.2">
      <c r="A456" s="15" t="s">
        <v>24</v>
      </c>
      <c r="B456" s="8">
        <v>-0.15</v>
      </c>
      <c r="C456" s="8">
        <v>0</v>
      </c>
      <c r="D456" s="8">
        <v>-0.15</v>
      </c>
    </row>
    <row r="457" spans="1:4" x14ac:dyDescent="0.2">
      <c r="A457" s="15" t="s">
        <v>25</v>
      </c>
      <c r="B457" s="8">
        <v>0</v>
      </c>
      <c r="C457" s="8">
        <v>0</v>
      </c>
      <c r="D457" s="8">
        <v>0</v>
      </c>
    </row>
    <row r="458" spans="1:4" x14ac:dyDescent="0.2">
      <c r="A458" s="15" t="s">
        <v>26</v>
      </c>
      <c r="B458" s="8">
        <v>0</v>
      </c>
      <c r="C458" s="8">
        <v>0</v>
      </c>
      <c r="D458" s="8">
        <v>0</v>
      </c>
    </row>
    <row r="459" spans="1:4" x14ac:dyDescent="0.2">
      <c r="A459" s="14" t="s">
        <v>149</v>
      </c>
      <c r="B459" s="8">
        <v>0.51900000000000002</v>
      </c>
      <c r="C459" s="8">
        <v>0.91900000000000004</v>
      </c>
      <c r="D459" s="8">
        <v>1.4380000000000002</v>
      </c>
    </row>
    <row r="460" spans="1:4" x14ac:dyDescent="0.2">
      <c r="A460" s="15" t="s">
        <v>19</v>
      </c>
      <c r="B460" s="8">
        <v>0.12</v>
      </c>
      <c r="C460" s="8">
        <v>0.12</v>
      </c>
      <c r="D460" s="8">
        <v>0.24</v>
      </c>
    </row>
    <row r="461" spans="1:4" x14ac:dyDescent="0.2">
      <c r="A461" s="15" t="s">
        <v>27</v>
      </c>
      <c r="B461" s="8">
        <v>8.5000000000000006E-2</v>
      </c>
      <c r="C461" s="8">
        <v>8.5000000000000006E-2</v>
      </c>
      <c r="D461" s="8">
        <v>0.17</v>
      </c>
    </row>
    <row r="462" spans="1:4" x14ac:dyDescent="0.2">
      <c r="A462" s="15" t="s">
        <v>28</v>
      </c>
      <c r="B462" s="8">
        <v>-0.05</v>
      </c>
      <c r="C462" s="8">
        <v>0</v>
      </c>
      <c r="D462" s="8">
        <v>-0.05</v>
      </c>
    </row>
    <row r="463" spans="1:4" x14ac:dyDescent="0.2">
      <c r="A463" s="15" t="s">
        <v>20</v>
      </c>
      <c r="B463" s="8">
        <v>6.4000000000000001E-2</v>
      </c>
      <c r="C463" s="8">
        <v>6.4000000000000001E-2</v>
      </c>
      <c r="D463" s="8">
        <v>0.128</v>
      </c>
    </row>
    <row r="464" spans="1:4" x14ac:dyDescent="0.2">
      <c r="A464" s="15" t="s">
        <v>21</v>
      </c>
      <c r="B464" s="8">
        <v>0.05</v>
      </c>
      <c r="C464" s="8">
        <v>0.05</v>
      </c>
      <c r="D464" s="8">
        <v>0.1</v>
      </c>
    </row>
    <row r="465" spans="1:4" x14ac:dyDescent="0.2">
      <c r="A465" s="15" t="s">
        <v>22</v>
      </c>
      <c r="B465" s="8">
        <v>0.14000000000000001</v>
      </c>
      <c r="C465" s="8">
        <v>0.14000000000000001</v>
      </c>
      <c r="D465" s="8">
        <v>0.28000000000000003</v>
      </c>
    </row>
    <row r="466" spans="1:4" x14ac:dyDescent="0.2">
      <c r="A466" s="15" t="s">
        <v>23</v>
      </c>
      <c r="B466" s="8">
        <v>0.11</v>
      </c>
      <c r="C466" s="8">
        <v>0.11</v>
      </c>
      <c r="D466" s="8">
        <v>0.22</v>
      </c>
    </row>
    <row r="467" spans="1:4" x14ac:dyDescent="0.2">
      <c r="A467" s="15" t="s">
        <v>24</v>
      </c>
      <c r="B467" s="8">
        <v>0</v>
      </c>
      <c r="C467" s="8">
        <v>0.15</v>
      </c>
      <c r="D467" s="8">
        <v>0.15</v>
      </c>
    </row>
    <row r="468" spans="1:4" x14ac:dyDescent="0.2">
      <c r="A468" s="15" t="s">
        <v>25</v>
      </c>
      <c r="B468" s="8">
        <v>0</v>
      </c>
      <c r="C468" s="8">
        <v>0.1</v>
      </c>
      <c r="D468" s="8">
        <v>0.1</v>
      </c>
    </row>
    <row r="469" spans="1:4" x14ac:dyDescent="0.2">
      <c r="A469" s="15" t="s">
        <v>26</v>
      </c>
      <c r="B469" s="8">
        <v>0</v>
      </c>
      <c r="C469" s="8">
        <v>0.1</v>
      </c>
      <c r="D469" s="8">
        <v>0.1</v>
      </c>
    </row>
    <row r="470" spans="1:4" x14ac:dyDescent="0.2">
      <c r="A470" s="14" t="s">
        <v>162</v>
      </c>
      <c r="B470" s="8">
        <v>0.184</v>
      </c>
      <c r="C470" s="8">
        <v>-0.34399999999999997</v>
      </c>
      <c r="D470" s="8">
        <v>-0.16</v>
      </c>
    </row>
    <row r="471" spans="1:4" x14ac:dyDescent="0.2">
      <c r="A471" s="15" t="s">
        <v>19</v>
      </c>
      <c r="B471" s="8">
        <v>0.12</v>
      </c>
      <c r="C471" s="8">
        <v>-0.12</v>
      </c>
      <c r="D471" s="8">
        <v>0</v>
      </c>
    </row>
    <row r="472" spans="1:4" x14ac:dyDescent="0.2">
      <c r="A472" s="15" t="s">
        <v>27</v>
      </c>
      <c r="B472" s="8">
        <v>0</v>
      </c>
      <c r="C472" s="8">
        <v>0</v>
      </c>
      <c r="D472" s="8">
        <v>0</v>
      </c>
    </row>
    <row r="473" spans="1:4" x14ac:dyDescent="0.2">
      <c r="A473" s="15" t="s">
        <v>28</v>
      </c>
      <c r="B473" s="8">
        <v>-0.05</v>
      </c>
      <c r="C473" s="8">
        <v>-0.05</v>
      </c>
      <c r="D473" s="8">
        <v>-0.1</v>
      </c>
    </row>
    <row r="474" spans="1:4" x14ac:dyDescent="0.2">
      <c r="A474" s="15" t="s">
        <v>20</v>
      </c>
      <c r="B474" s="8">
        <v>6.4000000000000001E-2</v>
      </c>
      <c r="C474" s="8">
        <v>-6.4000000000000001E-2</v>
      </c>
      <c r="D474" s="8">
        <v>0</v>
      </c>
    </row>
    <row r="475" spans="1:4" x14ac:dyDescent="0.2">
      <c r="A475" s="15" t="s">
        <v>21</v>
      </c>
      <c r="B475" s="8">
        <v>0.05</v>
      </c>
      <c r="C475" s="8">
        <v>0</v>
      </c>
      <c r="D475" s="8">
        <v>0.05</v>
      </c>
    </row>
    <row r="476" spans="1:4" x14ac:dyDescent="0.2">
      <c r="A476" s="15" t="s">
        <v>22</v>
      </c>
      <c r="B476" s="8">
        <v>0</v>
      </c>
      <c r="C476" s="8">
        <v>0</v>
      </c>
      <c r="D476" s="8">
        <v>0</v>
      </c>
    </row>
    <row r="477" spans="1:4" x14ac:dyDescent="0.2">
      <c r="A477" s="15" t="s">
        <v>23</v>
      </c>
      <c r="B477" s="8">
        <v>0</v>
      </c>
      <c r="C477" s="8">
        <v>-0.11</v>
      </c>
      <c r="D477" s="8">
        <v>-0.11</v>
      </c>
    </row>
    <row r="478" spans="1:4" x14ac:dyDescent="0.2">
      <c r="A478" s="15" t="s">
        <v>24</v>
      </c>
      <c r="B478" s="8">
        <v>0</v>
      </c>
      <c r="C478" s="8">
        <v>0</v>
      </c>
      <c r="D478" s="8">
        <v>0</v>
      </c>
    </row>
    <row r="479" spans="1:4" x14ac:dyDescent="0.2">
      <c r="A479" s="15" t="s">
        <v>25</v>
      </c>
      <c r="B479" s="8">
        <v>0</v>
      </c>
      <c r="C479" s="8">
        <v>0</v>
      </c>
      <c r="D479" s="8">
        <v>0</v>
      </c>
    </row>
    <row r="480" spans="1:4" x14ac:dyDescent="0.2">
      <c r="A480" s="15" t="s">
        <v>26</v>
      </c>
      <c r="B480" s="8">
        <v>0</v>
      </c>
      <c r="C480" s="8">
        <v>0</v>
      </c>
      <c r="D480" s="8">
        <v>0</v>
      </c>
    </row>
    <row r="481" spans="1:4" x14ac:dyDescent="0.2">
      <c r="A481" s="14" t="s">
        <v>90</v>
      </c>
      <c r="B481" s="8">
        <v>-0.59250000000000003</v>
      </c>
      <c r="C481" s="8">
        <v>0.40900000000000003</v>
      </c>
      <c r="D481" s="8">
        <v>-0.1835</v>
      </c>
    </row>
    <row r="482" spans="1:4" x14ac:dyDescent="0.2">
      <c r="A482" s="15" t="s">
        <v>19</v>
      </c>
      <c r="B482" s="8">
        <v>0</v>
      </c>
      <c r="C482" s="8">
        <v>0.12</v>
      </c>
      <c r="D482" s="8">
        <v>0.12</v>
      </c>
    </row>
    <row r="483" spans="1:4" x14ac:dyDescent="0.2">
      <c r="A483" s="15" t="s">
        <v>27</v>
      </c>
      <c r="B483" s="8">
        <v>-4.2500000000000003E-2</v>
      </c>
      <c r="C483" s="8">
        <v>8.5000000000000006E-2</v>
      </c>
      <c r="D483" s="8">
        <v>4.2500000000000003E-2</v>
      </c>
    </row>
    <row r="484" spans="1:4" x14ac:dyDescent="0.2">
      <c r="A484" s="15" t="s">
        <v>28</v>
      </c>
      <c r="B484" s="8">
        <v>-0.05</v>
      </c>
      <c r="C484" s="8">
        <v>0</v>
      </c>
      <c r="D484" s="8">
        <v>-0.05</v>
      </c>
    </row>
    <row r="485" spans="1:4" x14ac:dyDescent="0.2">
      <c r="A485" s="15" t="s">
        <v>20</v>
      </c>
      <c r="B485" s="8">
        <v>0</v>
      </c>
      <c r="C485" s="8">
        <v>6.4000000000000001E-2</v>
      </c>
      <c r="D485" s="8">
        <v>6.4000000000000001E-2</v>
      </c>
    </row>
    <row r="486" spans="1:4" x14ac:dyDescent="0.2">
      <c r="A486" s="15" t="s">
        <v>21</v>
      </c>
      <c r="B486" s="8">
        <v>0</v>
      </c>
      <c r="C486" s="8">
        <v>0</v>
      </c>
      <c r="D486" s="8">
        <v>0</v>
      </c>
    </row>
    <row r="487" spans="1:4" x14ac:dyDescent="0.2">
      <c r="A487" s="15" t="s">
        <v>22</v>
      </c>
      <c r="B487" s="8">
        <v>-0.14000000000000001</v>
      </c>
      <c r="C487" s="8">
        <v>0.14000000000000001</v>
      </c>
      <c r="D487" s="8">
        <v>0</v>
      </c>
    </row>
    <row r="488" spans="1:4" x14ac:dyDescent="0.2">
      <c r="A488" s="15" t="s">
        <v>23</v>
      </c>
      <c r="B488" s="8">
        <v>-0.11</v>
      </c>
      <c r="C488" s="8">
        <v>0</v>
      </c>
      <c r="D488" s="8">
        <v>-0.11</v>
      </c>
    </row>
    <row r="489" spans="1:4" x14ac:dyDescent="0.2">
      <c r="A489" s="15" t="s">
        <v>24</v>
      </c>
      <c r="B489" s="8">
        <v>-0.15</v>
      </c>
      <c r="C489" s="8">
        <v>0</v>
      </c>
      <c r="D489" s="8">
        <v>-0.15</v>
      </c>
    </row>
    <row r="490" spans="1:4" x14ac:dyDescent="0.2">
      <c r="A490" s="15" t="s">
        <v>25</v>
      </c>
      <c r="B490" s="8">
        <v>-0.1</v>
      </c>
      <c r="C490" s="8">
        <v>0</v>
      </c>
      <c r="D490" s="8">
        <v>-0.1</v>
      </c>
    </row>
    <row r="491" spans="1:4" x14ac:dyDescent="0.2">
      <c r="A491" s="15" t="s">
        <v>26</v>
      </c>
      <c r="B491" s="8">
        <v>0</v>
      </c>
      <c r="C491" s="8">
        <v>0</v>
      </c>
      <c r="D491" s="8">
        <v>0</v>
      </c>
    </row>
    <row r="492" spans="1:4" x14ac:dyDescent="0.2">
      <c r="A492" s="14" t="s">
        <v>281</v>
      </c>
      <c r="B492" s="8">
        <v>-0.3175</v>
      </c>
      <c r="C492" s="8">
        <v>0.80899999999999994</v>
      </c>
      <c r="D492" s="8">
        <v>0.49150000000000005</v>
      </c>
    </row>
    <row r="493" spans="1:4" x14ac:dyDescent="0.2">
      <c r="A493" s="15" t="s">
        <v>19</v>
      </c>
      <c r="B493" s="8">
        <v>0</v>
      </c>
      <c r="C493" s="8">
        <v>0.12</v>
      </c>
      <c r="D493" s="8">
        <v>0.12</v>
      </c>
    </row>
    <row r="494" spans="1:4" x14ac:dyDescent="0.2">
      <c r="A494" s="15" t="s">
        <v>27</v>
      </c>
      <c r="B494" s="8">
        <v>4.2500000000000003E-2</v>
      </c>
      <c r="C494" s="8">
        <v>8.5000000000000006E-2</v>
      </c>
      <c r="D494" s="8">
        <v>0.1275</v>
      </c>
    </row>
    <row r="495" spans="1:4" x14ac:dyDescent="0.2">
      <c r="A495" s="15" t="s">
        <v>28</v>
      </c>
      <c r="B495" s="8">
        <v>-0.05</v>
      </c>
      <c r="C495" s="8">
        <v>0</v>
      </c>
      <c r="D495" s="8">
        <v>-0.05</v>
      </c>
    </row>
    <row r="496" spans="1:4" x14ac:dyDescent="0.2">
      <c r="A496" s="15" t="s">
        <v>20</v>
      </c>
      <c r="B496" s="8">
        <v>0</v>
      </c>
      <c r="C496" s="8">
        <v>6.4000000000000001E-2</v>
      </c>
      <c r="D496" s="8">
        <v>6.4000000000000001E-2</v>
      </c>
    </row>
    <row r="497" spans="1:4" x14ac:dyDescent="0.2">
      <c r="A497" s="15" t="s">
        <v>21</v>
      </c>
      <c r="B497" s="8">
        <v>0.05</v>
      </c>
      <c r="C497" s="8">
        <v>0.05</v>
      </c>
      <c r="D497" s="8">
        <v>0.1</v>
      </c>
    </row>
    <row r="498" spans="1:4" x14ac:dyDescent="0.2">
      <c r="A498" s="15" t="s">
        <v>22</v>
      </c>
      <c r="B498" s="8">
        <v>0</v>
      </c>
      <c r="C498" s="8">
        <v>0.14000000000000001</v>
      </c>
      <c r="D498" s="8">
        <v>0.14000000000000001</v>
      </c>
    </row>
    <row r="499" spans="1:4" x14ac:dyDescent="0.2">
      <c r="A499" s="15" t="s">
        <v>23</v>
      </c>
      <c r="B499" s="8">
        <v>-0.11</v>
      </c>
      <c r="C499" s="8">
        <v>0</v>
      </c>
      <c r="D499" s="8">
        <v>-0.11</v>
      </c>
    </row>
    <row r="500" spans="1:4" x14ac:dyDescent="0.2">
      <c r="A500" s="15" t="s">
        <v>24</v>
      </c>
      <c r="B500" s="8">
        <v>-0.15</v>
      </c>
      <c r="C500" s="8">
        <v>0.15</v>
      </c>
      <c r="D500" s="8">
        <v>0</v>
      </c>
    </row>
    <row r="501" spans="1:4" x14ac:dyDescent="0.2">
      <c r="A501" s="15" t="s">
        <v>25</v>
      </c>
      <c r="B501" s="8">
        <v>-0.1</v>
      </c>
      <c r="C501" s="8">
        <v>0.1</v>
      </c>
      <c r="D501" s="8">
        <v>0</v>
      </c>
    </row>
    <row r="502" spans="1:4" x14ac:dyDescent="0.2">
      <c r="A502" s="15" t="s">
        <v>26</v>
      </c>
      <c r="B502" s="8">
        <v>0</v>
      </c>
      <c r="C502" s="8">
        <v>0.1</v>
      </c>
      <c r="D502" s="8">
        <v>0.1</v>
      </c>
    </row>
    <row r="503" spans="1:4" x14ac:dyDescent="0.2">
      <c r="A503" s="14" t="s">
        <v>290</v>
      </c>
      <c r="B503" s="8">
        <v>-0.56399999999999995</v>
      </c>
      <c r="C503" s="8">
        <v>0.66900000000000004</v>
      </c>
      <c r="D503" s="8">
        <v>0.10500000000000001</v>
      </c>
    </row>
    <row r="504" spans="1:4" x14ac:dyDescent="0.2">
      <c r="A504" s="15" t="s">
        <v>19</v>
      </c>
      <c r="B504" s="8">
        <v>0</v>
      </c>
      <c r="C504" s="8">
        <v>0.12</v>
      </c>
      <c r="D504" s="8">
        <v>0.12</v>
      </c>
    </row>
    <row r="505" spans="1:4" x14ac:dyDescent="0.2">
      <c r="A505" s="15" t="s">
        <v>27</v>
      </c>
      <c r="B505" s="8">
        <v>0</v>
      </c>
      <c r="C505" s="8">
        <v>8.5000000000000006E-2</v>
      </c>
      <c r="D505" s="8">
        <v>8.5000000000000006E-2</v>
      </c>
    </row>
    <row r="506" spans="1:4" x14ac:dyDescent="0.2">
      <c r="A506" s="15" t="s">
        <v>28</v>
      </c>
      <c r="B506" s="8">
        <v>-0.05</v>
      </c>
      <c r="C506" s="8">
        <v>0</v>
      </c>
      <c r="D506" s="8">
        <v>-0.05</v>
      </c>
    </row>
    <row r="507" spans="1:4" x14ac:dyDescent="0.2">
      <c r="A507" s="15" t="s">
        <v>20</v>
      </c>
      <c r="B507" s="8">
        <v>-6.4000000000000001E-2</v>
      </c>
      <c r="C507" s="8">
        <v>6.4000000000000001E-2</v>
      </c>
      <c r="D507" s="8">
        <v>0</v>
      </c>
    </row>
    <row r="508" spans="1:4" x14ac:dyDescent="0.2">
      <c r="A508" s="15" t="s">
        <v>21</v>
      </c>
      <c r="B508" s="8">
        <v>0.05</v>
      </c>
      <c r="C508" s="8">
        <v>0.05</v>
      </c>
      <c r="D508" s="8">
        <v>0.1</v>
      </c>
    </row>
    <row r="509" spans="1:4" x14ac:dyDescent="0.2">
      <c r="A509" s="15" t="s">
        <v>22</v>
      </c>
      <c r="B509" s="8">
        <v>-0.14000000000000001</v>
      </c>
      <c r="C509" s="8">
        <v>0.14000000000000001</v>
      </c>
      <c r="D509" s="8">
        <v>0</v>
      </c>
    </row>
    <row r="510" spans="1:4" x14ac:dyDescent="0.2">
      <c r="A510" s="15" t="s">
        <v>23</v>
      </c>
      <c r="B510" s="8">
        <v>-0.11</v>
      </c>
      <c r="C510" s="8">
        <v>0.11</v>
      </c>
      <c r="D510" s="8">
        <v>0</v>
      </c>
    </row>
    <row r="511" spans="1:4" x14ac:dyDescent="0.2">
      <c r="A511" s="15" t="s">
        <v>24</v>
      </c>
      <c r="B511" s="8">
        <v>-0.15</v>
      </c>
      <c r="C511" s="8">
        <v>0</v>
      </c>
      <c r="D511" s="8">
        <v>-0.15</v>
      </c>
    </row>
    <row r="512" spans="1:4" x14ac:dyDescent="0.2">
      <c r="A512" s="15" t="s">
        <v>25</v>
      </c>
      <c r="B512" s="8">
        <v>-0.1</v>
      </c>
      <c r="C512" s="8">
        <v>0.1</v>
      </c>
      <c r="D512" s="8">
        <v>0</v>
      </c>
    </row>
    <row r="513" spans="1:4" x14ac:dyDescent="0.2">
      <c r="A513" s="15" t="s">
        <v>26</v>
      </c>
      <c r="B513" s="8">
        <v>0</v>
      </c>
      <c r="C513" s="8">
        <v>0</v>
      </c>
      <c r="D513" s="8">
        <v>0</v>
      </c>
    </row>
    <row r="514" spans="1:4" x14ac:dyDescent="0.2">
      <c r="A514" s="14" t="s">
        <v>299</v>
      </c>
      <c r="B514" s="8">
        <v>9.999999999999995E-3</v>
      </c>
      <c r="C514" s="8">
        <v>0.26</v>
      </c>
      <c r="D514" s="8">
        <v>0.27</v>
      </c>
    </row>
    <row r="515" spans="1:4" x14ac:dyDescent="0.2">
      <c r="A515" s="15" t="s">
        <v>19</v>
      </c>
      <c r="B515" s="8">
        <v>0.12</v>
      </c>
      <c r="C515" s="8">
        <v>0.12</v>
      </c>
      <c r="D515" s="8">
        <v>0.24</v>
      </c>
    </row>
    <row r="516" spans="1:4" x14ac:dyDescent="0.2">
      <c r="A516" s="15" t="s">
        <v>27</v>
      </c>
      <c r="B516" s="8">
        <v>0</v>
      </c>
      <c r="C516" s="8">
        <v>0</v>
      </c>
      <c r="D516" s="8">
        <v>0</v>
      </c>
    </row>
    <row r="517" spans="1:4" x14ac:dyDescent="0.2">
      <c r="A517" s="15" t="s">
        <v>28</v>
      </c>
      <c r="B517" s="8">
        <v>-0.05</v>
      </c>
      <c r="C517" s="8">
        <v>-0.05</v>
      </c>
      <c r="D517" s="8">
        <v>-0.1</v>
      </c>
    </row>
    <row r="518" spans="1:4" x14ac:dyDescent="0.2">
      <c r="A518" s="15" t="s">
        <v>20</v>
      </c>
      <c r="B518" s="8">
        <v>0</v>
      </c>
      <c r="C518" s="8">
        <v>0</v>
      </c>
      <c r="D518" s="8">
        <v>0</v>
      </c>
    </row>
    <row r="519" spans="1:4" x14ac:dyDescent="0.2">
      <c r="A519" s="15" t="s">
        <v>21</v>
      </c>
      <c r="B519" s="8">
        <v>0.05</v>
      </c>
      <c r="C519" s="8">
        <v>0.05</v>
      </c>
      <c r="D519" s="8">
        <v>0.1</v>
      </c>
    </row>
    <row r="520" spans="1:4" x14ac:dyDescent="0.2">
      <c r="A520" s="15" t="s">
        <v>22</v>
      </c>
      <c r="B520" s="8">
        <v>0</v>
      </c>
      <c r="C520" s="8">
        <v>0.14000000000000001</v>
      </c>
      <c r="D520" s="8">
        <v>0.14000000000000001</v>
      </c>
    </row>
    <row r="521" spans="1:4" x14ac:dyDescent="0.2">
      <c r="A521" s="15" t="s">
        <v>23</v>
      </c>
      <c r="B521" s="8">
        <v>-0.11</v>
      </c>
      <c r="C521" s="8">
        <v>0</v>
      </c>
      <c r="D521" s="8">
        <v>-0.11</v>
      </c>
    </row>
    <row r="522" spans="1:4" x14ac:dyDescent="0.2">
      <c r="A522" s="15" t="s">
        <v>24</v>
      </c>
      <c r="B522" s="8">
        <v>0</v>
      </c>
      <c r="C522" s="8">
        <v>0</v>
      </c>
      <c r="D522" s="8">
        <v>0</v>
      </c>
    </row>
    <row r="523" spans="1:4" x14ac:dyDescent="0.2">
      <c r="A523" s="15" t="s">
        <v>25</v>
      </c>
      <c r="B523" s="8">
        <v>0</v>
      </c>
      <c r="C523" s="8">
        <v>0</v>
      </c>
      <c r="D523" s="8">
        <v>0</v>
      </c>
    </row>
    <row r="524" spans="1:4" x14ac:dyDescent="0.2">
      <c r="A524" s="15" t="s">
        <v>26</v>
      </c>
      <c r="B524" s="8">
        <v>0</v>
      </c>
      <c r="C524" s="8">
        <v>0</v>
      </c>
      <c r="D524" s="8">
        <v>0</v>
      </c>
    </row>
    <row r="525" spans="1:4" x14ac:dyDescent="0.2">
      <c r="A525" s="14" t="s">
        <v>311</v>
      </c>
      <c r="B525" s="8">
        <v>0.46650000000000003</v>
      </c>
      <c r="C525" s="8">
        <v>0.81899999999999995</v>
      </c>
      <c r="D525" s="8">
        <v>1.2855000000000001</v>
      </c>
    </row>
    <row r="526" spans="1:4" x14ac:dyDescent="0.2">
      <c r="A526" s="15" t="s">
        <v>19</v>
      </c>
      <c r="B526" s="8">
        <v>0.12</v>
      </c>
      <c r="C526" s="8">
        <v>0.12</v>
      </c>
      <c r="D526" s="8">
        <v>0.24</v>
      </c>
    </row>
    <row r="527" spans="1:4" x14ac:dyDescent="0.2">
      <c r="A527" s="15" t="s">
        <v>27</v>
      </c>
      <c r="B527" s="8">
        <v>4.2500000000000003E-2</v>
      </c>
      <c r="C527" s="8">
        <v>8.5000000000000006E-2</v>
      </c>
      <c r="D527" s="8">
        <v>0.1275</v>
      </c>
    </row>
    <row r="528" spans="1:4" x14ac:dyDescent="0.2">
      <c r="A528" s="15" t="s">
        <v>28</v>
      </c>
      <c r="B528" s="8">
        <v>-0.05</v>
      </c>
      <c r="C528" s="8">
        <v>0.05</v>
      </c>
      <c r="D528" s="8">
        <v>0</v>
      </c>
    </row>
    <row r="529" spans="1:4" x14ac:dyDescent="0.2">
      <c r="A529" s="15" t="s">
        <v>20</v>
      </c>
      <c r="B529" s="8">
        <v>6.4000000000000001E-2</v>
      </c>
      <c r="C529" s="8">
        <v>6.4000000000000001E-2</v>
      </c>
      <c r="D529" s="8">
        <v>0.128</v>
      </c>
    </row>
    <row r="530" spans="1:4" x14ac:dyDescent="0.2">
      <c r="A530" s="15" t="s">
        <v>21</v>
      </c>
      <c r="B530" s="8">
        <v>0.05</v>
      </c>
      <c r="C530" s="8">
        <v>0.05</v>
      </c>
      <c r="D530" s="8">
        <v>0.1</v>
      </c>
    </row>
    <row r="531" spans="1:4" x14ac:dyDescent="0.2">
      <c r="A531" s="15" t="s">
        <v>22</v>
      </c>
      <c r="B531" s="8">
        <v>0.14000000000000001</v>
      </c>
      <c r="C531" s="8">
        <v>0.14000000000000001</v>
      </c>
      <c r="D531" s="8">
        <v>0.28000000000000003</v>
      </c>
    </row>
    <row r="532" spans="1:4" x14ac:dyDescent="0.2">
      <c r="A532" s="15" t="s">
        <v>23</v>
      </c>
      <c r="B532" s="8">
        <v>0</v>
      </c>
      <c r="C532" s="8">
        <v>0.11</v>
      </c>
      <c r="D532" s="8">
        <v>0.11</v>
      </c>
    </row>
    <row r="533" spans="1:4" x14ac:dyDescent="0.2">
      <c r="A533" s="15" t="s">
        <v>24</v>
      </c>
      <c r="B533" s="8">
        <v>0</v>
      </c>
      <c r="C533" s="8">
        <v>0</v>
      </c>
      <c r="D533" s="8">
        <v>0</v>
      </c>
    </row>
    <row r="534" spans="1:4" x14ac:dyDescent="0.2">
      <c r="A534" s="15" t="s">
        <v>25</v>
      </c>
      <c r="B534" s="8">
        <v>0</v>
      </c>
      <c r="C534" s="8">
        <v>0.1</v>
      </c>
      <c r="D534" s="8">
        <v>0.1</v>
      </c>
    </row>
    <row r="535" spans="1:4" x14ac:dyDescent="0.2">
      <c r="A535" s="15" t="s">
        <v>26</v>
      </c>
      <c r="B535" s="8">
        <v>0.1</v>
      </c>
      <c r="C535" s="8">
        <v>0.1</v>
      </c>
      <c r="D535" s="8">
        <v>0.2</v>
      </c>
    </row>
    <row r="536" spans="1:4" x14ac:dyDescent="0.2">
      <c r="A536" s="14" t="s">
        <v>339</v>
      </c>
      <c r="B536" s="8">
        <v>0.42649999999999999</v>
      </c>
      <c r="C536" s="8">
        <v>0.77899999999999991</v>
      </c>
      <c r="D536" s="8">
        <v>1.2055000000000002</v>
      </c>
    </row>
    <row r="537" spans="1:4" x14ac:dyDescent="0.2">
      <c r="A537" s="15" t="s">
        <v>19</v>
      </c>
      <c r="B537" s="8">
        <v>0.12</v>
      </c>
      <c r="C537" s="8">
        <v>0.12</v>
      </c>
      <c r="D537" s="8">
        <v>0.24</v>
      </c>
    </row>
    <row r="538" spans="1:4" x14ac:dyDescent="0.2">
      <c r="A538" s="15" t="s">
        <v>27</v>
      </c>
      <c r="B538" s="8">
        <v>4.2500000000000003E-2</v>
      </c>
      <c r="C538" s="8">
        <v>8.5000000000000006E-2</v>
      </c>
      <c r="D538" s="8">
        <v>0.1275</v>
      </c>
    </row>
    <row r="539" spans="1:4" x14ac:dyDescent="0.2">
      <c r="A539" s="15" t="s">
        <v>28</v>
      </c>
      <c r="B539" s="8">
        <v>0</v>
      </c>
      <c r="C539" s="8">
        <v>0</v>
      </c>
      <c r="D539" s="8">
        <v>0</v>
      </c>
    </row>
    <row r="540" spans="1:4" x14ac:dyDescent="0.2">
      <c r="A540" s="15" t="s">
        <v>20</v>
      </c>
      <c r="B540" s="8">
        <v>6.4000000000000001E-2</v>
      </c>
      <c r="C540" s="8">
        <v>6.4000000000000001E-2</v>
      </c>
      <c r="D540" s="8">
        <v>0.128</v>
      </c>
    </row>
    <row r="541" spans="1:4" x14ac:dyDescent="0.2">
      <c r="A541" s="15" t="s">
        <v>21</v>
      </c>
      <c r="B541" s="8">
        <v>0.05</v>
      </c>
      <c r="C541" s="8">
        <v>0.05</v>
      </c>
      <c r="D541" s="8">
        <v>0.1</v>
      </c>
    </row>
    <row r="542" spans="1:4" x14ac:dyDescent="0.2">
      <c r="A542" s="15" t="s">
        <v>22</v>
      </c>
      <c r="B542" s="8">
        <v>0</v>
      </c>
      <c r="C542" s="8">
        <v>0</v>
      </c>
      <c r="D542" s="8">
        <v>0</v>
      </c>
    </row>
    <row r="543" spans="1:4" x14ac:dyDescent="0.2">
      <c r="A543" s="15" t="s">
        <v>23</v>
      </c>
      <c r="B543" s="8">
        <v>0</v>
      </c>
      <c r="C543" s="8">
        <v>0.11</v>
      </c>
      <c r="D543" s="8">
        <v>0.11</v>
      </c>
    </row>
    <row r="544" spans="1:4" x14ac:dyDescent="0.2">
      <c r="A544" s="15" t="s">
        <v>24</v>
      </c>
      <c r="B544" s="8">
        <v>0.15</v>
      </c>
      <c r="C544" s="8">
        <v>0.15</v>
      </c>
      <c r="D544" s="8">
        <v>0.3</v>
      </c>
    </row>
    <row r="545" spans="1:4" x14ac:dyDescent="0.2">
      <c r="A545" s="15" t="s">
        <v>25</v>
      </c>
      <c r="B545" s="8">
        <v>0</v>
      </c>
      <c r="C545" s="8">
        <v>0.1</v>
      </c>
      <c r="D545" s="8">
        <v>0.1</v>
      </c>
    </row>
    <row r="546" spans="1:4" x14ac:dyDescent="0.2">
      <c r="A546" s="15" t="s">
        <v>26</v>
      </c>
      <c r="B546" s="8">
        <v>0</v>
      </c>
      <c r="C546" s="8">
        <v>0.1</v>
      </c>
      <c r="D546" s="8">
        <v>0.1</v>
      </c>
    </row>
    <row r="547" spans="1:4" x14ac:dyDescent="0.2">
      <c r="A547" s="14" t="s">
        <v>346</v>
      </c>
      <c r="B547" s="8">
        <v>-0.51400000000000001</v>
      </c>
      <c r="C547" s="8">
        <v>-0.4365</v>
      </c>
      <c r="D547" s="8">
        <v>-0.9504999999999999</v>
      </c>
    </row>
    <row r="548" spans="1:4" x14ac:dyDescent="0.2">
      <c r="A548" s="15" t="s">
        <v>19</v>
      </c>
      <c r="B548" s="8">
        <v>0</v>
      </c>
      <c r="C548" s="8">
        <v>-0.12</v>
      </c>
      <c r="D548" s="8">
        <v>-0.12</v>
      </c>
    </row>
    <row r="549" spans="1:4" x14ac:dyDescent="0.2">
      <c r="A549" s="15" t="s">
        <v>27</v>
      </c>
      <c r="B549" s="8">
        <v>0</v>
      </c>
      <c r="C549" s="8">
        <v>-4.2500000000000003E-2</v>
      </c>
      <c r="D549" s="8">
        <v>-4.2500000000000003E-2</v>
      </c>
    </row>
    <row r="550" spans="1:4" x14ac:dyDescent="0.2">
      <c r="A550" s="15" t="s">
        <v>28</v>
      </c>
      <c r="B550" s="8">
        <v>-0.05</v>
      </c>
      <c r="C550" s="8">
        <v>-0.05</v>
      </c>
      <c r="D550" s="8">
        <v>-0.1</v>
      </c>
    </row>
    <row r="551" spans="1:4" x14ac:dyDescent="0.2">
      <c r="A551" s="15" t="s">
        <v>20</v>
      </c>
      <c r="B551" s="8">
        <v>-6.4000000000000001E-2</v>
      </c>
      <c r="C551" s="8">
        <v>-6.4000000000000001E-2</v>
      </c>
      <c r="D551" s="8">
        <v>-0.128</v>
      </c>
    </row>
    <row r="552" spans="1:4" x14ac:dyDescent="0.2">
      <c r="A552" s="15" t="s">
        <v>21</v>
      </c>
      <c r="B552" s="8">
        <v>0.05</v>
      </c>
      <c r="C552" s="8">
        <v>-0.05</v>
      </c>
      <c r="D552" s="8">
        <v>0</v>
      </c>
    </row>
    <row r="553" spans="1:4" x14ac:dyDescent="0.2">
      <c r="A553" s="15" t="s">
        <v>22</v>
      </c>
      <c r="B553" s="8">
        <v>-0.14000000000000001</v>
      </c>
      <c r="C553" s="8">
        <v>0</v>
      </c>
      <c r="D553" s="8">
        <v>-0.14000000000000001</v>
      </c>
    </row>
    <row r="554" spans="1:4" x14ac:dyDescent="0.2">
      <c r="A554" s="15" t="s">
        <v>23</v>
      </c>
      <c r="B554" s="8">
        <v>-0.11</v>
      </c>
      <c r="C554" s="8">
        <v>-0.11</v>
      </c>
      <c r="D554" s="8">
        <v>-0.22</v>
      </c>
    </row>
    <row r="555" spans="1:4" x14ac:dyDescent="0.2">
      <c r="A555" s="15" t="s">
        <v>24</v>
      </c>
      <c r="B555" s="8">
        <v>0</v>
      </c>
      <c r="C555" s="8">
        <v>0</v>
      </c>
      <c r="D555" s="8">
        <v>0</v>
      </c>
    </row>
    <row r="556" spans="1:4" x14ac:dyDescent="0.2">
      <c r="A556" s="15" t="s">
        <v>25</v>
      </c>
      <c r="B556" s="8">
        <v>-0.1</v>
      </c>
      <c r="C556" s="8">
        <v>0</v>
      </c>
      <c r="D556" s="8">
        <v>-0.1</v>
      </c>
    </row>
    <row r="557" spans="1:4" x14ac:dyDescent="0.2">
      <c r="A557" s="15" t="s">
        <v>26</v>
      </c>
      <c r="B557" s="8">
        <v>-0.1</v>
      </c>
      <c r="C557" s="8">
        <v>0</v>
      </c>
      <c r="D557" s="8">
        <v>-0.1</v>
      </c>
    </row>
    <row r="558" spans="1:4" x14ac:dyDescent="0.2">
      <c r="A558" s="14" t="s">
        <v>355</v>
      </c>
      <c r="B558" s="8">
        <v>9.8999999999999991E-2</v>
      </c>
      <c r="C558" s="8">
        <v>0.45900000000000002</v>
      </c>
      <c r="D558" s="8">
        <v>0.55800000000000005</v>
      </c>
    </row>
    <row r="559" spans="1:4" x14ac:dyDescent="0.2">
      <c r="A559" s="15" t="s">
        <v>19</v>
      </c>
      <c r="B559" s="8">
        <v>0.12</v>
      </c>
      <c r="C559" s="8">
        <v>0.12</v>
      </c>
      <c r="D559" s="8">
        <v>0.24</v>
      </c>
    </row>
    <row r="560" spans="1:4" x14ac:dyDescent="0.2">
      <c r="A560" s="15" t="s">
        <v>27</v>
      </c>
      <c r="B560" s="8">
        <v>-8.5000000000000006E-2</v>
      </c>
      <c r="C560" s="8">
        <v>8.5000000000000006E-2</v>
      </c>
      <c r="D560" s="8">
        <v>0</v>
      </c>
    </row>
    <row r="561" spans="1:4" x14ac:dyDescent="0.2">
      <c r="A561" s="15" t="s">
        <v>28</v>
      </c>
      <c r="B561" s="8">
        <v>-0.05</v>
      </c>
      <c r="C561" s="8">
        <v>0</v>
      </c>
      <c r="D561" s="8">
        <v>-0.05</v>
      </c>
    </row>
    <row r="562" spans="1:4" x14ac:dyDescent="0.2">
      <c r="A562" s="15" t="s">
        <v>20</v>
      </c>
      <c r="B562" s="8">
        <v>6.4000000000000001E-2</v>
      </c>
      <c r="C562" s="8">
        <v>6.4000000000000001E-2</v>
      </c>
      <c r="D562" s="8">
        <v>0.128</v>
      </c>
    </row>
    <row r="563" spans="1:4" x14ac:dyDescent="0.2">
      <c r="A563" s="15" t="s">
        <v>21</v>
      </c>
      <c r="B563" s="8">
        <v>0.05</v>
      </c>
      <c r="C563" s="8">
        <v>0.05</v>
      </c>
      <c r="D563" s="8">
        <v>0.1</v>
      </c>
    </row>
    <row r="564" spans="1:4" x14ac:dyDescent="0.2">
      <c r="A564" s="15" t="s">
        <v>22</v>
      </c>
      <c r="B564" s="8">
        <v>0</v>
      </c>
      <c r="C564" s="8">
        <v>0.14000000000000001</v>
      </c>
      <c r="D564" s="8">
        <v>0.14000000000000001</v>
      </c>
    </row>
    <row r="565" spans="1:4" x14ac:dyDescent="0.2">
      <c r="A565" s="15" t="s">
        <v>23</v>
      </c>
      <c r="B565" s="8">
        <v>0</v>
      </c>
      <c r="C565" s="8">
        <v>0</v>
      </c>
      <c r="D565" s="8">
        <v>0</v>
      </c>
    </row>
    <row r="566" spans="1:4" x14ac:dyDescent="0.2">
      <c r="A566" s="15" t="s">
        <v>24</v>
      </c>
      <c r="B566" s="8">
        <v>0</v>
      </c>
      <c r="C566" s="8">
        <v>0</v>
      </c>
      <c r="D566" s="8">
        <v>0</v>
      </c>
    </row>
    <row r="567" spans="1:4" x14ac:dyDescent="0.2">
      <c r="A567" s="15" t="s">
        <v>25</v>
      </c>
      <c r="B567" s="8">
        <v>0</v>
      </c>
      <c r="C567" s="8">
        <v>0</v>
      </c>
      <c r="D567" s="8">
        <v>0</v>
      </c>
    </row>
    <row r="568" spans="1:4" x14ac:dyDescent="0.2">
      <c r="A568" s="15" t="s">
        <v>26</v>
      </c>
      <c r="B568" s="8">
        <v>0</v>
      </c>
      <c r="C568" s="8">
        <v>0</v>
      </c>
      <c r="D568" s="8">
        <v>0</v>
      </c>
    </row>
    <row r="569" spans="1:4" x14ac:dyDescent="0.2">
      <c r="A569" s="13" t="s">
        <v>187</v>
      </c>
      <c r="B569" s="8">
        <v>7.3359999999999985</v>
      </c>
      <c r="C569" s="8">
        <v>4.0480000000000018</v>
      </c>
      <c r="D569" s="8">
        <v>11.383999999999999</v>
      </c>
    </row>
    <row r="570" spans="1:4" x14ac:dyDescent="0.2">
      <c r="A570" s="14" t="s">
        <v>44</v>
      </c>
      <c r="B570" s="8">
        <v>0.23399999999999999</v>
      </c>
      <c r="C570" s="8">
        <v>0.75599999999999989</v>
      </c>
      <c r="D570" s="8">
        <v>0.99</v>
      </c>
    </row>
    <row r="571" spans="1:4" x14ac:dyDescent="0.2">
      <c r="A571" s="15" t="s">
        <v>19</v>
      </c>
      <c r="B571" s="8">
        <v>0.12</v>
      </c>
      <c r="C571" s="8">
        <v>0.12</v>
      </c>
      <c r="D571" s="8">
        <v>0.24</v>
      </c>
    </row>
    <row r="572" spans="1:4" x14ac:dyDescent="0.2">
      <c r="A572" s="15" t="s">
        <v>27</v>
      </c>
      <c r="B572" s="8">
        <v>0</v>
      </c>
      <c r="C572" s="8">
        <v>0</v>
      </c>
      <c r="D572" s="8">
        <v>0</v>
      </c>
    </row>
    <row r="573" spans="1:4" x14ac:dyDescent="0.2">
      <c r="A573" s="15" t="s">
        <v>28</v>
      </c>
      <c r="B573" s="8">
        <v>0</v>
      </c>
      <c r="C573" s="8">
        <v>0.05</v>
      </c>
      <c r="D573" s="8">
        <v>0.05</v>
      </c>
    </row>
    <row r="574" spans="1:4" x14ac:dyDescent="0.2">
      <c r="A574" s="15" t="s">
        <v>20</v>
      </c>
      <c r="B574" s="8">
        <v>6.4000000000000001E-2</v>
      </c>
      <c r="C574" s="8">
        <v>-6.4000000000000001E-2</v>
      </c>
      <c r="D574" s="8">
        <v>0</v>
      </c>
    </row>
    <row r="575" spans="1:4" x14ac:dyDescent="0.2">
      <c r="A575" s="15" t="s">
        <v>21</v>
      </c>
      <c r="B575" s="8">
        <v>0.05</v>
      </c>
      <c r="C575" s="8">
        <v>0.05</v>
      </c>
      <c r="D575" s="8">
        <v>0.1</v>
      </c>
    </row>
    <row r="576" spans="1:4" x14ac:dyDescent="0.2">
      <c r="A576" s="15" t="s">
        <v>22</v>
      </c>
      <c r="B576" s="8">
        <v>0</v>
      </c>
      <c r="C576" s="8">
        <v>0.14000000000000001</v>
      </c>
      <c r="D576" s="8">
        <v>0.14000000000000001</v>
      </c>
    </row>
    <row r="577" spans="1:4" x14ac:dyDescent="0.2">
      <c r="A577" s="15" t="s">
        <v>23</v>
      </c>
      <c r="B577" s="8">
        <v>0</v>
      </c>
      <c r="C577" s="8">
        <v>0.11</v>
      </c>
      <c r="D577" s="8">
        <v>0.11</v>
      </c>
    </row>
    <row r="578" spans="1:4" x14ac:dyDescent="0.2">
      <c r="A578" s="15" t="s">
        <v>24</v>
      </c>
      <c r="B578" s="8">
        <v>0</v>
      </c>
      <c r="C578" s="8">
        <v>0.15</v>
      </c>
      <c r="D578" s="8">
        <v>0.15</v>
      </c>
    </row>
    <row r="579" spans="1:4" x14ac:dyDescent="0.2">
      <c r="A579" s="15" t="s">
        <v>25</v>
      </c>
      <c r="B579" s="8">
        <v>0</v>
      </c>
      <c r="C579" s="8">
        <v>0.1</v>
      </c>
      <c r="D579" s="8">
        <v>0.1</v>
      </c>
    </row>
    <row r="580" spans="1:4" x14ac:dyDescent="0.2">
      <c r="A580" s="15" t="s">
        <v>26</v>
      </c>
      <c r="B580" s="8">
        <v>0</v>
      </c>
      <c r="C580" s="8">
        <v>0.1</v>
      </c>
      <c r="D580" s="8">
        <v>0.1</v>
      </c>
    </row>
    <row r="581" spans="1:4" x14ac:dyDescent="0.2">
      <c r="A581" s="14" t="s">
        <v>47</v>
      </c>
      <c r="B581" s="8">
        <v>0.23399999999999999</v>
      </c>
      <c r="C581" s="8">
        <v>0.78399999999999992</v>
      </c>
      <c r="D581" s="8">
        <v>1.018</v>
      </c>
    </row>
    <row r="582" spans="1:4" x14ac:dyDescent="0.2">
      <c r="A582" s="15" t="s">
        <v>19</v>
      </c>
      <c r="B582" s="8">
        <v>0.12</v>
      </c>
      <c r="C582" s="8">
        <v>0.12</v>
      </c>
      <c r="D582" s="8">
        <v>0.24</v>
      </c>
    </row>
    <row r="583" spans="1:4" x14ac:dyDescent="0.2">
      <c r="A583" s="15" t="s">
        <v>27</v>
      </c>
      <c r="B583" s="8">
        <v>0</v>
      </c>
      <c r="C583" s="8">
        <v>0</v>
      </c>
      <c r="D583" s="8">
        <v>0</v>
      </c>
    </row>
    <row r="584" spans="1:4" x14ac:dyDescent="0.2">
      <c r="A584" s="15" t="s">
        <v>28</v>
      </c>
      <c r="B584" s="8">
        <v>0</v>
      </c>
      <c r="C584" s="8">
        <v>-0.05</v>
      </c>
      <c r="D584" s="8">
        <v>-0.05</v>
      </c>
    </row>
    <row r="585" spans="1:4" x14ac:dyDescent="0.2">
      <c r="A585" s="15" t="s">
        <v>20</v>
      </c>
      <c r="B585" s="8">
        <v>6.4000000000000001E-2</v>
      </c>
      <c r="C585" s="8">
        <v>6.4000000000000001E-2</v>
      </c>
      <c r="D585" s="8">
        <v>0.128</v>
      </c>
    </row>
    <row r="586" spans="1:4" x14ac:dyDescent="0.2">
      <c r="A586" s="15" t="s">
        <v>21</v>
      </c>
      <c r="B586" s="8">
        <v>0.05</v>
      </c>
      <c r="C586" s="8">
        <v>0.05</v>
      </c>
      <c r="D586" s="8">
        <v>0.1</v>
      </c>
    </row>
    <row r="587" spans="1:4" x14ac:dyDescent="0.2">
      <c r="A587" s="15" t="s">
        <v>22</v>
      </c>
      <c r="B587" s="8">
        <v>0</v>
      </c>
      <c r="C587" s="8">
        <v>0.14000000000000001</v>
      </c>
      <c r="D587" s="8">
        <v>0.14000000000000001</v>
      </c>
    </row>
    <row r="588" spans="1:4" x14ac:dyDescent="0.2">
      <c r="A588" s="15" t="s">
        <v>23</v>
      </c>
      <c r="B588" s="8">
        <v>0</v>
      </c>
      <c r="C588" s="8">
        <v>0.11</v>
      </c>
      <c r="D588" s="8">
        <v>0.11</v>
      </c>
    </row>
    <row r="589" spans="1:4" x14ac:dyDescent="0.2">
      <c r="A589" s="15" t="s">
        <v>24</v>
      </c>
      <c r="B589" s="8">
        <v>0</v>
      </c>
      <c r="C589" s="8">
        <v>0.15</v>
      </c>
      <c r="D589" s="8">
        <v>0.15</v>
      </c>
    </row>
    <row r="590" spans="1:4" x14ac:dyDescent="0.2">
      <c r="A590" s="15" t="s">
        <v>25</v>
      </c>
      <c r="B590" s="8">
        <v>0</v>
      </c>
      <c r="C590" s="8">
        <v>0.1</v>
      </c>
      <c r="D590" s="8">
        <v>0.1</v>
      </c>
    </row>
    <row r="591" spans="1:4" x14ac:dyDescent="0.2">
      <c r="A591" s="15" t="s">
        <v>26</v>
      </c>
      <c r="B591" s="8">
        <v>0</v>
      </c>
      <c r="C591" s="8">
        <v>0.1</v>
      </c>
      <c r="D591" s="8">
        <v>0.1</v>
      </c>
    </row>
    <row r="592" spans="1:4" x14ac:dyDescent="0.2">
      <c r="A592" s="14" t="s">
        <v>54</v>
      </c>
      <c r="B592" s="8">
        <v>0.42399999999999999</v>
      </c>
      <c r="C592" s="8">
        <v>0.83399999999999996</v>
      </c>
      <c r="D592" s="8">
        <v>1.2580000000000002</v>
      </c>
    </row>
    <row r="593" spans="1:4" x14ac:dyDescent="0.2">
      <c r="A593" s="15" t="s">
        <v>19</v>
      </c>
      <c r="B593" s="8">
        <v>0.12</v>
      </c>
      <c r="C593" s="8">
        <v>0.12</v>
      </c>
      <c r="D593" s="8">
        <v>0.24</v>
      </c>
    </row>
    <row r="594" spans="1:4" x14ac:dyDescent="0.2">
      <c r="A594" s="15" t="s">
        <v>27</v>
      </c>
      <c r="B594" s="8">
        <v>0</v>
      </c>
      <c r="C594" s="8">
        <v>0</v>
      </c>
      <c r="D594" s="8">
        <v>0</v>
      </c>
    </row>
    <row r="595" spans="1:4" x14ac:dyDescent="0.2">
      <c r="A595" s="15" t="s">
        <v>28</v>
      </c>
      <c r="B595" s="8">
        <v>0.05</v>
      </c>
      <c r="C595" s="8">
        <v>0</v>
      </c>
      <c r="D595" s="8">
        <v>0.05</v>
      </c>
    </row>
    <row r="596" spans="1:4" x14ac:dyDescent="0.2">
      <c r="A596" s="15" t="s">
        <v>20</v>
      </c>
      <c r="B596" s="8">
        <v>6.4000000000000001E-2</v>
      </c>
      <c r="C596" s="8">
        <v>6.4000000000000001E-2</v>
      </c>
      <c r="D596" s="8">
        <v>0.128</v>
      </c>
    </row>
    <row r="597" spans="1:4" x14ac:dyDescent="0.2">
      <c r="A597" s="15" t="s">
        <v>21</v>
      </c>
      <c r="B597" s="8">
        <v>0.05</v>
      </c>
      <c r="C597" s="8">
        <v>0.05</v>
      </c>
      <c r="D597" s="8">
        <v>0.1</v>
      </c>
    </row>
    <row r="598" spans="1:4" x14ac:dyDescent="0.2">
      <c r="A598" s="15" t="s">
        <v>22</v>
      </c>
      <c r="B598" s="8">
        <v>0.14000000000000001</v>
      </c>
      <c r="C598" s="8">
        <v>0.14000000000000001</v>
      </c>
      <c r="D598" s="8">
        <v>0.28000000000000003</v>
      </c>
    </row>
    <row r="599" spans="1:4" x14ac:dyDescent="0.2">
      <c r="A599" s="15" t="s">
        <v>23</v>
      </c>
      <c r="B599" s="8">
        <v>0</v>
      </c>
      <c r="C599" s="8">
        <v>0.11</v>
      </c>
      <c r="D599" s="8">
        <v>0.11</v>
      </c>
    </row>
    <row r="600" spans="1:4" x14ac:dyDescent="0.2">
      <c r="A600" s="15" t="s">
        <v>24</v>
      </c>
      <c r="B600" s="8">
        <v>0</v>
      </c>
      <c r="C600" s="8">
        <v>0.15</v>
      </c>
      <c r="D600" s="8">
        <v>0.15</v>
      </c>
    </row>
    <row r="601" spans="1:4" x14ac:dyDescent="0.2">
      <c r="A601" s="15" t="s">
        <v>25</v>
      </c>
      <c r="B601" s="8">
        <v>0</v>
      </c>
      <c r="C601" s="8">
        <v>0.1</v>
      </c>
      <c r="D601" s="8">
        <v>0.1</v>
      </c>
    </row>
    <row r="602" spans="1:4" x14ac:dyDescent="0.2">
      <c r="A602" s="15" t="s">
        <v>26</v>
      </c>
      <c r="B602" s="8">
        <v>0</v>
      </c>
      <c r="C602" s="8">
        <v>0.1</v>
      </c>
      <c r="D602" s="8">
        <v>0.1</v>
      </c>
    </row>
    <row r="603" spans="1:4" x14ac:dyDescent="0.2">
      <c r="A603" s="14" t="s">
        <v>59</v>
      </c>
      <c r="B603" s="8">
        <v>0.184</v>
      </c>
      <c r="C603" s="8">
        <v>0.21400000000000002</v>
      </c>
      <c r="D603" s="8">
        <v>0.39800000000000002</v>
      </c>
    </row>
    <row r="604" spans="1:4" x14ac:dyDescent="0.2">
      <c r="A604" s="15" t="s">
        <v>19</v>
      </c>
      <c r="B604" s="8">
        <v>0.12</v>
      </c>
      <c r="C604" s="8">
        <v>0</v>
      </c>
      <c r="D604" s="8">
        <v>0.12</v>
      </c>
    </row>
    <row r="605" spans="1:4" x14ac:dyDescent="0.2">
      <c r="A605" s="15" t="s">
        <v>27</v>
      </c>
      <c r="B605" s="8">
        <v>0</v>
      </c>
      <c r="C605" s="8">
        <v>0</v>
      </c>
      <c r="D605" s="8">
        <v>0</v>
      </c>
    </row>
    <row r="606" spans="1:4" x14ac:dyDescent="0.2">
      <c r="A606" s="15" t="s">
        <v>28</v>
      </c>
      <c r="B606" s="8">
        <v>0</v>
      </c>
      <c r="C606" s="8">
        <v>0</v>
      </c>
      <c r="D606" s="8">
        <v>0</v>
      </c>
    </row>
    <row r="607" spans="1:4" x14ac:dyDescent="0.2">
      <c r="A607" s="15" t="s">
        <v>20</v>
      </c>
      <c r="B607" s="8">
        <v>6.4000000000000001E-2</v>
      </c>
      <c r="C607" s="8">
        <v>6.4000000000000001E-2</v>
      </c>
      <c r="D607" s="8">
        <v>0.128</v>
      </c>
    </row>
    <row r="608" spans="1:4" x14ac:dyDescent="0.2">
      <c r="A608" s="15" t="s">
        <v>21</v>
      </c>
      <c r="B608" s="8">
        <v>0</v>
      </c>
      <c r="C608" s="8">
        <v>0.05</v>
      </c>
      <c r="D608" s="8">
        <v>0.05</v>
      </c>
    </row>
    <row r="609" spans="1:4" x14ac:dyDescent="0.2">
      <c r="A609" s="15" t="s">
        <v>22</v>
      </c>
      <c r="B609" s="8">
        <v>0</v>
      </c>
      <c r="C609" s="8">
        <v>0</v>
      </c>
      <c r="D609" s="8">
        <v>0</v>
      </c>
    </row>
    <row r="610" spans="1:4" x14ac:dyDescent="0.2">
      <c r="A610" s="15" t="s">
        <v>23</v>
      </c>
      <c r="B610" s="8">
        <v>0</v>
      </c>
      <c r="C610" s="8">
        <v>0</v>
      </c>
      <c r="D610" s="8">
        <v>0</v>
      </c>
    </row>
    <row r="611" spans="1:4" x14ac:dyDescent="0.2">
      <c r="A611" s="15" t="s">
        <v>24</v>
      </c>
      <c r="B611" s="8">
        <v>0</v>
      </c>
      <c r="C611" s="8">
        <v>0</v>
      </c>
      <c r="D611" s="8">
        <v>0</v>
      </c>
    </row>
    <row r="612" spans="1:4" x14ac:dyDescent="0.2">
      <c r="A612" s="15" t="s">
        <v>25</v>
      </c>
      <c r="B612" s="8">
        <v>0</v>
      </c>
      <c r="C612" s="8">
        <v>0.1</v>
      </c>
      <c r="D612" s="8">
        <v>0.1</v>
      </c>
    </row>
    <row r="613" spans="1:4" x14ac:dyDescent="0.2">
      <c r="A613" s="15" t="s">
        <v>26</v>
      </c>
      <c r="B613" s="8">
        <v>0</v>
      </c>
      <c r="C613" s="8">
        <v>0</v>
      </c>
      <c r="D613" s="8">
        <v>0</v>
      </c>
    </row>
    <row r="614" spans="1:4" x14ac:dyDescent="0.2">
      <c r="A614" s="14" t="s">
        <v>144</v>
      </c>
      <c r="B614" s="8">
        <v>0.184</v>
      </c>
      <c r="C614" s="8">
        <v>0.88400000000000001</v>
      </c>
      <c r="D614" s="8">
        <v>1.0680000000000001</v>
      </c>
    </row>
    <row r="615" spans="1:4" x14ac:dyDescent="0.2">
      <c r="A615" s="15" t="s">
        <v>19</v>
      </c>
      <c r="B615" s="8">
        <v>0.12</v>
      </c>
      <c r="C615" s="8">
        <v>0.12</v>
      </c>
      <c r="D615" s="8">
        <v>0.24</v>
      </c>
    </row>
    <row r="616" spans="1:4" x14ac:dyDescent="0.2">
      <c r="A616" s="15" t="s">
        <v>27</v>
      </c>
      <c r="B616" s="8">
        <v>0</v>
      </c>
      <c r="C616" s="8">
        <v>0</v>
      </c>
      <c r="D616" s="8">
        <v>0</v>
      </c>
    </row>
    <row r="617" spans="1:4" x14ac:dyDescent="0.2">
      <c r="A617" s="15" t="s">
        <v>28</v>
      </c>
      <c r="B617" s="8">
        <v>0</v>
      </c>
      <c r="C617" s="8">
        <v>0.05</v>
      </c>
      <c r="D617" s="8">
        <v>0.05</v>
      </c>
    </row>
    <row r="618" spans="1:4" x14ac:dyDescent="0.2">
      <c r="A618" s="15" t="s">
        <v>20</v>
      </c>
      <c r="B618" s="8">
        <v>6.4000000000000001E-2</v>
      </c>
      <c r="C618" s="8">
        <v>6.4000000000000001E-2</v>
      </c>
      <c r="D618" s="8">
        <v>0.128</v>
      </c>
    </row>
    <row r="619" spans="1:4" x14ac:dyDescent="0.2">
      <c r="A619" s="15" t="s">
        <v>21</v>
      </c>
      <c r="B619" s="8">
        <v>0</v>
      </c>
      <c r="C619" s="8">
        <v>0.05</v>
      </c>
      <c r="D619" s="8">
        <v>0.05</v>
      </c>
    </row>
    <row r="620" spans="1:4" x14ac:dyDescent="0.2">
      <c r="A620" s="15" t="s">
        <v>22</v>
      </c>
      <c r="B620" s="8">
        <v>0</v>
      </c>
      <c r="C620" s="8">
        <v>0.14000000000000001</v>
      </c>
      <c r="D620" s="8">
        <v>0.14000000000000001</v>
      </c>
    </row>
    <row r="621" spans="1:4" x14ac:dyDescent="0.2">
      <c r="A621" s="15" t="s">
        <v>23</v>
      </c>
      <c r="B621" s="8">
        <v>0</v>
      </c>
      <c r="C621" s="8">
        <v>0.11</v>
      </c>
      <c r="D621" s="8">
        <v>0.11</v>
      </c>
    </row>
    <row r="622" spans="1:4" x14ac:dyDescent="0.2">
      <c r="A622" s="15" t="s">
        <v>24</v>
      </c>
      <c r="B622" s="8">
        <v>0</v>
      </c>
      <c r="C622" s="8">
        <v>0.15</v>
      </c>
      <c r="D622" s="8">
        <v>0.15</v>
      </c>
    </row>
    <row r="623" spans="1:4" x14ac:dyDescent="0.2">
      <c r="A623" s="15" t="s">
        <v>25</v>
      </c>
      <c r="B623" s="8">
        <v>0</v>
      </c>
      <c r="C623" s="8">
        <v>0.1</v>
      </c>
      <c r="D623" s="8">
        <v>0.1</v>
      </c>
    </row>
    <row r="624" spans="1:4" x14ac:dyDescent="0.2">
      <c r="A624" s="15" t="s">
        <v>26</v>
      </c>
      <c r="B624" s="8">
        <v>0</v>
      </c>
      <c r="C624" s="8">
        <v>0.1</v>
      </c>
      <c r="D624" s="8">
        <v>0.1</v>
      </c>
    </row>
    <row r="625" spans="1:4" x14ac:dyDescent="0.2">
      <c r="A625" s="14" t="s">
        <v>149</v>
      </c>
      <c r="B625" s="8">
        <v>0.48399999999999999</v>
      </c>
      <c r="C625" s="8">
        <v>0.184</v>
      </c>
      <c r="D625" s="8">
        <v>0.66800000000000004</v>
      </c>
    </row>
    <row r="626" spans="1:4" x14ac:dyDescent="0.2">
      <c r="A626" s="15" t="s">
        <v>19</v>
      </c>
      <c r="B626" s="8">
        <v>0.12</v>
      </c>
      <c r="C626" s="8">
        <v>0.12</v>
      </c>
      <c r="D626" s="8">
        <v>0.24</v>
      </c>
    </row>
    <row r="627" spans="1:4" x14ac:dyDescent="0.2">
      <c r="A627" s="15" t="s">
        <v>27</v>
      </c>
      <c r="B627" s="8">
        <v>0</v>
      </c>
      <c r="C627" s="8">
        <v>0</v>
      </c>
      <c r="D627" s="8">
        <v>0</v>
      </c>
    </row>
    <row r="628" spans="1:4" x14ac:dyDescent="0.2">
      <c r="A628" s="15" t="s">
        <v>28</v>
      </c>
      <c r="B628" s="8">
        <v>0</v>
      </c>
      <c r="C628" s="8">
        <v>0</v>
      </c>
      <c r="D628" s="8">
        <v>0</v>
      </c>
    </row>
    <row r="629" spans="1:4" x14ac:dyDescent="0.2">
      <c r="A629" s="15" t="s">
        <v>20</v>
      </c>
      <c r="B629" s="8">
        <v>6.4000000000000001E-2</v>
      </c>
      <c r="C629" s="8">
        <v>6.4000000000000001E-2</v>
      </c>
      <c r="D629" s="8">
        <v>0.128</v>
      </c>
    </row>
    <row r="630" spans="1:4" x14ac:dyDescent="0.2">
      <c r="A630" s="15" t="s">
        <v>21</v>
      </c>
      <c r="B630" s="8">
        <v>0.05</v>
      </c>
      <c r="C630" s="8">
        <v>0</v>
      </c>
      <c r="D630" s="8">
        <v>0.05</v>
      </c>
    </row>
    <row r="631" spans="1:4" x14ac:dyDescent="0.2">
      <c r="A631" s="15" t="s">
        <v>22</v>
      </c>
      <c r="B631" s="8">
        <v>0.14000000000000001</v>
      </c>
      <c r="C631" s="8">
        <v>0</v>
      </c>
      <c r="D631" s="8">
        <v>0.14000000000000001</v>
      </c>
    </row>
    <row r="632" spans="1:4" x14ac:dyDescent="0.2">
      <c r="A632" s="15" t="s">
        <v>23</v>
      </c>
      <c r="B632" s="8">
        <v>0.11</v>
      </c>
      <c r="C632" s="8">
        <v>0</v>
      </c>
      <c r="D632" s="8">
        <v>0.11</v>
      </c>
    </row>
    <row r="633" spans="1:4" x14ac:dyDescent="0.2">
      <c r="A633" s="15" t="s">
        <v>24</v>
      </c>
      <c r="B633" s="8">
        <v>0</v>
      </c>
      <c r="C633" s="8">
        <v>0</v>
      </c>
      <c r="D633" s="8">
        <v>0</v>
      </c>
    </row>
    <row r="634" spans="1:4" x14ac:dyDescent="0.2">
      <c r="A634" s="15" t="s">
        <v>25</v>
      </c>
      <c r="B634" s="8">
        <v>0</v>
      </c>
      <c r="C634" s="8">
        <v>0</v>
      </c>
      <c r="D634" s="8">
        <v>0</v>
      </c>
    </row>
    <row r="635" spans="1:4" x14ac:dyDescent="0.2">
      <c r="A635" s="15" t="s">
        <v>26</v>
      </c>
      <c r="B635" s="8">
        <v>0</v>
      </c>
      <c r="C635" s="8">
        <v>0</v>
      </c>
      <c r="D635" s="8">
        <v>0</v>
      </c>
    </row>
    <row r="636" spans="1:4" x14ac:dyDescent="0.2">
      <c r="A636" s="14" t="s">
        <v>281</v>
      </c>
      <c r="B636" s="8">
        <v>0.16999999999999998</v>
      </c>
      <c r="C636" s="8">
        <v>0.52400000000000002</v>
      </c>
      <c r="D636" s="8">
        <v>0.69399999999999995</v>
      </c>
    </row>
    <row r="637" spans="1:4" x14ac:dyDescent="0.2">
      <c r="A637" s="15" t="s">
        <v>19</v>
      </c>
      <c r="B637" s="8">
        <v>0.12</v>
      </c>
      <c r="C637" s="8">
        <v>0.12</v>
      </c>
      <c r="D637" s="8">
        <v>0.24</v>
      </c>
    </row>
    <row r="638" spans="1:4" x14ac:dyDescent="0.2">
      <c r="A638" s="15" t="s">
        <v>27</v>
      </c>
      <c r="B638" s="8">
        <v>0</v>
      </c>
      <c r="C638" s="8">
        <v>0</v>
      </c>
      <c r="D638" s="8">
        <v>0</v>
      </c>
    </row>
    <row r="639" spans="1:4" x14ac:dyDescent="0.2">
      <c r="A639" s="15" t="s">
        <v>28</v>
      </c>
      <c r="B639" s="8">
        <v>0</v>
      </c>
      <c r="C639" s="8">
        <v>0</v>
      </c>
      <c r="D639" s="8">
        <v>0</v>
      </c>
    </row>
    <row r="640" spans="1:4" x14ac:dyDescent="0.2">
      <c r="A640" s="15" t="s">
        <v>20</v>
      </c>
      <c r="B640" s="8">
        <v>0</v>
      </c>
      <c r="C640" s="8">
        <v>6.4000000000000001E-2</v>
      </c>
      <c r="D640" s="8">
        <v>6.4000000000000001E-2</v>
      </c>
    </row>
    <row r="641" spans="1:4" x14ac:dyDescent="0.2">
      <c r="A641" s="15" t="s">
        <v>21</v>
      </c>
      <c r="B641" s="8">
        <v>0.05</v>
      </c>
      <c r="C641" s="8">
        <v>0</v>
      </c>
      <c r="D641" s="8">
        <v>0.05</v>
      </c>
    </row>
    <row r="642" spans="1:4" x14ac:dyDescent="0.2">
      <c r="A642" s="15" t="s">
        <v>22</v>
      </c>
      <c r="B642" s="8">
        <v>0</v>
      </c>
      <c r="C642" s="8">
        <v>0.14000000000000001</v>
      </c>
      <c r="D642" s="8">
        <v>0.14000000000000001</v>
      </c>
    </row>
    <row r="643" spans="1:4" x14ac:dyDescent="0.2">
      <c r="A643" s="15" t="s">
        <v>23</v>
      </c>
      <c r="B643" s="8">
        <v>0</v>
      </c>
      <c r="C643" s="8">
        <v>0</v>
      </c>
      <c r="D643" s="8">
        <v>0</v>
      </c>
    </row>
    <row r="644" spans="1:4" x14ac:dyDescent="0.2">
      <c r="A644" s="15" t="s">
        <v>24</v>
      </c>
      <c r="B644" s="8">
        <v>0</v>
      </c>
      <c r="C644" s="8">
        <v>0</v>
      </c>
      <c r="D644" s="8">
        <v>0</v>
      </c>
    </row>
    <row r="645" spans="1:4" x14ac:dyDescent="0.2">
      <c r="A645" s="15" t="s">
        <v>25</v>
      </c>
      <c r="B645" s="8">
        <v>0</v>
      </c>
      <c r="C645" s="8">
        <v>0.1</v>
      </c>
      <c r="D645" s="8">
        <v>0.1</v>
      </c>
    </row>
    <row r="646" spans="1:4" x14ac:dyDescent="0.2">
      <c r="A646" s="15" t="s">
        <v>26</v>
      </c>
      <c r="B646" s="8">
        <v>0</v>
      </c>
      <c r="C646" s="8">
        <v>0.1</v>
      </c>
      <c r="D646" s="8">
        <v>0.1</v>
      </c>
    </row>
    <row r="647" spans="1:4" x14ac:dyDescent="0.2">
      <c r="A647" s="14" t="s">
        <v>299</v>
      </c>
      <c r="B647" s="8">
        <v>0.88400000000000001</v>
      </c>
      <c r="C647" s="8">
        <v>0.23399999999999999</v>
      </c>
      <c r="D647" s="8">
        <v>1.1180000000000001</v>
      </c>
    </row>
    <row r="648" spans="1:4" x14ac:dyDescent="0.2">
      <c r="A648" s="15" t="s">
        <v>19</v>
      </c>
      <c r="B648" s="8">
        <v>0.12</v>
      </c>
      <c r="C648" s="8">
        <v>0.12</v>
      </c>
      <c r="D648" s="8">
        <v>0.24</v>
      </c>
    </row>
    <row r="649" spans="1:4" x14ac:dyDescent="0.2">
      <c r="A649" s="15" t="s">
        <v>27</v>
      </c>
      <c r="B649" s="8">
        <v>0</v>
      </c>
      <c r="C649" s="8">
        <v>0</v>
      </c>
      <c r="D649" s="8">
        <v>0</v>
      </c>
    </row>
    <row r="650" spans="1:4" x14ac:dyDescent="0.2">
      <c r="A650" s="15" t="s">
        <v>28</v>
      </c>
      <c r="B650" s="8">
        <v>0.05</v>
      </c>
      <c r="C650" s="8">
        <v>0</v>
      </c>
      <c r="D650" s="8">
        <v>0.05</v>
      </c>
    </row>
    <row r="651" spans="1:4" x14ac:dyDescent="0.2">
      <c r="A651" s="15" t="s">
        <v>20</v>
      </c>
      <c r="B651" s="8">
        <v>6.4000000000000001E-2</v>
      </c>
      <c r="C651" s="8">
        <v>6.4000000000000001E-2</v>
      </c>
      <c r="D651" s="8">
        <v>0.128</v>
      </c>
    </row>
    <row r="652" spans="1:4" x14ac:dyDescent="0.2">
      <c r="A652" s="15" t="s">
        <v>21</v>
      </c>
      <c r="B652" s="8">
        <v>0.05</v>
      </c>
      <c r="C652" s="8">
        <v>0.05</v>
      </c>
      <c r="D652" s="8">
        <v>0.1</v>
      </c>
    </row>
    <row r="653" spans="1:4" x14ac:dyDescent="0.2">
      <c r="A653" s="15" t="s">
        <v>22</v>
      </c>
      <c r="B653" s="8">
        <v>0.14000000000000001</v>
      </c>
      <c r="C653" s="8">
        <v>0</v>
      </c>
      <c r="D653" s="8">
        <v>0.14000000000000001</v>
      </c>
    </row>
    <row r="654" spans="1:4" x14ac:dyDescent="0.2">
      <c r="A654" s="15" t="s">
        <v>23</v>
      </c>
      <c r="B654" s="8">
        <v>0.11</v>
      </c>
      <c r="C654" s="8">
        <v>0</v>
      </c>
      <c r="D654" s="8">
        <v>0.11</v>
      </c>
    </row>
    <row r="655" spans="1:4" x14ac:dyDescent="0.2">
      <c r="A655" s="15" t="s">
        <v>24</v>
      </c>
      <c r="B655" s="8">
        <v>0.15</v>
      </c>
      <c r="C655" s="8">
        <v>0</v>
      </c>
      <c r="D655" s="8">
        <v>0.15</v>
      </c>
    </row>
    <row r="656" spans="1:4" x14ac:dyDescent="0.2">
      <c r="A656" s="15" t="s">
        <v>25</v>
      </c>
      <c r="B656" s="8">
        <v>0.1</v>
      </c>
      <c r="C656" s="8">
        <v>0</v>
      </c>
      <c r="D656" s="8">
        <v>0.1</v>
      </c>
    </row>
    <row r="657" spans="1:4" x14ac:dyDescent="0.2">
      <c r="A657" s="15" t="s">
        <v>26</v>
      </c>
      <c r="B657" s="8">
        <v>0.1</v>
      </c>
      <c r="C657" s="8">
        <v>0</v>
      </c>
      <c r="D657" s="8">
        <v>0.1</v>
      </c>
    </row>
    <row r="658" spans="1:4" x14ac:dyDescent="0.2">
      <c r="A658" s="14" t="s">
        <v>311</v>
      </c>
      <c r="B658" s="8">
        <v>0.44399999999999995</v>
      </c>
      <c r="C658" s="8">
        <v>0.184</v>
      </c>
      <c r="D658" s="8">
        <v>0.628</v>
      </c>
    </row>
    <row r="659" spans="1:4" x14ac:dyDescent="0.2">
      <c r="A659" s="15" t="s">
        <v>19</v>
      </c>
      <c r="B659" s="8">
        <v>0.12</v>
      </c>
      <c r="C659" s="8">
        <v>0.12</v>
      </c>
      <c r="D659" s="8">
        <v>0.24</v>
      </c>
    </row>
    <row r="660" spans="1:4" x14ac:dyDescent="0.2">
      <c r="A660" s="15" t="s">
        <v>27</v>
      </c>
      <c r="B660" s="8">
        <v>0</v>
      </c>
      <c r="C660" s="8">
        <v>0</v>
      </c>
      <c r="D660" s="8">
        <v>0</v>
      </c>
    </row>
    <row r="661" spans="1:4" x14ac:dyDescent="0.2">
      <c r="A661" s="15" t="s">
        <v>28</v>
      </c>
      <c r="B661" s="8">
        <v>0</v>
      </c>
      <c r="C661" s="8">
        <v>-0.05</v>
      </c>
      <c r="D661" s="8">
        <v>-0.05</v>
      </c>
    </row>
    <row r="662" spans="1:4" x14ac:dyDescent="0.2">
      <c r="A662" s="15" t="s">
        <v>20</v>
      </c>
      <c r="B662" s="8">
        <v>6.4000000000000001E-2</v>
      </c>
      <c r="C662" s="8">
        <v>6.4000000000000001E-2</v>
      </c>
      <c r="D662" s="8">
        <v>0.128</v>
      </c>
    </row>
    <row r="663" spans="1:4" x14ac:dyDescent="0.2">
      <c r="A663" s="15" t="s">
        <v>21</v>
      </c>
      <c r="B663" s="8">
        <v>0.05</v>
      </c>
      <c r="C663" s="8">
        <v>0.05</v>
      </c>
      <c r="D663" s="8">
        <v>0.1</v>
      </c>
    </row>
    <row r="664" spans="1:4" x14ac:dyDescent="0.2">
      <c r="A664" s="15" t="s">
        <v>22</v>
      </c>
      <c r="B664" s="8">
        <v>0</v>
      </c>
      <c r="C664" s="8">
        <v>0</v>
      </c>
      <c r="D664" s="8">
        <v>0</v>
      </c>
    </row>
    <row r="665" spans="1:4" x14ac:dyDescent="0.2">
      <c r="A665" s="15" t="s">
        <v>23</v>
      </c>
      <c r="B665" s="8">
        <v>0.11</v>
      </c>
      <c r="C665" s="8">
        <v>0</v>
      </c>
      <c r="D665" s="8">
        <v>0.11</v>
      </c>
    </row>
    <row r="666" spans="1:4" x14ac:dyDescent="0.2">
      <c r="A666" s="15" t="s">
        <v>24</v>
      </c>
      <c r="B666" s="8">
        <v>0</v>
      </c>
      <c r="C666" s="8">
        <v>0</v>
      </c>
      <c r="D666" s="8">
        <v>0</v>
      </c>
    </row>
    <row r="667" spans="1:4" x14ac:dyDescent="0.2">
      <c r="A667" s="15" t="s">
        <v>25</v>
      </c>
      <c r="B667" s="8">
        <v>0</v>
      </c>
      <c r="C667" s="8">
        <v>0</v>
      </c>
      <c r="D667" s="8">
        <v>0</v>
      </c>
    </row>
    <row r="668" spans="1:4" x14ac:dyDescent="0.2">
      <c r="A668" s="15" t="s">
        <v>26</v>
      </c>
      <c r="B668" s="8">
        <v>0.1</v>
      </c>
      <c r="C668" s="8">
        <v>0</v>
      </c>
      <c r="D668" s="8">
        <v>0.1</v>
      </c>
    </row>
    <row r="669" spans="1:4" x14ac:dyDescent="0.2">
      <c r="A669" s="14" t="s">
        <v>346</v>
      </c>
      <c r="B669" s="8">
        <v>0.16999999999999998</v>
      </c>
      <c r="C669" s="8">
        <v>5.9999999999999915E-3</v>
      </c>
      <c r="D669" s="8">
        <v>0.17599999999999999</v>
      </c>
    </row>
    <row r="670" spans="1:4" x14ac:dyDescent="0.2">
      <c r="A670" s="15" t="s">
        <v>19</v>
      </c>
      <c r="B670" s="8">
        <v>0.12</v>
      </c>
      <c r="C670" s="8">
        <v>0.12</v>
      </c>
      <c r="D670" s="8">
        <v>0.24</v>
      </c>
    </row>
    <row r="671" spans="1:4" x14ac:dyDescent="0.2">
      <c r="A671" s="15" t="s">
        <v>27</v>
      </c>
      <c r="B671" s="8">
        <v>0</v>
      </c>
      <c r="C671" s="8">
        <v>0</v>
      </c>
      <c r="D671" s="8">
        <v>0</v>
      </c>
    </row>
    <row r="672" spans="1:4" x14ac:dyDescent="0.2">
      <c r="A672" s="15" t="s">
        <v>28</v>
      </c>
      <c r="B672" s="8">
        <v>0</v>
      </c>
      <c r="C672" s="8">
        <v>-0.05</v>
      </c>
      <c r="D672" s="8">
        <v>-0.05</v>
      </c>
    </row>
    <row r="673" spans="1:4" x14ac:dyDescent="0.2">
      <c r="A673" s="15" t="s">
        <v>20</v>
      </c>
      <c r="B673" s="8">
        <v>0</v>
      </c>
      <c r="C673" s="8">
        <v>-6.4000000000000001E-2</v>
      </c>
      <c r="D673" s="8">
        <v>-6.4000000000000001E-2</v>
      </c>
    </row>
    <row r="674" spans="1:4" x14ac:dyDescent="0.2">
      <c r="A674" s="15" t="s">
        <v>21</v>
      </c>
      <c r="B674" s="8">
        <v>0.05</v>
      </c>
      <c r="C674" s="8">
        <v>0</v>
      </c>
      <c r="D674" s="8">
        <v>0.05</v>
      </c>
    </row>
    <row r="675" spans="1:4" x14ac:dyDescent="0.2">
      <c r="A675" s="15" t="s">
        <v>22</v>
      </c>
      <c r="B675" s="8">
        <v>0</v>
      </c>
      <c r="C675" s="8">
        <v>0</v>
      </c>
      <c r="D675" s="8">
        <v>0</v>
      </c>
    </row>
    <row r="676" spans="1:4" x14ac:dyDescent="0.2">
      <c r="A676" s="15" t="s">
        <v>23</v>
      </c>
      <c r="B676" s="8">
        <v>0</v>
      </c>
      <c r="C676" s="8">
        <v>0</v>
      </c>
      <c r="D676" s="8">
        <v>0</v>
      </c>
    </row>
    <row r="677" spans="1:4" x14ac:dyDescent="0.2">
      <c r="A677" s="15" t="s">
        <v>24</v>
      </c>
      <c r="B677" s="8">
        <v>0</v>
      </c>
      <c r="C677" s="8">
        <v>0</v>
      </c>
      <c r="D677" s="8">
        <v>0</v>
      </c>
    </row>
    <row r="678" spans="1:4" x14ac:dyDescent="0.2">
      <c r="A678" s="15" t="s">
        <v>25</v>
      </c>
      <c r="B678" s="8">
        <v>0</v>
      </c>
      <c r="C678" s="8">
        <v>0</v>
      </c>
      <c r="D678" s="8">
        <v>0</v>
      </c>
    </row>
    <row r="679" spans="1:4" x14ac:dyDescent="0.2">
      <c r="A679" s="15" t="s">
        <v>26</v>
      </c>
      <c r="B679" s="8">
        <v>0</v>
      </c>
      <c r="C679" s="8">
        <v>0</v>
      </c>
      <c r="D679" s="8">
        <v>0</v>
      </c>
    </row>
    <row r="680" spans="1:4" x14ac:dyDescent="0.2">
      <c r="A680" s="14" t="s">
        <v>417</v>
      </c>
      <c r="B680" s="8">
        <v>0.33399999999999996</v>
      </c>
      <c r="C680" s="8">
        <v>-0.53</v>
      </c>
      <c r="D680" s="8">
        <v>-0.19600000000000001</v>
      </c>
    </row>
    <row r="681" spans="1:4" x14ac:dyDescent="0.2">
      <c r="A681" s="15" t="s">
        <v>19</v>
      </c>
      <c r="B681" s="8">
        <v>0.12</v>
      </c>
      <c r="C681" s="8">
        <v>0.12</v>
      </c>
      <c r="D681" s="8">
        <v>0.24</v>
      </c>
    </row>
    <row r="682" spans="1:4" x14ac:dyDescent="0.2">
      <c r="A682" s="15" t="s">
        <v>27</v>
      </c>
      <c r="B682" s="8">
        <v>0</v>
      </c>
      <c r="C682" s="8">
        <v>0</v>
      </c>
      <c r="D682" s="8">
        <v>0</v>
      </c>
    </row>
    <row r="683" spans="1:4" x14ac:dyDescent="0.2">
      <c r="A683" s="15" t="s">
        <v>28</v>
      </c>
      <c r="B683" s="8">
        <v>0</v>
      </c>
      <c r="C683" s="8">
        <v>-0.05</v>
      </c>
      <c r="D683" s="8">
        <v>-0.05</v>
      </c>
    </row>
    <row r="684" spans="1:4" x14ac:dyDescent="0.2">
      <c r="A684" s="15" t="s">
        <v>20</v>
      </c>
      <c r="B684" s="8">
        <v>6.4000000000000001E-2</v>
      </c>
      <c r="C684" s="8">
        <v>0</v>
      </c>
      <c r="D684" s="8">
        <v>6.4000000000000001E-2</v>
      </c>
    </row>
    <row r="685" spans="1:4" x14ac:dyDescent="0.2">
      <c r="A685" s="15" t="s">
        <v>21</v>
      </c>
      <c r="B685" s="8">
        <v>0.05</v>
      </c>
      <c r="C685" s="8">
        <v>0</v>
      </c>
      <c r="D685" s="8">
        <v>0.05</v>
      </c>
    </row>
    <row r="686" spans="1:4" x14ac:dyDescent="0.2">
      <c r="A686" s="15" t="s">
        <v>22</v>
      </c>
      <c r="B686" s="8">
        <v>0</v>
      </c>
      <c r="C686" s="8">
        <v>-0.14000000000000001</v>
      </c>
      <c r="D686" s="8">
        <v>-0.14000000000000001</v>
      </c>
    </row>
    <row r="687" spans="1:4" x14ac:dyDescent="0.2">
      <c r="A687" s="15" t="s">
        <v>23</v>
      </c>
      <c r="B687" s="8">
        <v>0</v>
      </c>
      <c r="C687" s="8">
        <v>-0.11</v>
      </c>
      <c r="D687" s="8">
        <v>-0.11</v>
      </c>
    </row>
    <row r="688" spans="1:4" x14ac:dyDescent="0.2">
      <c r="A688" s="15" t="s">
        <v>24</v>
      </c>
      <c r="B688" s="8">
        <v>0</v>
      </c>
      <c r="C688" s="8">
        <v>-0.15</v>
      </c>
      <c r="D688" s="8">
        <v>-0.15</v>
      </c>
    </row>
    <row r="689" spans="1:4" x14ac:dyDescent="0.2">
      <c r="A689" s="15" t="s">
        <v>25</v>
      </c>
      <c r="B689" s="8">
        <v>0</v>
      </c>
      <c r="C689" s="8">
        <v>-0.1</v>
      </c>
      <c r="D689" s="8">
        <v>-0.1</v>
      </c>
    </row>
    <row r="690" spans="1:4" x14ac:dyDescent="0.2">
      <c r="A690" s="15" t="s">
        <v>26</v>
      </c>
      <c r="B690" s="8">
        <v>0.1</v>
      </c>
      <c r="C690" s="8">
        <v>-0.1</v>
      </c>
      <c r="D690" s="8">
        <v>0</v>
      </c>
    </row>
    <row r="691" spans="1:4" x14ac:dyDescent="0.2">
      <c r="A691" s="14" t="s">
        <v>455</v>
      </c>
      <c r="B691" s="8">
        <v>0.48399999999999999</v>
      </c>
      <c r="C691" s="8">
        <v>6.9999999999999993E-2</v>
      </c>
      <c r="D691" s="8">
        <v>0.55400000000000005</v>
      </c>
    </row>
    <row r="692" spans="1:4" x14ac:dyDescent="0.2">
      <c r="A692" s="15" t="s">
        <v>19</v>
      </c>
      <c r="B692" s="8">
        <v>0.12</v>
      </c>
      <c r="C692" s="8">
        <v>0.12</v>
      </c>
      <c r="D692" s="8">
        <v>0.24</v>
      </c>
    </row>
    <row r="693" spans="1:4" x14ac:dyDescent="0.2">
      <c r="A693" s="15" t="s">
        <v>27</v>
      </c>
      <c r="B693" s="8">
        <v>0</v>
      </c>
      <c r="C693" s="8">
        <v>0</v>
      </c>
      <c r="D693" s="8">
        <v>0</v>
      </c>
    </row>
    <row r="694" spans="1:4" x14ac:dyDescent="0.2">
      <c r="A694" s="15" t="s">
        <v>28</v>
      </c>
      <c r="B694" s="8">
        <v>0</v>
      </c>
      <c r="C694" s="8">
        <v>-0.05</v>
      </c>
      <c r="D694" s="8">
        <v>-0.05</v>
      </c>
    </row>
    <row r="695" spans="1:4" x14ac:dyDescent="0.2">
      <c r="A695" s="15" t="s">
        <v>20</v>
      </c>
      <c r="B695" s="8">
        <v>6.4000000000000001E-2</v>
      </c>
      <c r="C695" s="8">
        <v>0</v>
      </c>
      <c r="D695" s="8">
        <v>6.4000000000000001E-2</v>
      </c>
    </row>
    <row r="696" spans="1:4" x14ac:dyDescent="0.2">
      <c r="A696" s="15" t="s">
        <v>21</v>
      </c>
      <c r="B696" s="8">
        <v>0.05</v>
      </c>
      <c r="C696" s="8">
        <v>0</v>
      </c>
      <c r="D696" s="8">
        <v>0.05</v>
      </c>
    </row>
    <row r="697" spans="1:4" x14ac:dyDescent="0.2">
      <c r="A697" s="15" t="s">
        <v>22</v>
      </c>
      <c r="B697" s="8">
        <v>0.14000000000000001</v>
      </c>
      <c r="C697" s="8">
        <v>0</v>
      </c>
      <c r="D697" s="8">
        <v>0.14000000000000001</v>
      </c>
    </row>
    <row r="698" spans="1:4" x14ac:dyDescent="0.2">
      <c r="A698" s="15" t="s">
        <v>23</v>
      </c>
      <c r="B698" s="8">
        <v>0.11</v>
      </c>
      <c r="C698" s="8">
        <v>0</v>
      </c>
      <c r="D698" s="8">
        <v>0.11</v>
      </c>
    </row>
    <row r="699" spans="1:4" x14ac:dyDescent="0.2">
      <c r="A699" s="15" t="s">
        <v>24</v>
      </c>
      <c r="B699" s="8">
        <v>0</v>
      </c>
      <c r="C699" s="8">
        <v>0</v>
      </c>
      <c r="D699" s="8">
        <v>0</v>
      </c>
    </row>
    <row r="700" spans="1:4" x14ac:dyDescent="0.2">
      <c r="A700" s="15" t="s">
        <v>25</v>
      </c>
      <c r="B700" s="8">
        <v>0</v>
      </c>
      <c r="C700" s="8">
        <v>0</v>
      </c>
      <c r="D700" s="8">
        <v>0</v>
      </c>
    </row>
    <row r="701" spans="1:4" x14ac:dyDescent="0.2">
      <c r="A701" s="15" t="s">
        <v>26</v>
      </c>
      <c r="B701" s="8">
        <v>0</v>
      </c>
      <c r="C701" s="8">
        <v>0</v>
      </c>
      <c r="D701" s="8">
        <v>0</v>
      </c>
    </row>
    <row r="702" spans="1:4" x14ac:dyDescent="0.2">
      <c r="A702" s="14" t="s">
        <v>464</v>
      </c>
      <c r="B702" s="8">
        <v>0.6339999999999999</v>
      </c>
      <c r="C702" s="8">
        <v>0.88400000000000001</v>
      </c>
      <c r="D702" s="8">
        <v>1.5179999999999998</v>
      </c>
    </row>
    <row r="703" spans="1:4" x14ac:dyDescent="0.2">
      <c r="A703" s="15" t="s">
        <v>19</v>
      </c>
      <c r="B703" s="8">
        <v>0.12</v>
      </c>
      <c r="C703" s="8">
        <v>0.12</v>
      </c>
      <c r="D703" s="8">
        <v>0.24</v>
      </c>
    </row>
    <row r="704" spans="1:4" x14ac:dyDescent="0.2">
      <c r="A704" s="15" t="s">
        <v>27</v>
      </c>
      <c r="B704" s="8">
        <v>0</v>
      </c>
      <c r="C704" s="8">
        <v>0</v>
      </c>
      <c r="D704" s="8">
        <v>0</v>
      </c>
    </row>
    <row r="705" spans="1:4" x14ac:dyDescent="0.2">
      <c r="A705" s="15" t="s">
        <v>28</v>
      </c>
      <c r="B705" s="8">
        <v>0.05</v>
      </c>
      <c r="C705" s="8">
        <v>0.05</v>
      </c>
      <c r="D705" s="8">
        <v>0.1</v>
      </c>
    </row>
    <row r="706" spans="1:4" x14ac:dyDescent="0.2">
      <c r="A706" s="15" t="s">
        <v>20</v>
      </c>
      <c r="B706" s="8">
        <v>6.4000000000000001E-2</v>
      </c>
      <c r="C706" s="8">
        <v>6.4000000000000001E-2</v>
      </c>
      <c r="D706" s="8">
        <v>0.128</v>
      </c>
    </row>
    <row r="707" spans="1:4" x14ac:dyDescent="0.2">
      <c r="A707" s="15" t="s">
        <v>21</v>
      </c>
      <c r="B707" s="8">
        <v>0.05</v>
      </c>
      <c r="C707" s="8">
        <v>0.05</v>
      </c>
      <c r="D707" s="8">
        <v>0.1</v>
      </c>
    </row>
    <row r="708" spans="1:4" x14ac:dyDescent="0.2">
      <c r="A708" s="15" t="s">
        <v>22</v>
      </c>
      <c r="B708" s="8">
        <v>0</v>
      </c>
      <c r="C708" s="8">
        <v>0.14000000000000001</v>
      </c>
      <c r="D708" s="8">
        <v>0.14000000000000001</v>
      </c>
    </row>
    <row r="709" spans="1:4" x14ac:dyDescent="0.2">
      <c r="A709" s="15" t="s">
        <v>23</v>
      </c>
      <c r="B709" s="8">
        <v>0</v>
      </c>
      <c r="C709" s="8">
        <v>0.11</v>
      </c>
      <c r="D709" s="8">
        <v>0.11</v>
      </c>
    </row>
    <row r="710" spans="1:4" x14ac:dyDescent="0.2">
      <c r="A710" s="15" t="s">
        <v>24</v>
      </c>
      <c r="B710" s="8">
        <v>0.15</v>
      </c>
      <c r="C710" s="8">
        <v>0.15</v>
      </c>
      <c r="D710" s="8">
        <v>0.3</v>
      </c>
    </row>
    <row r="711" spans="1:4" x14ac:dyDescent="0.2">
      <c r="A711" s="15" t="s">
        <v>25</v>
      </c>
      <c r="B711" s="8">
        <v>0.1</v>
      </c>
      <c r="C711" s="8">
        <v>0.1</v>
      </c>
      <c r="D711" s="8">
        <v>0.2</v>
      </c>
    </row>
    <row r="712" spans="1:4" x14ac:dyDescent="0.2">
      <c r="A712" s="15" t="s">
        <v>26</v>
      </c>
      <c r="B712" s="8">
        <v>0.1</v>
      </c>
      <c r="C712" s="8">
        <v>0.1</v>
      </c>
      <c r="D712" s="8">
        <v>0.2</v>
      </c>
    </row>
    <row r="713" spans="1:4" x14ac:dyDescent="0.2">
      <c r="A713" s="14" t="s">
        <v>502</v>
      </c>
      <c r="B713" s="8">
        <v>0.88400000000000001</v>
      </c>
      <c r="C713" s="8">
        <v>0.23399999999999999</v>
      </c>
      <c r="D713" s="8">
        <v>1.1180000000000001</v>
      </c>
    </row>
    <row r="714" spans="1:4" x14ac:dyDescent="0.2">
      <c r="A714" s="15" t="s">
        <v>19</v>
      </c>
      <c r="B714" s="8">
        <v>0.12</v>
      </c>
      <c r="C714" s="8">
        <v>0.12</v>
      </c>
      <c r="D714" s="8">
        <v>0.24</v>
      </c>
    </row>
    <row r="715" spans="1:4" x14ac:dyDescent="0.2">
      <c r="A715" s="15" t="s">
        <v>27</v>
      </c>
      <c r="B715" s="8">
        <v>0</v>
      </c>
      <c r="C715" s="8">
        <v>0</v>
      </c>
      <c r="D715" s="8">
        <v>0</v>
      </c>
    </row>
    <row r="716" spans="1:4" x14ac:dyDescent="0.2">
      <c r="A716" s="15" t="s">
        <v>28</v>
      </c>
      <c r="B716" s="8">
        <v>0.05</v>
      </c>
      <c r="C716" s="8">
        <v>0</v>
      </c>
      <c r="D716" s="8">
        <v>0.05</v>
      </c>
    </row>
    <row r="717" spans="1:4" x14ac:dyDescent="0.2">
      <c r="A717" s="15" t="s">
        <v>20</v>
      </c>
      <c r="B717" s="8">
        <v>6.4000000000000001E-2</v>
      </c>
      <c r="C717" s="8">
        <v>6.4000000000000001E-2</v>
      </c>
      <c r="D717" s="8">
        <v>0.128</v>
      </c>
    </row>
    <row r="718" spans="1:4" x14ac:dyDescent="0.2">
      <c r="A718" s="15" t="s">
        <v>21</v>
      </c>
      <c r="B718" s="8">
        <v>0.05</v>
      </c>
      <c r="C718" s="8">
        <v>0.05</v>
      </c>
      <c r="D718" s="8">
        <v>0.1</v>
      </c>
    </row>
    <row r="719" spans="1:4" x14ac:dyDescent="0.2">
      <c r="A719" s="15" t="s">
        <v>22</v>
      </c>
      <c r="B719" s="8">
        <v>0.14000000000000001</v>
      </c>
      <c r="C719" s="8">
        <v>0</v>
      </c>
      <c r="D719" s="8">
        <v>0.14000000000000001</v>
      </c>
    </row>
    <row r="720" spans="1:4" x14ac:dyDescent="0.2">
      <c r="A720" s="15" t="s">
        <v>23</v>
      </c>
      <c r="B720" s="8">
        <v>0.11</v>
      </c>
      <c r="C720" s="8">
        <v>0</v>
      </c>
      <c r="D720" s="8">
        <v>0.11</v>
      </c>
    </row>
    <row r="721" spans="1:4" x14ac:dyDescent="0.2">
      <c r="A721" s="15" t="s">
        <v>24</v>
      </c>
      <c r="B721" s="8">
        <v>0.15</v>
      </c>
      <c r="C721" s="8">
        <v>0</v>
      </c>
      <c r="D721" s="8">
        <v>0.15</v>
      </c>
    </row>
    <row r="722" spans="1:4" x14ac:dyDescent="0.2">
      <c r="A722" s="15" t="s">
        <v>25</v>
      </c>
      <c r="B722" s="8">
        <v>0.1</v>
      </c>
      <c r="C722" s="8">
        <v>0</v>
      </c>
      <c r="D722" s="8">
        <v>0.1</v>
      </c>
    </row>
    <row r="723" spans="1:4" x14ac:dyDescent="0.2">
      <c r="A723" s="15" t="s">
        <v>26</v>
      </c>
      <c r="B723" s="8">
        <v>0.1</v>
      </c>
      <c r="C723" s="8">
        <v>0</v>
      </c>
      <c r="D723" s="8">
        <v>0.1</v>
      </c>
    </row>
    <row r="724" spans="1:4" x14ac:dyDescent="0.2">
      <c r="A724" s="14" t="s">
        <v>517</v>
      </c>
      <c r="B724" s="8">
        <v>0.88400000000000001</v>
      </c>
      <c r="C724" s="8">
        <v>-0.28000000000000003</v>
      </c>
      <c r="D724" s="8">
        <v>0.60399999999999998</v>
      </c>
    </row>
    <row r="725" spans="1:4" x14ac:dyDescent="0.2">
      <c r="A725" s="15" t="s">
        <v>19</v>
      </c>
      <c r="B725" s="8">
        <v>0.12</v>
      </c>
      <c r="C725" s="8">
        <v>0.12</v>
      </c>
      <c r="D725" s="8">
        <v>0.24</v>
      </c>
    </row>
    <row r="726" spans="1:4" x14ac:dyDescent="0.2">
      <c r="A726" s="15" t="s">
        <v>27</v>
      </c>
      <c r="B726" s="8">
        <v>0</v>
      </c>
      <c r="C726" s="8">
        <v>0</v>
      </c>
      <c r="D726" s="8">
        <v>0</v>
      </c>
    </row>
    <row r="727" spans="1:4" x14ac:dyDescent="0.2">
      <c r="A727" s="15" t="s">
        <v>28</v>
      </c>
      <c r="B727" s="8">
        <v>0.05</v>
      </c>
      <c r="C727" s="8">
        <v>-0.05</v>
      </c>
      <c r="D727" s="8">
        <v>0</v>
      </c>
    </row>
    <row r="728" spans="1:4" x14ac:dyDescent="0.2">
      <c r="A728" s="15" t="s">
        <v>20</v>
      </c>
      <c r="B728" s="8">
        <v>6.4000000000000001E-2</v>
      </c>
      <c r="C728" s="8">
        <v>0</v>
      </c>
      <c r="D728" s="8">
        <v>6.4000000000000001E-2</v>
      </c>
    </row>
    <row r="729" spans="1:4" x14ac:dyDescent="0.2">
      <c r="A729" s="15" t="s">
        <v>21</v>
      </c>
      <c r="B729" s="8">
        <v>0.05</v>
      </c>
      <c r="C729" s="8">
        <v>0</v>
      </c>
      <c r="D729" s="8">
        <v>0.05</v>
      </c>
    </row>
    <row r="730" spans="1:4" x14ac:dyDescent="0.2">
      <c r="A730" s="15" t="s">
        <v>22</v>
      </c>
      <c r="B730" s="8">
        <v>0.14000000000000001</v>
      </c>
      <c r="C730" s="8">
        <v>0</v>
      </c>
      <c r="D730" s="8">
        <v>0.14000000000000001</v>
      </c>
    </row>
    <row r="731" spans="1:4" x14ac:dyDescent="0.2">
      <c r="A731" s="15" t="s">
        <v>23</v>
      </c>
      <c r="B731" s="8">
        <v>0.11</v>
      </c>
      <c r="C731" s="8">
        <v>0</v>
      </c>
      <c r="D731" s="8">
        <v>0.11</v>
      </c>
    </row>
    <row r="732" spans="1:4" x14ac:dyDescent="0.2">
      <c r="A732" s="15" t="s">
        <v>24</v>
      </c>
      <c r="B732" s="8">
        <v>0.15</v>
      </c>
      <c r="C732" s="8">
        <v>-0.15</v>
      </c>
      <c r="D732" s="8">
        <v>0</v>
      </c>
    </row>
    <row r="733" spans="1:4" x14ac:dyDescent="0.2">
      <c r="A733" s="15" t="s">
        <v>25</v>
      </c>
      <c r="B733" s="8">
        <v>0.1</v>
      </c>
      <c r="C733" s="8">
        <v>-0.1</v>
      </c>
      <c r="D733" s="8">
        <v>0</v>
      </c>
    </row>
    <row r="734" spans="1:4" x14ac:dyDescent="0.2">
      <c r="A734" s="15" t="s">
        <v>26</v>
      </c>
      <c r="B734" s="8">
        <v>0.1</v>
      </c>
      <c r="C734" s="8">
        <v>-0.1</v>
      </c>
      <c r="D734" s="8">
        <v>0</v>
      </c>
    </row>
    <row r="735" spans="1:4" x14ac:dyDescent="0.2">
      <c r="A735" s="14" t="s">
        <v>529</v>
      </c>
      <c r="B735" s="8">
        <v>0.58399999999999996</v>
      </c>
      <c r="C735" s="8">
        <v>-0.29000000000000004</v>
      </c>
      <c r="D735" s="8">
        <v>0.29400000000000004</v>
      </c>
    </row>
    <row r="736" spans="1:4" x14ac:dyDescent="0.2">
      <c r="A736" s="15" t="s">
        <v>19</v>
      </c>
      <c r="B736" s="8">
        <v>0.12</v>
      </c>
      <c r="C736" s="8">
        <v>0.12</v>
      </c>
      <c r="D736" s="8">
        <v>0.24</v>
      </c>
    </row>
    <row r="737" spans="1:4" x14ac:dyDescent="0.2">
      <c r="A737" s="15" t="s">
        <v>27</v>
      </c>
      <c r="B737" s="8">
        <v>0</v>
      </c>
      <c r="C737" s="8">
        <v>0</v>
      </c>
      <c r="D737" s="8">
        <v>0</v>
      </c>
    </row>
    <row r="738" spans="1:4" x14ac:dyDescent="0.2">
      <c r="A738" s="15" t="s">
        <v>28</v>
      </c>
      <c r="B738" s="8">
        <v>0</v>
      </c>
      <c r="C738" s="8">
        <v>-0.05</v>
      </c>
      <c r="D738" s="8">
        <v>-0.05</v>
      </c>
    </row>
    <row r="739" spans="1:4" x14ac:dyDescent="0.2">
      <c r="A739" s="15" t="s">
        <v>20</v>
      </c>
      <c r="B739" s="8">
        <v>6.4000000000000001E-2</v>
      </c>
      <c r="C739" s="8">
        <v>0</v>
      </c>
      <c r="D739" s="8">
        <v>6.4000000000000001E-2</v>
      </c>
    </row>
    <row r="740" spans="1:4" x14ac:dyDescent="0.2">
      <c r="A740" s="15" t="s">
        <v>21</v>
      </c>
      <c r="B740" s="8">
        <v>0.05</v>
      </c>
      <c r="C740" s="8">
        <v>0</v>
      </c>
      <c r="D740" s="8">
        <v>0.05</v>
      </c>
    </row>
    <row r="741" spans="1:4" x14ac:dyDescent="0.2">
      <c r="A741" s="15" t="s">
        <v>22</v>
      </c>
      <c r="B741" s="8">
        <v>0.14000000000000001</v>
      </c>
      <c r="C741" s="8">
        <v>0</v>
      </c>
      <c r="D741" s="8">
        <v>0.14000000000000001</v>
      </c>
    </row>
    <row r="742" spans="1:4" x14ac:dyDescent="0.2">
      <c r="A742" s="15" t="s">
        <v>23</v>
      </c>
      <c r="B742" s="8">
        <v>0.11</v>
      </c>
      <c r="C742" s="8">
        <v>-0.11</v>
      </c>
      <c r="D742" s="8">
        <v>0</v>
      </c>
    </row>
    <row r="743" spans="1:4" x14ac:dyDescent="0.2">
      <c r="A743" s="15" t="s">
        <v>24</v>
      </c>
      <c r="B743" s="8">
        <v>0</v>
      </c>
      <c r="C743" s="8">
        <v>-0.15</v>
      </c>
      <c r="D743" s="8">
        <v>-0.15</v>
      </c>
    </row>
    <row r="744" spans="1:4" x14ac:dyDescent="0.2">
      <c r="A744" s="15" t="s">
        <v>25</v>
      </c>
      <c r="B744" s="8">
        <v>0.1</v>
      </c>
      <c r="C744" s="8">
        <v>0</v>
      </c>
      <c r="D744" s="8">
        <v>0.1</v>
      </c>
    </row>
    <row r="745" spans="1:4" x14ac:dyDescent="0.2">
      <c r="A745" s="15" t="s">
        <v>26</v>
      </c>
      <c r="B745" s="8">
        <v>0</v>
      </c>
      <c r="C745" s="8">
        <v>-0.1</v>
      </c>
      <c r="D745" s="8">
        <v>-0.1</v>
      </c>
    </row>
    <row r="746" spans="1:4" x14ac:dyDescent="0.2">
      <c r="A746" s="14" t="s">
        <v>550</v>
      </c>
      <c r="B746" s="8">
        <v>0.12</v>
      </c>
      <c r="C746" s="8">
        <v>-0.64400000000000002</v>
      </c>
      <c r="D746" s="8">
        <v>-0.52400000000000002</v>
      </c>
    </row>
    <row r="747" spans="1:4" x14ac:dyDescent="0.2">
      <c r="A747" s="15" t="s">
        <v>19</v>
      </c>
      <c r="B747" s="8">
        <v>0.12</v>
      </c>
      <c r="C747" s="8">
        <v>0.12</v>
      </c>
      <c r="D747" s="8">
        <v>0.24</v>
      </c>
    </row>
    <row r="748" spans="1:4" x14ac:dyDescent="0.2">
      <c r="A748" s="15" t="s">
        <v>27</v>
      </c>
      <c r="B748" s="8">
        <v>0</v>
      </c>
      <c r="C748" s="8">
        <v>0</v>
      </c>
      <c r="D748" s="8">
        <v>0</v>
      </c>
    </row>
    <row r="749" spans="1:4" x14ac:dyDescent="0.2">
      <c r="A749" s="15" t="s">
        <v>28</v>
      </c>
      <c r="B749" s="8">
        <v>0</v>
      </c>
      <c r="C749" s="8">
        <v>-0.05</v>
      </c>
      <c r="D749" s="8">
        <v>-0.05</v>
      </c>
    </row>
    <row r="750" spans="1:4" x14ac:dyDescent="0.2">
      <c r="A750" s="15" t="s">
        <v>20</v>
      </c>
      <c r="B750" s="8">
        <v>0</v>
      </c>
      <c r="C750" s="8">
        <v>-6.4000000000000001E-2</v>
      </c>
      <c r="D750" s="8">
        <v>-6.4000000000000001E-2</v>
      </c>
    </row>
    <row r="751" spans="1:4" x14ac:dyDescent="0.2">
      <c r="A751" s="15" t="s">
        <v>21</v>
      </c>
      <c r="B751" s="8">
        <v>0</v>
      </c>
      <c r="C751" s="8">
        <v>-0.05</v>
      </c>
      <c r="D751" s="8">
        <v>-0.05</v>
      </c>
    </row>
    <row r="752" spans="1:4" x14ac:dyDescent="0.2">
      <c r="A752" s="15" t="s">
        <v>22</v>
      </c>
      <c r="B752" s="8">
        <v>0</v>
      </c>
      <c r="C752" s="8">
        <v>-0.14000000000000001</v>
      </c>
      <c r="D752" s="8">
        <v>-0.14000000000000001</v>
      </c>
    </row>
    <row r="753" spans="1:4" x14ac:dyDescent="0.2">
      <c r="A753" s="15" t="s">
        <v>23</v>
      </c>
      <c r="B753" s="8">
        <v>0</v>
      </c>
      <c r="C753" s="8">
        <v>-0.11</v>
      </c>
      <c r="D753" s="8">
        <v>-0.11</v>
      </c>
    </row>
    <row r="754" spans="1:4" x14ac:dyDescent="0.2">
      <c r="A754" s="15" t="s">
        <v>24</v>
      </c>
      <c r="B754" s="8">
        <v>0</v>
      </c>
      <c r="C754" s="8">
        <v>-0.15</v>
      </c>
      <c r="D754" s="8">
        <v>-0.15</v>
      </c>
    </row>
    <row r="755" spans="1:4" x14ac:dyDescent="0.2">
      <c r="A755" s="15" t="s">
        <v>25</v>
      </c>
      <c r="B755" s="8">
        <v>0</v>
      </c>
      <c r="C755" s="8">
        <v>-0.1</v>
      </c>
      <c r="D755" s="8">
        <v>-0.1</v>
      </c>
    </row>
    <row r="756" spans="1:4" x14ac:dyDescent="0.2">
      <c r="A756" s="15" t="s">
        <v>26</v>
      </c>
      <c r="B756" s="8">
        <v>0</v>
      </c>
      <c r="C756" s="8">
        <v>-0.1</v>
      </c>
      <c r="D756" s="8">
        <v>-0.1</v>
      </c>
    </row>
    <row r="757" spans="1:4" x14ac:dyDescent="0.2">
      <c r="A757" s="13" t="s">
        <v>87</v>
      </c>
      <c r="B757" s="8">
        <v>9.0860000000000003</v>
      </c>
      <c r="C757" s="8">
        <v>-0.376</v>
      </c>
      <c r="D757" s="8">
        <v>8.7099999999999991</v>
      </c>
    </row>
    <row r="758" spans="1:4" x14ac:dyDescent="0.2">
      <c r="A758" s="14" t="s">
        <v>44</v>
      </c>
      <c r="B758" s="8">
        <v>6.7000000000000032E-2</v>
      </c>
      <c r="C758" s="8">
        <v>0.21999999999999995</v>
      </c>
      <c r="D758" s="8">
        <v>0.28699999999999992</v>
      </c>
    </row>
    <row r="759" spans="1:4" x14ac:dyDescent="0.2">
      <c r="A759" s="15" t="s">
        <v>19</v>
      </c>
      <c r="B759" s="8">
        <v>0.12</v>
      </c>
      <c r="C759" s="8">
        <v>0.12</v>
      </c>
      <c r="D759" s="8">
        <v>0.24</v>
      </c>
    </row>
    <row r="760" spans="1:4" x14ac:dyDescent="0.2">
      <c r="A760" s="15" t="s">
        <v>27</v>
      </c>
      <c r="B760" s="8">
        <v>4.5000000000000005E-2</v>
      </c>
      <c r="C760" s="8">
        <v>0</v>
      </c>
      <c r="D760" s="8">
        <v>4.5000000000000005E-2</v>
      </c>
    </row>
    <row r="761" spans="1:4" x14ac:dyDescent="0.2">
      <c r="A761" s="15" t="s">
        <v>28</v>
      </c>
      <c r="B761" s="8">
        <v>0</v>
      </c>
      <c r="C761" s="8">
        <v>0</v>
      </c>
      <c r="D761" s="8">
        <v>0</v>
      </c>
    </row>
    <row r="762" spans="1:4" x14ac:dyDescent="0.2">
      <c r="A762" s="15" t="s">
        <v>20</v>
      </c>
      <c r="B762" s="8">
        <v>7.2000000000000008E-2</v>
      </c>
      <c r="C762" s="8">
        <v>0</v>
      </c>
      <c r="D762" s="8">
        <v>7.2000000000000008E-2</v>
      </c>
    </row>
    <row r="763" spans="1:4" x14ac:dyDescent="0.2">
      <c r="A763" s="15" t="s">
        <v>21</v>
      </c>
      <c r="B763" s="8">
        <v>0.05</v>
      </c>
      <c r="C763" s="8">
        <v>0.05</v>
      </c>
      <c r="D763" s="8">
        <v>0.1</v>
      </c>
    </row>
    <row r="764" spans="1:4" x14ac:dyDescent="0.2">
      <c r="A764" s="15" t="s">
        <v>22</v>
      </c>
      <c r="B764" s="8">
        <v>0</v>
      </c>
      <c r="C764" s="8">
        <v>0</v>
      </c>
      <c r="D764" s="8">
        <v>0</v>
      </c>
    </row>
    <row r="765" spans="1:4" x14ac:dyDescent="0.2">
      <c r="A765" s="15" t="s">
        <v>23</v>
      </c>
      <c r="B765" s="8">
        <v>-7.0000000000000007E-2</v>
      </c>
      <c r="C765" s="8">
        <v>0</v>
      </c>
      <c r="D765" s="8">
        <v>-7.0000000000000007E-2</v>
      </c>
    </row>
    <row r="766" spans="1:4" x14ac:dyDescent="0.2">
      <c r="A766" s="15" t="s">
        <v>24</v>
      </c>
      <c r="B766" s="8">
        <v>-0.15</v>
      </c>
      <c r="C766" s="8">
        <v>0.15</v>
      </c>
      <c r="D766" s="8">
        <v>0</v>
      </c>
    </row>
    <row r="767" spans="1:4" x14ac:dyDescent="0.2">
      <c r="A767" s="15" t="s">
        <v>25</v>
      </c>
      <c r="B767" s="8">
        <v>0</v>
      </c>
      <c r="C767" s="8">
        <v>0</v>
      </c>
      <c r="D767" s="8">
        <v>0</v>
      </c>
    </row>
    <row r="768" spans="1:4" x14ac:dyDescent="0.2">
      <c r="A768" s="15" t="s">
        <v>26</v>
      </c>
      <c r="B768" s="8">
        <v>0</v>
      </c>
      <c r="C768" s="8">
        <v>-0.1</v>
      </c>
      <c r="D768" s="8">
        <v>-0.1</v>
      </c>
    </row>
    <row r="769" spans="1:4" x14ac:dyDescent="0.2">
      <c r="A769" s="15" t="s">
        <v>34</v>
      </c>
      <c r="B769" s="8">
        <v>0</v>
      </c>
      <c r="C769" s="8">
        <v>0</v>
      </c>
      <c r="D769" s="8">
        <v>0</v>
      </c>
    </row>
    <row r="770" spans="1:4" x14ac:dyDescent="0.2">
      <c r="A770" s="14" t="s">
        <v>50</v>
      </c>
      <c r="B770" s="8">
        <v>0.98199999999999998</v>
      </c>
      <c r="C770" s="8">
        <v>0.53700000000000003</v>
      </c>
      <c r="D770" s="8">
        <v>1.5190000000000001</v>
      </c>
    </row>
    <row r="771" spans="1:4" x14ac:dyDescent="0.2">
      <c r="A771" s="15" t="s">
        <v>19</v>
      </c>
      <c r="B771" s="8">
        <v>0.12</v>
      </c>
      <c r="C771" s="8">
        <v>0.12</v>
      </c>
      <c r="D771" s="8">
        <v>0.24</v>
      </c>
    </row>
    <row r="772" spans="1:4" x14ac:dyDescent="0.2">
      <c r="A772" s="15" t="s">
        <v>27</v>
      </c>
      <c r="B772" s="8">
        <v>9.0000000000000011E-2</v>
      </c>
      <c r="C772" s="8">
        <v>4.5000000000000005E-2</v>
      </c>
      <c r="D772" s="8">
        <v>0.13500000000000001</v>
      </c>
    </row>
    <row r="773" spans="1:4" x14ac:dyDescent="0.2">
      <c r="A773" s="15" t="s">
        <v>28</v>
      </c>
      <c r="B773" s="8">
        <v>0.05</v>
      </c>
      <c r="C773" s="8">
        <v>0</v>
      </c>
      <c r="D773" s="8">
        <v>0.05</v>
      </c>
    </row>
    <row r="774" spans="1:4" x14ac:dyDescent="0.2">
      <c r="A774" s="15" t="s">
        <v>20</v>
      </c>
      <c r="B774" s="8">
        <v>7.2000000000000008E-2</v>
      </c>
      <c r="C774" s="8">
        <v>7.2000000000000008E-2</v>
      </c>
      <c r="D774" s="8">
        <v>0.14400000000000002</v>
      </c>
    </row>
    <row r="775" spans="1:4" x14ac:dyDescent="0.2">
      <c r="A775" s="15" t="s">
        <v>21</v>
      </c>
      <c r="B775" s="8">
        <v>0.05</v>
      </c>
      <c r="C775" s="8">
        <v>0</v>
      </c>
      <c r="D775" s="8">
        <v>0.05</v>
      </c>
    </row>
    <row r="776" spans="1:4" x14ac:dyDescent="0.2">
      <c r="A776" s="15" t="s">
        <v>22</v>
      </c>
      <c r="B776" s="8">
        <v>0.1</v>
      </c>
      <c r="C776" s="8">
        <v>0</v>
      </c>
      <c r="D776" s="8">
        <v>0.1</v>
      </c>
    </row>
    <row r="777" spans="1:4" x14ac:dyDescent="0.2">
      <c r="A777" s="15" t="s">
        <v>23</v>
      </c>
      <c r="B777" s="8">
        <v>7.0000000000000007E-2</v>
      </c>
      <c r="C777" s="8">
        <v>7.0000000000000007E-2</v>
      </c>
      <c r="D777" s="8">
        <v>0.14000000000000001</v>
      </c>
    </row>
    <row r="778" spans="1:4" x14ac:dyDescent="0.2">
      <c r="A778" s="15" t="s">
        <v>24</v>
      </c>
      <c r="B778" s="8">
        <v>0.15</v>
      </c>
      <c r="C778" s="8">
        <v>0.15</v>
      </c>
      <c r="D778" s="8">
        <v>0.3</v>
      </c>
    </row>
    <row r="779" spans="1:4" x14ac:dyDescent="0.2">
      <c r="A779" s="15" t="s">
        <v>25</v>
      </c>
      <c r="B779" s="8">
        <v>0.1</v>
      </c>
      <c r="C779" s="8">
        <v>0</v>
      </c>
      <c r="D779" s="8">
        <v>0.1</v>
      </c>
    </row>
    <row r="780" spans="1:4" x14ac:dyDescent="0.2">
      <c r="A780" s="15" t="s">
        <v>26</v>
      </c>
      <c r="B780" s="8">
        <v>0.1</v>
      </c>
      <c r="C780" s="8">
        <v>0</v>
      </c>
      <c r="D780" s="8">
        <v>0.1</v>
      </c>
    </row>
    <row r="781" spans="1:4" x14ac:dyDescent="0.2">
      <c r="A781" s="15" t="s">
        <v>34</v>
      </c>
      <c r="B781" s="8">
        <v>0.08</v>
      </c>
      <c r="C781" s="8">
        <v>0.08</v>
      </c>
      <c r="D781" s="8">
        <v>0.16</v>
      </c>
    </row>
    <row r="782" spans="1:4" x14ac:dyDescent="0.2">
      <c r="A782" s="14" t="s">
        <v>54</v>
      </c>
      <c r="B782" s="8">
        <v>-2.5000000000000022E-2</v>
      </c>
      <c r="C782" s="8">
        <v>-0.25800000000000001</v>
      </c>
      <c r="D782" s="8">
        <v>-0.28300000000000008</v>
      </c>
    </row>
    <row r="783" spans="1:4" x14ac:dyDescent="0.2">
      <c r="A783" s="15" t="s">
        <v>19</v>
      </c>
      <c r="B783" s="8">
        <v>0.12</v>
      </c>
      <c r="C783" s="8">
        <v>0.12</v>
      </c>
      <c r="D783" s="8">
        <v>0.24</v>
      </c>
    </row>
    <row r="784" spans="1:4" x14ac:dyDescent="0.2">
      <c r="A784" s="15" t="s">
        <v>27</v>
      </c>
      <c r="B784" s="8">
        <v>-4.5000000000000005E-2</v>
      </c>
      <c r="C784" s="8">
        <v>0</v>
      </c>
      <c r="D784" s="8">
        <v>-4.5000000000000005E-2</v>
      </c>
    </row>
    <row r="785" spans="1:4" x14ac:dyDescent="0.2">
      <c r="A785" s="15" t="s">
        <v>28</v>
      </c>
      <c r="B785" s="8">
        <v>-0.05</v>
      </c>
      <c r="C785" s="8">
        <v>0</v>
      </c>
      <c r="D785" s="8">
        <v>-0.05</v>
      </c>
    </row>
    <row r="786" spans="1:4" x14ac:dyDescent="0.2">
      <c r="A786" s="15" t="s">
        <v>20</v>
      </c>
      <c r="B786" s="8">
        <v>0</v>
      </c>
      <c r="C786" s="8">
        <v>7.2000000000000008E-2</v>
      </c>
      <c r="D786" s="8">
        <v>7.2000000000000008E-2</v>
      </c>
    </row>
    <row r="787" spans="1:4" x14ac:dyDescent="0.2">
      <c r="A787" s="15" t="s">
        <v>21</v>
      </c>
      <c r="B787" s="8">
        <v>0.05</v>
      </c>
      <c r="C787" s="8">
        <v>0.05</v>
      </c>
      <c r="D787" s="8">
        <v>0.1</v>
      </c>
    </row>
    <row r="788" spans="1:4" x14ac:dyDescent="0.2">
      <c r="A788" s="15" t="s">
        <v>22</v>
      </c>
      <c r="B788" s="8">
        <v>0</v>
      </c>
      <c r="C788" s="8">
        <v>-0.1</v>
      </c>
      <c r="D788" s="8">
        <v>-0.1</v>
      </c>
    </row>
    <row r="789" spans="1:4" x14ac:dyDescent="0.2">
      <c r="A789" s="15" t="s">
        <v>23</v>
      </c>
      <c r="B789" s="8">
        <v>0</v>
      </c>
      <c r="C789" s="8">
        <v>-7.0000000000000007E-2</v>
      </c>
      <c r="D789" s="8">
        <v>-7.0000000000000007E-2</v>
      </c>
    </row>
    <row r="790" spans="1:4" x14ac:dyDescent="0.2">
      <c r="A790" s="15" t="s">
        <v>24</v>
      </c>
      <c r="B790" s="8">
        <v>0</v>
      </c>
      <c r="C790" s="8">
        <v>-0.15</v>
      </c>
      <c r="D790" s="8">
        <v>-0.15</v>
      </c>
    </row>
    <row r="791" spans="1:4" x14ac:dyDescent="0.2">
      <c r="A791" s="15" t="s">
        <v>25</v>
      </c>
      <c r="B791" s="8">
        <v>0</v>
      </c>
      <c r="C791" s="8">
        <v>-0.1</v>
      </c>
      <c r="D791" s="8">
        <v>-0.1</v>
      </c>
    </row>
    <row r="792" spans="1:4" x14ac:dyDescent="0.2">
      <c r="A792" s="15" t="s">
        <v>26</v>
      </c>
      <c r="B792" s="8">
        <v>-0.1</v>
      </c>
      <c r="C792" s="8">
        <v>0</v>
      </c>
      <c r="D792" s="8">
        <v>-0.1</v>
      </c>
    </row>
    <row r="793" spans="1:4" x14ac:dyDescent="0.2">
      <c r="A793" s="15" t="s">
        <v>34</v>
      </c>
      <c r="B793" s="8">
        <v>0</v>
      </c>
      <c r="C793" s="8">
        <v>-0.08</v>
      </c>
      <c r="D793" s="8">
        <v>-0.08</v>
      </c>
    </row>
    <row r="794" spans="1:4" x14ac:dyDescent="0.2">
      <c r="A794" s="14" t="s">
        <v>59</v>
      </c>
      <c r="B794" s="8">
        <v>0.98199999999999998</v>
      </c>
      <c r="C794" s="8">
        <v>0.33200000000000002</v>
      </c>
      <c r="D794" s="8">
        <v>1.3140000000000003</v>
      </c>
    </row>
    <row r="795" spans="1:4" x14ac:dyDescent="0.2">
      <c r="A795" s="15" t="s">
        <v>19</v>
      </c>
      <c r="B795" s="8">
        <v>0.12</v>
      </c>
      <c r="C795" s="8">
        <v>0.12</v>
      </c>
      <c r="D795" s="8">
        <v>0.24</v>
      </c>
    </row>
    <row r="796" spans="1:4" x14ac:dyDescent="0.2">
      <c r="A796" s="15" t="s">
        <v>27</v>
      </c>
      <c r="B796" s="8">
        <v>9.0000000000000011E-2</v>
      </c>
      <c r="C796" s="8">
        <v>9.0000000000000011E-2</v>
      </c>
      <c r="D796" s="8">
        <v>0.18000000000000002</v>
      </c>
    </row>
    <row r="797" spans="1:4" x14ac:dyDescent="0.2">
      <c r="A797" s="15" t="s">
        <v>28</v>
      </c>
      <c r="B797" s="8">
        <v>0.05</v>
      </c>
      <c r="C797" s="8">
        <v>0</v>
      </c>
      <c r="D797" s="8">
        <v>0.05</v>
      </c>
    </row>
    <row r="798" spans="1:4" x14ac:dyDescent="0.2">
      <c r="A798" s="15" t="s">
        <v>20</v>
      </c>
      <c r="B798" s="8">
        <v>7.2000000000000008E-2</v>
      </c>
      <c r="C798" s="8">
        <v>7.2000000000000008E-2</v>
      </c>
      <c r="D798" s="8">
        <v>0.14400000000000002</v>
      </c>
    </row>
    <row r="799" spans="1:4" x14ac:dyDescent="0.2">
      <c r="A799" s="15" t="s">
        <v>21</v>
      </c>
      <c r="B799" s="8">
        <v>0.05</v>
      </c>
      <c r="C799" s="8">
        <v>0.05</v>
      </c>
      <c r="D799" s="8">
        <v>0.1</v>
      </c>
    </row>
    <row r="800" spans="1:4" x14ac:dyDescent="0.2">
      <c r="A800" s="15" t="s">
        <v>22</v>
      </c>
      <c r="B800" s="8">
        <v>0.1</v>
      </c>
      <c r="C800" s="8">
        <v>0</v>
      </c>
      <c r="D800" s="8">
        <v>0.1</v>
      </c>
    </row>
    <row r="801" spans="1:4" x14ac:dyDescent="0.2">
      <c r="A801" s="15" t="s">
        <v>23</v>
      </c>
      <c r="B801" s="8">
        <v>7.0000000000000007E-2</v>
      </c>
      <c r="C801" s="8">
        <v>0</v>
      </c>
      <c r="D801" s="8">
        <v>7.0000000000000007E-2</v>
      </c>
    </row>
    <row r="802" spans="1:4" x14ac:dyDescent="0.2">
      <c r="A802" s="15" t="s">
        <v>24</v>
      </c>
      <c r="B802" s="8">
        <v>0.15</v>
      </c>
      <c r="C802" s="8">
        <v>0</v>
      </c>
      <c r="D802" s="8">
        <v>0.15</v>
      </c>
    </row>
    <row r="803" spans="1:4" x14ac:dyDescent="0.2">
      <c r="A803" s="15" t="s">
        <v>25</v>
      </c>
      <c r="B803" s="8">
        <v>0.1</v>
      </c>
      <c r="C803" s="8">
        <v>0</v>
      </c>
      <c r="D803" s="8">
        <v>0.1</v>
      </c>
    </row>
    <row r="804" spans="1:4" x14ac:dyDescent="0.2">
      <c r="A804" s="15" t="s">
        <v>26</v>
      </c>
      <c r="B804" s="8">
        <v>0.1</v>
      </c>
      <c r="C804" s="8">
        <v>0</v>
      </c>
      <c r="D804" s="8">
        <v>0.1</v>
      </c>
    </row>
    <row r="805" spans="1:4" x14ac:dyDescent="0.2">
      <c r="A805" s="15" t="s">
        <v>34</v>
      </c>
      <c r="B805" s="8">
        <v>0.08</v>
      </c>
      <c r="C805" s="8">
        <v>0</v>
      </c>
      <c r="D805" s="8">
        <v>0.08</v>
      </c>
    </row>
    <row r="806" spans="1:4" x14ac:dyDescent="0.2">
      <c r="A806" s="14" t="s">
        <v>144</v>
      </c>
      <c r="B806" s="8">
        <v>0.12499999999999999</v>
      </c>
      <c r="C806" s="8">
        <v>-0.34700000000000003</v>
      </c>
      <c r="D806" s="8">
        <v>-0.22200000000000009</v>
      </c>
    </row>
    <row r="807" spans="1:4" x14ac:dyDescent="0.2">
      <c r="A807" s="15" t="s">
        <v>19</v>
      </c>
      <c r="B807" s="8">
        <v>0.12</v>
      </c>
      <c r="C807" s="8">
        <v>0.12</v>
      </c>
      <c r="D807" s="8">
        <v>0.24</v>
      </c>
    </row>
    <row r="808" spans="1:4" x14ac:dyDescent="0.2">
      <c r="A808" s="15" t="s">
        <v>27</v>
      </c>
      <c r="B808" s="8">
        <v>-4.5000000000000005E-2</v>
      </c>
      <c r="C808" s="8">
        <v>-4.5000000000000005E-2</v>
      </c>
      <c r="D808" s="8">
        <v>-9.0000000000000011E-2</v>
      </c>
    </row>
    <row r="809" spans="1:4" x14ac:dyDescent="0.2">
      <c r="A809" s="15" t="s">
        <v>28</v>
      </c>
      <c r="B809" s="8">
        <v>0</v>
      </c>
      <c r="C809" s="8">
        <v>-0.05</v>
      </c>
      <c r="D809" s="8">
        <v>-0.05</v>
      </c>
    </row>
    <row r="810" spans="1:4" x14ac:dyDescent="0.2">
      <c r="A810" s="15" t="s">
        <v>20</v>
      </c>
      <c r="B810" s="8">
        <v>0</v>
      </c>
      <c r="C810" s="8">
        <v>-7.2000000000000008E-2</v>
      </c>
      <c r="D810" s="8">
        <v>-7.2000000000000008E-2</v>
      </c>
    </row>
    <row r="811" spans="1:4" x14ac:dyDescent="0.2">
      <c r="A811" s="15" t="s">
        <v>21</v>
      </c>
      <c r="B811" s="8">
        <v>0.05</v>
      </c>
      <c r="C811" s="8">
        <v>-0.05</v>
      </c>
      <c r="D811" s="8">
        <v>0</v>
      </c>
    </row>
    <row r="812" spans="1:4" x14ac:dyDescent="0.2">
      <c r="A812" s="15" t="s">
        <v>22</v>
      </c>
      <c r="B812" s="8">
        <v>0</v>
      </c>
      <c r="C812" s="8">
        <v>0</v>
      </c>
      <c r="D812" s="8">
        <v>0</v>
      </c>
    </row>
    <row r="813" spans="1:4" x14ac:dyDescent="0.2">
      <c r="A813" s="15" t="s">
        <v>23</v>
      </c>
      <c r="B813" s="8">
        <v>0</v>
      </c>
      <c r="C813" s="8">
        <v>-7.0000000000000007E-2</v>
      </c>
      <c r="D813" s="8">
        <v>-7.0000000000000007E-2</v>
      </c>
    </row>
    <row r="814" spans="1:4" x14ac:dyDescent="0.2">
      <c r="A814" s="15" t="s">
        <v>24</v>
      </c>
      <c r="B814" s="8">
        <v>0</v>
      </c>
      <c r="C814" s="8">
        <v>0</v>
      </c>
      <c r="D814" s="8">
        <v>0</v>
      </c>
    </row>
    <row r="815" spans="1:4" x14ac:dyDescent="0.2">
      <c r="A815" s="15" t="s">
        <v>25</v>
      </c>
      <c r="B815" s="8">
        <v>0</v>
      </c>
      <c r="C815" s="8">
        <v>0</v>
      </c>
      <c r="D815" s="8">
        <v>0</v>
      </c>
    </row>
    <row r="816" spans="1:4" x14ac:dyDescent="0.2">
      <c r="A816" s="15" t="s">
        <v>26</v>
      </c>
      <c r="B816" s="8">
        <v>0</v>
      </c>
      <c r="C816" s="8">
        <v>-0.1</v>
      </c>
      <c r="D816" s="8">
        <v>-0.1</v>
      </c>
    </row>
    <row r="817" spans="1:4" x14ac:dyDescent="0.2">
      <c r="A817" s="15" t="s">
        <v>34</v>
      </c>
      <c r="B817" s="8">
        <v>0</v>
      </c>
      <c r="C817" s="8">
        <v>-0.08</v>
      </c>
      <c r="D817" s="8">
        <v>-0.08</v>
      </c>
    </row>
    <row r="818" spans="1:4" x14ac:dyDescent="0.2">
      <c r="A818" s="14" t="s">
        <v>149</v>
      </c>
      <c r="B818" s="8">
        <v>0.24199999999999999</v>
      </c>
      <c r="C818" s="8">
        <v>0.8869999999999999</v>
      </c>
      <c r="D818" s="8">
        <v>1.1290000000000002</v>
      </c>
    </row>
    <row r="819" spans="1:4" x14ac:dyDescent="0.2">
      <c r="A819" s="15" t="s">
        <v>19</v>
      </c>
      <c r="B819" s="8">
        <v>0.12</v>
      </c>
      <c r="C819" s="8">
        <v>0.12</v>
      </c>
      <c r="D819" s="8">
        <v>0.24</v>
      </c>
    </row>
    <row r="820" spans="1:4" x14ac:dyDescent="0.2">
      <c r="A820" s="15" t="s">
        <v>27</v>
      </c>
      <c r="B820" s="8">
        <v>0</v>
      </c>
      <c r="C820" s="8">
        <v>4.5000000000000005E-2</v>
      </c>
      <c r="D820" s="8">
        <v>4.5000000000000005E-2</v>
      </c>
    </row>
    <row r="821" spans="1:4" x14ac:dyDescent="0.2">
      <c r="A821" s="15" t="s">
        <v>28</v>
      </c>
      <c r="B821" s="8">
        <v>0</v>
      </c>
      <c r="C821" s="8">
        <v>0</v>
      </c>
      <c r="D821" s="8">
        <v>0</v>
      </c>
    </row>
    <row r="822" spans="1:4" x14ac:dyDescent="0.2">
      <c r="A822" s="15" t="s">
        <v>20</v>
      </c>
      <c r="B822" s="8">
        <v>7.2000000000000008E-2</v>
      </c>
      <c r="C822" s="8">
        <v>7.2000000000000008E-2</v>
      </c>
      <c r="D822" s="8">
        <v>0.14400000000000002</v>
      </c>
    </row>
    <row r="823" spans="1:4" x14ac:dyDescent="0.2">
      <c r="A823" s="15" t="s">
        <v>21</v>
      </c>
      <c r="B823" s="8">
        <v>0.05</v>
      </c>
      <c r="C823" s="8">
        <v>0.05</v>
      </c>
      <c r="D823" s="8">
        <v>0.1</v>
      </c>
    </row>
    <row r="824" spans="1:4" x14ac:dyDescent="0.2">
      <c r="A824" s="15" t="s">
        <v>22</v>
      </c>
      <c r="B824" s="8">
        <v>0</v>
      </c>
      <c r="C824" s="8">
        <v>0.1</v>
      </c>
      <c r="D824" s="8">
        <v>0.1</v>
      </c>
    </row>
    <row r="825" spans="1:4" x14ac:dyDescent="0.2">
      <c r="A825" s="15" t="s">
        <v>23</v>
      </c>
      <c r="B825" s="8">
        <v>0</v>
      </c>
      <c r="C825" s="8">
        <v>7.0000000000000007E-2</v>
      </c>
      <c r="D825" s="8">
        <v>7.0000000000000007E-2</v>
      </c>
    </row>
    <row r="826" spans="1:4" x14ac:dyDescent="0.2">
      <c r="A826" s="15" t="s">
        <v>24</v>
      </c>
      <c r="B826" s="8">
        <v>0</v>
      </c>
      <c r="C826" s="8">
        <v>0.15</v>
      </c>
      <c r="D826" s="8">
        <v>0.15</v>
      </c>
    </row>
    <row r="827" spans="1:4" x14ac:dyDescent="0.2">
      <c r="A827" s="15" t="s">
        <v>25</v>
      </c>
      <c r="B827" s="8">
        <v>0</v>
      </c>
      <c r="C827" s="8">
        <v>0.1</v>
      </c>
      <c r="D827" s="8">
        <v>0.1</v>
      </c>
    </row>
    <row r="828" spans="1:4" x14ac:dyDescent="0.2">
      <c r="A828" s="15" t="s">
        <v>26</v>
      </c>
      <c r="B828" s="8">
        <v>0</v>
      </c>
      <c r="C828" s="8">
        <v>0.1</v>
      </c>
      <c r="D828" s="8">
        <v>0.1</v>
      </c>
    </row>
    <row r="829" spans="1:4" x14ac:dyDescent="0.2">
      <c r="A829" s="15" t="s">
        <v>34</v>
      </c>
      <c r="B829" s="8">
        <v>0</v>
      </c>
      <c r="C829" s="8">
        <v>0.08</v>
      </c>
      <c r="D829" s="8">
        <v>0.08</v>
      </c>
    </row>
    <row r="830" spans="1:4" x14ac:dyDescent="0.2">
      <c r="A830" s="14" t="s">
        <v>281</v>
      </c>
      <c r="B830" s="8">
        <v>0.42699999999999999</v>
      </c>
      <c r="C830" s="8">
        <v>-0.52500000000000002</v>
      </c>
      <c r="D830" s="8">
        <v>-9.8000000000000032E-2</v>
      </c>
    </row>
    <row r="831" spans="1:4" x14ac:dyDescent="0.2">
      <c r="A831" s="15" t="s">
        <v>19</v>
      </c>
      <c r="B831" s="8">
        <v>0.12</v>
      </c>
      <c r="C831" s="8">
        <v>0.12</v>
      </c>
      <c r="D831" s="8">
        <v>0.24</v>
      </c>
    </row>
    <row r="832" spans="1:4" x14ac:dyDescent="0.2">
      <c r="A832" s="15" t="s">
        <v>27</v>
      </c>
      <c r="B832" s="8">
        <v>-4.5000000000000005E-2</v>
      </c>
      <c r="C832" s="8">
        <v>-4.5000000000000005E-2</v>
      </c>
      <c r="D832" s="8">
        <v>-9.0000000000000011E-2</v>
      </c>
    </row>
    <row r="833" spans="1:4" x14ac:dyDescent="0.2">
      <c r="A833" s="15" t="s">
        <v>28</v>
      </c>
      <c r="B833" s="8">
        <v>-0.05</v>
      </c>
      <c r="C833" s="8">
        <v>0</v>
      </c>
      <c r="D833" s="8">
        <v>-0.05</v>
      </c>
    </row>
    <row r="834" spans="1:4" x14ac:dyDescent="0.2">
      <c r="A834" s="15" t="s">
        <v>20</v>
      </c>
      <c r="B834" s="8">
        <v>7.2000000000000008E-2</v>
      </c>
      <c r="C834" s="8">
        <v>0</v>
      </c>
      <c r="D834" s="8">
        <v>7.2000000000000008E-2</v>
      </c>
    </row>
    <row r="835" spans="1:4" x14ac:dyDescent="0.2">
      <c r="A835" s="15" t="s">
        <v>21</v>
      </c>
      <c r="B835" s="8">
        <v>0.05</v>
      </c>
      <c r="C835" s="8">
        <v>0</v>
      </c>
      <c r="D835" s="8">
        <v>0.05</v>
      </c>
    </row>
    <row r="836" spans="1:4" x14ac:dyDescent="0.2">
      <c r="A836" s="15" t="s">
        <v>22</v>
      </c>
      <c r="B836" s="8">
        <v>0.1</v>
      </c>
      <c r="C836" s="8">
        <v>-0.1</v>
      </c>
      <c r="D836" s="8">
        <v>0</v>
      </c>
    </row>
    <row r="837" spans="1:4" x14ac:dyDescent="0.2">
      <c r="A837" s="15" t="s">
        <v>23</v>
      </c>
      <c r="B837" s="8">
        <v>0</v>
      </c>
      <c r="C837" s="8">
        <v>-7.0000000000000007E-2</v>
      </c>
      <c r="D837" s="8">
        <v>-7.0000000000000007E-2</v>
      </c>
    </row>
    <row r="838" spans="1:4" x14ac:dyDescent="0.2">
      <c r="A838" s="15" t="s">
        <v>24</v>
      </c>
      <c r="B838" s="8">
        <v>0</v>
      </c>
      <c r="C838" s="8">
        <v>-0.15</v>
      </c>
      <c r="D838" s="8">
        <v>-0.15</v>
      </c>
    </row>
    <row r="839" spans="1:4" x14ac:dyDescent="0.2">
      <c r="A839" s="15" t="s">
        <v>25</v>
      </c>
      <c r="B839" s="8">
        <v>0</v>
      </c>
      <c r="C839" s="8">
        <v>-0.1</v>
      </c>
      <c r="D839" s="8">
        <v>-0.1</v>
      </c>
    </row>
    <row r="840" spans="1:4" x14ac:dyDescent="0.2">
      <c r="A840" s="15" t="s">
        <v>26</v>
      </c>
      <c r="B840" s="8">
        <v>0.1</v>
      </c>
      <c r="C840" s="8">
        <v>-0.1</v>
      </c>
      <c r="D840" s="8">
        <v>0</v>
      </c>
    </row>
    <row r="841" spans="1:4" x14ac:dyDescent="0.2">
      <c r="A841" s="15" t="s">
        <v>34</v>
      </c>
      <c r="B841" s="8">
        <v>0.08</v>
      </c>
      <c r="C841" s="8">
        <v>-0.08</v>
      </c>
      <c r="D841" s="8">
        <v>0</v>
      </c>
    </row>
    <row r="842" spans="1:4" x14ac:dyDescent="0.2">
      <c r="A842" s="14" t="s">
        <v>290</v>
      </c>
      <c r="B842" s="8">
        <v>7.1999999999999981E-2</v>
      </c>
      <c r="C842" s="8">
        <v>0.44199999999999995</v>
      </c>
      <c r="D842" s="8">
        <v>0.51400000000000001</v>
      </c>
    </row>
    <row r="843" spans="1:4" x14ac:dyDescent="0.2">
      <c r="A843" s="15" t="s">
        <v>19</v>
      </c>
      <c r="B843" s="8">
        <v>0.12</v>
      </c>
      <c r="C843" s="8">
        <v>0.12</v>
      </c>
      <c r="D843" s="8">
        <v>0.24</v>
      </c>
    </row>
    <row r="844" spans="1:4" x14ac:dyDescent="0.2">
      <c r="A844" s="15" t="s">
        <v>27</v>
      </c>
      <c r="B844" s="8">
        <v>0</v>
      </c>
      <c r="C844" s="8">
        <v>0</v>
      </c>
      <c r="D844" s="8">
        <v>0</v>
      </c>
    </row>
    <row r="845" spans="1:4" x14ac:dyDescent="0.2">
      <c r="A845" s="15" t="s">
        <v>28</v>
      </c>
      <c r="B845" s="8">
        <v>0</v>
      </c>
      <c r="C845" s="8">
        <v>0</v>
      </c>
      <c r="D845" s="8">
        <v>0</v>
      </c>
    </row>
    <row r="846" spans="1:4" x14ac:dyDescent="0.2">
      <c r="A846" s="15" t="s">
        <v>20</v>
      </c>
      <c r="B846" s="8">
        <v>7.2000000000000008E-2</v>
      </c>
      <c r="C846" s="8">
        <v>7.2000000000000008E-2</v>
      </c>
      <c r="D846" s="8">
        <v>0.14400000000000002</v>
      </c>
    </row>
    <row r="847" spans="1:4" x14ac:dyDescent="0.2">
      <c r="A847" s="15" t="s">
        <v>21</v>
      </c>
      <c r="B847" s="8">
        <v>0.05</v>
      </c>
      <c r="C847" s="8">
        <v>0.05</v>
      </c>
      <c r="D847" s="8">
        <v>0.1</v>
      </c>
    </row>
    <row r="848" spans="1:4" x14ac:dyDescent="0.2">
      <c r="A848" s="15" t="s">
        <v>22</v>
      </c>
      <c r="B848" s="8">
        <v>0</v>
      </c>
      <c r="C848" s="8">
        <v>0.1</v>
      </c>
      <c r="D848" s="8">
        <v>0.1</v>
      </c>
    </row>
    <row r="849" spans="1:4" x14ac:dyDescent="0.2">
      <c r="A849" s="15" t="s">
        <v>23</v>
      </c>
      <c r="B849" s="8">
        <v>-7.0000000000000007E-2</v>
      </c>
      <c r="C849" s="8">
        <v>0</v>
      </c>
      <c r="D849" s="8">
        <v>-7.0000000000000007E-2</v>
      </c>
    </row>
    <row r="850" spans="1:4" x14ac:dyDescent="0.2">
      <c r="A850" s="15" t="s">
        <v>24</v>
      </c>
      <c r="B850" s="8">
        <v>0</v>
      </c>
      <c r="C850" s="8">
        <v>0</v>
      </c>
      <c r="D850" s="8">
        <v>0</v>
      </c>
    </row>
    <row r="851" spans="1:4" x14ac:dyDescent="0.2">
      <c r="A851" s="15" t="s">
        <v>25</v>
      </c>
      <c r="B851" s="8">
        <v>-0.1</v>
      </c>
      <c r="C851" s="8">
        <v>0.1</v>
      </c>
      <c r="D851" s="8">
        <v>0</v>
      </c>
    </row>
    <row r="852" spans="1:4" x14ac:dyDescent="0.2">
      <c r="A852" s="15" t="s">
        <v>26</v>
      </c>
      <c r="B852" s="8">
        <v>0</v>
      </c>
      <c r="C852" s="8">
        <v>0</v>
      </c>
      <c r="D852" s="8">
        <v>0</v>
      </c>
    </row>
    <row r="853" spans="1:4" x14ac:dyDescent="0.2">
      <c r="A853" s="15" t="s">
        <v>34</v>
      </c>
      <c r="B853" s="8">
        <v>0</v>
      </c>
      <c r="C853" s="8">
        <v>0</v>
      </c>
      <c r="D853" s="8">
        <v>0</v>
      </c>
    </row>
    <row r="854" spans="1:4" x14ac:dyDescent="0.2">
      <c r="A854" s="14" t="s">
        <v>299</v>
      </c>
      <c r="B854" s="8">
        <v>0.24199999999999999</v>
      </c>
      <c r="C854" s="8">
        <v>-0.40200000000000008</v>
      </c>
      <c r="D854" s="8">
        <v>-0.16000000000000003</v>
      </c>
    </row>
    <row r="855" spans="1:4" x14ac:dyDescent="0.2">
      <c r="A855" s="15" t="s">
        <v>19</v>
      </c>
      <c r="B855" s="8">
        <v>0.12</v>
      </c>
      <c r="C855" s="8">
        <v>0.12</v>
      </c>
      <c r="D855" s="8">
        <v>0.24</v>
      </c>
    </row>
    <row r="856" spans="1:4" x14ac:dyDescent="0.2">
      <c r="A856" s="15" t="s">
        <v>27</v>
      </c>
      <c r="B856" s="8">
        <v>0</v>
      </c>
      <c r="C856" s="8">
        <v>0</v>
      </c>
      <c r="D856" s="8">
        <v>0</v>
      </c>
    </row>
    <row r="857" spans="1:4" x14ac:dyDescent="0.2">
      <c r="A857" s="15" t="s">
        <v>28</v>
      </c>
      <c r="B857" s="8">
        <v>0</v>
      </c>
      <c r="C857" s="8">
        <v>-0.05</v>
      </c>
      <c r="D857" s="8">
        <v>-0.05</v>
      </c>
    </row>
    <row r="858" spans="1:4" x14ac:dyDescent="0.2">
      <c r="A858" s="15" t="s">
        <v>20</v>
      </c>
      <c r="B858" s="8">
        <v>7.2000000000000008E-2</v>
      </c>
      <c r="C858" s="8">
        <v>-7.2000000000000008E-2</v>
      </c>
      <c r="D858" s="8">
        <v>0</v>
      </c>
    </row>
    <row r="859" spans="1:4" x14ac:dyDescent="0.2">
      <c r="A859" s="15" t="s">
        <v>21</v>
      </c>
      <c r="B859" s="8">
        <v>0.05</v>
      </c>
      <c r="C859" s="8">
        <v>0</v>
      </c>
      <c r="D859" s="8">
        <v>0.05</v>
      </c>
    </row>
    <row r="860" spans="1:4" x14ac:dyDescent="0.2">
      <c r="A860" s="15" t="s">
        <v>22</v>
      </c>
      <c r="B860" s="8">
        <v>0</v>
      </c>
      <c r="C860" s="8">
        <v>0</v>
      </c>
      <c r="D860" s="8">
        <v>0</v>
      </c>
    </row>
    <row r="861" spans="1:4" x14ac:dyDescent="0.2">
      <c r="A861" s="15" t="s">
        <v>23</v>
      </c>
      <c r="B861" s="8">
        <v>0</v>
      </c>
      <c r="C861" s="8">
        <v>-7.0000000000000007E-2</v>
      </c>
      <c r="D861" s="8">
        <v>-7.0000000000000007E-2</v>
      </c>
    </row>
    <row r="862" spans="1:4" x14ac:dyDescent="0.2">
      <c r="A862" s="15" t="s">
        <v>24</v>
      </c>
      <c r="B862" s="8">
        <v>0</v>
      </c>
      <c r="C862" s="8">
        <v>-0.15</v>
      </c>
      <c r="D862" s="8">
        <v>-0.15</v>
      </c>
    </row>
    <row r="863" spans="1:4" x14ac:dyDescent="0.2">
      <c r="A863" s="15" t="s">
        <v>25</v>
      </c>
      <c r="B863" s="8">
        <v>0</v>
      </c>
      <c r="C863" s="8">
        <v>0</v>
      </c>
      <c r="D863" s="8">
        <v>0</v>
      </c>
    </row>
    <row r="864" spans="1:4" x14ac:dyDescent="0.2">
      <c r="A864" s="15" t="s">
        <v>26</v>
      </c>
      <c r="B864" s="8">
        <v>0</v>
      </c>
      <c r="C864" s="8">
        <v>-0.1</v>
      </c>
      <c r="D864" s="8">
        <v>-0.1</v>
      </c>
    </row>
    <row r="865" spans="1:4" x14ac:dyDescent="0.2">
      <c r="A865" s="15" t="s">
        <v>34</v>
      </c>
      <c r="B865" s="8">
        <v>0</v>
      </c>
      <c r="C865" s="8">
        <v>-0.08</v>
      </c>
      <c r="D865" s="8">
        <v>-0.08</v>
      </c>
    </row>
    <row r="866" spans="1:4" x14ac:dyDescent="0.2">
      <c r="A866" s="14" t="s">
        <v>339</v>
      </c>
      <c r="B866" s="8">
        <v>0.41500000000000004</v>
      </c>
      <c r="C866" s="8">
        <v>0.24700000000000003</v>
      </c>
      <c r="D866" s="8">
        <v>0.66200000000000003</v>
      </c>
    </row>
    <row r="867" spans="1:4" x14ac:dyDescent="0.2">
      <c r="A867" s="15" t="s">
        <v>19</v>
      </c>
      <c r="B867" s="8">
        <v>0</v>
      </c>
      <c r="C867" s="8">
        <v>0</v>
      </c>
      <c r="D867" s="8">
        <v>0</v>
      </c>
    </row>
    <row r="868" spans="1:4" x14ac:dyDescent="0.2">
      <c r="A868" s="15" t="s">
        <v>27</v>
      </c>
      <c r="B868" s="8">
        <v>4.5000000000000005E-2</v>
      </c>
      <c r="C868" s="8">
        <v>4.5000000000000005E-2</v>
      </c>
      <c r="D868" s="8">
        <v>9.0000000000000011E-2</v>
      </c>
    </row>
    <row r="869" spans="1:4" x14ac:dyDescent="0.2">
      <c r="A869" s="15" t="s">
        <v>28</v>
      </c>
      <c r="B869" s="8">
        <v>0.05</v>
      </c>
      <c r="C869" s="8">
        <v>-0.05</v>
      </c>
      <c r="D869" s="8">
        <v>0</v>
      </c>
    </row>
    <row r="870" spans="1:4" x14ac:dyDescent="0.2">
      <c r="A870" s="15" t="s">
        <v>20</v>
      </c>
      <c r="B870" s="8">
        <v>0</v>
      </c>
      <c r="C870" s="8">
        <v>7.2000000000000008E-2</v>
      </c>
      <c r="D870" s="8">
        <v>7.2000000000000008E-2</v>
      </c>
    </row>
    <row r="871" spans="1:4" x14ac:dyDescent="0.2">
      <c r="A871" s="15" t="s">
        <v>21</v>
      </c>
      <c r="B871" s="8">
        <v>0</v>
      </c>
      <c r="C871" s="8">
        <v>0.05</v>
      </c>
      <c r="D871" s="8">
        <v>0.05</v>
      </c>
    </row>
    <row r="872" spans="1:4" x14ac:dyDescent="0.2">
      <c r="A872" s="15" t="s">
        <v>22</v>
      </c>
      <c r="B872" s="8">
        <v>0.1</v>
      </c>
      <c r="C872" s="8">
        <v>0</v>
      </c>
      <c r="D872" s="8">
        <v>0.1</v>
      </c>
    </row>
    <row r="873" spans="1:4" x14ac:dyDescent="0.2">
      <c r="A873" s="15" t="s">
        <v>23</v>
      </c>
      <c r="B873" s="8">
        <v>7.0000000000000007E-2</v>
      </c>
      <c r="C873" s="8">
        <v>-7.0000000000000007E-2</v>
      </c>
      <c r="D873" s="8">
        <v>0</v>
      </c>
    </row>
    <row r="874" spans="1:4" x14ac:dyDescent="0.2">
      <c r="A874" s="15" t="s">
        <v>24</v>
      </c>
      <c r="B874" s="8">
        <v>0.15</v>
      </c>
      <c r="C874" s="8">
        <v>0</v>
      </c>
      <c r="D874" s="8">
        <v>0.15</v>
      </c>
    </row>
    <row r="875" spans="1:4" x14ac:dyDescent="0.2">
      <c r="A875" s="15" t="s">
        <v>25</v>
      </c>
      <c r="B875" s="8">
        <v>0</v>
      </c>
      <c r="C875" s="8">
        <v>0.1</v>
      </c>
      <c r="D875" s="8">
        <v>0.1</v>
      </c>
    </row>
    <row r="876" spans="1:4" x14ac:dyDescent="0.2">
      <c r="A876" s="15" t="s">
        <v>26</v>
      </c>
      <c r="B876" s="8">
        <v>0</v>
      </c>
      <c r="C876" s="8">
        <v>0.1</v>
      </c>
      <c r="D876" s="8">
        <v>0.1</v>
      </c>
    </row>
    <row r="877" spans="1:4" x14ac:dyDescent="0.2">
      <c r="A877" s="15" t="s">
        <v>34</v>
      </c>
      <c r="B877" s="8">
        <v>0</v>
      </c>
      <c r="C877" s="8">
        <v>0</v>
      </c>
      <c r="D877" s="8">
        <v>0</v>
      </c>
    </row>
    <row r="878" spans="1:4" x14ac:dyDescent="0.2">
      <c r="A878" s="14" t="s">
        <v>502</v>
      </c>
      <c r="B878" s="8">
        <v>0.98199999999999998</v>
      </c>
      <c r="C878" s="8">
        <v>0.28700000000000003</v>
      </c>
      <c r="D878" s="8">
        <v>1.2690000000000001</v>
      </c>
    </row>
    <row r="879" spans="1:4" x14ac:dyDescent="0.2">
      <c r="A879" s="15" t="s">
        <v>19</v>
      </c>
      <c r="B879" s="8">
        <v>0.12</v>
      </c>
      <c r="C879" s="8">
        <v>0.12</v>
      </c>
      <c r="D879" s="8">
        <v>0.24</v>
      </c>
    </row>
    <row r="880" spans="1:4" x14ac:dyDescent="0.2">
      <c r="A880" s="15" t="s">
        <v>27</v>
      </c>
      <c r="B880" s="8">
        <v>9.0000000000000011E-2</v>
      </c>
      <c r="C880" s="8">
        <v>4.5000000000000005E-2</v>
      </c>
      <c r="D880" s="8">
        <v>0.13500000000000001</v>
      </c>
    </row>
    <row r="881" spans="1:4" x14ac:dyDescent="0.2">
      <c r="A881" s="15" t="s">
        <v>28</v>
      </c>
      <c r="B881" s="8">
        <v>0.05</v>
      </c>
      <c r="C881" s="8">
        <v>0</v>
      </c>
      <c r="D881" s="8">
        <v>0.05</v>
      </c>
    </row>
    <row r="882" spans="1:4" x14ac:dyDescent="0.2">
      <c r="A882" s="15" t="s">
        <v>20</v>
      </c>
      <c r="B882" s="8">
        <v>7.2000000000000008E-2</v>
      </c>
      <c r="C882" s="8">
        <v>7.2000000000000008E-2</v>
      </c>
      <c r="D882" s="8">
        <v>0.14400000000000002</v>
      </c>
    </row>
    <row r="883" spans="1:4" x14ac:dyDescent="0.2">
      <c r="A883" s="15" t="s">
        <v>21</v>
      </c>
      <c r="B883" s="8">
        <v>0.05</v>
      </c>
      <c r="C883" s="8">
        <v>0.05</v>
      </c>
      <c r="D883" s="8">
        <v>0.1</v>
      </c>
    </row>
    <row r="884" spans="1:4" x14ac:dyDescent="0.2">
      <c r="A884" s="15" t="s">
        <v>22</v>
      </c>
      <c r="B884" s="8">
        <v>0.1</v>
      </c>
      <c r="C884" s="8">
        <v>0</v>
      </c>
      <c r="D884" s="8">
        <v>0.1</v>
      </c>
    </row>
    <row r="885" spans="1:4" x14ac:dyDescent="0.2">
      <c r="A885" s="15" t="s">
        <v>23</v>
      </c>
      <c r="B885" s="8">
        <v>7.0000000000000007E-2</v>
      </c>
      <c r="C885" s="8">
        <v>0</v>
      </c>
      <c r="D885" s="8">
        <v>7.0000000000000007E-2</v>
      </c>
    </row>
    <row r="886" spans="1:4" x14ac:dyDescent="0.2">
      <c r="A886" s="15" t="s">
        <v>24</v>
      </c>
      <c r="B886" s="8">
        <v>0.15</v>
      </c>
      <c r="C886" s="8">
        <v>0</v>
      </c>
      <c r="D886" s="8">
        <v>0.15</v>
      </c>
    </row>
    <row r="887" spans="1:4" x14ac:dyDescent="0.2">
      <c r="A887" s="15" t="s">
        <v>25</v>
      </c>
      <c r="B887" s="8">
        <v>0.1</v>
      </c>
      <c r="C887" s="8">
        <v>0</v>
      </c>
      <c r="D887" s="8">
        <v>0.1</v>
      </c>
    </row>
    <row r="888" spans="1:4" x14ac:dyDescent="0.2">
      <c r="A888" s="15" t="s">
        <v>26</v>
      </c>
      <c r="B888" s="8">
        <v>0.1</v>
      </c>
      <c r="C888" s="8">
        <v>0</v>
      </c>
      <c r="D888" s="8">
        <v>0.1</v>
      </c>
    </row>
    <row r="889" spans="1:4" x14ac:dyDescent="0.2">
      <c r="A889" s="15" t="s">
        <v>34</v>
      </c>
      <c r="B889" s="8">
        <v>0.08</v>
      </c>
      <c r="C889" s="8">
        <v>0</v>
      </c>
      <c r="D889" s="8">
        <v>0.08</v>
      </c>
    </row>
    <row r="890" spans="1:4" x14ac:dyDescent="0.2">
      <c r="A890" s="14" t="s">
        <v>517</v>
      </c>
      <c r="B890" s="8">
        <v>0.83700000000000008</v>
      </c>
      <c r="C890" s="8">
        <v>-0.48500000000000004</v>
      </c>
      <c r="D890" s="8">
        <v>0.35199999999999998</v>
      </c>
    </row>
    <row r="891" spans="1:4" x14ac:dyDescent="0.2">
      <c r="A891" s="15" t="s">
        <v>19</v>
      </c>
      <c r="B891" s="8">
        <v>0.12</v>
      </c>
      <c r="C891" s="8">
        <v>0.12</v>
      </c>
      <c r="D891" s="8">
        <v>0.24</v>
      </c>
    </row>
    <row r="892" spans="1:4" x14ac:dyDescent="0.2">
      <c r="A892" s="15" t="s">
        <v>27</v>
      </c>
      <c r="B892" s="8">
        <v>4.5000000000000005E-2</v>
      </c>
      <c r="C892" s="8">
        <v>4.5000000000000005E-2</v>
      </c>
      <c r="D892" s="8">
        <v>9.0000000000000011E-2</v>
      </c>
    </row>
    <row r="893" spans="1:4" x14ac:dyDescent="0.2">
      <c r="A893" s="15" t="s">
        <v>28</v>
      </c>
      <c r="B893" s="8">
        <v>0.05</v>
      </c>
      <c r="C893" s="8">
        <v>-0.05</v>
      </c>
      <c r="D893" s="8">
        <v>0</v>
      </c>
    </row>
    <row r="894" spans="1:4" x14ac:dyDescent="0.2">
      <c r="A894" s="15" t="s">
        <v>20</v>
      </c>
      <c r="B894" s="8">
        <v>7.2000000000000008E-2</v>
      </c>
      <c r="C894" s="8">
        <v>0</v>
      </c>
      <c r="D894" s="8">
        <v>7.2000000000000008E-2</v>
      </c>
    </row>
    <row r="895" spans="1:4" x14ac:dyDescent="0.2">
      <c r="A895" s="15" t="s">
        <v>21</v>
      </c>
      <c r="B895" s="8">
        <v>0.05</v>
      </c>
      <c r="C895" s="8">
        <v>0</v>
      </c>
      <c r="D895" s="8">
        <v>0.05</v>
      </c>
    </row>
    <row r="896" spans="1:4" x14ac:dyDescent="0.2">
      <c r="A896" s="15" t="s">
        <v>22</v>
      </c>
      <c r="B896" s="8">
        <v>0.1</v>
      </c>
      <c r="C896" s="8">
        <v>-0.1</v>
      </c>
      <c r="D896" s="8">
        <v>0</v>
      </c>
    </row>
    <row r="897" spans="1:4" x14ac:dyDescent="0.2">
      <c r="A897" s="15" t="s">
        <v>23</v>
      </c>
      <c r="B897" s="8">
        <v>7.0000000000000007E-2</v>
      </c>
      <c r="C897" s="8">
        <v>-7.0000000000000007E-2</v>
      </c>
      <c r="D897" s="8">
        <v>0</v>
      </c>
    </row>
    <row r="898" spans="1:4" x14ac:dyDescent="0.2">
      <c r="A898" s="15" t="s">
        <v>24</v>
      </c>
      <c r="B898" s="8">
        <v>0.15</v>
      </c>
      <c r="C898" s="8">
        <v>-0.15</v>
      </c>
      <c r="D898" s="8">
        <v>0</v>
      </c>
    </row>
    <row r="899" spans="1:4" x14ac:dyDescent="0.2">
      <c r="A899" s="15" t="s">
        <v>25</v>
      </c>
      <c r="B899" s="8">
        <v>0</v>
      </c>
      <c r="C899" s="8">
        <v>-0.1</v>
      </c>
      <c r="D899" s="8">
        <v>-0.1</v>
      </c>
    </row>
    <row r="900" spans="1:4" x14ac:dyDescent="0.2">
      <c r="A900" s="15" t="s">
        <v>26</v>
      </c>
      <c r="B900" s="8">
        <v>0.1</v>
      </c>
      <c r="C900" s="8">
        <v>-0.1</v>
      </c>
      <c r="D900" s="8">
        <v>0</v>
      </c>
    </row>
    <row r="901" spans="1:4" x14ac:dyDescent="0.2">
      <c r="A901" s="15" t="s">
        <v>34</v>
      </c>
      <c r="B901" s="8">
        <v>0.08</v>
      </c>
      <c r="C901" s="8">
        <v>-0.08</v>
      </c>
      <c r="D901" s="8">
        <v>0</v>
      </c>
    </row>
    <row r="902" spans="1:4" x14ac:dyDescent="0.2">
      <c r="A902" s="14" t="s">
        <v>550</v>
      </c>
      <c r="B902" s="8">
        <v>-0.25</v>
      </c>
      <c r="C902" s="8">
        <v>-3.7999999999999964E-2</v>
      </c>
      <c r="D902" s="8">
        <v>-0.28799999999999998</v>
      </c>
    </row>
    <row r="903" spans="1:4" x14ac:dyDescent="0.2">
      <c r="A903" s="15" t="s">
        <v>19</v>
      </c>
      <c r="B903" s="8">
        <v>0</v>
      </c>
      <c r="C903" s="8">
        <v>0</v>
      </c>
      <c r="D903" s="8">
        <v>0</v>
      </c>
    </row>
    <row r="904" spans="1:4" x14ac:dyDescent="0.2">
      <c r="A904" s="15" t="s">
        <v>27</v>
      </c>
      <c r="B904" s="8">
        <v>0</v>
      </c>
      <c r="C904" s="8">
        <v>9.0000000000000011E-2</v>
      </c>
      <c r="D904" s="8">
        <v>9.0000000000000011E-2</v>
      </c>
    </row>
    <row r="905" spans="1:4" x14ac:dyDescent="0.2">
      <c r="A905" s="15" t="s">
        <v>28</v>
      </c>
      <c r="B905" s="8">
        <v>-0.05</v>
      </c>
      <c r="C905" s="8">
        <v>0.05</v>
      </c>
      <c r="D905" s="8">
        <v>0</v>
      </c>
    </row>
    <row r="906" spans="1:4" x14ac:dyDescent="0.2">
      <c r="A906" s="15" t="s">
        <v>20</v>
      </c>
      <c r="B906" s="8">
        <v>0</v>
      </c>
      <c r="C906" s="8">
        <v>7.2000000000000008E-2</v>
      </c>
      <c r="D906" s="8">
        <v>7.2000000000000008E-2</v>
      </c>
    </row>
    <row r="907" spans="1:4" x14ac:dyDescent="0.2">
      <c r="A907" s="15" t="s">
        <v>21</v>
      </c>
      <c r="B907" s="8">
        <v>0</v>
      </c>
      <c r="C907" s="8">
        <v>-0.05</v>
      </c>
      <c r="D907" s="8">
        <v>-0.05</v>
      </c>
    </row>
    <row r="908" spans="1:4" x14ac:dyDescent="0.2">
      <c r="A908" s="15" t="s">
        <v>22</v>
      </c>
      <c r="B908" s="8">
        <v>0</v>
      </c>
      <c r="C908" s="8">
        <v>-0.1</v>
      </c>
      <c r="D908" s="8">
        <v>-0.1</v>
      </c>
    </row>
    <row r="909" spans="1:4" x14ac:dyDescent="0.2">
      <c r="A909" s="15" t="s">
        <v>23</v>
      </c>
      <c r="B909" s="8">
        <v>0</v>
      </c>
      <c r="C909" s="8">
        <v>-7.0000000000000007E-2</v>
      </c>
      <c r="D909" s="8">
        <v>-7.0000000000000007E-2</v>
      </c>
    </row>
    <row r="910" spans="1:4" x14ac:dyDescent="0.2">
      <c r="A910" s="15" t="s">
        <v>24</v>
      </c>
      <c r="B910" s="8">
        <v>0</v>
      </c>
      <c r="C910" s="8">
        <v>-0.15</v>
      </c>
      <c r="D910" s="8">
        <v>-0.15</v>
      </c>
    </row>
    <row r="911" spans="1:4" x14ac:dyDescent="0.2">
      <c r="A911" s="15" t="s">
        <v>25</v>
      </c>
      <c r="B911" s="8">
        <v>-0.1</v>
      </c>
      <c r="C911" s="8">
        <v>0.1</v>
      </c>
      <c r="D911" s="8">
        <v>0</v>
      </c>
    </row>
    <row r="912" spans="1:4" x14ac:dyDescent="0.2">
      <c r="A912" s="15" t="s">
        <v>26</v>
      </c>
      <c r="B912" s="8">
        <v>-0.1</v>
      </c>
      <c r="C912" s="8">
        <v>0.1</v>
      </c>
      <c r="D912" s="8">
        <v>0</v>
      </c>
    </row>
    <row r="913" spans="1:4" x14ac:dyDescent="0.2">
      <c r="A913" s="15" t="s">
        <v>34</v>
      </c>
      <c r="B913" s="8">
        <v>0</v>
      </c>
      <c r="C913" s="8">
        <v>-0.08</v>
      </c>
      <c r="D913" s="8">
        <v>-0.08</v>
      </c>
    </row>
    <row r="914" spans="1:4" x14ac:dyDescent="0.2">
      <c r="A914" s="14" t="s">
        <v>596</v>
      </c>
      <c r="B914" s="8">
        <v>-5.7999999999999996E-2</v>
      </c>
      <c r="C914" s="8">
        <v>-0.28000000000000003</v>
      </c>
      <c r="D914" s="8">
        <v>-0.33800000000000002</v>
      </c>
    </row>
    <row r="915" spans="1:4" x14ac:dyDescent="0.2">
      <c r="A915" s="15" t="s">
        <v>19</v>
      </c>
      <c r="B915" s="8">
        <v>0.12</v>
      </c>
      <c r="C915" s="8">
        <v>0.12</v>
      </c>
      <c r="D915" s="8">
        <v>0.24</v>
      </c>
    </row>
    <row r="916" spans="1:4" x14ac:dyDescent="0.2">
      <c r="A916" s="15" t="s">
        <v>27</v>
      </c>
      <c r="B916" s="8">
        <v>0</v>
      </c>
      <c r="C916" s="8">
        <v>0</v>
      </c>
      <c r="D916" s="8">
        <v>0</v>
      </c>
    </row>
    <row r="917" spans="1:4" x14ac:dyDescent="0.2">
      <c r="A917" s="15" t="s">
        <v>28</v>
      </c>
      <c r="B917" s="8">
        <v>-0.05</v>
      </c>
      <c r="C917" s="8">
        <v>-0.05</v>
      </c>
      <c r="D917" s="8">
        <v>-0.1</v>
      </c>
    </row>
    <row r="918" spans="1:4" x14ac:dyDescent="0.2">
      <c r="A918" s="15" t="s">
        <v>20</v>
      </c>
      <c r="B918" s="8">
        <v>7.2000000000000008E-2</v>
      </c>
      <c r="C918" s="8">
        <v>0</v>
      </c>
      <c r="D918" s="8">
        <v>7.2000000000000008E-2</v>
      </c>
    </row>
    <row r="919" spans="1:4" x14ac:dyDescent="0.2">
      <c r="A919" s="15" t="s">
        <v>21</v>
      </c>
      <c r="B919" s="8">
        <v>0.05</v>
      </c>
      <c r="C919" s="8">
        <v>0</v>
      </c>
      <c r="D919" s="8">
        <v>0.05</v>
      </c>
    </row>
    <row r="920" spans="1:4" x14ac:dyDescent="0.2">
      <c r="A920" s="15" t="s">
        <v>22</v>
      </c>
      <c r="B920" s="8">
        <v>0</v>
      </c>
      <c r="C920" s="8">
        <v>-0.1</v>
      </c>
      <c r="D920" s="8">
        <v>-0.1</v>
      </c>
    </row>
    <row r="921" spans="1:4" x14ac:dyDescent="0.2">
      <c r="A921" s="15" t="s">
        <v>23</v>
      </c>
      <c r="B921" s="8">
        <v>0</v>
      </c>
      <c r="C921" s="8">
        <v>-7.0000000000000007E-2</v>
      </c>
      <c r="D921" s="8">
        <v>-7.0000000000000007E-2</v>
      </c>
    </row>
    <row r="922" spans="1:4" x14ac:dyDescent="0.2">
      <c r="A922" s="15" t="s">
        <v>24</v>
      </c>
      <c r="B922" s="8">
        <v>-0.15</v>
      </c>
      <c r="C922" s="8">
        <v>0</v>
      </c>
      <c r="D922" s="8">
        <v>-0.15</v>
      </c>
    </row>
    <row r="923" spans="1:4" x14ac:dyDescent="0.2">
      <c r="A923" s="15" t="s">
        <v>25</v>
      </c>
      <c r="B923" s="8">
        <v>0</v>
      </c>
      <c r="C923" s="8">
        <v>-0.1</v>
      </c>
      <c r="D923" s="8">
        <v>-0.1</v>
      </c>
    </row>
    <row r="924" spans="1:4" x14ac:dyDescent="0.2">
      <c r="A924" s="15" t="s">
        <v>26</v>
      </c>
      <c r="B924" s="8">
        <v>-0.1</v>
      </c>
      <c r="C924" s="8">
        <v>0</v>
      </c>
      <c r="D924" s="8">
        <v>-0.1</v>
      </c>
    </row>
    <row r="925" spans="1:4" x14ac:dyDescent="0.2">
      <c r="A925" s="15" t="s">
        <v>34</v>
      </c>
      <c r="B925" s="8">
        <v>0</v>
      </c>
      <c r="C925" s="8">
        <v>-0.08</v>
      </c>
      <c r="D925" s="8">
        <v>-0.08</v>
      </c>
    </row>
    <row r="926" spans="1:4" x14ac:dyDescent="0.2">
      <c r="A926" s="14" t="s">
        <v>606</v>
      </c>
      <c r="B926" s="8">
        <v>0.24199999999999999</v>
      </c>
      <c r="C926" s="8">
        <v>-0.60199999999999998</v>
      </c>
      <c r="D926" s="8">
        <v>-0.36000000000000004</v>
      </c>
    </row>
    <row r="927" spans="1:4" x14ac:dyDescent="0.2">
      <c r="A927" s="15" t="s">
        <v>19</v>
      </c>
      <c r="B927" s="8">
        <v>0.12</v>
      </c>
      <c r="C927" s="8">
        <v>0.12</v>
      </c>
      <c r="D927" s="8">
        <v>0.24</v>
      </c>
    </row>
    <row r="928" spans="1:4" x14ac:dyDescent="0.2">
      <c r="A928" s="15" t="s">
        <v>27</v>
      </c>
      <c r="B928" s="8">
        <v>0</v>
      </c>
      <c r="C928" s="8">
        <v>0</v>
      </c>
      <c r="D928" s="8">
        <v>0</v>
      </c>
    </row>
    <row r="929" spans="1:4" x14ac:dyDescent="0.2">
      <c r="A929" s="15" t="s">
        <v>28</v>
      </c>
      <c r="B929" s="8">
        <v>0</v>
      </c>
      <c r="C929" s="8">
        <v>-0.05</v>
      </c>
      <c r="D929" s="8">
        <v>-0.05</v>
      </c>
    </row>
    <row r="930" spans="1:4" x14ac:dyDescent="0.2">
      <c r="A930" s="15" t="s">
        <v>20</v>
      </c>
      <c r="B930" s="8">
        <v>7.2000000000000008E-2</v>
      </c>
      <c r="C930" s="8">
        <v>-7.2000000000000008E-2</v>
      </c>
      <c r="D930" s="8">
        <v>0</v>
      </c>
    </row>
    <row r="931" spans="1:4" x14ac:dyDescent="0.2">
      <c r="A931" s="15" t="s">
        <v>21</v>
      </c>
      <c r="B931" s="8">
        <v>0.05</v>
      </c>
      <c r="C931" s="8">
        <v>0</v>
      </c>
      <c r="D931" s="8">
        <v>0.05</v>
      </c>
    </row>
    <row r="932" spans="1:4" x14ac:dyDescent="0.2">
      <c r="A932" s="15" t="s">
        <v>22</v>
      </c>
      <c r="B932" s="8">
        <v>0</v>
      </c>
      <c r="C932" s="8">
        <v>-0.1</v>
      </c>
      <c r="D932" s="8">
        <v>-0.1</v>
      </c>
    </row>
    <row r="933" spans="1:4" x14ac:dyDescent="0.2">
      <c r="A933" s="15" t="s">
        <v>23</v>
      </c>
      <c r="B933" s="8">
        <v>0</v>
      </c>
      <c r="C933" s="8">
        <v>-7.0000000000000007E-2</v>
      </c>
      <c r="D933" s="8">
        <v>-7.0000000000000007E-2</v>
      </c>
    </row>
    <row r="934" spans="1:4" x14ac:dyDescent="0.2">
      <c r="A934" s="15" t="s">
        <v>24</v>
      </c>
      <c r="B934" s="8">
        <v>0</v>
      </c>
      <c r="C934" s="8">
        <v>-0.15</v>
      </c>
      <c r="D934" s="8">
        <v>-0.15</v>
      </c>
    </row>
    <row r="935" spans="1:4" x14ac:dyDescent="0.2">
      <c r="A935" s="15" t="s">
        <v>25</v>
      </c>
      <c r="B935" s="8">
        <v>0</v>
      </c>
      <c r="C935" s="8">
        <v>-0.1</v>
      </c>
      <c r="D935" s="8">
        <v>-0.1</v>
      </c>
    </row>
    <row r="936" spans="1:4" x14ac:dyDescent="0.2">
      <c r="A936" s="15" t="s">
        <v>26</v>
      </c>
      <c r="B936" s="8">
        <v>0</v>
      </c>
      <c r="C936" s="8">
        <v>-0.1</v>
      </c>
      <c r="D936" s="8">
        <v>-0.1</v>
      </c>
    </row>
    <row r="937" spans="1:4" x14ac:dyDescent="0.2">
      <c r="A937" s="15" t="s">
        <v>34</v>
      </c>
      <c r="B937" s="8">
        <v>0</v>
      </c>
      <c r="C937" s="8">
        <v>-0.08</v>
      </c>
      <c r="D937" s="8">
        <v>-0.08</v>
      </c>
    </row>
    <row r="938" spans="1:4" x14ac:dyDescent="0.2">
      <c r="A938" s="14" t="s">
        <v>608</v>
      </c>
      <c r="B938" s="8">
        <v>-0.13</v>
      </c>
      <c r="C938" s="8">
        <v>0.192</v>
      </c>
      <c r="D938" s="8">
        <v>6.2E-2</v>
      </c>
    </row>
    <row r="939" spans="1:4" x14ac:dyDescent="0.2">
      <c r="A939" s="15" t="s">
        <v>19</v>
      </c>
      <c r="B939" s="8">
        <v>0.12</v>
      </c>
      <c r="C939" s="8">
        <v>0.12</v>
      </c>
      <c r="D939" s="8">
        <v>0.24</v>
      </c>
    </row>
    <row r="940" spans="1:4" x14ac:dyDescent="0.2">
      <c r="A940" s="15" t="s">
        <v>27</v>
      </c>
      <c r="B940" s="8">
        <v>0</v>
      </c>
      <c r="C940" s="8">
        <v>0</v>
      </c>
      <c r="D940" s="8">
        <v>0</v>
      </c>
    </row>
    <row r="941" spans="1:4" x14ac:dyDescent="0.2">
      <c r="A941" s="15" t="s">
        <v>28</v>
      </c>
      <c r="B941" s="8">
        <v>-0.05</v>
      </c>
      <c r="C941" s="8">
        <v>-0.05</v>
      </c>
      <c r="D941" s="8">
        <v>-0.1</v>
      </c>
    </row>
    <row r="942" spans="1:4" x14ac:dyDescent="0.2">
      <c r="A942" s="15" t="s">
        <v>20</v>
      </c>
      <c r="B942" s="8">
        <v>0</v>
      </c>
      <c r="C942" s="8">
        <v>7.2000000000000008E-2</v>
      </c>
      <c r="D942" s="8">
        <v>7.2000000000000008E-2</v>
      </c>
    </row>
    <row r="943" spans="1:4" x14ac:dyDescent="0.2">
      <c r="A943" s="15" t="s">
        <v>21</v>
      </c>
      <c r="B943" s="8">
        <v>0.05</v>
      </c>
      <c r="C943" s="8">
        <v>0.05</v>
      </c>
      <c r="D943" s="8">
        <v>0.1</v>
      </c>
    </row>
    <row r="944" spans="1:4" x14ac:dyDescent="0.2">
      <c r="A944" s="15" t="s">
        <v>22</v>
      </c>
      <c r="B944" s="8">
        <v>0</v>
      </c>
      <c r="C944" s="8">
        <v>0</v>
      </c>
      <c r="D944" s="8">
        <v>0</v>
      </c>
    </row>
    <row r="945" spans="1:4" x14ac:dyDescent="0.2">
      <c r="A945" s="15" t="s">
        <v>23</v>
      </c>
      <c r="B945" s="8">
        <v>0</v>
      </c>
      <c r="C945" s="8">
        <v>0</v>
      </c>
      <c r="D945" s="8">
        <v>0</v>
      </c>
    </row>
    <row r="946" spans="1:4" x14ac:dyDescent="0.2">
      <c r="A946" s="15" t="s">
        <v>24</v>
      </c>
      <c r="B946" s="8">
        <v>-0.15</v>
      </c>
      <c r="C946" s="8">
        <v>0</v>
      </c>
      <c r="D946" s="8">
        <v>-0.15</v>
      </c>
    </row>
    <row r="947" spans="1:4" x14ac:dyDescent="0.2">
      <c r="A947" s="15" t="s">
        <v>25</v>
      </c>
      <c r="B947" s="8">
        <v>-0.1</v>
      </c>
      <c r="C947" s="8">
        <v>0</v>
      </c>
      <c r="D947" s="8">
        <v>-0.1</v>
      </c>
    </row>
    <row r="948" spans="1:4" x14ac:dyDescent="0.2">
      <c r="A948" s="15" t="s">
        <v>26</v>
      </c>
      <c r="B948" s="8">
        <v>0</v>
      </c>
      <c r="C948" s="8">
        <v>0</v>
      </c>
      <c r="D948" s="8">
        <v>0</v>
      </c>
    </row>
    <row r="949" spans="1:4" x14ac:dyDescent="0.2">
      <c r="A949" s="15" t="s">
        <v>34</v>
      </c>
      <c r="B949" s="8">
        <v>0</v>
      </c>
      <c r="C949" s="8">
        <v>0</v>
      </c>
      <c r="D949" s="8">
        <v>0</v>
      </c>
    </row>
    <row r="950" spans="1:4" x14ac:dyDescent="0.2">
      <c r="A950" s="14" t="s">
        <v>613</v>
      </c>
      <c r="B950" s="8">
        <v>0.29199999999999998</v>
      </c>
      <c r="C950" s="8">
        <v>0.78199999999999992</v>
      </c>
      <c r="D950" s="8">
        <v>1.0740000000000001</v>
      </c>
    </row>
    <row r="951" spans="1:4" x14ac:dyDescent="0.2">
      <c r="A951" s="15" t="s">
        <v>19</v>
      </c>
      <c r="B951" s="8">
        <v>0.12</v>
      </c>
      <c r="C951" s="8">
        <v>0.12</v>
      </c>
      <c r="D951" s="8">
        <v>0.24</v>
      </c>
    </row>
    <row r="952" spans="1:4" x14ac:dyDescent="0.2">
      <c r="A952" s="15" t="s">
        <v>27</v>
      </c>
      <c r="B952" s="8">
        <v>0</v>
      </c>
      <c r="C952" s="8">
        <v>9.0000000000000011E-2</v>
      </c>
      <c r="D952" s="8">
        <v>9.0000000000000011E-2</v>
      </c>
    </row>
    <row r="953" spans="1:4" x14ac:dyDescent="0.2">
      <c r="A953" s="15" t="s">
        <v>28</v>
      </c>
      <c r="B953" s="8">
        <v>0.05</v>
      </c>
      <c r="C953" s="8">
        <v>-0.05</v>
      </c>
      <c r="D953" s="8">
        <v>0</v>
      </c>
    </row>
    <row r="954" spans="1:4" x14ac:dyDescent="0.2">
      <c r="A954" s="15" t="s">
        <v>20</v>
      </c>
      <c r="B954" s="8">
        <v>7.2000000000000008E-2</v>
      </c>
      <c r="C954" s="8">
        <v>7.2000000000000008E-2</v>
      </c>
      <c r="D954" s="8">
        <v>0.14400000000000002</v>
      </c>
    </row>
    <row r="955" spans="1:4" x14ac:dyDescent="0.2">
      <c r="A955" s="15" t="s">
        <v>21</v>
      </c>
      <c r="B955" s="8">
        <v>0.05</v>
      </c>
      <c r="C955" s="8">
        <v>0.05</v>
      </c>
      <c r="D955" s="8">
        <v>0.1</v>
      </c>
    </row>
    <row r="956" spans="1:4" x14ac:dyDescent="0.2">
      <c r="A956" s="15" t="s">
        <v>22</v>
      </c>
      <c r="B956" s="8">
        <v>0</v>
      </c>
      <c r="C956" s="8">
        <v>0.1</v>
      </c>
      <c r="D956" s="8">
        <v>0.1</v>
      </c>
    </row>
    <row r="957" spans="1:4" x14ac:dyDescent="0.2">
      <c r="A957" s="15" t="s">
        <v>23</v>
      </c>
      <c r="B957" s="8">
        <v>0</v>
      </c>
      <c r="C957" s="8">
        <v>7.0000000000000007E-2</v>
      </c>
      <c r="D957" s="8">
        <v>7.0000000000000007E-2</v>
      </c>
    </row>
    <row r="958" spans="1:4" x14ac:dyDescent="0.2">
      <c r="A958" s="15" t="s">
        <v>24</v>
      </c>
      <c r="B958" s="8">
        <v>0</v>
      </c>
      <c r="C958" s="8">
        <v>0.15</v>
      </c>
      <c r="D958" s="8">
        <v>0.15</v>
      </c>
    </row>
    <row r="959" spans="1:4" x14ac:dyDescent="0.2">
      <c r="A959" s="15" t="s">
        <v>25</v>
      </c>
      <c r="B959" s="8">
        <v>0</v>
      </c>
      <c r="C959" s="8">
        <v>0</v>
      </c>
      <c r="D959" s="8">
        <v>0</v>
      </c>
    </row>
    <row r="960" spans="1:4" x14ac:dyDescent="0.2">
      <c r="A960" s="15" t="s">
        <v>26</v>
      </c>
      <c r="B960" s="8">
        <v>0</v>
      </c>
      <c r="C960" s="8">
        <v>0.1</v>
      </c>
      <c r="D960" s="8">
        <v>0.1</v>
      </c>
    </row>
    <row r="961" spans="1:4" x14ac:dyDescent="0.2">
      <c r="A961" s="15" t="s">
        <v>34</v>
      </c>
      <c r="B961" s="8">
        <v>0</v>
      </c>
      <c r="C961" s="8">
        <v>0.08</v>
      </c>
      <c r="D961" s="8">
        <v>0.08</v>
      </c>
    </row>
    <row r="962" spans="1:4" x14ac:dyDescent="0.2">
      <c r="A962" s="14" t="s">
        <v>620</v>
      </c>
      <c r="B962" s="8">
        <v>0.16999999999999998</v>
      </c>
      <c r="C962" s="8">
        <v>-0.308</v>
      </c>
      <c r="D962" s="8">
        <v>-0.13800000000000001</v>
      </c>
    </row>
    <row r="963" spans="1:4" x14ac:dyDescent="0.2">
      <c r="A963" s="15" t="s">
        <v>19</v>
      </c>
      <c r="B963" s="8">
        <v>0.12</v>
      </c>
      <c r="C963" s="8">
        <v>0.12</v>
      </c>
      <c r="D963" s="8">
        <v>0.24</v>
      </c>
    </row>
    <row r="964" spans="1:4" x14ac:dyDescent="0.2">
      <c r="A964" s="15" t="s">
        <v>27</v>
      </c>
      <c r="B964" s="8">
        <v>0</v>
      </c>
      <c r="C964" s="8">
        <v>0</v>
      </c>
      <c r="D964" s="8">
        <v>0</v>
      </c>
    </row>
    <row r="965" spans="1:4" x14ac:dyDescent="0.2">
      <c r="A965" s="15" t="s">
        <v>28</v>
      </c>
      <c r="B965" s="8">
        <v>0</v>
      </c>
      <c r="C965" s="8">
        <v>-0.05</v>
      </c>
      <c r="D965" s="8">
        <v>-0.05</v>
      </c>
    </row>
    <row r="966" spans="1:4" x14ac:dyDescent="0.2">
      <c r="A966" s="15" t="s">
        <v>20</v>
      </c>
      <c r="B966" s="8">
        <v>0</v>
      </c>
      <c r="C966" s="8">
        <v>7.2000000000000008E-2</v>
      </c>
      <c r="D966" s="8">
        <v>7.2000000000000008E-2</v>
      </c>
    </row>
    <row r="967" spans="1:4" x14ac:dyDescent="0.2">
      <c r="A967" s="15" t="s">
        <v>21</v>
      </c>
      <c r="B967" s="8">
        <v>0.05</v>
      </c>
      <c r="C967" s="8">
        <v>-0.05</v>
      </c>
      <c r="D967" s="8">
        <v>0</v>
      </c>
    </row>
    <row r="968" spans="1:4" x14ac:dyDescent="0.2">
      <c r="A968" s="15" t="s">
        <v>22</v>
      </c>
      <c r="B968" s="8">
        <v>0</v>
      </c>
      <c r="C968" s="8">
        <v>-0.1</v>
      </c>
      <c r="D968" s="8">
        <v>-0.1</v>
      </c>
    </row>
    <row r="969" spans="1:4" x14ac:dyDescent="0.2">
      <c r="A969" s="15" t="s">
        <v>23</v>
      </c>
      <c r="B969" s="8">
        <v>0</v>
      </c>
      <c r="C969" s="8">
        <v>-7.0000000000000007E-2</v>
      </c>
      <c r="D969" s="8">
        <v>-7.0000000000000007E-2</v>
      </c>
    </row>
    <row r="970" spans="1:4" x14ac:dyDescent="0.2">
      <c r="A970" s="15" t="s">
        <v>24</v>
      </c>
      <c r="B970" s="8">
        <v>0</v>
      </c>
      <c r="C970" s="8">
        <v>-0.15</v>
      </c>
      <c r="D970" s="8">
        <v>-0.15</v>
      </c>
    </row>
    <row r="971" spans="1:4" x14ac:dyDescent="0.2">
      <c r="A971" s="15" t="s">
        <v>25</v>
      </c>
      <c r="B971" s="8">
        <v>0</v>
      </c>
      <c r="C971" s="8">
        <v>0</v>
      </c>
      <c r="D971" s="8">
        <v>0</v>
      </c>
    </row>
    <row r="972" spans="1:4" x14ac:dyDescent="0.2">
      <c r="A972" s="15" t="s">
        <v>26</v>
      </c>
      <c r="B972" s="8">
        <v>0</v>
      </c>
      <c r="C972" s="8">
        <v>0</v>
      </c>
      <c r="D972" s="8">
        <v>0</v>
      </c>
    </row>
    <row r="973" spans="1:4" x14ac:dyDescent="0.2">
      <c r="A973" s="15" t="s">
        <v>34</v>
      </c>
      <c r="B973" s="8">
        <v>0</v>
      </c>
      <c r="C973" s="8">
        <v>-0.08</v>
      </c>
      <c r="D973" s="8">
        <v>-0.08</v>
      </c>
    </row>
    <row r="974" spans="1:4" x14ac:dyDescent="0.2">
      <c r="A974" s="14" t="s">
        <v>642</v>
      </c>
      <c r="B974" s="8">
        <v>-8.8000000000000009E-2</v>
      </c>
      <c r="C974" s="8">
        <v>4.200000000000001E-2</v>
      </c>
      <c r="D974" s="8">
        <v>-4.5999999999999999E-2</v>
      </c>
    </row>
    <row r="975" spans="1:4" x14ac:dyDescent="0.2">
      <c r="A975" s="15" t="s">
        <v>19</v>
      </c>
      <c r="B975" s="8">
        <v>0.12</v>
      </c>
      <c r="C975" s="8">
        <v>0.12</v>
      </c>
      <c r="D975" s="8">
        <v>0.24</v>
      </c>
    </row>
    <row r="976" spans="1:4" x14ac:dyDescent="0.2">
      <c r="A976" s="15" t="s">
        <v>27</v>
      </c>
      <c r="B976" s="8">
        <v>0</v>
      </c>
      <c r="C976" s="8">
        <v>0</v>
      </c>
      <c r="D976" s="8">
        <v>0</v>
      </c>
    </row>
    <row r="977" spans="1:4" x14ac:dyDescent="0.2">
      <c r="A977" s="15" t="s">
        <v>28</v>
      </c>
      <c r="B977" s="8">
        <v>-0.05</v>
      </c>
      <c r="C977" s="8">
        <v>0</v>
      </c>
      <c r="D977" s="8">
        <v>-0.05</v>
      </c>
    </row>
    <row r="978" spans="1:4" x14ac:dyDescent="0.2">
      <c r="A978" s="15" t="s">
        <v>20</v>
      </c>
      <c r="B978" s="8">
        <v>7.2000000000000008E-2</v>
      </c>
      <c r="C978" s="8">
        <v>7.2000000000000008E-2</v>
      </c>
      <c r="D978" s="8">
        <v>0.14400000000000002</v>
      </c>
    </row>
    <row r="979" spans="1:4" x14ac:dyDescent="0.2">
      <c r="A979" s="15" t="s">
        <v>21</v>
      </c>
      <c r="B979" s="8">
        <v>0.05</v>
      </c>
      <c r="C979" s="8">
        <v>0</v>
      </c>
      <c r="D979" s="8">
        <v>0.05</v>
      </c>
    </row>
    <row r="980" spans="1:4" x14ac:dyDescent="0.2">
      <c r="A980" s="15" t="s">
        <v>22</v>
      </c>
      <c r="B980" s="8">
        <v>0</v>
      </c>
      <c r="C980" s="8">
        <v>0</v>
      </c>
      <c r="D980" s="8">
        <v>0</v>
      </c>
    </row>
    <row r="981" spans="1:4" x14ac:dyDescent="0.2">
      <c r="A981" s="15" t="s">
        <v>23</v>
      </c>
      <c r="B981" s="8">
        <v>0</v>
      </c>
      <c r="C981" s="8">
        <v>0</v>
      </c>
      <c r="D981" s="8">
        <v>0</v>
      </c>
    </row>
    <row r="982" spans="1:4" x14ac:dyDescent="0.2">
      <c r="A982" s="15" t="s">
        <v>24</v>
      </c>
      <c r="B982" s="8">
        <v>0</v>
      </c>
      <c r="C982" s="8">
        <v>-0.15</v>
      </c>
      <c r="D982" s="8">
        <v>-0.15</v>
      </c>
    </row>
    <row r="983" spans="1:4" x14ac:dyDescent="0.2">
      <c r="A983" s="15" t="s">
        <v>25</v>
      </c>
      <c r="B983" s="8">
        <v>-0.1</v>
      </c>
      <c r="C983" s="8">
        <v>0</v>
      </c>
      <c r="D983" s="8">
        <v>-0.1</v>
      </c>
    </row>
    <row r="984" spans="1:4" x14ac:dyDescent="0.2">
      <c r="A984" s="15" t="s">
        <v>26</v>
      </c>
      <c r="B984" s="8">
        <v>-0.1</v>
      </c>
      <c r="C984" s="8">
        <v>0</v>
      </c>
      <c r="D984" s="8">
        <v>-0.1</v>
      </c>
    </row>
    <row r="985" spans="1:4" x14ac:dyDescent="0.2">
      <c r="A985" s="15" t="s">
        <v>34</v>
      </c>
      <c r="B985" s="8">
        <v>-0.08</v>
      </c>
      <c r="C985" s="8">
        <v>0</v>
      </c>
      <c r="D985" s="8">
        <v>-0.08</v>
      </c>
    </row>
    <row r="986" spans="1:4" x14ac:dyDescent="0.2">
      <c r="A986" s="14" t="s">
        <v>645</v>
      </c>
      <c r="B986" s="8">
        <v>0.83199999999999996</v>
      </c>
      <c r="C986" s="8">
        <v>-0.52999999999999992</v>
      </c>
      <c r="D986" s="8">
        <v>0.30200000000000005</v>
      </c>
    </row>
    <row r="987" spans="1:4" x14ac:dyDescent="0.2">
      <c r="A987" s="15" t="s">
        <v>19</v>
      </c>
      <c r="B987" s="8">
        <v>0.12</v>
      </c>
      <c r="C987" s="8">
        <v>0.12</v>
      </c>
      <c r="D987" s="8">
        <v>0.24</v>
      </c>
    </row>
    <row r="988" spans="1:4" x14ac:dyDescent="0.2">
      <c r="A988" s="15" t="s">
        <v>27</v>
      </c>
      <c r="B988" s="8">
        <v>9.0000000000000011E-2</v>
      </c>
      <c r="C988" s="8">
        <v>0</v>
      </c>
      <c r="D988" s="8">
        <v>9.0000000000000011E-2</v>
      </c>
    </row>
    <row r="989" spans="1:4" x14ac:dyDescent="0.2">
      <c r="A989" s="15" t="s">
        <v>28</v>
      </c>
      <c r="B989" s="8">
        <v>0</v>
      </c>
      <c r="C989" s="8">
        <v>-0.05</v>
      </c>
      <c r="D989" s="8">
        <v>-0.05</v>
      </c>
    </row>
    <row r="990" spans="1:4" x14ac:dyDescent="0.2">
      <c r="A990" s="15" t="s">
        <v>20</v>
      </c>
      <c r="B990" s="8">
        <v>7.2000000000000008E-2</v>
      </c>
      <c r="C990" s="8">
        <v>0</v>
      </c>
      <c r="D990" s="8">
        <v>7.2000000000000008E-2</v>
      </c>
    </row>
    <row r="991" spans="1:4" x14ac:dyDescent="0.2">
      <c r="A991" s="15" t="s">
        <v>21</v>
      </c>
      <c r="B991" s="8">
        <v>0.05</v>
      </c>
      <c r="C991" s="8">
        <v>0</v>
      </c>
      <c r="D991" s="8">
        <v>0.05</v>
      </c>
    </row>
    <row r="992" spans="1:4" x14ac:dyDescent="0.2">
      <c r="A992" s="15" t="s">
        <v>22</v>
      </c>
      <c r="B992" s="8">
        <v>0.1</v>
      </c>
      <c r="C992" s="8">
        <v>-0.1</v>
      </c>
      <c r="D992" s="8">
        <v>0</v>
      </c>
    </row>
    <row r="993" spans="1:4" x14ac:dyDescent="0.2">
      <c r="A993" s="15" t="s">
        <v>23</v>
      </c>
      <c r="B993" s="8">
        <v>7.0000000000000007E-2</v>
      </c>
      <c r="C993" s="8">
        <v>-7.0000000000000007E-2</v>
      </c>
      <c r="D993" s="8">
        <v>0</v>
      </c>
    </row>
    <row r="994" spans="1:4" x14ac:dyDescent="0.2">
      <c r="A994" s="15" t="s">
        <v>24</v>
      </c>
      <c r="B994" s="8">
        <v>0.15</v>
      </c>
      <c r="C994" s="8">
        <v>-0.15</v>
      </c>
      <c r="D994" s="8">
        <v>0</v>
      </c>
    </row>
    <row r="995" spans="1:4" x14ac:dyDescent="0.2">
      <c r="A995" s="15" t="s">
        <v>25</v>
      </c>
      <c r="B995" s="8">
        <v>0.1</v>
      </c>
      <c r="C995" s="8">
        <v>-0.1</v>
      </c>
      <c r="D995" s="8">
        <v>0</v>
      </c>
    </row>
    <row r="996" spans="1:4" x14ac:dyDescent="0.2">
      <c r="A996" s="15" t="s">
        <v>26</v>
      </c>
      <c r="B996" s="8">
        <v>0</v>
      </c>
      <c r="C996" s="8">
        <v>-0.1</v>
      </c>
      <c r="D996" s="8">
        <v>-0.1</v>
      </c>
    </row>
    <row r="997" spans="1:4" x14ac:dyDescent="0.2">
      <c r="A997" s="15" t="s">
        <v>34</v>
      </c>
      <c r="B997" s="8">
        <v>0.08</v>
      </c>
      <c r="C997" s="8">
        <v>-0.08</v>
      </c>
      <c r="D997" s="8">
        <v>0</v>
      </c>
    </row>
    <row r="998" spans="1:4" x14ac:dyDescent="0.2">
      <c r="A998" s="14" t="s">
        <v>649</v>
      </c>
      <c r="B998" s="8">
        <v>0.98199999999999998</v>
      </c>
      <c r="C998" s="8">
        <v>-0.60199999999999998</v>
      </c>
      <c r="D998" s="8">
        <v>0.38</v>
      </c>
    </row>
    <row r="999" spans="1:4" x14ac:dyDescent="0.2">
      <c r="A999" s="15" t="s">
        <v>19</v>
      </c>
      <c r="B999" s="8">
        <v>0.12</v>
      </c>
      <c r="C999" s="8">
        <v>0.12</v>
      </c>
      <c r="D999" s="8">
        <v>0.24</v>
      </c>
    </row>
    <row r="1000" spans="1:4" x14ac:dyDescent="0.2">
      <c r="A1000" s="15" t="s">
        <v>27</v>
      </c>
      <c r="B1000" s="8">
        <v>9.0000000000000011E-2</v>
      </c>
      <c r="C1000" s="8">
        <v>0</v>
      </c>
      <c r="D1000" s="8">
        <v>9.0000000000000011E-2</v>
      </c>
    </row>
    <row r="1001" spans="1:4" x14ac:dyDescent="0.2">
      <c r="A1001" s="15" t="s">
        <v>28</v>
      </c>
      <c r="B1001" s="8">
        <v>0.05</v>
      </c>
      <c r="C1001" s="8">
        <v>-0.05</v>
      </c>
      <c r="D1001" s="8">
        <v>0</v>
      </c>
    </row>
    <row r="1002" spans="1:4" x14ac:dyDescent="0.2">
      <c r="A1002" s="15" t="s">
        <v>20</v>
      </c>
      <c r="B1002" s="8">
        <v>7.2000000000000008E-2</v>
      </c>
      <c r="C1002" s="8">
        <v>-7.2000000000000008E-2</v>
      </c>
      <c r="D1002" s="8">
        <v>0</v>
      </c>
    </row>
    <row r="1003" spans="1:4" x14ac:dyDescent="0.2">
      <c r="A1003" s="15" t="s">
        <v>21</v>
      </c>
      <c r="B1003" s="8">
        <v>0.05</v>
      </c>
      <c r="C1003" s="8">
        <v>0</v>
      </c>
      <c r="D1003" s="8">
        <v>0.05</v>
      </c>
    </row>
    <row r="1004" spans="1:4" x14ac:dyDescent="0.2">
      <c r="A1004" s="15" t="s">
        <v>22</v>
      </c>
      <c r="B1004" s="8">
        <v>0.1</v>
      </c>
      <c r="C1004" s="8">
        <v>-0.1</v>
      </c>
      <c r="D1004" s="8">
        <v>0</v>
      </c>
    </row>
    <row r="1005" spans="1:4" x14ac:dyDescent="0.2">
      <c r="A1005" s="15" t="s">
        <v>23</v>
      </c>
      <c r="B1005" s="8">
        <v>7.0000000000000007E-2</v>
      </c>
      <c r="C1005" s="8">
        <v>-7.0000000000000007E-2</v>
      </c>
      <c r="D1005" s="8">
        <v>0</v>
      </c>
    </row>
    <row r="1006" spans="1:4" x14ac:dyDescent="0.2">
      <c r="A1006" s="15" t="s">
        <v>24</v>
      </c>
      <c r="B1006" s="8">
        <v>0.15</v>
      </c>
      <c r="C1006" s="8">
        <v>-0.15</v>
      </c>
      <c r="D1006" s="8">
        <v>0</v>
      </c>
    </row>
    <row r="1007" spans="1:4" x14ac:dyDescent="0.2">
      <c r="A1007" s="15" t="s">
        <v>25</v>
      </c>
      <c r="B1007" s="8">
        <v>0.1</v>
      </c>
      <c r="C1007" s="8">
        <v>-0.1</v>
      </c>
      <c r="D1007" s="8">
        <v>0</v>
      </c>
    </row>
    <row r="1008" spans="1:4" x14ac:dyDescent="0.2">
      <c r="A1008" s="15" t="s">
        <v>26</v>
      </c>
      <c r="B1008" s="8">
        <v>0.1</v>
      </c>
      <c r="C1008" s="8">
        <v>-0.1</v>
      </c>
      <c r="D1008" s="8">
        <v>0</v>
      </c>
    </row>
    <row r="1009" spans="1:4" x14ac:dyDescent="0.2">
      <c r="A1009" s="15" t="s">
        <v>34</v>
      </c>
      <c r="B1009" s="8">
        <v>0.08</v>
      </c>
      <c r="C1009" s="8">
        <v>-0.08</v>
      </c>
      <c r="D1009" s="8">
        <v>0</v>
      </c>
    </row>
    <row r="1010" spans="1:4" x14ac:dyDescent="0.2">
      <c r="A1010" s="14" t="s">
        <v>655</v>
      </c>
      <c r="B1010" s="8">
        <v>0.42199999999999999</v>
      </c>
      <c r="C1010" s="8">
        <v>-0.25200000000000006</v>
      </c>
      <c r="D1010" s="8">
        <v>0.16999999999999996</v>
      </c>
    </row>
    <row r="1011" spans="1:4" x14ac:dyDescent="0.2">
      <c r="A1011" s="15" t="s">
        <v>19</v>
      </c>
      <c r="B1011" s="8">
        <v>0.12</v>
      </c>
      <c r="C1011" s="8">
        <v>0.12</v>
      </c>
      <c r="D1011" s="8">
        <v>0.24</v>
      </c>
    </row>
    <row r="1012" spans="1:4" x14ac:dyDescent="0.2">
      <c r="A1012" s="15" t="s">
        <v>27</v>
      </c>
      <c r="B1012" s="8">
        <v>0</v>
      </c>
      <c r="C1012" s="8">
        <v>0</v>
      </c>
      <c r="D1012" s="8">
        <v>0</v>
      </c>
    </row>
    <row r="1013" spans="1:4" x14ac:dyDescent="0.2">
      <c r="A1013" s="15" t="s">
        <v>28</v>
      </c>
      <c r="B1013" s="8">
        <v>0</v>
      </c>
      <c r="C1013" s="8">
        <v>-0.05</v>
      </c>
      <c r="D1013" s="8">
        <v>-0.05</v>
      </c>
    </row>
    <row r="1014" spans="1:4" x14ac:dyDescent="0.2">
      <c r="A1014" s="15" t="s">
        <v>20</v>
      </c>
      <c r="B1014" s="8">
        <v>7.2000000000000008E-2</v>
      </c>
      <c r="C1014" s="8">
        <v>-7.2000000000000008E-2</v>
      </c>
      <c r="D1014" s="8">
        <v>0</v>
      </c>
    </row>
    <row r="1015" spans="1:4" x14ac:dyDescent="0.2">
      <c r="A1015" s="15" t="s">
        <v>21</v>
      </c>
      <c r="B1015" s="8">
        <v>0.05</v>
      </c>
      <c r="C1015" s="8">
        <v>0</v>
      </c>
      <c r="D1015" s="8">
        <v>0.05</v>
      </c>
    </row>
    <row r="1016" spans="1:4" x14ac:dyDescent="0.2">
      <c r="A1016" s="15" t="s">
        <v>22</v>
      </c>
      <c r="B1016" s="8">
        <v>0.1</v>
      </c>
      <c r="C1016" s="8">
        <v>0</v>
      </c>
      <c r="D1016" s="8">
        <v>0.1</v>
      </c>
    </row>
    <row r="1017" spans="1:4" x14ac:dyDescent="0.2">
      <c r="A1017" s="15" t="s">
        <v>23</v>
      </c>
      <c r="B1017" s="8">
        <v>0</v>
      </c>
      <c r="C1017" s="8">
        <v>-7.0000000000000007E-2</v>
      </c>
      <c r="D1017" s="8">
        <v>-7.0000000000000007E-2</v>
      </c>
    </row>
    <row r="1018" spans="1:4" x14ac:dyDescent="0.2">
      <c r="A1018" s="15" t="s">
        <v>24</v>
      </c>
      <c r="B1018" s="8">
        <v>0</v>
      </c>
      <c r="C1018" s="8">
        <v>0</v>
      </c>
      <c r="D1018" s="8">
        <v>0</v>
      </c>
    </row>
    <row r="1019" spans="1:4" x14ac:dyDescent="0.2">
      <c r="A1019" s="15" t="s">
        <v>25</v>
      </c>
      <c r="B1019" s="8">
        <v>0</v>
      </c>
      <c r="C1019" s="8">
        <v>0</v>
      </c>
      <c r="D1019" s="8">
        <v>0</v>
      </c>
    </row>
    <row r="1020" spans="1:4" x14ac:dyDescent="0.2">
      <c r="A1020" s="15" t="s">
        <v>26</v>
      </c>
      <c r="B1020" s="8">
        <v>0</v>
      </c>
      <c r="C1020" s="8">
        <v>-0.1</v>
      </c>
      <c r="D1020" s="8">
        <v>-0.1</v>
      </c>
    </row>
    <row r="1021" spans="1:4" x14ac:dyDescent="0.2">
      <c r="A1021" s="15" t="s">
        <v>34</v>
      </c>
      <c r="B1021" s="8">
        <v>0.08</v>
      </c>
      <c r="C1021" s="8">
        <v>-0.08</v>
      </c>
      <c r="D1021" s="8">
        <v>0</v>
      </c>
    </row>
    <row r="1022" spans="1:4" x14ac:dyDescent="0.2">
      <c r="A1022" s="14" t="s">
        <v>661</v>
      </c>
      <c r="B1022" s="8">
        <v>0.34199999999999997</v>
      </c>
      <c r="C1022" s="8">
        <v>0.26500000000000001</v>
      </c>
      <c r="D1022" s="8">
        <v>0.60699999999999998</v>
      </c>
    </row>
    <row r="1023" spans="1:4" x14ac:dyDescent="0.2">
      <c r="A1023" s="15" t="s">
        <v>19</v>
      </c>
      <c r="B1023" s="8">
        <v>0.12</v>
      </c>
      <c r="C1023" s="8">
        <v>0.12</v>
      </c>
      <c r="D1023" s="8">
        <v>0.24</v>
      </c>
    </row>
    <row r="1024" spans="1:4" x14ac:dyDescent="0.2">
      <c r="A1024" s="15" t="s">
        <v>27</v>
      </c>
      <c r="B1024" s="8">
        <v>0</v>
      </c>
      <c r="C1024" s="8">
        <v>4.5000000000000005E-2</v>
      </c>
      <c r="D1024" s="8">
        <v>4.5000000000000005E-2</v>
      </c>
    </row>
    <row r="1025" spans="1:4" x14ac:dyDescent="0.2">
      <c r="A1025" s="15" t="s">
        <v>28</v>
      </c>
      <c r="B1025" s="8">
        <v>0</v>
      </c>
      <c r="C1025" s="8">
        <v>-0.05</v>
      </c>
      <c r="D1025" s="8">
        <v>-0.05</v>
      </c>
    </row>
    <row r="1026" spans="1:4" x14ac:dyDescent="0.2">
      <c r="A1026" s="15" t="s">
        <v>20</v>
      </c>
      <c r="B1026" s="8">
        <v>7.2000000000000008E-2</v>
      </c>
      <c r="C1026" s="8">
        <v>0</v>
      </c>
      <c r="D1026" s="8">
        <v>7.2000000000000008E-2</v>
      </c>
    </row>
    <row r="1027" spans="1:4" x14ac:dyDescent="0.2">
      <c r="A1027" s="15" t="s">
        <v>21</v>
      </c>
      <c r="B1027" s="8">
        <v>0.05</v>
      </c>
      <c r="C1027" s="8">
        <v>0.05</v>
      </c>
      <c r="D1027" s="8">
        <v>0.1</v>
      </c>
    </row>
    <row r="1028" spans="1:4" x14ac:dyDescent="0.2">
      <c r="A1028" s="15" t="s">
        <v>22</v>
      </c>
      <c r="B1028" s="8">
        <v>0.1</v>
      </c>
      <c r="C1028" s="8">
        <v>0</v>
      </c>
      <c r="D1028" s="8">
        <v>0.1</v>
      </c>
    </row>
    <row r="1029" spans="1:4" x14ac:dyDescent="0.2">
      <c r="A1029" s="15" t="s">
        <v>23</v>
      </c>
      <c r="B1029" s="8">
        <v>0</v>
      </c>
      <c r="C1029" s="8">
        <v>0</v>
      </c>
      <c r="D1029" s="8">
        <v>0</v>
      </c>
    </row>
    <row r="1030" spans="1:4" x14ac:dyDescent="0.2">
      <c r="A1030" s="15" t="s">
        <v>24</v>
      </c>
      <c r="B1030" s="8">
        <v>0</v>
      </c>
      <c r="C1030" s="8">
        <v>0</v>
      </c>
      <c r="D1030" s="8">
        <v>0</v>
      </c>
    </row>
    <row r="1031" spans="1:4" x14ac:dyDescent="0.2">
      <c r="A1031" s="15" t="s">
        <v>25</v>
      </c>
      <c r="B1031" s="8">
        <v>0</v>
      </c>
      <c r="C1031" s="8">
        <v>0</v>
      </c>
      <c r="D1031" s="8">
        <v>0</v>
      </c>
    </row>
    <row r="1032" spans="1:4" x14ac:dyDescent="0.2">
      <c r="A1032" s="15" t="s">
        <v>26</v>
      </c>
      <c r="B1032" s="8">
        <v>0</v>
      </c>
      <c r="C1032" s="8">
        <v>0.1</v>
      </c>
      <c r="D1032" s="8">
        <v>0.1</v>
      </c>
    </row>
    <row r="1033" spans="1:4" x14ac:dyDescent="0.2">
      <c r="A1033" s="15" t="s">
        <v>34</v>
      </c>
      <c r="B1033" s="8">
        <v>0</v>
      </c>
      <c r="C1033" s="8">
        <v>0</v>
      </c>
      <c r="D1033" s="8">
        <v>0</v>
      </c>
    </row>
    <row r="1034" spans="1:4" x14ac:dyDescent="0.2">
      <c r="A1034" s="14" t="s">
        <v>666</v>
      </c>
      <c r="B1034" s="8">
        <v>0.98199999999999998</v>
      </c>
      <c r="C1034" s="8">
        <v>1.999999999999999E-2</v>
      </c>
      <c r="D1034" s="8">
        <v>1.002</v>
      </c>
    </row>
    <row r="1035" spans="1:4" x14ac:dyDescent="0.2">
      <c r="A1035" s="15" t="s">
        <v>19</v>
      </c>
      <c r="B1035" s="8">
        <v>0.12</v>
      </c>
      <c r="C1035" s="8">
        <v>0.12</v>
      </c>
      <c r="D1035" s="8">
        <v>0.24</v>
      </c>
    </row>
    <row r="1036" spans="1:4" x14ac:dyDescent="0.2">
      <c r="A1036" s="15" t="s">
        <v>27</v>
      </c>
      <c r="B1036" s="8">
        <v>9.0000000000000011E-2</v>
      </c>
      <c r="C1036" s="8">
        <v>0</v>
      </c>
      <c r="D1036" s="8">
        <v>9.0000000000000011E-2</v>
      </c>
    </row>
    <row r="1037" spans="1:4" x14ac:dyDescent="0.2">
      <c r="A1037" s="15" t="s">
        <v>28</v>
      </c>
      <c r="B1037" s="8">
        <v>0.05</v>
      </c>
      <c r="C1037" s="8">
        <v>-0.05</v>
      </c>
      <c r="D1037" s="8">
        <v>0</v>
      </c>
    </row>
    <row r="1038" spans="1:4" x14ac:dyDescent="0.2">
      <c r="A1038" s="15" t="s">
        <v>20</v>
      </c>
      <c r="B1038" s="8">
        <v>7.2000000000000008E-2</v>
      </c>
      <c r="C1038" s="8">
        <v>0</v>
      </c>
      <c r="D1038" s="8">
        <v>7.2000000000000008E-2</v>
      </c>
    </row>
    <row r="1039" spans="1:4" x14ac:dyDescent="0.2">
      <c r="A1039" s="15" t="s">
        <v>21</v>
      </c>
      <c r="B1039" s="8">
        <v>0.05</v>
      </c>
      <c r="C1039" s="8">
        <v>0.05</v>
      </c>
      <c r="D1039" s="8">
        <v>0.1</v>
      </c>
    </row>
    <row r="1040" spans="1:4" x14ac:dyDescent="0.2">
      <c r="A1040" s="15" t="s">
        <v>22</v>
      </c>
      <c r="B1040" s="8">
        <v>0.1</v>
      </c>
      <c r="C1040" s="8">
        <v>0</v>
      </c>
      <c r="D1040" s="8">
        <v>0.1</v>
      </c>
    </row>
    <row r="1041" spans="1:4" x14ac:dyDescent="0.2">
      <c r="A1041" s="15" t="s">
        <v>23</v>
      </c>
      <c r="B1041" s="8">
        <v>7.0000000000000007E-2</v>
      </c>
      <c r="C1041" s="8">
        <v>0</v>
      </c>
      <c r="D1041" s="8">
        <v>7.0000000000000007E-2</v>
      </c>
    </row>
    <row r="1042" spans="1:4" x14ac:dyDescent="0.2">
      <c r="A1042" s="15" t="s">
        <v>24</v>
      </c>
      <c r="B1042" s="8">
        <v>0.15</v>
      </c>
      <c r="C1042" s="8">
        <v>0</v>
      </c>
      <c r="D1042" s="8">
        <v>0.15</v>
      </c>
    </row>
    <row r="1043" spans="1:4" x14ac:dyDescent="0.2">
      <c r="A1043" s="15" t="s">
        <v>25</v>
      </c>
      <c r="B1043" s="8">
        <v>0.1</v>
      </c>
      <c r="C1043" s="8">
        <v>-0.1</v>
      </c>
      <c r="D1043" s="8">
        <v>0</v>
      </c>
    </row>
    <row r="1044" spans="1:4" x14ac:dyDescent="0.2">
      <c r="A1044" s="15" t="s">
        <v>26</v>
      </c>
      <c r="B1044" s="8">
        <v>0.1</v>
      </c>
      <c r="C1044" s="8">
        <v>0</v>
      </c>
      <c r="D1044" s="8">
        <v>0.1</v>
      </c>
    </row>
    <row r="1045" spans="1:4" x14ac:dyDescent="0.2">
      <c r="A1045" s="15" t="s">
        <v>34</v>
      </c>
      <c r="B1045" s="8">
        <v>0.08</v>
      </c>
      <c r="C1045" s="8">
        <v>0</v>
      </c>
      <c r="D1045" s="8">
        <v>0.08</v>
      </c>
    </row>
    <row r="1046" spans="1:4" x14ac:dyDescent="0.2">
      <c r="A1046" s="13" t="s">
        <v>94</v>
      </c>
      <c r="B1046" s="8">
        <v>24.041500000000003</v>
      </c>
      <c r="C1046" s="8">
        <v>21.966500000000071</v>
      </c>
      <c r="D1046" s="8">
        <v>46.008000000000152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D926-9459-B042-B1B8-56AD97AD416D}">
  <dimension ref="A1"/>
  <sheetViews>
    <sheetView workbookViewId="0"/>
  </sheetViews>
  <sheetFormatPr baseColWidth="10" defaultRowHeight="16"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7B27-090B-EB4A-AC6E-6B1E67B513DD}">
  <dimension ref="A3:D96"/>
  <sheetViews>
    <sheetView topLeftCell="A18" zoomScale="158" workbookViewId="0">
      <selection activeCell="C34" sqref="C34"/>
    </sheetView>
  </sheetViews>
  <sheetFormatPr baseColWidth="10" defaultRowHeight="16" x14ac:dyDescent="0.2"/>
  <cols>
    <col min="1" max="1" width="19.83203125" bestFit="1" customWidth="1"/>
    <col min="2" max="2" width="11.6640625" bestFit="1" customWidth="1"/>
    <col min="3" max="3" width="11" bestFit="1" customWidth="1"/>
    <col min="4" max="4" width="7.6640625" bestFit="1" customWidth="1"/>
    <col min="5" max="6" width="21.1640625" bestFit="1" customWidth="1"/>
  </cols>
  <sheetData>
    <row r="3" spans="1:4" x14ac:dyDescent="0.2">
      <c r="A3" s="12" t="s">
        <v>95</v>
      </c>
      <c r="C3" s="12" t="s">
        <v>6</v>
      </c>
    </row>
    <row r="4" spans="1:4" x14ac:dyDescent="0.2">
      <c r="A4" s="12" t="s">
        <v>3</v>
      </c>
      <c r="B4" s="12" t="s">
        <v>2</v>
      </c>
      <c r="C4" t="s">
        <v>17</v>
      </c>
      <c r="D4" t="s">
        <v>18</v>
      </c>
    </row>
    <row r="5" spans="1:4" x14ac:dyDescent="0.2">
      <c r="A5" t="s">
        <v>15</v>
      </c>
      <c r="B5" t="s">
        <v>1</v>
      </c>
      <c r="C5" s="23">
        <v>0.78649999999999998</v>
      </c>
      <c r="D5" s="23">
        <v>0.91899999999999993</v>
      </c>
    </row>
    <row r="6" spans="1:4" x14ac:dyDescent="0.2">
      <c r="B6" t="s">
        <v>0</v>
      </c>
      <c r="C6" s="23">
        <v>0.63400000000000001</v>
      </c>
      <c r="D6" s="23">
        <v>-0.41599999999999998</v>
      </c>
    </row>
    <row r="7" spans="1:4" x14ac:dyDescent="0.2">
      <c r="A7" t="s">
        <v>44</v>
      </c>
      <c r="B7" t="s">
        <v>1</v>
      </c>
      <c r="C7" s="23">
        <v>0.23399999999999999</v>
      </c>
      <c r="D7" s="23">
        <v>0.91899999999999993</v>
      </c>
    </row>
    <row r="8" spans="1:4" x14ac:dyDescent="0.2">
      <c r="B8" t="s">
        <v>0</v>
      </c>
      <c r="C8" s="23">
        <v>7.4999999999999997E-3</v>
      </c>
      <c r="D8" s="23">
        <v>-0.24099999999999999</v>
      </c>
    </row>
    <row r="9" spans="1:4" x14ac:dyDescent="0.2">
      <c r="B9" t="s">
        <v>86</v>
      </c>
      <c r="C9" s="8">
        <v>-0.28999999999999998</v>
      </c>
      <c r="D9" s="8">
        <v>0.31899999999999995</v>
      </c>
    </row>
    <row r="10" spans="1:4" x14ac:dyDescent="0.2">
      <c r="B10" t="s">
        <v>187</v>
      </c>
      <c r="C10" s="8">
        <v>0.23399999999999999</v>
      </c>
      <c r="D10" s="8">
        <v>0.75600000000000001</v>
      </c>
    </row>
    <row r="11" spans="1:4" x14ac:dyDescent="0.2">
      <c r="B11" t="s">
        <v>87</v>
      </c>
      <c r="C11" s="8">
        <v>6.7000000000000004E-2</v>
      </c>
      <c r="D11" s="8">
        <v>0.21999999999999995</v>
      </c>
    </row>
    <row r="12" spans="1:4" x14ac:dyDescent="0.2">
      <c r="A12" t="s">
        <v>47</v>
      </c>
      <c r="B12" t="s">
        <v>1</v>
      </c>
      <c r="C12" s="23">
        <v>0.67899999999999994</v>
      </c>
      <c r="D12" s="23">
        <v>0.81899999999999995</v>
      </c>
    </row>
    <row r="13" spans="1:4" x14ac:dyDescent="0.2">
      <c r="B13" t="s">
        <v>0</v>
      </c>
      <c r="C13" s="23">
        <v>-0.12</v>
      </c>
      <c r="D13" s="23">
        <v>0.71899999999999997</v>
      </c>
    </row>
    <row r="14" spans="1:4" x14ac:dyDescent="0.2">
      <c r="B14" t="s">
        <v>187</v>
      </c>
      <c r="C14" s="8">
        <v>0.23399999999999999</v>
      </c>
      <c r="D14" s="8">
        <v>0.78399999999999992</v>
      </c>
    </row>
    <row r="15" spans="1:4" x14ac:dyDescent="0.2">
      <c r="A15" t="s">
        <v>48</v>
      </c>
      <c r="B15" t="s">
        <v>1</v>
      </c>
      <c r="C15" s="23">
        <v>-0.12499999999999997</v>
      </c>
      <c r="D15" s="23">
        <v>0.36899999999999994</v>
      </c>
    </row>
    <row r="16" spans="1:4" x14ac:dyDescent="0.2">
      <c r="B16" t="s">
        <v>0</v>
      </c>
      <c r="C16" s="23">
        <v>-0.06</v>
      </c>
      <c r="D16" s="23">
        <v>0.14900000000000002</v>
      </c>
    </row>
    <row r="17" spans="1:4" x14ac:dyDescent="0.2">
      <c r="A17" t="s">
        <v>50</v>
      </c>
      <c r="B17" t="s">
        <v>1</v>
      </c>
      <c r="C17" s="23">
        <v>0.77899999999999991</v>
      </c>
      <c r="D17" s="23">
        <v>0.91899999999999993</v>
      </c>
    </row>
    <row r="18" spans="1:4" x14ac:dyDescent="0.2">
      <c r="B18" t="s">
        <v>0</v>
      </c>
      <c r="C18" s="23">
        <v>0.16999999999999998</v>
      </c>
      <c r="D18" s="23">
        <v>0.96899999999999997</v>
      </c>
    </row>
    <row r="19" spans="1:4" x14ac:dyDescent="0.2">
      <c r="B19" t="s">
        <v>86</v>
      </c>
      <c r="C19" s="8">
        <v>0.91899999999999993</v>
      </c>
      <c r="D19" s="8">
        <v>0.96899999999999997</v>
      </c>
    </row>
    <row r="20" spans="1:4" x14ac:dyDescent="0.2">
      <c r="B20" t="s">
        <v>87</v>
      </c>
      <c r="C20" s="8">
        <v>0.9820000000000001</v>
      </c>
      <c r="D20" s="8">
        <v>0.53700000000000003</v>
      </c>
    </row>
    <row r="21" spans="1:4" x14ac:dyDescent="0.2">
      <c r="A21" t="s">
        <v>52</v>
      </c>
      <c r="B21" t="s">
        <v>1</v>
      </c>
      <c r="C21" s="23">
        <v>0.96899999999999997</v>
      </c>
      <c r="D21" s="23">
        <v>0.70899999999999996</v>
      </c>
    </row>
    <row r="22" spans="1:4" x14ac:dyDescent="0.2">
      <c r="B22" t="s">
        <v>0</v>
      </c>
      <c r="C22" s="23">
        <v>0.71899999999999997</v>
      </c>
      <c r="D22" s="23">
        <v>0.62899999999999989</v>
      </c>
    </row>
    <row r="23" spans="1:4" x14ac:dyDescent="0.2">
      <c r="B23" t="s">
        <v>86</v>
      </c>
      <c r="C23" s="8">
        <v>-0.28000000000000003</v>
      </c>
      <c r="D23" s="8">
        <v>0.255</v>
      </c>
    </row>
    <row r="24" spans="1:4" x14ac:dyDescent="0.2">
      <c r="A24" t="s">
        <v>54</v>
      </c>
      <c r="B24" t="s">
        <v>1</v>
      </c>
      <c r="C24" s="23">
        <v>-0.55649999999999999</v>
      </c>
      <c r="D24" s="23">
        <v>0.46649999999999997</v>
      </c>
    </row>
    <row r="25" spans="1:4" x14ac:dyDescent="0.2">
      <c r="B25" t="s">
        <v>0</v>
      </c>
      <c r="C25" s="23">
        <v>-0.15000000000000002</v>
      </c>
      <c r="D25" s="23">
        <v>0.91899999999999993</v>
      </c>
    </row>
    <row r="26" spans="1:4" x14ac:dyDescent="0.2">
      <c r="B26" t="s">
        <v>86</v>
      </c>
      <c r="C26" s="8">
        <v>-0.2525</v>
      </c>
      <c r="D26" s="8">
        <v>0.91899999999999993</v>
      </c>
    </row>
    <row r="27" spans="1:4" x14ac:dyDescent="0.2">
      <c r="B27" t="s">
        <v>187</v>
      </c>
      <c r="C27" s="8">
        <v>0.42399999999999999</v>
      </c>
      <c r="D27" s="8">
        <v>0.83399999999999996</v>
      </c>
    </row>
    <row r="28" spans="1:4" x14ac:dyDescent="0.2">
      <c r="B28" t="s">
        <v>87</v>
      </c>
      <c r="C28" s="8">
        <v>-2.5000000000000029E-2</v>
      </c>
      <c r="D28" s="8">
        <v>-0.25800000000000001</v>
      </c>
    </row>
    <row r="29" spans="1:4" x14ac:dyDescent="0.2">
      <c r="A29" t="s">
        <v>55</v>
      </c>
      <c r="B29" t="s">
        <v>1</v>
      </c>
      <c r="C29" s="23">
        <v>0.96899999999999997</v>
      </c>
      <c r="D29" s="23">
        <v>0.96899999999999997</v>
      </c>
    </row>
    <row r="30" spans="1:4" x14ac:dyDescent="0.2">
      <c r="B30" t="s">
        <v>0</v>
      </c>
      <c r="C30" s="23">
        <v>0.82650000000000001</v>
      </c>
      <c r="D30" s="23">
        <v>0.76899999999999991</v>
      </c>
    </row>
    <row r="31" spans="1:4" x14ac:dyDescent="0.2">
      <c r="B31" t="s">
        <v>86</v>
      </c>
      <c r="C31" s="8">
        <v>0.51649999999999996</v>
      </c>
      <c r="D31" s="8">
        <v>0.96899999999999997</v>
      </c>
    </row>
    <row r="32" spans="1:4" x14ac:dyDescent="0.2">
      <c r="A32" t="s">
        <v>57</v>
      </c>
      <c r="B32" t="s">
        <v>1</v>
      </c>
      <c r="C32" s="23">
        <v>-0.54</v>
      </c>
      <c r="D32" s="23">
        <v>-0.48000000000000004</v>
      </c>
    </row>
    <row r="33" spans="1:4" x14ac:dyDescent="0.2">
      <c r="B33" t="s">
        <v>0</v>
      </c>
      <c r="C33" s="23">
        <v>-0.34249999999999997</v>
      </c>
      <c r="D33" s="23">
        <v>-0.88400000000000001</v>
      </c>
    </row>
    <row r="34" spans="1:4" x14ac:dyDescent="0.2">
      <c r="A34" t="s">
        <v>59</v>
      </c>
      <c r="B34" t="s">
        <v>1</v>
      </c>
      <c r="C34" s="23">
        <v>0.96899999999999997</v>
      </c>
      <c r="D34" s="23">
        <v>0.96899999999999997</v>
      </c>
    </row>
    <row r="35" spans="1:4" x14ac:dyDescent="0.2">
      <c r="B35" t="s">
        <v>0</v>
      </c>
      <c r="C35" s="23">
        <v>0.74249999999999994</v>
      </c>
      <c r="D35" s="23">
        <v>0.96899999999999997</v>
      </c>
    </row>
    <row r="36" spans="1:4" x14ac:dyDescent="0.2">
      <c r="B36" t="s">
        <v>86</v>
      </c>
      <c r="C36" s="8">
        <v>0.88400000000000001</v>
      </c>
      <c r="D36" s="8">
        <v>0.91899999999999993</v>
      </c>
    </row>
    <row r="37" spans="1:4" x14ac:dyDescent="0.2">
      <c r="B37" t="s">
        <v>187</v>
      </c>
      <c r="C37" s="8">
        <v>0.184</v>
      </c>
      <c r="D37" s="8">
        <v>0.21400000000000002</v>
      </c>
    </row>
    <row r="38" spans="1:4" x14ac:dyDescent="0.2">
      <c r="B38" t="s">
        <v>87</v>
      </c>
      <c r="C38" s="8">
        <v>0.9820000000000001</v>
      </c>
      <c r="D38" s="8">
        <v>0.33199999999999996</v>
      </c>
    </row>
    <row r="39" spans="1:4" x14ac:dyDescent="0.2">
      <c r="A39" t="s">
        <v>61</v>
      </c>
      <c r="B39" t="s">
        <v>1</v>
      </c>
      <c r="C39" s="23">
        <v>0.15750000000000003</v>
      </c>
      <c r="D39" s="23">
        <v>-0.33250000000000002</v>
      </c>
    </row>
    <row r="40" spans="1:4" x14ac:dyDescent="0.2">
      <c r="A40" t="s">
        <v>63</v>
      </c>
      <c r="B40" t="s">
        <v>1</v>
      </c>
      <c r="C40" s="23">
        <v>-0.29250000000000004</v>
      </c>
      <c r="D40" s="23">
        <v>-0.6925</v>
      </c>
    </row>
    <row r="41" spans="1:4" x14ac:dyDescent="0.2">
      <c r="A41" t="s">
        <v>66</v>
      </c>
      <c r="B41" t="s">
        <v>1</v>
      </c>
      <c r="C41" s="23">
        <v>0.57000000000000006</v>
      </c>
      <c r="D41" s="23">
        <v>-5.5000000000000007E-2</v>
      </c>
    </row>
    <row r="42" spans="1:4" x14ac:dyDescent="0.2">
      <c r="A42" t="s">
        <v>68</v>
      </c>
      <c r="B42" t="s">
        <v>1</v>
      </c>
      <c r="C42" s="23">
        <v>-0.52</v>
      </c>
      <c r="D42" s="23">
        <v>-0.73499999999999999</v>
      </c>
    </row>
    <row r="43" spans="1:4" x14ac:dyDescent="0.2">
      <c r="A43" t="s">
        <v>70</v>
      </c>
      <c r="B43" t="s">
        <v>1</v>
      </c>
      <c r="C43" s="23">
        <v>0.33499999999999996</v>
      </c>
      <c r="D43" s="23">
        <v>0.66899999999999993</v>
      </c>
    </row>
    <row r="44" spans="1:4" x14ac:dyDescent="0.2">
      <c r="B44" t="s">
        <v>86</v>
      </c>
      <c r="C44" s="8">
        <v>-0.34499999999999997</v>
      </c>
      <c r="D44" s="8">
        <v>0.45899999999999996</v>
      </c>
    </row>
    <row r="45" spans="1:4" x14ac:dyDescent="0.2">
      <c r="A45" t="s">
        <v>72</v>
      </c>
      <c r="B45" t="s">
        <v>1</v>
      </c>
      <c r="C45" s="23">
        <v>-0.41499999999999998</v>
      </c>
      <c r="D45" s="23">
        <v>-6.6000000000000017E-2</v>
      </c>
    </row>
    <row r="46" spans="1:4" x14ac:dyDescent="0.2">
      <c r="A46" t="s">
        <v>92</v>
      </c>
      <c r="B46" t="s">
        <v>0</v>
      </c>
      <c r="C46" s="23">
        <v>0.43399999999999994</v>
      </c>
      <c r="D46" s="23">
        <v>0.96899999999999997</v>
      </c>
    </row>
    <row r="47" spans="1:4" x14ac:dyDescent="0.2">
      <c r="A47" t="s">
        <v>144</v>
      </c>
      <c r="B47" t="s">
        <v>0</v>
      </c>
      <c r="C47" s="23">
        <v>0.73399999999999999</v>
      </c>
      <c r="D47" s="23">
        <v>0.76899999999999991</v>
      </c>
    </row>
    <row r="48" spans="1:4" x14ac:dyDescent="0.2">
      <c r="B48" t="s">
        <v>187</v>
      </c>
      <c r="C48" s="8">
        <v>0.184</v>
      </c>
      <c r="D48" s="8">
        <v>0.88400000000000001</v>
      </c>
    </row>
    <row r="49" spans="1:4" x14ac:dyDescent="0.2">
      <c r="B49" t="s">
        <v>87</v>
      </c>
      <c r="C49" s="8">
        <v>0.12499999999999997</v>
      </c>
      <c r="D49" s="8">
        <v>-0.34699999999999998</v>
      </c>
    </row>
    <row r="50" spans="1:4" x14ac:dyDescent="0.2">
      <c r="A50" t="s">
        <v>149</v>
      </c>
      <c r="B50" t="s">
        <v>0</v>
      </c>
      <c r="C50" s="23">
        <v>-0.10250000000000001</v>
      </c>
      <c r="D50" s="23">
        <v>0.8165</v>
      </c>
    </row>
    <row r="51" spans="1:4" x14ac:dyDescent="0.2">
      <c r="B51" t="s">
        <v>86</v>
      </c>
      <c r="C51" s="8">
        <v>0.51899999999999991</v>
      </c>
      <c r="D51" s="8">
        <v>0.91899999999999993</v>
      </c>
    </row>
    <row r="52" spans="1:4" x14ac:dyDescent="0.2">
      <c r="B52" t="s">
        <v>187</v>
      </c>
      <c r="C52" s="8">
        <v>0.48399999999999999</v>
      </c>
      <c r="D52" s="8">
        <v>0.184</v>
      </c>
    </row>
    <row r="53" spans="1:4" x14ac:dyDescent="0.2">
      <c r="B53" t="s">
        <v>87</v>
      </c>
      <c r="C53" s="8">
        <v>0.24199999999999999</v>
      </c>
      <c r="D53" s="8">
        <v>0.88700000000000001</v>
      </c>
    </row>
    <row r="54" spans="1:4" x14ac:dyDescent="0.2">
      <c r="A54" t="s">
        <v>154</v>
      </c>
      <c r="B54" t="s">
        <v>0</v>
      </c>
      <c r="C54" s="23">
        <v>0.5665</v>
      </c>
      <c r="D54" s="23">
        <v>0.13400000000000001</v>
      </c>
    </row>
    <row r="55" spans="1:4" x14ac:dyDescent="0.2">
      <c r="A55" t="s">
        <v>162</v>
      </c>
      <c r="B55" t="s">
        <v>0</v>
      </c>
      <c r="C55" s="23">
        <v>0.61899999999999999</v>
      </c>
      <c r="D55" s="23">
        <v>-0.57250000000000001</v>
      </c>
    </row>
    <row r="56" spans="1:4" x14ac:dyDescent="0.2">
      <c r="B56" t="s">
        <v>86</v>
      </c>
      <c r="C56" s="8">
        <v>0.184</v>
      </c>
      <c r="D56" s="8">
        <v>-0.34399999999999997</v>
      </c>
    </row>
    <row r="57" spans="1:4" x14ac:dyDescent="0.2">
      <c r="A57" t="s">
        <v>164</v>
      </c>
      <c r="B57" t="s">
        <v>0</v>
      </c>
      <c r="C57" s="23">
        <v>-0.79899999999999993</v>
      </c>
      <c r="D57" s="23">
        <v>-0.6925</v>
      </c>
    </row>
    <row r="58" spans="1:4" x14ac:dyDescent="0.2">
      <c r="A58" t="s">
        <v>168</v>
      </c>
      <c r="B58" t="s">
        <v>0</v>
      </c>
      <c r="C58" s="23">
        <v>-0.64249999999999996</v>
      </c>
      <c r="D58" s="23">
        <v>-0.76400000000000001</v>
      </c>
    </row>
    <row r="59" spans="1:4" x14ac:dyDescent="0.2">
      <c r="A59" t="s">
        <v>174</v>
      </c>
      <c r="B59" t="s">
        <v>0</v>
      </c>
      <c r="C59" s="23">
        <v>-0.48499999999999993</v>
      </c>
      <c r="D59" s="23">
        <v>-0.46500000000000002</v>
      </c>
    </row>
    <row r="60" spans="1:4" x14ac:dyDescent="0.2">
      <c r="A60" t="s">
        <v>90</v>
      </c>
      <c r="B60" t="s">
        <v>86</v>
      </c>
      <c r="C60" s="8">
        <v>-0.59250000000000003</v>
      </c>
      <c r="D60" s="8">
        <v>0.40899999999999997</v>
      </c>
    </row>
    <row r="61" spans="1:4" x14ac:dyDescent="0.2">
      <c r="A61" t="s">
        <v>281</v>
      </c>
      <c r="B61" t="s">
        <v>86</v>
      </c>
      <c r="C61" s="8">
        <v>-0.3175</v>
      </c>
      <c r="D61" s="8">
        <v>0.80899999999999994</v>
      </c>
    </row>
    <row r="62" spans="1:4" x14ac:dyDescent="0.2">
      <c r="B62" t="s">
        <v>187</v>
      </c>
      <c r="C62" s="8">
        <v>0.16999999999999998</v>
      </c>
      <c r="D62" s="8">
        <v>0.52400000000000002</v>
      </c>
    </row>
    <row r="63" spans="1:4" x14ac:dyDescent="0.2">
      <c r="B63" t="s">
        <v>87</v>
      </c>
      <c r="C63" s="8">
        <v>0.42700000000000005</v>
      </c>
      <c r="D63" s="8">
        <v>-0.52500000000000002</v>
      </c>
    </row>
    <row r="64" spans="1:4" x14ac:dyDescent="0.2">
      <c r="A64" t="s">
        <v>290</v>
      </c>
      <c r="B64" t="s">
        <v>86</v>
      </c>
      <c r="C64" s="8">
        <v>-0.56400000000000006</v>
      </c>
      <c r="D64" s="8">
        <v>0.66899999999999993</v>
      </c>
    </row>
    <row r="65" spans="1:4" x14ac:dyDescent="0.2">
      <c r="B65" t="s">
        <v>87</v>
      </c>
      <c r="C65" s="8">
        <v>7.1999999999999981E-2</v>
      </c>
      <c r="D65" s="8">
        <v>0.44199999999999995</v>
      </c>
    </row>
    <row r="66" spans="1:4" x14ac:dyDescent="0.2">
      <c r="A66" t="s">
        <v>299</v>
      </c>
      <c r="B66" t="s">
        <v>86</v>
      </c>
      <c r="C66" s="8">
        <v>9.9999999999999811E-3</v>
      </c>
      <c r="D66" s="8">
        <v>0.26</v>
      </c>
    </row>
    <row r="67" spans="1:4" x14ac:dyDescent="0.2">
      <c r="B67" t="s">
        <v>187</v>
      </c>
      <c r="C67" s="8">
        <v>0.88400000000000001</v>
      </c>
      <c r="D67" s="8">
        <v>0.23399999999999999</v>
      </c>
    </row>
    <row r="68" spans="1:4" x14ac:dyDescent="0.2">
      <c r="B68" t="s">
        <v>87</v>
      </c>
      <c r="C68" s="8">
        <v>0.24199999999999999</v>
      </c>
      <c r="D68" s="8">
        <v>-0.40199999999999997</v>
      </c>
    </row>
    <row r="69" spans="1:4" x14ac:dyDescent="0.2">
      <c r="A69" t="s">
        <v>311</v>
      </c>
      <c r="B69" t="s">
        <v>86</v>
      </c>
      <c r="C69" s="8">
        <v>0.46649999999999997</v>
      </c>
      <c r="D69" s="8">
        <v>0.81899999999999995</v>
      </c>
    </row>
    <row r="70" spans="1:4" x14ac:dyDescent="0.2">
      <c r="B70" t="s">
        <v>187</v>
      </c>
      <c r="C70" s="8">
        <v>0.44399999999999995</v>
      </c>
      <c r="D70" s="8">
        <v>0.184</v>
      </c>
    </row>
    <row r="71" spans="1:4" x14ac:dyDescent="0.2">
      <c r="A71" t="s">
        <v>339</v>
      </c>
      <c r="B71" t="s">
        <v>86</v>
      </c>
      <c r="C71" s="8">
        <v>0.42649999999999999</v>
      </c>
      <c r="D71" s="8">
        <v>0.77899999999999991</v>
      </c>
    </row>
    <row r="72" spans="1:4" x14ac:dyDescent="0.2">
      <c r="B72" t="s">
        <v>87</v>
      </c>
      <c r="C72" s="8">
        <v>0.41499999999999998</v>
      </c>
      <c r="D72" s="8">
        <v>0.247</v>
      </c>
    </row>
    <row r="73" spans="1:4" x14ac:dyDescent="0.2">
      <c r="A73" t="s">
        <v>346</v>
      </c>
      <c r="B73" t="s">
        <v>86</v>
      </c>
      <c r="C73" s="8">
        <v>-0.51400000000000001</v>
      </c>
      <c r="D73" s="8">
        <v>-0.43649999999999994</v>
      </c>
    </row>
    <row r="74" spans="1:4" x14ac:dyDescent="0.2">
      <c r="B74" t="s">
        <v>187</v>
      </c>
      <c r="C74" s="8">
        <v>0.16999999999999998</v>
      </c>
      <c r="D74" s="8">
        <v>5.9999999999999915E-3</v>
      </c>
    </row>
    <row r="75" spans="1:4" x14ac:dyDescent="0.2">
      <c r="A75" t="s">
        <v>355</v>
      </c>
      <c r="B75" t="s">
        <v>86</v>
      </c>
      <c r="C75" s="8">
        <v>9.8999999999999963E-2</v>
      </c>
      <c r="D75" s="8">
        <v>0.45899999999999996</v>
      </c>
    </row>
    <row r="76" spans="1:4" x14ac:dyDescent="0.2">
      <c r="A76" t="s">
        <v>417</v>
      </c>
      <c r="B76" t="s">
        <v>187</v>
      </c>
      <c r="C76" s="8">
        <v>0.33399999999999996</v>
      </c>
      <c r="D76" s="8">
        <v>-0.53</v>
      </c>
    </row>
    <row r="77" spans="1:4" x14ac:dyDescent="0.2">
      <c r="A77" t="s">
        <v>455</v>
      </c>
      <c r="B77" t="s">
        <v>187</v>
      </c>
      <c r="C77" s="8">
        <v>0.48399999999999999</v>
      </c>
      <c r="D77" s="8">
        <v>6.9999999999999993E-2</v>
      </c>
    </row>
    <row r="78" spans="1:4" x14ac:dyDescent="0.2">
      <c r="A78" t="s">
        <v>464</v>
      </c>
      <c r="B78" t="s">
        <v>187</v>
      </c>
      <c r="C78" s="8">
        <v>0.63400000000000001</v>
      </c>
      <c r="D78" s="8">
        <v>0.88400000000000001</v>
      </c>
    </row>
    <row r="79" spans="1:4" x14ac:dyDescent="0.2">
      <c r="A79" t="s">
        <v>502</v>
      </c>
      <c r="B79" t="s">
        <v>187</v>
      </c>
      <c r="C79" s="8">
        <v>0.88400000000000001</v>
      </c>
      <c r="D79" s="8">
        <v>0.23399999999999999</v>
      </c>
    </row>
    <row r="80" spans="1:4" x14ac:dyDescent="0.2">
      <c r="B80" t="s">
        <v>87</v>
      </c>
      <c r="C80" s="8">
        <v>0.9820000000000001</v>
      </c>
      <c r="D80" s="8">
        <v>0.28699999999999998</v>
      </c>
    </row>
    <row r="81" spans="1:4" x14ac:dyDescent="0.2">
      <c r="A81" t="s">
        <v>517</v>
      </c>
      <c r="B81" t="s">
        <v>187</v>
      </c>
      <c r="C81" s="8">
        <v>0.88400000000000001</v>
      </c>
      <c r="D81" s="8">
        <v>-0.28000000000000003</v>
      </c>
    </row>
    <row r="82" spans="1:4" x14ac:dyDescent="0.2">
      <c r="B82" t="s">
        <v>87</v>
      </c>
      <c r="C82" s="8">
        <v>0.83700000000000008</v>
      </c>
      <c r="D82" s="8">
        <v>-0.48499999999999999</v>
      </c>
    </row>
    <row r="83" spans="1:4" x14ac:dyDescent="0.2">
      <c r="A83" t="s">
        <v>529</v>
      </c>
      <c r="B83" t="s">
        <v>187</v>
      </c>
      <c r="C83" s="8">
        <v>0.58399999999999996</v>
      </c>
      <c r="D83" s="8">
        <v>-0.29000000000000004</v>
      </c>
    </row>
    <row r="84" spans="1:4" x14ac:dyDescent="0.2">
      <c r="A84" t="s">
        <v>550</v>
      </c>
      <c r="B84" t="s">
        <v>187</v>
      </c>
      <c r="C84" s="8">
        <v>0.12</v>
      </c>
      <c r="D84" s="8">
        <v>-0.64400000000000002</v>
      </c>
    </row>
    <row r="85" spans="1:4" x14ac:dyDescent="0.2">
      <c r="B85" t="s">
        <v>87</v>
      </c>
      <c r="C85" s="8">
        <v>-0.25</v>
      </c>
      <c r="D85" s="8">
        <v>-3.7999999999999992E-2</v>
      </c>
    </row>
    <row r="86" spans="1:4" x14ac:dyDescent="0.2">
      <c r="A86" t="s">
        <v>596</v>
      </c>
      <c r="B86" t="s">
        <v>87</v>
      </c>
      <c r="C86" s="8">
        <v>-5.800000000000001E-2</v>
      </c>
      <c r="D86" s="8">
        <v>-0.28000000000000003</v>
      </c>
    </row>
    <row r="87" spans="1:4" x14ac:dyDescent="0.2">
      <c r="A87" t="s">
        <v>606</v>
      </c>
      <c r="B87" t="s">
        <v>87</v>
      </c>
      <c r="C87" s="8">
        <v>0.24199999999999999</v>
      </c>
      <c r="D87" s="8">
        <v>-0.60199999999999998</v>
      </c>
    </row>
    <row r="88" spans="1:4" x14ac:dyDescent="0.2">
      <c r="A88" t="s">
        <v>608</v>
      </c>
      <c r="B88" t="s">
        <v>87</v>
      </c>
      <c r="C88" s="8">
        <v>-0.13</v>
      </c>
      <c r="D88" s="8">
        <v>0.192</v>
      </c>
    </row>
    <row r="89" spans="1:4" x14ac:dyDescent="0.2">
      <c r="A89" t="s">
        <v>613</v>
      </c>
      <c r="B89" t="s">
        <v>87</v>
      </c>
      <c r="C89" s="8">
        <v>0.29199999999999998</v>
      </c>
      <c r="D89" s="8">
        <v>0.78200000000000003</v>
      </c>
    </row>
    <row r="90" spans="1:4" x14ac:dyDescent="0.2">
      <c r="A90" t="s">
        <v>620</v>
      </c>
      <c r="B90" t="s">
        <v>87</v>
      </c>
      <c r="C90" s="8">
        <v>0.16999999999999998</v>
      </c>
      <c r="D90" s="8">
        <v>-0.308</v>
      </c>
    </row>
    <row r="91" spans="1:4" x14ac:dyDescent="0.2">
      <c r="A91" t="s">
        <v>642</v>
      </c>
      <c r="B91" t="s">
        <v>87</v>
      </c>
      <c r="C91" s="8">
        <v>-8.8000000000000037E-2</v>
      </c>
      <c r="D91" s="8">
        <v>4.200000000000001E-2</v>
      </c>
    </row>
    <row r="92" spans="1:4" x14ac:dyDescent="0.2">
      <c r="A92" t="s">
        <v>645</v>
      </c>
      <c r="B92" t="s">
        <v>87</v>
      </c>
      <c r="C92" s="8">
        <v>0.83200000000000007</v>
      </c>
      <c r="D92" s="8">
        <v>-0.53</v>
      </c>
    </row>
    <row r="93" spans="1:4" x14ac:dyDescent="0.2">
      <c r="A93" t="s">
        <v>649</v>
      </c>
      <c r="B93" t="s">
        <v>87</v>
      </c>
      <c r="C93" s="8">
        <v>0.9820000000000001</v>
      </c>
      <c r="D93" s="8">
        <v>-0.60199999999999998</v>
      </c>
    </row>
    <row r="94" spans="1:4" x14ac:dyDescent="0.2">
      <c r="A94" t="s">
        <v>655</v>
      </c>
      <c r="B94" t="s">
        <v>87</v>
      </c>
      <c r="C94" s="8">
        <v>0.42199999999999999</v>
      </c>
      <c r="D94" s="8">
        <v>-0.252</v>
      </c>
    </row>
    <row r="95" spans="1:4" x14ac:dyDescent="0.2">
      <c r="A95" t="s">
        <v>661</v>
      </c>
      <c r="B95" t="s">
        <v>87</v>
      </c>
      <c r="C95" s="8">
        <v>0.34199999999999997</v>
      </c>
      <c r="D95" s="8">
        <v>0.26500000000000001</v>
      </c>
    </row>
    <row r="96" spans="1:4" x14ac:dyDescent="0.2">
      <c r="A96" t="s">
        <v>666</v>
      </c>
      <c r="B96" t="s">
        <v>87</v>
      </c>
      <c r="C96" s="8">
        <v>0.9820000000000001</v>
      </c>
      <c r="D96" s="8">
        <v>1.9999999999999976E-2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6B6D-F7B0-E641-81C1-14B5999DF15E}">
  <dimension ref="A3:Z251"/>
  <sheetViews>
    <sheetView topLeftCell="O206" zoomScale="150" workbookViewId="0">
      <selection activeCell="AA223" sqref="AA223"/>
    </sheetView>
  </sheetViews>
  <sheetFormatPr baseColWidth="10" defaultRowHeight="16" x14ac:dyDescent="0.2"/>
  <cols>
    <col min="1" max="1" width="16.83203125" bestFit="1" customWidth="1"/>
    <col min="2" max="2" width="16" bestFit="1" customWidth="1"/>
    <col min="3" max="11" width="6.6640625" bestFit="1" customWidth="1"/>
    <col min="12" max="12" width="5.1640625" bestFit="1" customWidth="1"/>
    <col min="13" max="13" width="10.6640625" bestFit="1" customWidth="1"/>
  </cols>
  <sheetData>
    <row r="3" spans="1:13" x14ac:dyDescent="0.2">
      <c r="A3" s="12" t="s">
        <v>95</v>
      </c>
      <c r="B3" s="12" t="s">
        <v>96</v>
      </c>
    </row>
    <row r="4" spans="1:13" x14ac:dyDescent="0.2">
      <c r="A4" s="12" t="s">
        <v>93</v>
      </c>
      <c r="B4" t="s">
        <v>19</v>
      </c>
      <c r="C4" t="s">
        <v>27</v>
      </c>
      <c r="D4" t="s">
        <v>28</v>
      </c>
      <c r="E4" t="s">
        <v>20</v>
      </c>
      <c r="F4" t="s">
        <v>21</v>
      </c>
      <c r="G4" t="s">
        <v>22</v>
      </c>
      <c r="H4" t="s">
        <v>23</v>
      </c>
      <c r="I4" t="s">
        <v>24</v>
      </c>
      <c r="J4" t="s">
        <v>25</v>
      </c>
      <c r="K4" t="s">
        <v>26</v>
      </c>
      <c r="L4" t="s">
        <v>34</v>
      </c>
      <c r="M4" t="s">
        <v>94</v>
      </c>
    </row>
    <row r="5" spans="1:13" x14ac:dyDescent="0.2">
      <c r="A5" s="13" t="s">
        <v>15</v>
      </c>
      <c r="B5" s="8">
        <v>0.48</v>
      </c>
      <c r="C5" s="8">
        <v>0.1275</v>
      </c>
      <c r="D5" s="8">
        <v>0</v>
      </c>
      <c r="E5" s="8">
        <v>0.25600000000000001</v>
      </c>
      <c r="F5" s="8">
        <v>0.10000000000000002</v>
      </c>
      <c r="G5" s="8">
        <v>0.14000000000000001</v>
      </c>
      <c r="H5" s="8">
        <v>0.22000000000000003</v>
      </c>
      <c r="I5" s="8">
        <v>0.29999999999999993</v>
      </c>
      <c r="J5" s="8">
        <v>0.1</v>
      </c>
      <c r="K5" s="8">
        <v>0.2</v>
      </c>
      <c r="L5" s="8"/>
      <c r="M5" s="8">
        <v>1.9235000000000002</v>
      </c>
    </row>
    <row r="6" spans="1:13" x14ac:dyDescent="0.2">
      <c r="A6" s="14" t="s">
        <v>1</v>
      </c>
      <c r="B6" s="8">
        <v>0.24</v>
      </c>
      <c r="C6" s="8">
        <v>0.1275</v>
      </c>
      <c r="D6" s="8">
        <v>0.05</v>
      </c>
      <c r="E6" s="8">
        <v>0.128</v>
      </c>
      <c r="F6" s="8">
        <v>0.1</v>
      </c>
      <c r="G6" s="8">
        <v>0.14000000000000001</v>
      </c>
      <c r="H6" s="8">
        <v>0.22</v>
      </c>
      <c r="I6" s="8">
        <v>0.3</v>
      </c>
      <c r="J6" s="8">
        <v>0.2</v>
      </c>
      <c r="K6" s="8">
        <v>0.2</v>
      </c>
      <c r="L6" s="8"/>
      <c r="M6" s="8">
        <v>1.7055</v>
      </c>
    </row>
    <row r="7" spans="1:13" x14ac:dyDescent="0.2">
      <c r="A7" s="15" t="s">
        <v>17</v>
      </c>
      <c r="B7" s="8">
        <v>0.12</v>
      </c>
      <c r="C7" s="8">
        <v>4.2500000000000003E-2</v>
      </c>
      <c r="D7" s="8">
        <v>0.05</v>
      </c>
      <c r="E7" s="8">
        <v>6.4000000000000001E-2</v>
      </c>
      <c r="F7" s="8">
        <v>0.05</v>
      </c>
      <c r="G7" s="8">
        <v>0</v>
      </c>
      <c r="H7" s="8">
        <v>0.11</v>
      </c>
      <c r="I7" s="8">
        <v>0.15</v>
      </c>
      <c r="J7" s="8">
        <v>0.1</v>
      </c>
      <c r="K7" s="8">
        <v>0.1</v>
      </c>
      <c r="L7" s="8"/>
      <c r="M7" s="8">
        <v>0.78649999999999998</v>
      </c>
    </row>
    <row r="8" spans="1:13" x14ac:dyDescent="0.2">
      <c r="A8" s="15" t="s">
        <v>18</v>
      </c>
      <c r="B8" s="8">
        <v>0.12</v>
      </c>
      <c r="C8" s="8">
        <v>8.5000000000000006E-2</v>
      </c>
      <c r="D8" s="8">
        <v>0</v>
      </c>
      <c r="E8" s="8">
        <v>6.4000000000000001E-2</v>
      </c>
      <c r="F8" s="8">
        <v>0.05</v>
      </c>
      <c r="G8" s="8">
        <v>0.14000000000000001</v>
      </c>
      <c r="H8" s="8">
        <v>0.11</v>
      </c>
      <c r="I8" s="8">
        <v>0.15</v>
      </c>
      <c r="J8" s="8">
        <v>0.1</v>
      </c>
      <c r="K8" s="8">
        <v>0.1</v>
      </c>
      <c r="L8" s="8"/>
      <c r="M8" s="8">
        <v>0.91900000000000004</v>
      </c>
    </row>
    <row r="9" spans="1:13" x14ac:dyDescent="0.2">
      <c r="A9" s="14" t="s">
        <v>0</v>
      </c>
      <c r="B9" s="8">
        <v>0.24</v>
      </c>
      <c r="C9" s="8">
        <v>0</v>
      </c>
      <c r="D9" s="8">
        <v>-0.05</v>
      </c>
      <c r="E9" s="8">
        <v>0.128</v>
      </c>
      <c r="F9" s="8">
        <v>0</v>
      </c>
      <c r="G9" s="8">
        <v>0</v>
      </c>
      <c r="H9" s="8">
        <v>0</v>
      </c>
      <c r="I9" s="8">
        <v>0</v>
      </c>
      <c r="J9" s="8">
        <v>-0.1</v>
      </c>
      <c r="K9" s="8">
        <v>0</v>
      </c>
      <c r="L9" s="8"/>
      <c r="M9" s="8">
        <v>0.21799999999999997</v>
      </c>
    </row>
    <row r="10" spans="1:13" x14ac:dyDescent="0.2">
      <c r="A10" s="15" t="s">
        <v>17</v>
      </c>
      <c r="B10" s="8">
        <v>0.12</v>
      </c>
      <c r="C10" s="8">
        <v>0</v>
      </c>
      <c r="D10" s="8">
        <v>0</v>
      </c>
      <c r="E10" s="8">
        <v>6.4000000000000001E-2</v>
      </c>
      <c r="F10" s="8">
        <v>0.05</v>
      </c>
      <c r="G10" s="8">
        <v>0.14000000000000001</v>
      </c>
      <c r="H10" s="8">
        <v>0.11</v>
      </c>
      <c r="I10" s="8">
        <v>0.15</v>
      </c>
      <c r="J10" s="8">
        <v>0</v>
      </c>
      <c r="K10" s="8">
        <v>0</v>
      </c>
      <c r="L10" s="8"/>
      <c r="M10" s="8">
        <v>0.63400000000000001</v>
      </c>
    </row>
    <row r="11" spans="1:13" x14ac:dyDescent="0.2">
      <c r="A11" s="15" t="s">
        <v>18</v>
      </c>
      <c r="B11" s="8">
        <v>0.12</v>
      </c>
      <c r="C11" s="8">
        <v>0</v>
      </c>
      <c r="D11" s="8">
        <v>-0.05</v>
      </c>
      <c r="E11" s="8">
        <v>6.4000000000000001E-2</v>
      </c>
      <c r="F11" s="8">
        <v>-0.05</v>
      </c>
      <c r="G11" s="8">
        <v>-0.14000000000000001</v>
      </c>
      <c r="H11" s="8">
        <v>-0.11</v>
      </c>
      <c r="I11" s="8">
        <v>-0.15</v>
      </c>
      <c r="J11" s="8">
        <v>-0.1</v>
      </c>
      <c r="K11" s="8">
        <v>0</v>
      </c>
      <c r="L11" s="8"/>
      <c r="M11" s="8">
        <v>-0.41600000000000004</v>
      </c>
    </row>
    <row r="12" spans="1:13" x14ac:dyDescent="0.2">
      <c r="A12" s="13" t="s">
        <v>44</v>
      </c>
      <c r="B12" s="8">
        <v>0.72</v>
      </c>
      <c r="C12" s="8">
        <v>0.21250000000000002</v>
      </c>
      <c r="D12" s="8">
        <v>-0.05</v>
      </c>
      <c r="E12" s="8">
        <v>0.25600000000000001</v>
      </c>
      <c r="F12" s="8">
        <v>0.35</v>
      </c>
      <c r="G12" s="8">
        <v>0.14000000000000001</v>
      </c>
      <c r="H12" s="8">
        <v>0.11</v>
      </c>
      <c r="I12" s="8">
        <v>0</v>
      </c>
      <c r="J12" s="8">
        <v>0.1</v>
      </c>
      <c r="K12" s="8">
        <v>0.1</v>
      </c>
      <c r="L12" s="8">
        <v>0</v>
      </c>
      <c r="M12" s="8">
        <v>1.9384999999999999</v>
      </c>
    </row>
    <row r="13" spans="1:13" x14ac:dyDescent="0.2">
      <c r="A13" s="14" t="s">
        <v>1</v>
      </c>
      <c r="B13" s="8">
        <v>0.24</v>
      </c>
      <c r="C13" s="8">
        <v>8.5000000000000006E-2</v>
      </c>
      <c r="D13" s="8">
        <v>0</v>
      </c>
      <c r="E13" s="8">
        <v>0.128</v>
      </c>
      <c r="F13" s="8">
        <v>0.1</v>
      </c>
      <c r="G13" s="8">
        <v>0.14000000000000001</v>
      </c>
      <c r="H13" s="8">
        <v>0.11</v>
      </c>
      <c r="I13" s="8">
        <v>0.15</v>
      </c>
      <c r="J13" s="8">
        <v>0.1</v>
      </c>
      <c r="K13" s="8">
        <v>0.1</v>
      </c>
      <c r="L13" s="8"/>
      <c r="M13" s="8">
        <v>1.153</v>
      </c>
    </row>
    <row r="14" spans="1:13" x14ac:dyDescent="0.2">
      <c r="A14" s="15" t="s">
        <v>17</v>
      </c>
      <c r="B14" s="8">
        <v>0.12</v>
      </c>
      <c r="C14" s="8">
        <v>0</v>
      </c>
      <c r="D14" s="8">
        <v>0</v>
      </c>
      <c r="E14" s="8">
        <v>6.4000000000000001E-2</v>
      </c>
      <c r="F14" s="8">
        <v>0.05</v>
      </c>
      <c r="G14" s="8">
        <v>0</v>
      </c>
      <c r="H14" s="8">
        <v>0</v>
      </c>
      <c r="I14" s="8">
        <v>0</v>
      </c>
      <c r="J14" s="8">
        <v>0</v>
      </c>
      <c r="K14" s="8">
        <v>0</v>
      </c>
      <c r="L14" s="8"/>
      <c r="M14" s="8">
        <v>0.23399999999999999</v>
      </c>
    </row>
    <row r="15" spans="1:13" x14ac:dyDescent="0.2">
      <c r="A15" s="15" t="s">
        <v>18</v>
      </c>
      <c r="B15" s="8">
        <v>0.12</v>
      </c>
      <c r="C15" s="8">
        <v>8.5000000000000006E-2</v>
      </c>
      <c r="D15" s="8">
        <v>0</v>
      </c>
      <c r="E15" s="8">
        <v>6.4000000000000001E-2</v>
      </c>
      <c r="F15" s="8">
        <v>0.05</v>
      </c>
      <c r="G15" s="8">
        <v>0.14000000000000001</v>
      </c>
      <c r="H15" s="8">
        <v>0.11</v>
      </c>
      <c r="I15" s="8">
        <v>0.15</v>
      </c>
      <c r="J15" s="8">
        <v>0.1</v>
      </c>
      <c r="K15" s="8">
        <v>0.1</v>
      </c>
      <c r="L15" s="8"/>
      <c r="M15" s="8">
        <v>0.91900000000000004</v>
      </c>
    </row>
    <row r="16" spans="1:13" x14ac:dyDescent="0.2">
      <c r="A16" s="14" t="s">
        <v>86</v>
      </c>
      <c r="B16" s="8">
        <v>0.12</v>
      </c>
      <c r="C16" s="8">
        <v>8.5000000000000006E-2</v>
      </c>
      <c r="D16" s="8">
        <v>-0.05</v>
      </c>
      <c r="E16" s="8">
        <v>6.4000000000000001E-2</v>
      </c>
      <c r="F16" s="8">
        <v>0.1</v>
      </c>
      <c r="G16" s="8">
        <v>-0.14000000000000001</v>
      </c>
      <c r="H16" s="8">
        <v>0</v>
      </c>
      <c r="I16" s="8">
        <v>-0.15</v>
      </c>
      <c r="J16" s="8">
        <v>0</v>
      </c>
      <c r="K16" s="8">
        <v>0</v>
      </c>
      <c r="L16" s="8"/>
      <c r="M16" s="8">
        <v>2.899999999999997E-2</v>
      </c>
    </row>
    <row r="17" spans="1:13" x14ac:dyDescent="0.2">
      <c r="A17" s="15" t="s">
        <v>17</v>
      </c>
      <c r="B17" s="8">
        <v>0</v>
      </c>
      <c r="C17" s="8">
        <v>0</v>
      </c>
      <c r="D17" s="8">
        <v>-0.05</v>
      </c>
      <c r="E17" s="8">
        <v>0</v>
      </c>
      <c r="F17" s="8">
        <v>0.05</v>
      </c>
      <c r="G17" s="8">
        <v>-0.14000000000000001</v>
      </c>
      <c r="H17" s="8">
        <v>0</v>
      </c>
      <c r="I17" s="8">
        <v>-0.15</v>
      </c>
      <c r="J17" s="8">
        <v>0</v>
      </c>
      <c r="K17" s="8">
        <v>0</v>
      </c>
      <c r="L17" s="8"/>
      <c r="M17" s="8">
        <v>-0.29000000000000004</v>
      </c>
    </row>
    <row r="18" spans="1:13" x14ac:dyDescent="0.2">
      <c r="A18" s="15" t="s">
        <v>18</v>
      </c>
      <c r="B18" s="8">
        <v>0.12</v>
      </c>
      <c r="C18" s="8">
        <v>8.5000000000000006E-2</v>
      </c>
      <c r="D18" s="8">
        <v>0</v>
      </c>
      <c r="E18" s="8">
        <v>6.4000000000000001E-2</v>
      </c>
      <c r="F18" s="8">
        <v>0.05</v>
      </c>
      <c r="G18" s="8">
        <v>0</v>
      </c>
      <c r="H18" s="8">
        <v>0</v>
      </c>
      <c r="I18" s="8">
        <v>0</v>
      </c>
      <c r="J18" s="8">
        <v>0</v>
      </c>
      <c r="K18" s="8">
        <v>0</v>
      </c>
      <c r="L18" s="8"/>
      <c r="M18" s="8">
        <v>0.31900000000000001</v>
      </c>
    </row>
    <row r="19" spans="1:13" x14ac:dyDescent="0.2">
      <c r="A19" s="14" t="s">
        <v>0</v>
      </c>
      <c r="B19" s="8">
        <v>0.12</v>
      </c>
      <c r="C19" s="8">
        <v>4.2500000000000003E-2</v>
      </c>
      <c r="D19" s="8">
        <v>-0.05</v>
      </c>
      <c r="E19" s="8">
        <v>6.4000000000000001E-2</v>
      </c>
      <c r="F19" s="8">
        <v>0.05</v>
      </c>
      <c r="G19" s="8">
        <v>0</v>
      </c>
      <c r="H19" s="8">
        <v>-0.11</v>
      </c>
      <c r="I19" s="8">
        <v>-0.15</v>
      </c>
      <c r="J19" s="8">
        <v>-0.1</v>
      </c>
      <c r="K19" s="8">
        <v>-0.1</v>
      </c>
      <c r="L19" s="8"/>
      <c r="M19" s="8">
        <v>-0.23349999999999996</v>
      </c>
    </row>
    <row r="20" spans="1:13" x14ac:dyDescent="0.2">
      <c r="A20" s="15" t="s">
        <v>17</v>
      </c>
      <c r="B20" s="8">
        <v>0</v>
      </c>
      <c r="C20" s="8">
        <v>-4.2500000000000003E-2</v>
      </c>
      <c r="D20" s="8">
        <v>0</v>
      </c>
      <c r="E20" s="8">
        <v>0</v>
      </c>
      <c r="F20" s="8">
        <v>0.05</v>
      </c>
      <c r="G20" s="8">
        <v>0</v>
      </c>
      <c r="H20" s="8">
        <v>0</v>
      </c>
      <c r="I20" s="8">
        <v>0</v>
      </c>
      <c r="J20" s="8">
        <v>0</v>
      </c>
      <c r="K20" s="8">
        <v>0</v>
      </c>
      <c r="L20" s="8"/>
      <c r="M20" s="8">
        <v>7.4999999999999997E-3</v>
      </c>
    </row>
    <row r="21" spans="1:13" x14ac:dyDescent="0.2">
      <c r="A21" s="15" t="s">
        <v>18</v>
      </c>
      <c r="B21" s="8">
        <v>0.12</v>
      </c>
      <c r="C21" s="8">
        <v>8.5000000000000006E-2</v>
      </c>
      <c r="D21" s="8">
        <v>-0.05</v>
      </c>
      <c r="E21" s="8">
        <v>6.4000000000000001E-2</v>
      </c>
      <c r="F21" s="8">
        <v>0</v>
      </c>
      <c r="G21" s="8">
        <v>0</v>
      </c>
      <c r="H21" s="8">
        <v>-0.11</v>
      </c>
      <c r="I21" s="8">
        <v>-0.15</v>
      </c>
      <c r="J21" s="8">
        <v>-0.1</v>
      </c>
      <c r="K21" s="8">
        <v>-0.1</v>
      </c>
      <c r="L21" s="8"/>
      <c r="M21" s="8">
        <v>-0.24099999999999996</v>
      </c>
    </row>
    <row r="22" spans="1:13" x14ac:dyDescent="0.2">
      <c r="A22" s="14" t="s">
        <v>187</v>
      </c>
      <c r="B22" s="8">
        <v>0.24</v>
      </c>
      <c r="C22" s="8">
        <v>0</v>
      </c>
      <c r="D22" s="8">
        <v>0.05</v>
      </c>
      <c r="E22" s="8">
        <v>0</v>
      </c>
      <c r="F22" s="8">
        <v>0.1</v>
      </c>
      <c r="G22" s="8">
        <v>0.14000000000000001</v>
      </c>
      <c r="H22" s="8">
        <v>0.11</v>
      </c>
      <c r="I22" s="8">
        <v>0.15</v>
      </c>
      <c r="J22" s="8">
        <v>0.1</v>
      </c>
      <c r="K22" s="8">
        <v>0.1</v>
      </c>
      <c r="L22" s="8"/>
      <c r="M22" s="8">
        <v>0.98999999999999988</v>
      </c>
    </row>
    <row r="23" spans="1:13" x14ac:dyDescent="0.2">
      <c r="A23" s="15" t="s">
        <v>17</v>
      </c>
      <c r="B23" s="8">
        <v>0.12</v>
      </c>
      <c r="C23" s="8">
        <v>0</v>
      </c>
      <c r="D23" s="8">
        <v>0</v>
      </c>
      <c r="E23" s="8">
        <v>6.4000000000000001E-2</v>
      </c>
      <c r="F23" s="8">
        <v>0.05</v>
      </c>
      <c r="G23" s="8">
        <v>0</v>
      </c>
      <c r="H23" s="8">
        <v>0</v>
      </c>
      <c r="I23" s="8">
        <v>0</v>
      </c>
      <c r="J23" s="8">
        <v>0</v>
      </c>
      <c r="K23" s="8">
        <v>0</v>
      </c>
      <c r="L23" s="8"/>
      <c r="M23" s="8">
        <v>0.23399999999999999</v>
      </c>
    </row>
    <row r="24" spans="1:13" x14ac:dyDescent="0.2">
      <c r="A24" s="15" t="s">
        <v>18</v>
      </c>
      <c r="B24" s="8">
        <v>0.12</v>
      </c>
      <c r="C24" s="8">
        <v>0</v>
      </c>
      <c r="D24" s="8">
        <v>0.05</v>
      </c>
      <c r="E24" s="8">
        <v>-6.4000000000000001E-2</v>
      </c>
      <c r="F24" s="8">
        <v>0.05</v>
      </c>
      <c r="G24" s="8">
        <v>0.14000000000000001</v>
      </c>
      <c r="H24" s="8">
        <v>0.11</v>
      </c>
      <c r="I24" s="8">
        <v>0.15</v>
      </c>
      <c r="J24" s="8">
        <v>0.1</v>
      </c>
      <c r="K24" s="8">
        <v>0.1</v>
      </c>
      <c r="L24" s="8"/>
      <c r="M24" s="8">
        <v>0.75599999999999989</v>
      </c>
    </row>
    <row r="25" spans="1:13" x14ac:dyDescent="0.2">
      <c r="A25" s="14" t="s">
        <v>87</v>
      </c>
      <c r="B25" s="8">
        <v>0</v>
      </c>
      <c r="C25" s="8">
        <v>0</v>
      </c>
      <c r="D25" s="8">
        <v>0</v>
      </c>
      <c r="E25" s="8">
        <v>0</v>
      </c>
      <c r="F25" s="8">
        <v>0</v>
      </c>
      <c r="G25" s="8">
        <v>0</v>
      </c>
      <c r="H25" s="8">
        <v>0</v>
      </c>
      <c r="I25" s="8">
        <v>0</v>
      </c>
      <c r="J25" s="8">
        <v>0</v>
      </c>
      <c r="K25" s="8">
        <v>0</v>
      </c>
      <c r="L25" s="8">
        <v>0</v>
      </c>
      <c r="M25" s="8">
        <v>0</v>
      </c>
    </row>
    <row r="26" spans="1:13" x14ac:dyDescent="0.2">
      <c r="A26" s="15" t="s">
        <v>17</v>
      </c>
      <c r="B26" s="8">
        <v>0</v>
      </c>
      <c r="C26" s="8">
        <v>0</v>
      </c>
      <c r="D26" s="8">
        <v>0</v>
      </c>
      <c r="E26" s="8">
        <v>0</v>
      </c>
      <c r="F26" s="8">
        <v>0</v>
      </c>
      <c r="G26" s="8">
        <v>0</v>
      </c>
      <c r="H26" s="8">
        <v>0</v>
      </c>
      <c r="I26" s="8">
        <v>0</v>
      </c>
      <c r="J26" s="8">
        <v>0</v>
      </c>
      <c r="K26" s="8">
        <v>0</v>
      </c>
      <c r="L26" s="8">
        <v>0</v>
      </c>
      <c r="M26" s="8">
        <v>0</v>
      </c>
    </row>
    <row r="27" spans="1:13" x14ac:dyDescent="0.2">
      <c r="A27" s="15" t="s">
        <v>18</v>
      </c>
      <c r="B27" s="8">
        <v>0</v>
      </c>
      <c r="C27" s="8">
        <v>0</v>
      </c>
      <c r="D27" s="8">
        <v>0</v>
      </c>
      <c r="E27" s="8">
        <v>0</v>
      </c>
      <c r="F27" s="8">
        <v>0</v>
      </c>
      <c r="G27" s="8">
        <v>0</v>
      </c>
      <c r="H27" s="8">
        <v>0</v>
      </c>
      <c r="I27" s="8">
        <v>0</v>
      </c>
      <c r="J27" s="8">
        <v>0</v>
      </c>
      <c r="K27" s="8">
        <v>0</v>
      </c>
      <c r="L27" s="8">
        <v>0</v>
      </c>
      <c r="M27" s="8">
        <v>0</v>
      </c>
    </row>
    <row r="28" spans="1:13" x14ac:dyDescent="0.2">
      <c r="A28" s="13" t="s">
        <v>47</v>
      </c>
      <c r="B28" s="8">
        <v>0.48</v>
      </c>
      <c r="C28" s="8">
        <v>0.255</v>
      </c>
      <c r="D28" s="8">
        <v>0</v>
      </c>
      <c r="E28" s="8">
        <v>0.32</v>
      </c>
      <c r="F28" s="8">
        <v>0.2</v>
      </c>
      <c r="G28" s="8">
        <v>0.42000000000000004</v>
      </c>
      <c r="H28" s="8">
        <v>0.44</v>
      </c>
      <c r="I28" s="8">
        <v>0.6</v>
      </c>
      <c r="J28" s="8">
        <v>0.1</v>
      </c>
      <c r="K28" s="8">
        <v>0.30000000000000004</v>
      </c>
      <c r="L28" s="8"/>
      <c r="M28" s="8">
        <v>3.1150000000000002</v>
      </c>
    </row>
    <row r="29" spans="1:13" x14ac:dyDescent="0.2">
      <c r="A29" s="14" t="s">
        <v>1</v>
      </c>
      <c r="B29" s="8">
        <v>0.24</v>
      </c>
      <c r="C29" s="8">
        <v>0.17</v>
      </c>
      <c r="D29" s="8">
        <v>0.05</v>
      </c>
      <c r="E29" s="8">
        <v>0.128</v>
      </c>
      <c r="F29" s="8">
        <v>0.05</v>
      </c>
      <c r="G29" s="8">
        <v>0.14000000000000001</v>
      </c>
      <c r="H29" s="8">
        <v>0.22</v>
      </c>
      <c r="I29" s="8">
        <v>0.3</v>
      </c>
      <c r="J29" s="8">
        <v>0</v>
      </c>
      <c r="K29" s="8">
        <v>0.2</v>
      </c>
      <c r="L29" s="8"/>
      <c r="M29" s="8">
        <v>1.498</v>
      </c>
    </row>
    <row r="30" spans="1:13" x14ac:dyDescent="0.2">
      <c r="A30" s="15" t="s">
        <v>17</v>
      </c>
      <c r="B30" s="8">
        <v>0.12</v>
      </c>
      <c r="C30" s="8">
        <v>8.5000000000000006E-2</v>
      </c>
      <c r="D30" s="8">
        <v>0.05</v>
      </c>
      <c r="E30" s="8">
        <v>6.4000000000000001E-2</v>
      </c>
      <c r="F30" s="8">
        <v>0</v>
      </c>
      <c r="G30" s="8">
        <v>0</v>
      </c>
      <c r="H30" s="8">
        <v>0.11</v>
      </c>
      <c r="I30" s="8">
        <v>0.15</v>
      </c>
      <c r="J30" s="8">
        <v>0</v>
      </c>
      <c r="K30" s="8">
        <v>0.1</v>
      </c>
      <c r="L30" s="8"/>
      <c r="M30" s="8">
        <v>0.67899999999999994</v>
      </c>
    </row>
    <row r="31" spans="1:13" x14ac:dyDescent="0.2">
      <c r="A31" s="15" t="s">
        <v>18</v>
      </c>
      <c r="B31" s="8">
        <v>0.12</v>
      </c>
      <c r="C31" s="8">
        <v>8.5000000000000006E-2</v>
      </c>
      <c r="D31" s="8">
        <v>0</v>
      </c>
      <c r="E31" s="8">
        <v>6.4000000000000001E-2</v>
      </c>
      <c r="F31" s="8">
        <v>0.05</v>
      </c>
      <c r="G31" s="8">
        <v>0.14000000000000001</v>
      </c>
      <c r="H31" s="8">
        <v>0.11</v>
      </c>
      <c r="I31" s="8">
        <v>0.15</v>
      </c>
      <c r="J31" s="8">
        <v>0</v>
      </c>
      <c r="K31" s="8">
        <v>0.1</v>
      </c>
      <c r="L31" s="8"/>
      <c r="M31" s="8">
        <v>0.81900000000000006</v>
      </c>
    </row>
    <row r="32" spans="1:13" x14ac:dyDescent="0.2">
      <c r="A32" s="14" t="s">
        <v>0</v>
      </c>
      <c r="B32" s="8">
        <v>0</v>
      </c>
      <c r="C32" s="8">
        <v>8.5000000000000006E-2</v>
      </c>
      <c r="D32" s="8">
        <v>0</v>
      </c>
      <c r="E32" s="8">
        <v>6.4000000000000001E-2</v>
      </c>
      <c r="F32" s="8">
        <v>0.05</v>
      </c>
      <c r="G32" s="8">
        <v>0.14000000000000001</v>
      </c>
      <c r="H32" s="8">
        <v>0.11</v>
      </c>
      <c r="I32" s="8">
        <v>0.15</v>
      </c>
      <c r="J32" s="8">
        <v>0</v>
      </c>
      <c r="K32" s="8">
        <v>0</v>
      </c>
      <c r="L32" s="8"/>
      <c r="M32" s="8">
        <v>0.59900000000000009</v>
      </c>
    </row>
    <row r="33" spans="1:13" x14ac:dyDescent="0.2">
      <c r="A33" s="15" t="s">
        <v>17</v>
      </c>
      <c r="B33" s="8">
        <v>-0.12</v>
      </c>
      <c r="C33" s="8">
        <v>0</v>
      </c>
      <c r="D33" s="8">
        <v>0</v>
      </c>
      <c r="E33" s="8">
        <v>0</v>
      </c>
      <c r="F33" s="8">
        <v>0</v>
      </c>
      <c r="G33" s="8">
        <v>0</v>
      </c>
      <c r="H33" s="8">
        <v>0</v>
      </c>
      <c r="I33" s="8">
        <v>0</v>
      </c>
      <c r="J33" s="8">
        <v>0</v>
      </c>
      <c r="K33" s="8">
        <v>0</v>
      </c>
      <c r="L33" s="8"/>
      <c r="M33" s="8">
        <v>-0.12</v>
      </c>
    </row>
    <row r="34" spans="1:13" x14ac:dyDescent="0.2">
      <c r="A34" s="15" t="s">
        <v>18</v>
      </c>
      <c r="B34" s="8">
        <v>0.12</v>
      </c>
      <c r="C34" s="8">
        <v>8.5000000000000006E-2</v>
      </c>
      <c r="D34" s="8">
        <v>0</v>
      </c>
      <c r="E34" s="8">
        <v>6.4000000000000001E-2</v>
      </c>
      <c r="F34" s="8">
        <v>0.05</v>
      </c>
      <c r="G34" s="8">
        <v>0.14000000000000001</v>
      </c>
      <c r="H34" s="8">
        <v>0.11</v>
      </c>
      <c r="I34" s="8">
        <v>0.15</v>
      </c>
      <c r="J34" s="8">
        <v>0</v>
      </c>
      <c r="K34" s="8">
        <v>0</v>
      </c>
      <c r="L34" s="8"/>
      <c r="M34" s="8">
        <v>0.71900000000000008</v>
      </c>
    </row>
    <row r="35" spans="1:13" x14ac:dyDescent="0.2">
      <c r="A35" s="14" t="s">
        <v>187</v>
      </c>
      <c r="B35" s="8">
        <v>0.24</v>
      </c>
      <c r="C35" s="8">
        <v>0</v>
      </c>
      <c r="D35" s="8">
        <v>-0.05</v>
      </c>
      <c r="E35" s="8">
        <v>0.128</v>
      </c>
      <c r="F35" s="8">
        <v>0.1</v>
      </c>
      <c r="G35" s="8">
        <v>0.14000000000000001</v>
      </c>
      <c r="H35" s="8">
        <v>0.11</v>
      </c>
      <c r="I35" s="8">
        <v>0.15</v>
      </c>
      <c r="J35" s="8">
        <v>0.1</v>
      </c>
      <c r="K35" s="8">
        <v>0.1</v>
      </c>
      <c r="L35" s="8"/>
      <c r="M35" s="8">
        <v>1.0179999999999998</v>
      </c>
    </row>
    <row r="36" spans="1:13" x14ac:dyDescent="0.2">
      <c r="A36" s="15" t="s">
        <v>17</v>
      </c>
      <c r="B36" s="8">
        <v>0.12</v>
      </c>
      <c r="C36" s="8">
        <v>0</v>
      </c>
      <c r="D36" s="8">
        <v>0</v>
      </c>
      <c r="E36" s="8">
        <v>6.4000000000000001E-2</v>
      </c>
      <c r="F36" s="8">
        <v>0.05</v>
      </c>
      <c r="G36" s="8">
        <v>0</v>
      </c>
      <c r="H36" s="8">
        <v>0</v>
      </c>
      <c r="I36" s="8">
        <v>0</v>
      </c>
      <c r="J36" s="8">
        <v>0</v>
      </c>
      <c r="K36" s="8">
        <v>0</v>
      </c>
      <c r="L36" s="8"/>
      <c r="M36" s="8">
        <v>0.23399999999999999</v>
      </c>
    </row>
    <row r="37" spans="1:13" x14ac:dyDescent="0.2">
      <c r="A37" s="15" t="s">
        <v>18</v>
      </c>
      <c r="B37" s="8">
        <v>0.12</v>
      </c>
      <c r="C37" s="8">
        <v>0</v>
      </c>
      <c r="D37" s="8">
        <v>-0.05</v>
      </c>
      <c r="E37" s="8">
        <v>6.4000000000000001E-2</v>
      </c>
      <c r="F37" s="8">
        <v>0.05</v>
      </c>
      <c r="G37" s="8">
        <v>0.14000000000000001</v>
      </c>
      <c r="H37" s="8">
        <v>0.11</v>
      </c>
      <c r="I37" s="8">
        <v>0.15</v>
      </c>
      <c r="J37" s="8">
        <v>0.1</v>
      </c>
      <c r="K37" s="8">
        <v>0.1</v>
      </c>
      <c r="L37" s="8"/>
      <c r="M37" s="8">
        <v>0.78399999999999992</v>
      </c>
    </row>
    <row r="38" spans="1:13" x14ac:dyDescent="0.2">
      <c r="A38" s="13" t="s">
        <v>90</v>
      </c>
      <c r="B38" s="8">
        <v>0.12</v>
      </c>
      <c r="C38" s="8">
        <v>4.2500000000000003E-2</v>
      </c>
      <c r="D38" s="8">
        <v>-0.05</v>
      </c>
      <c r="E38" s="8">
        <v>6.4000000000000001E-2</v>
      </c>
      <c r="F38" s="8">
        <v>0</v>
      </c>
      <c r="G38" s="8">
        <v>0</v>
      </c>
      <c r="H38" s="8">
        <v>-0.11</v>
      </c>
      <c r="I38" s="8">
        <v>-0.15</v>
      </c>
      <c r="J38" s="8">
        <v>-0.1</v>
      </c>
      <c r="K38" s="8">
        <v>0</v>
      </c>
      <c r="L38" s="8"/>
      <c r="M38" s="8">
        <v>-0.1835</v>
      </c>
    </row>
    <row r="39" spans="1:13" x14ac:dyDescent="0.2">
      <c r="A39" s="14" t="s">
        <v>86</v>
      </c>
      <c r="B39" s="8">
        <v>0.12</v>
      </c>
      <c r="C39" s="8">
        <v>4.2500000000000003E-2</v>
      </c>
      <c r="D39" s="8">
        <v>-0.05</v>
      </c>
      <c r="E39" s="8">
        <v>6.4000000000000001E-2</v>
      </c>
      <c r="F39" s="8">
        <v>0</v>
      </c>
      <c r="G39" s="8">
        <v>0</v>
      </c>
      <c r="H39" s="8">
        <v>-0.11</v>
      </c>
      <c r="I39" s="8">
        <v>-0.15</v>
      </c>
      <c r="J39" s="8">
        <v>-0.1</v>
      </c>
      <c r="K39" s="8">
        <v>0</v>
      </c>
      <c r="L39" s="8"/>
      <c r="M39" s="8">
        <v>-0.1835</v>
      </c>
    </row>
    <row r="40" spans="1:13" x14ac:dyDescent="0.2">
      <c r="A40" s="15" t="s">
        <v>17</v>
      </c>
      <c r="B40" s="8">
        <v>0</v>
      </c>
      <c r="C40" s="8">
        <v>-4.2500000000000003E-2</v>
      </c>
      <c r="D40" s="8">
        <v>-0.05</v>
      </c>
      <c r="E40" s="8">
        <v>0</v>
      </c>
      <c r="F40" s="8">
        <v>0</v>
      </c>
      <c r="G40" s="8">
        <v>-0.14000000000000001</v>
      </c>
      <c r="H40" s="8">
        <v>-0.11</v>
      </c>
      <c r="I40" s="8">
        <v>-0.15</v>
      </c>
      <c r="J40" s="8">
        <v>-0.1</v>
      </c>
      <c r="K40" s="8">
        <v>0</v>
      </c>
      <c r="L40" s="8"/>
      <c r="M40" s="8">
        <v>-0.59250000000000003</v>
      </c>
    </row>
    <row r="41" spans="1:13" x14ac:dyDescent="0.2">
      <c r="A41" s="15" t="s">
        <v>18</v>
      </c>
      <c r="B41" s="8">
        <v>0.12</v>
      </c>
      <c r="C41" s="8">
        <v>8.5000000000000006E-2</v>
      </c>
      <c r="D41" s="8">
        <v>0</v>
      </c>
      <c r="E41" s="8">
        <v>6.4000000000000001E-2</v>
      </c>
      <c r="F41" s="8">
        <v>0</v>
      </c>
      <c r="G41" s="8">
        <v>0.14000000000000001</v>
      </c>
      <c r="H41" s="8">
        <v>0</v>
      </c>
      <c r="I41" s="8">
        <v>0</v>
      </c>
      <c r="J41" s="8">
        <v>0</v>
      </c>
      <c r="K41" s="8">
        <v>0</v>
      </c>
      <c r="L41" s="8"/>
      <c r="M41" s="8">
        <v>0.40900000000000003</v>
      </c>
    </row>
    <row r="42" spans="1:13" x14ac:dyDescent="0.2">
      <c r="A42" s="13" t="s">
        <v>92</v>
      </c>
      <c r="B42" s="8">
        <v>0.24</v>
      </c>
      <c r="C42" s="8">
        <v>8.5000000000000006E-2</v>
      </c>
      <c r="D42" s="8">
        <v>0.05</v>
      </c>
      <c r="E42" s="8">
        <v>0.128</v>
      </c>
      <c r="F42" s="8">
        <v>0.1</v>
      </c>
      <c r="G42" s="8">
        <v>0.14000000000000001</v>
      </c>
      <c r="H42" s="8">
        <v>0.11</v>
      </c>
      <c r="I42" s="8">
        <v>0.15</v>
      </c>
      <c r="J42" s="8">
        <v>0.2</v>
      </c>
      <c r="K42" s="8">
        <v>0.2</v>
      </c>
      <c r="L42" s="8"/>
      <c r="M42" s="8">
        <v>1.403</v>
      </c>
    </row>
    <row r="43" spans="1:13" x14ac:dyDescent="0.2">
      <c r="A43" s="14" t="s">
        <v>0</v>
      </c>
      <c r="B43" s="8">
        <v>0.24</v>
      </c>
      <c r="C43" s="8">
        <v>8.5000000000000006E-2</v>
      </c>
      <c r="D43" s="8">
        <v>0.05</v>
      </c>
      <c r="E43" s="8">
        <v>0.128</v>
      </c>
      <c r="F43" s="8">
        <v>0.1</v>
      </c>
      <c r="G43" s="8">
        <v>0.14000000000000001</v>
      </c>
      <c r="H43" s="8">
        <v>0.11</v>
      </c>
      <c r="I43" s="8">
        <v>0.15</v>
      </c>
      <c r="J43" s="8">
        <v>0.2</v>
      </c>
      <c r="K43" s="8">
        <v>0.2</v>
      </c>
      <c r="L43" s="8"/>
      <c r="M43" s="8">
        <v>1.403</v>
      </c>
    </row>
    <row r="44" spans="1:13" x14ac:dyDescent="0.2">
      <c r="A44" s="15" t="s">
        <v>17</v>
      </c>
      <c r="B44" s="8">
        <v>0.12</v>
      </c>
      <c r="C44" s="8">
        <v>0</v>
      </c>
      <c r="D44" s="8">
        <v>0</v>
      </c>
      <c r="E44" s="8">
        <v>6.4000000000000001E-2</v>
      </c>
      <c r="F44" s="8">
        <v>0.05</v>
      </c>
      <c r="G44" s="8">
        <v>0</v>
      </c>
      <c r="H44" s="8">
        <v>0</v>
      </c>
      <c r="I44" s="8">
        <v>0</v>
      </c>
      <c r="J44" s="8">
        <v>0.1</v>
      </c>
      <c r="K44" s="8">
        <v>0.1</v>
      </c>
      <c r="L44" s="8"/>
      <c r="M44" s="8">
        <v>0.43399999999999994</v>
      </c>
    </row>
    <row r="45" spans="1:13" x14ac:dyDescent="0.2">
      <c r="A45" s="15" t="s">
        <v>18</v>
      </c>
      <c r="B45" s="8">
        <v>0.12</v>
      </c>
      <c r="C45" s="8">
        <v>8.5000000000000006E-2</v>
      </c>
      <c r="D45" s="8">
        <v>0.05</v>
      </c>
      <c r="E45" s="8">
        <v>6.4000000000000001E-2</v>
      </c>
      <c r="F45" s="8">
        <v>0.05</v>
      </c>
      <c r="G45" s="8">
        <v>0.14000000000000001</v>
      </c>
      <c r="H45" s="8">
        <v>0.11</v>
      </c>
      <c r="I45" s="8">
        <v>0.15</v>
      </c>
      <c r="J45" s="8">
        <v>0.1</v>
      </c>
      <c r="K45" s="8">
        <v>0.1</v>
      </c>
      <c r="L45" s="8"/>
      <c r="M45" s="8">
        <v>0.96899999999999997</v>
      </c>
    </row>
    <row r="46" spans="1:13" x14ac:dyDescent="0.2">
      <c r="A46" s="13" t="s">
        <v>48</v>
      </c>
      <c r="B46" s="8">
        <v>0.12</v>
      </c>
      <c r="C46" s="8">
        <v>0.255</v>
      </c>
      <c r="D46" s="8">
        <v>-0.1</v>
      </c>
      <c r="E46" s="8">
        <v>0.128</v>
      </c>
      <c r="F46" s="8">
        <v>0.05</v>
      </c>
      <c r="G46" s="8">
        <v>0</v>
      </c>
      <c r="H46" s="8">
        <v>-0.22</v>
      </c>
      <c r="I46" s="8">
        <v>0</v>
      </c>
      <c r="J46" s="8">
        <v>0</v>
      </c>
      <c r="K46" s="8">
        <v>0.1</v>
      </c>
      <c r="L46" s="8"/>
      <c r="M46" s="8">
        <v>0.33300000000000002</v>
      </c>
    </row>
    <row r="47" spans="1:13" x14ac:dyDescent="0.2">
      <c r="A47" s="14" t="s">
        <v>1</v>
      </c>
      <c r="B47" s="8">
        <v>0.12</v>
      </c>
      <c r="C47" s="8">
        <v>0.17</v>
      </c>
      <c r="D47" s="8">
        <v>-0.05</v>
      </c>
      <c r="E47" s="8">
        <v>6.4000000000000001E-2</v>
      </c>
      <c r="F47" s="8">
        <v>0.05</v>
      </c>
      <c r="G47" s="8">
        <v>0</v>
      </c>
      <c r="H47" s="8">
        <v>-0.11</v>
      </c>
      <c r="I47" s="8">
        <v>0</v>
      </c>
      <c r="J47" s="8">
        <v>0</v>
      </c>
      <c r="K47" s="8">
        <v>0</v>
      </c>
      <c r="L47" s="8"/>
      <c r="M47" s="8">
        <v>0.24399999999999999</v>
      </c>
    </row>
    <row r="48" spans="1:13" x14ac:dyDescent="0.2">
      <c r="A48" s="15" t="s">
        <v>17</v>
      </c>
      <c r="B48" s="8">
        <v>0</v>
      </c>
      <c r="C48" s="8">
        <v>8.5000000000000006E-2</v>
      </c>
      <c r="D48" s="8">
        <v>0</v>
      </c>
      <c r="E48" s="8">
        <v>0</v>
      </c>
      <c r="F48" s="8">
        <v>0.05</v>
      </c>
      <c r="G48" s="8">
        <v>0</v>
      </c>
      <c r="H48" s="8">
        <v>-0.11</v>
      </c>
      <c r="I48" s="8">
        <v>-0.15</v>
      </c>
      <c r="J48" s="8">
        <v>0</v>
      </c>
      <c r="K48" s="8">
        <v>0</v>
      </c>
      <c r="L48" s="8"/>
      <c r="M48" s="8">
        <v>-0.12499999999999999</v>
      </c>
    </row>
    <row r="49" spans="1:13" x14ac:dyDescent="0.2">
      <c r="A49" s="15" t="s">
        <v>18</v>
      </c>
      <c r="B49" s="8">
        <v>0.12</v>
      </c>
      <c r="C49" s="8">
        <v>8.5000000000000006E-2</v>
      </c>
      <c r="D49" s="8">
        <v>-0.05</v>
      </c>
      <c r="E49" s="8">
        <v>6.4000000000000001E-2</v>
      </c>
      <c r="F49" s="8">
        <v>0</v>
      </c>
      <c r="G49" s="8">
        <v>0</v>
      </c>
      <c r="H49" s="8">
        <v>0</v>
      </c>
      <c r="I49" s="8">
        <v>0.15</v>
      </c>
      <c r="J49" s="8">
        <v>0</v>
      </c>
      <c r="K49" s="8">
        <v>0</v>
      </c>
      <c r="L49" s="8"/>
      <c r="M49" s="8">
        <v>0.36899999999999999</v>
      </c>
    </row>
    <row r="50" spans="1:13" x14ac:dyDescent="0.2">
      <c r="A50" s="14" t="s">
        <v>0</v>
      </c>
      <c r="B50" s="8">
        <v>0</v>
      </c>
      <c r="C50" s="8">
        <v>8.5000000000000006E-2</v>
      </c>
      <c r="D50" s="8">
        <v>-0.05</v>
      </c>
      <c r="E50" s="8">
        <v>6.4000000000000001E-2</v>
      </c>
      <c r="F50" s="8">
        <v>0</v>
      </c>
      <c r="G50" s="8">
        <v>0</v>
      </c>
      <c r="H50" s="8">
        <v>-0.11</v>
      </c>
      <c r="I50" s="8">
        <v>0</v>
      </c>
      <c r="J50" s="8">
        <v>0</v>
      </c>
      <c r="K50" s="8">
        <v>0.1</v>
      </c>
      <c r="L50" s="8"/>
      <c r="M50" s="8">
        <v>8.9000000000000024E-2</v>
      </c>
    </row>
    <row r="51" spans="1:13" x14ac:dyDescent="0.2">
      <c r="A51" s="15" t="s">
        <v>17</v>
      </c>
      <c r="B51" s="8">
        <v>0</v>
      </c>
      <c r="C51" s="8">
        <v>0</v>
      </c>
      <c r="D51" s="8">
        <v>0</v>
      </c>
      <c r="E51" s="8">
        <v>0</v>
      </c>
      <c r="F51" s="8">
        <v>0.05</v>
      </c>
      <c r="G51" s="8">
        <v>0</v>
      </c>
      <c r="H51" s="8">
        <v>-0.11</v>
      </c>
      <c r="I51" s="8">
        <v>0</v>
      </c>
      <c r="J51" s="8">
        <v>0</v>
      </c>
      <c r="K51" s="8">
        <v>0</v>
      </c>
      <c r="L51" s="8"/>
      <c r="M51" s="8">
        <v>-0.06</v>
      </c>
    </row>
    <row r="52" spans="1:13" x14ac:dyDescent="0.2">
      <c r="A52" s="15" t="s">
        <v>18</v>
      </c>
      <c r="B52" s="8">
        <v>0</v>
      </c>
      <c r="C52" s="8">
        <v>8.5000000000000006E-2</v>
      </c>
      <c r="D52" s="8">
        <v>-0.05</v>
      </c>
      <c r="E52" s="8">
        <v>6.4000000000000001E-2</v>
      </c>
      <c r="F52" s="8">
        <v>-0.05</v>
      </c>
      <c r="G52" s="8">
        <v>0</v>
      </c>
      <c r="H52" s="8">
        <v>0</v>
      </c>
      <c r="I52" s="8">
        <v>0</v>
      </c>
      <c r="J52" s="8">
        <v>0</v>
      </c>
      <c r="K52" s="8">
        <v>0.1</v>
      </c>
      <c r="L52" s="8"/>
      <c r="M52" s="8">
        <v>0.14900000000000002</v>
      </c>
    </row>
    <row r="53" spans="1:13" x14ac:dyDescent="0.2">
      <c r="A53" s="13" t="s">
        <v>50</v>
      </c>
      <c r="B53" s="8">
        <v>0.72</v>
      </c>
      <c r="C53" s="8">
        <v>0.42500000000000004</v>
      </c>
      <c r="D53" s="8">
        <v>0.15000000000000002</v>
      </c>
      <c r="E53" s="8">
        <v>0.32</v>
      </c>
      <c r="F53" s="8">
        <v>0.25</v>
      </c>
      <c r="G53" s="8">
        <v>0.56000000000000005</v>
      </c>
      <c r="H53" s="8">
        <v>0.55000000000000004</v>
      </c>
      <c r="I53" s="8">
        <v>0.75</v>
      </c>
      <c r="J53" s="8">
        <v>0.5</v>
      </c>
      <c r="K53" s="8">
        <v>0.5</v>
      </c>
      <c r="L53" s="8"/>
      <c r="M53" s="8">
        <v>4.7249999999999996</v>
      </c>
    </row>
    <row r="54" spans="1:13" x14ac:dyDescent="0.2">
      <c r="A54" s="14" t="s">
        <v>1</v>
      </c>
      <c r="B54" s="8">
        <v>0.24</v>
      </c>
      <c r="C54" s="8">
        <v>0.17</v>
      </c>
      <c r="D54" s="8">
        <v>0.05</v>
      </c>
      <c r="E54" s="8">
        <v>0.128</v>
      </c>
      <c r="F54" s="8">
        <v>0.05</v>
      </c>
      <c r="G54" s="8">
        <v>0.14000000000000001</v>
      </c>
      <c r="H54" s="8">
        <v>0.22</v>
      </c>
      <c r="I54" s="8">
        <v>0.3</v>
      </c>
      <c r="J54" s="8">
        <v>0.2</v>
      </c>
      <c r="K54" s="8">
        <v>0.2</v>
      </c>
      <c r="L54" s="8"/>
      <c r="M54" s="8">
        <v>1.698</v>
      </c>
    </row>
    <row r="55" spans="1:13" x14ac:dyDescent="0.2">
      <c r="A55" s="15" t="s">
        <v>17</v>
      </c>
      <c r="B55" s="8">
        <v>0.12</v>
      </c>
      <c r="C55" s="8">
        <v>8.5000000000000006E-2</v>
      </c>
      <c r="D55" s="8">
        <v>0.05</v>
      </c>
      <c r="E55" s="8">
        <v>6.4000000000000001E-2</v>
      </c>
      <c r="F55" s="8">
        <v>0</v>
      </c>
      <c r="G55" s="8">
        <v>0</v>
      </c>
      <c r="H55" s="8">
        <v>0.11</v>
      </c>
      <c r="I55" s="8">
        <v>0.15</v>
      </c>
      <c r="J55" s="8">
        <v>0.1</v>
      </c>
      <c r="K55" s="8">
        <v>0.1</v>
      </c>
      <c r="L55" s="8"/>
      <c r="M55" s="8">
        <v>0.77899999999999991</v>
      </c>
    </row>
    <row r="56" spans="1:13" x14ac:dyDescent="0.2">
      <c r="A56" s="15" t="s">
        <v>18</v>
      </c>
      <c r="B56" s="8">
        <v>0.12</v>
      </c>
      <c r="C56" s="8">
        <v>8.5000000000000006E-2</v>
      </c>
      <c r="D56" s="8">
        <v>0</v>
      </c>
      <c r="E56" s="8">
        <v>6.4000000000000001E-2</v>
      </c>
      <c r="F56" s="8">
        <v>0.05</v>
      </c>
      <c r="G56" s="8">
        <v>0.14000000000000001</v>
      </c>
      <c r="H56" s="8">
        <v>0.11</v>
      </c>
      <c r="I56" s="8">
        <v>0.15</v>
      </c>
      <c r="J56" s="8">
        <v>0.1</v>
      </c>
      <c r="K56" s="8">
        <v>0.1</v>
      </c>
      <c r="L56" s="8"/>
      <c r="M56" s="8">
        <v>0.91900000000000004</v>
      </c>
    </row>
    <row r="57" spans="1:13" x14ac:dyDescent="0.2">
      <c r="A57" s="14" t="s">
        <v>86</v>
      </c>
      <c r="B57" s="8">
        <v>0.24</v>
      </c>
      <c r="C57" s="8">
        <v>0.17</v>
      </c>
      <c r="D57" s="8">
        <v>0.05</v>
      </c>
      <c r="E57" s="8">
        <v>0.128</v>
      </c>
      <c r="F57" s="8">
        <v>0.1</v>
      </c>
      <c r="G57" s="8">
        <v>0.28000000000000003</v>
      </c>
      <c r="H57" s="8">
        <v>0.22</v>
      </c>
      <c r="I57" s="8">
        <v>0.3</v>
      </c>
      <c r="J57" s="8">
        <v>0.2</v>
      </c>
      <c r="K57" s="8">
        <v>0.2</v>
      </c>
      <c r="L57" s="8"/>
      <c r="M57" s="8">
        <v>1.8879999999999999</v>
      </c>
    </row>
    <row r="58" spans="1:13" x14ac:dyDescent="0.2">
      <c r="A58" s="15" t="s">
        <v>17</v>
      </c>
      <c r="B58" s="8">
        <v>0.12</v>
      </c>
      <c r="C58" s="8">
        <v>8.5000000000000006E-2</v>
      </c>
      <c r="D58" s="8">
        <v>0</v>
      </c>
      <c r="E58" s="8">
        <v>6.4000000000000001E-2</v>
      </c>
      <c r="F58" s="8">
        <v>0.05</v>
      </c>
      <c r="G58" s="8">
        <v>0.14000000000000001</v>
      </c>
      <c r="H58" s="8">
        <v>0.11</v>
      </c>
      <c r="I58" s="8">
        <v>0.15</v>
      </c>
      <c r="J58" s="8">
        <v>0.1</v>
      </c>
      <c r="K58" s="8">
        <v>0.1</v>
      </c>
      <c r="L58" s="8"/>
      <c r="M58" s="8">
        <v>0.91900000000000004</v>
      </c>
    </row>
    <row r="59" spans="1:13" x14ac:dyDescent="0.2">
      <c r="A59" s="15" t="s">
        <v>18</v>
      </c>
      <c r="B59" s="8">
        <v>0.12</v>
      </c>
      <c r="C59" s="8">
        <v>8.5000000000000006E-2</v>
      </c>
      <c r="D59" s="8">
        <v>0.05</v>
      </c>
      <c r="E59" s="8">
        <v>6.4000000000000001E-2</v>
      </c>
      <c r="F59" s="8">
        <v>0.05</v>
      </c>
      <c r="G59" s="8">
        <v>0.14000000000000001</v>
      </c>
      <c r="H59" s="8">
        <v>0.11</v>
      </c>
      <c r="I59" s="8">
        <v>0.15</v>
      </c>
      <c r="J59" s="8">
        <v>0.1</v>
      </c>
      <c r="K59" s="8">
        <v>0.1</v>
      </c>
      <c r="L59" s="8"/>
      <c r="M59" s="8">
        <v>0.96899999999999997</v>
      </c>
    </row>
    <row r="60" spans="1:13" x14ac:dyDescent="0.2">
      <c r="A60" s="14" t="s">
        <v>0</v>
      </c>
      <c r="B60" s="8">
        <v>0.24</v>
      </c>
      <c r="C60" s="8">
        <v>8.5000000000000006E-2</v>
      </c>
      <c r="D60" s="8">
        <v>0.05</v>
      </c>
      <c r="E60" s="8">
        <v>6.4000000000000001E-2</v>
      </c>
      <c r="F60" s="8">
        <v>0.1</v>
      </c>
      <c r="G60" s="8">
        <v>0.14000000000000001</v>
      </c>
      <c r="H60" s="8">
        <v>0.11</v>
      </c>
      <c r="I60" s="8">
        <v>0.15</v>
      </c>
      <c r="J60" s="8">
        <v>0.1</v>
      </c>
      <c r="K60" s="8">
        <v>0.1</v>
      </c>
      <c r="L60" s="8"/>
      <c r="M60" s="8">
        <v>1.139</v>
      </c>
    </row>
    <row r="61" spans="1:13" x14ac:dyDescent="0.2">
      <c r="A61" s="15" t="s">
        <v>17</v>
      </c>
      <c r="B61" s="8">
        <v>0.12</v>
      </c>
      <c r="C61" s="8">
        <v>0</v>
      </c>
      <c r="D61" s="8">
        <v>0</v>
      </c>
      <c r="E61" s="8">
        <v>0</v>
      </c>
      <c r="F61" s="8">
        <v>0.05</v>
      </c>
      <c r="G61" s="8">
        <v>0</v>
      </c>
      <c r="H61" s="8">
        <v>0</v>
      </c>
      <c r="I61" s="8">
        <v>0</v>
      </c>
      <c r="J61" s="8">
        <v>0</v>
      </c>
      <c r="K61" s="8">
        <v>0</v>
      </c>
      <c r="L61" s="8"/>
      <c r="M61" s="8">
        <v>0.16999999999999998</v>
      </c>
    </row>
    <row r="62" spans="1:13" x14ac:dyDescent="0.2">
      <c r="A62" s="15" t="s">
        <v>18</v>
      </c>
      <c r="B62" s="8">
        <v>0.12</v>
      </c>
      <c r="C62" s="8">
        <v>8.5000000000000006E-2</v>
      </c>
      <c r="D62" s="8">
        <v>0.05</v>
      </c>
      <c r="E62" s="8">
        <v>6.4000000000000001E-2</v>
      </c>
      <c r="F62" s="8">
        <v>0.05</v>
      </c>
      <c r="G62" s="8">
        <v>0.14000000000000001</v>
      </c>
      <c r="H62" s="8">
        <v>0.11</v>
      </c>
      <c r="I62" s="8">
        <v>0.15</v>
      </c>
      <c r="J62" s="8">
        <v>0.1</v>
      </c>
      <c r="K62" s="8">
        <v>0.1</v>
      </c>
      <c r="L62" s="8"/>
      <c r="M62" s="8">
        <v>0.96899999999999997</v>
      </c>
    </row>
    <row r="63" spans="1:13" x14ac:dyDescent="0.2">
      <c r="A63" s="13" t="s">
        <v>52</v>
      </c>
      <c r="B63" s="8">
        <v>0.72</v>
      </c>
      <c r="C63" s="8">
        <v>0.42500000000000004</v>
      </c>
      <c r="D63" s="8">
        <v>0</v>
      </c>
      <c r="E63" s="8">
        <v>0.25600000000000001</v>
      </c>
      <c r="F63" s="8">
        <v>0.3</v>
      </c>
      <c r="G63" s="8">
        <v>0.14000000000000001</v>
      </c>
      <c r="H63" s="8">
        <v>0.11</v>
      </c>
      <c r="I63" s="8">
        <v>0.44999999999999996</v>
      </c>
      <c r="J63" s="8">
        <v>0.4</v>
      </c>
      <c r="K63" s="8">
        <v>0.2</v>
      </c>
      <c r="L63" s="8"/>
      <c r="M63" s="8">
        <v>3.0009999999999999</v>
      </c>
    </row>
    <row r="64" spans="1:13" x14ac:dyDescent="0.2">
      <c r="A64" s="14" t="s">
        <v>1</v>
      </c>
      <c r="B64" s="8">
        <v>0.24</v>
      </c>
      <c r="C64" s="8">
        <v>0.17</v>
      </c>
      <c r="D64" s="8">
        <v>0.05</v>
      </c>
      <c r="E64" s="8">
        <v>0.128</v>
      </c>
      <c r="F64" s="8">
        <v>0.1</v>
      </c>
      <c r="G64" s="8">
        <v>0.28000000000000003</v>
      </c>
      <c r="H64" s="8">
        <v>0.11</v>
      </c>
      <c r="I64" s="8">
        <v>0.3</v>
      </c>
      <c r="J64" s="8">
        <v>0.2</v>
      </c>
      <c r="K64" s="8">
        <v>0.1</v>
      </c>
      <c r="L64" s="8"/>
      <c r="M64" s="8">
        <v>1.6779999999999999</v>
      </c>
    </row>
    <row r="65" spans="1:13" x14ac:dyDescent="0.2">
      <c r="A65" s="15" t="s">
        <v>17</v>
      </c>
      <c r="B65" s="8">
        <v>0.12</v>
      </c>
      <c r="C65" s="8">
        <v>8.5000000000000006E-2</v>
      </c>
      <c r="D65" s="8">
        <v>0.05</v>
      </c>
      <c r="E65" s="8">
        <v>6.4000000000000001E-2</v>
      </c>
      <c r="F65" s="8">
        <v>0.05</v>
      </c>
      <c r="G65" s="8">
        <v>0.14000000000000001</v>
      </c>
      <c r="H65" s="8">
        <v>0.11</v>
      </c>
      <c r="I65" s="8">
        <v>0.15</v>
      </c>
      <c r="J65" s="8">
        <v>0.1</v>
      </c>
      <c r="K65" s="8">
        <v>0.1</v>
      </c>
      <c r="L65" s="8"/>
      <c r="M65" s="8">
        <v>0.96899999999999997</v>
      </c>
    </row>
    <row r="66" spans="1:13" x14ac:dyDescent="0.2">
      <c r="A66" s="15" t="s">
        <v>18</v>
      </c>
      <c r="B66" s="8">
        <v>0.12</v>
      </c>
      <c r="C66" s="8">
        <v>8.5000000000000006E-2</v>
      </c>
      <c r="D66" s="8">
        <v>0</v>
      </c>
      <c r="E66" s="8">
        <v>6.4000000000000001E-2</v>
      </c>
      <c r="F66" s="8">
        <v>0.05</v>
      </c>
      <c r="G66" s="8">
        <v>0.14000000000000001</v>
      </c>
      <c r="H66" s="8">
        <v>0</v>
      </c>
      <c r="I66" s="8">
        <v>0.15</v>
      </c>
      <c r="J66" s="8">
        <v>0.1</v>
      </c>
      <c r="K66" s="8">
        <v>0</v>
      </c>
      <c r="L66" s="8"/>
      <c r="M66" s="8">
        <v>0.70899999999999996</v>
      </c>
    </row>
    <row r="67" spans="1:13" x14ac:dyDescent="0.2">
      <c r="A67" s="14" t="s">
        <v>86</v>
      </c>
      <c r="B67" s="8">
        <v>0.24</v>
      </c>
      <c r="C67" s="8">
        <v>8.5000000000000006E-2</v>
      </c>
      <c r="D67" s="8">
        <v>-0.05</v>
      </c>
      <c r="E67" s="8">
        <v>0</v>
      </c>
      <c r="F67" s="8">
        <v>0.1</v>
      </c>
      <c r="G67" s="8">
        <v>-0.14000000000000001</v>
      </c>
      <c r="H67" s="8">
        <v>-0.11</v>
      </c>
      <c r="I67" s="8">
        <v>-0.15</v>
      </c>
      <c r="J67" s="8">
        <v>0</v>
      </c>
      <c r="K67" s="8">
        <v>0</v>
      </c>
      <c r="L67" s="8"/>
      <c r="M67" s="8">
        <v>-2.5000000000000022E-2</v>
      </c>
    </row>
    <row r="68" spans="1:13" x14ac:dyDescent="0.2">
      <c r="A68" s="15" t="s">
        <v>17</v>
      </c>
      <c r="B68" s="8">
        <v>0.12</v>
      </c>
      <c r="C68" s="8">
        <v>0</v>
      </c>
      <c r="D68" s="8">
        <v>-0.05</v>
      </c>
      <c r="E68" s="8">
        <v>0</v>
      </c>
      <c r="F68" s="8">
        <v>0.05</v>
      </c>
      <c r="G68" s="8">
        <v>-0.14000000000000001</v>
      </c>
      <c r="H68" s="8">
        <v>-0.11</v>
      </c>
      <c r="I68" s="8">
        <v>-0.15</v>
      </c>
      <c r="J68" s="8">
        <v>0</v>
      </c>
      <c r="K68" s="8">
        <v>0</v>
      </c>
      <c r="L68" s="8"/>
      <c r="M68" s="8">
        <v>-0.28000000000000003</v>
      </c>
    </row>
    <row r="69" spans="1:13" x14ac:dyDescent="0.2">
      <c r="A69" s="15" t="s">
        <v>18</v>
      </c>
      <c r="B69" s="8">
        <v>0.12</v>
      </c>
      <c r="C69" s="8">
        <v>8.5000000000000006E-2</v>
      </c>
      <c r="D69" s="8">
        <v>0</v>
      </c>
      <c r="E69" s="8">
        <v>0</v>
      </c>
      <c r="F69" s="8">
        <v>0.05</v>
      </c>
      <c r="G69" s="8">
        <v>0</v>
      </c>
      <c r="H69" s="8">
        <v>0</v>
      </c>
      <c r="I69" s="8">
        <v>0</v>
      </c>
      <c r="J69" s="8">
        <v>0</v>
      </c>
      <c r="K69" s="8">
        <v>0</v>
      </c>
      <c r="L69" s="8"/>
      <c r="M69" s="8">
        <v>0.255</v>
      </c>
    </row>
    <row r="70" spans="1:13" x14ac:dyDescent="0.2">
      <c r="A70" s="14" t="s">
        <v>0</v>
      </c>
      <c r="B70" s="8">
        <v>0.24</v>
      </c>
      <c r="C70" s="8">
        <v>0.17</v>
      </c>
      <c r="D70" s="8">
        <v>0</v>
      </c>
      <c r="E70" s="8">
        <v>0.128</v>
      </c>
      <c r="F70" s="8">
        <v>0.1</v>
      </c>
      <c r="G70" s="8">
        <v>0</v>
      </c>
      <c r="H70" s="8">
        <v>0.11</v>
      </c>
      <c r="I70" s="8">
        <v>0.3</v>
      </c>
      <c r="J70" s="8">
        <v>0.2</v>
      </c>
      <c r="K70" s="8">
        <v>0.1</v>
      </c>
      <c r="L70" s="8"/>
      <c r="M70" s="8">
        <v>1.3479999999999999</v>
      </c>
    </row>
    <row r="71" spans="1:13" x14ac:dyDescent="0.2">
      <c r="A71" s="15" t="s">
        <v>17</v>
      </c>
      <c r="B71" s="8">
        <v>0.12</v>
      </c>
      <c r="C71" s="8">
        <v>8.5000000000000006E-2</v>
      </c>
      <c r="D71" s="8">
        <v>0.05</v>
      </c>
      <c r="E71" s="8">
        <v>6.4000000000000001E-2</v>
      </c>
      <c r="F71" s="8">
        <v>0.05</v>
      </c>
      <c r="G71" s="8">
        <v>0</v>
      </c>
      <c r="H71" s="8">
        <v>0</v>
      </c>
      <c r="I71" s="8">
        <v>0.15</v>
      </c>
      <c r="J71" s="8">
        <v>0.1</v>
      </c>
      <c r="K71" s="8">
        <v>0.1</v>
      </c>
      <c r="L71" s="8"/>
      <c r="M71" s="8">
        <v>0.71899999999999997</v>
      </c>
    </row>
    <row r="72" spans="1:13" x14ac:dyDescent="0.2">
      <c r="A72" s="15" t="s">
        <v>18</v>
      </c>
      <c r="B72" s="8">
        <v>0.12</v>
      </c>
      <c r="C72" s="8">
        <v>8.5000000000000006E-2</v>
      </c>
      <c r="D72" s="8">
        <v>-0.05</v>
      </c>
      <c r="E72" s="8">
        <v>6.4000000000000001E-2</v>
      </c>
      <c r="F72" s="8">
        <v>0.05</v>
      </c>
      <c r="G72" s="8">
        <v>0</v>
      </c>
      <c r="H72" s="8">
        <v>0.11</v>
      </c>
      <c r="I72" s="8">
        <v>0.15</v>
      </c>
      <c r="J72" s="8">
        <v>0.1</v>
      </c>
      <c r="K72" s="8">
        <v>0</v>
      </c>
      <c r="L72" s="8"/>
      <c r="M72" s="8">
        <v>0.629</v>
      </c>
    </row>
    <row r="73" spans="1:13" x14ac:dyDescent="0.2">
      <c r="A73" s="13" t="s">
        <v>54</v>
      </c>
      <c r="B73" s="8">
        <v>0.6</v>
      </c>
      <c r="C73" s="8">
        <v>0.1275</v>
      </c>
      <c r="D73" s="8">
        <v>-0.10000000000000002</v>
      </c>
      <c r="E73" s="8">
        <v>0.25600000000000001</v>
      </c>
      <c r="F73" s="8">
        <v>0.35</v>
      </c>
      <c r="G73" s="8">
        <v>0.42000000000000004</v>
      </c>
      <c r="H73" s="8">
        <v>0</v>
      </c>
      <c r="I73" s="8">
        <v>0.44999999999999996</v>
      </c>
      <c r="J73" s="8">
        <v>0.2</v>
      </c>
      <c r="K73" s="8">
        <v>0.30000000000000004</v>
      </c>
      <c r="L73" s="8"/>
      <c r="M73" s="8">
        <v>2.6034999999999999</v>
      </c>
    </row>
    <row r="74" spans="1:13" x14ac:dyDescent="0.2">
      <c r="A74" s="14" t="s">
        <v>1</v>
      </c>
      <c r="B74" s="8">
        <v>0.12</v>
      </c>
      <c r="C74" s="8">
        <v>0</v>
      </c>
      <c r="D74" s="8">
        <v>-0.1</v>
      </c>
      <c r="E74" s="8">
        <v>0</v>
      </c>
      <c r="F74" s="8">
        <v>0.1</v>
      </c>
      <c r="G74" s="8">
        <v>0</v>
      </c>
      <c r="H74" s="8">
        <v>-0.11</v>
      </c>
      <c r="I74" s="8">
        <v>0</v>
      </c>
      <c r="J74" s="8">
        <v>0</v>
      </c>
      <c r="K74" s="8">
        <v>-0.1</v>
      </c>
      <c r="L74" s="8"/>
      <c r="M74" s="8">
        <v>-8.9999999999999969E-2</v>
      </c>
    </row>
    <row r="75" spans="1:13" x14ac:dyDescent="0.2">
      <c r="A75" s="15" t="s">
        <v>17</v>
      </c>
      <c r="B75" s="8">
        <v>0</v>
      </c>
      <c r="C75" s="8">
        <v>-4.2500000000000003E-2</v>
      </c>
      <c r="D75" s="8">
        <v>-0.05</v>
      </c>
      <c r="E75" s="8">
        <v>-6.4000000000000001E-2</v>
      </c>
      <c r="F75" s="8">
        <v>0.05</v>
      </c>
      <c r="G75" s="8">
        <v>-0.14000000000000001</v>
      </c>
      <c r="H75" s="8">
        <v>-0.11</v>
      </c>
      <c r="I75" s="8">
        <v>0</v>
      </c>
      <c r="J75" s="8">
        <v>-0.1</v>
      </c>
      <c r="K75" s="8">
        <v>-0.1</v>
      </c>
      <c r="L75" s="8"/>
      <c r="M75" s="8">
        <v>-0.55649999999999999</v>
      </c>
    </row>
    <row r="76" spans="1:13" x14ac:dyDescent="0.2">
      <c r="A76" s="15" t="s">
        <v>18</v>
      </c>
      <c r="B76" s="8">
        <v>0.12</v>
      </c>
      <c r="C76" s="8">
        <v>4.2500000000000003E-2</v>
      </c>
      <c r="D76" s="8">
        <v>-0.05</v>
      </c>
      <c r="E76" s="8">
        <v>6.4000000000000001E-2</v>
      </c>
      <c r="F76" s="8">
        <v>0.05</v>
      </c>
      <c r="G76" s="8">
        <v>0.14000000000000001</v>
      </c>
      <c r="H76" s="8">
        <v>0</v>
      </c>
      <c r="I76" s="8">
        <v>0</v>
      </c>
      <c r="J76" s="8">
        <v>0.1</v>
      </c>
      <c r="K76" s="8">
        <v>0</v>
      </c>
      <c r="L76" s="8"/>
      <c r="M76" s="8">
        <v>0.46650000000000003</v>
      </c>
    </row>
    <row r="77" spans="1:13" x14ac:dyDescent="0.2">
      <c r="A77" s="14" t="s">
        <v>86</v>
      </c>
      <c r="B77" s="8">
        <v>0.12</v>
      </c>
      <c r="C77" s="8">
        <v>4.2500000000000003E-2</v>
      </c>
      <c r="D77" s="8">
        <v>-0.05</v>
      </c>
      <c r="E77" s="8">
        <v>6.4000000000000001E-2</v>
      </c>
      <c r="F77" s="8">
        <v>0.1</v>
      </c>
      <c r="G77" s="8">
        <v>0.14000000000000001</v>
      </c>
      <c r="H77" s="8">
        <v>0</v>
      </c>
      <c r="I77" s="8">
        <v>0.15</v>
      </c>
      <c r="J77" s="8">
        <v>0</v>
      </c>
      <c r="K77" s="8">
        <v>0.1</v>
      </c>
      <c r="L77" s="8"/>
      <c r="M77" s="8">
        <v>0.66650000000000009</v>
      </c>
    </row>
    <row r="78" spans="1:13" x14ac:dyDescent="0.2">
      <c r="A78" s="15" t="s">
        <v>17</v>
      </c>
      <c r="B78" s="8">
        <v>0</v>
      </c>
      <c r="C78" s="8">
        <v>-4.2500000000000003E-2</v>
      </c>
      <c r="D78" s="8">
        <v>-0.05</v>
      </c>
      <c r="E78" s="8">
        <v>0</v>
      </c>
      <c r="F78" s="8">
        <v>0.05</v>
      </c>
      <c r="G78" s="8">
        <v>0</v>
      </c>
      <c r="H78" s="8">
        <v>-0.11</v>
      </c>
      <c r="I78" s="8">
        <v>0</v>
      </c>
      <c r="J78" s="8">
        <v>-0.1</v>
      </c>
      <c r="K78" s="8">
        <v>0</v>
      </c>
      <c r="L78" s="8"/>
      <c r="M78" s="8">
        <v>-0.2525</v>
      </c>
    </row>
    <row r="79" spans="1:13" x14ac:dyDescent="0.2">
      <c r="A79" s="15" t="s">
        <v>18</v>
      </c>
      <c r="B79" s="8">
        <v>0.12</v>
      </c>
      <c r="C79" s="8">
        <v>8.5000000000000006E-2</v>
      </c>
      <c r="D79" s="8">
        <v>0</v>
      </c>
      <c r="E79" s="8">
        <v>6.4000000000000001E-2</v>
      </c>
      <c r="F79" s="8">
        <v>0.05</v>
      </c>
      <c r="G79" s="8">
        <v>0.14000000000000001</v>
      </c>
      <c r="H79" s="8">
        <v>0.11</v>
      </c>
      <c r="I79" s="8">
        <v>0.15</v>
      </c>
      <c r="J79" s="8">
        <v>0.1</v>
      </c>
      <c r="K79" s="8">
        <v>0.1</v>
      </c>
      <c r="L79" s="8"/>
      <c r="M79" s="8">
        <v>0.91900000000000004</v>
      </c>
    </row>
    <row r="80" spans="1:13" x14ac:dyDescent="0.2">
      <c r="A80" s="14" t="s">
        <v>0</v>
      </c>
      <c r="B80" s="8">
        <v>0.12</v>
      </c>
      <c r="C80" s="8">
        <v>8.5000000000000006E-2</v>
      </c>
      <c r="D80" s="8">
        <v>0</v>
      </c>
      <c r="E80" s="8">
        <v>6.4000000000000001E-2</v>
      </c>
      <c r="F80" s="8">
        <v>0.05</v>
      </c>
      <c r="G80" s="8">
        <v>0</v>
      </c>
      <c r="H80" s="8">
        <v>0</v>
      </c>
      <c r="I80" s="8">
        <v>0.15</v>
      </c>
      <c r="J80" s="8">
        <v>0.1</v>
      </c>
      <c r="K80" s="8">
        <v>0.2</v>
      </c>
      <c r="L80" s="8"/>
      <c r="M80" s="8">
        <v>0.76900000000000002</v>
      </c>
    </row>
    <row r="81" spans="1:13" x14ac:dyDescent="0.2">
      <c r="A81" s="15" t="s">
        <v>17</v>
      </c>
      <c r="B81" s="8">
        <v>0</v>
      </c>
      <c r="C81" s="8">
        <v>0</v>
      </c>
      <c r="D81" s="8">
        <v>-0.05</v>
      </c>
      <c r="E81" s="8">
        <v>0</v>
      </c>
      <c r="F81" s="8">
        <v>0.05</v>
      </c>
      <c r="G81" s="8">
        <v>-0.14000000000000001</v>
      </c>
      <c r="H81" s="8">
        <v>-0.11</v>
      </c>
      <c r="I81" s="8">
        <v>0</v>
      </c>
      <c r="J81" s="8">
        <v>0</v>
      </c>
      <c r="K81" s="8">
        <v>0.1</v>
      </c>
      <c r="L81" s="8"/>
      <c r="M81" s="8">
        <v>-0.15</v>
      </c>
    </row>
    <row r="82" spans="1:13" x14ac:dyDescent="0.2">
      <c r="A82" s="15" t="s">
        <v>18</v>
      </c>
      <c r="B82" s="8">
        <v>0.12</v>
      </c>
      <c r="C82" s="8">
        <v>8.5000000000000006E-2</v>
      </c>
      <c r="D82" s="8">
        <v>0.05</v>
      </c>
      <c r="E82" s="8">
        <v>6.4000000000000001E-2</v>
      </c>
      <c r="F82" s="8">
        <v>0</v>
      </c>
      <c r="G82" s="8">
        <v>0.14000000000000001</v>
      </c>
      <c r="H82" s="8">
        <v>0.11</v>
      </c>
      <c r="I82" s="8">
        <v>0.15</v>
      </c>
      <c r="J82" s="8">
        <v>0.1</v>
      </c>
      <c r="K82" s="8">
        <v>0.1</v>
      </c>
      <c r="L82" s="8"/>
      <c r="M82" s="8">
        <v>0.91900000000000004</v>
      </c>
    </row>
    <row r="83" spans="1:13" x14ac:dyDescent="0.2">
      <c r="A83" s="14" t="s">
        <v>187</v>
      </c>
      <c r="B83" s="8">
        <v>0.24</v>
      </c>
      <c r="C83" s="8">
        <v>0</v>
      </c>
      <c r="D83" s="8">
        <v>0.05</v>
      </c>
      <c r="E83" s="8">
        <v>0.128</v>
      </c>
      <c r="F83" s="8">
        <v>0.1</v>
      </c>
      <c r="G83" s="8">
        <v>0.28000000000000003</v>
      </c>
      <c r="H83" s="8">
        <v>0.11</v>
      </c>
      <c r="I83" s="8">
        <v>0.15</v>
      </c>
      <c r="J83" s="8">
        <v>0.1</v>
      </c>
      <c r="K83" s="8">
        <v>0.1</v>
      </c>
      <c r="L83" s="8"/>
      <c r="M83" s="8">
        <v>1.258</v>
      </c>
    </row>
    <row r="84" spans="1:13" x14ac:dyDescent="0.2">
      <c r="A84" s="15" t="s">
        <v>17</v>
      </c>
      <c r="B84" s="8">
        <v>0.12</v>
      </c>
      <c r="C84" s="8">
        <v>0</v>
      </c>
      <c r="D84" s="8">
        <v>0.05</v>
      </c>
      <c r="E84" s="8">
        <v>6.4000000000000001E-2</v>
      </c>
      <c r="F84" s="8">
        <v>0.05</v>
      </c>
      <c r="G84" s="8">
        <v>0.14000000000000001</v>
      </c>
      <c r="H84" s="8">
        <v>0</v>
      </c>
      <c r="I84" s="8">
        <v>0</v>
      </c>
      <c r="J84" s="8">
        <v>0</v>
      </c>
      <c r="K84" s="8">
        <v>0</v>
      </c>
      <c r="L84" s="8"/>
      <c r="M84" s="8">
        <v>0.42399999999999999</v>
      </c>
    </row>
    <row r="85" spans="1:13" x14ac:dyDescent="0.2">
      <c r="A85" s="15" t="s">
        <v>18</v>
      </c>
      <c r="B85" s="8">
        <v>0.12</v>
      </c>
      <c r="C85" s="8">
        <v>0</v>
      </c>
      <c r="D85" s="8">
        <v>0</v>
      </c>
      <c r="E85" s="8">
        <v>6.4000000000000001E-2</v>
      </c>
      <c r="F85" s="8">
        <v>0.05</v>
      </c>
      <c r="G85" s="8">
        <v>0.14000000000000001</v>
      </c>
      <c r="H85" s="8">
        <v>0.11</v>
      </c>
      <c r="I85" s="8">
        <v>0.15</v>
      </c>
      <c r="J85" s="8">
        <v>0.1</v>
      </c>
      <c r="K85" s="8">
        <v>0.1</v>
      </c>
      <c r="L85" s="8"/>
      <c r="M85" s="8">
        <v>0.83399999999999996</v>
      </c>
    </row>
    <row r="86" spans="1:13" x14ac:dyDescent="0.2">
      <c r="A86" s="13" t="s">
        <v>55</v>
      </c>
      <c r="B86" s="8">
        <v>0.72</v>
      </c>
      <c r="C86" s="8">
        <v>0.42500000000000004</v>
      </c>
      <c r="D86" s="8">
        <v>0.2</v>
      </c>
      <c r="E86" s="8">
        <v>0.38400000000000001</v>
      </c>
      <c r="F86" s="8">
        <v>0.3</v>
      </c>
      <c r="G86" s="8">
        <v>0.84000000000000008</v>
      </c>
      <c r="H86" s="8">
        <v>0.55000000000000004</v>
      </c>
      <c r="I86" s="8">
        <v>0.6</v>
      </c>
      <c r="J86" s="8">
        <v>0.5</v>
      </c>
      <c r="K86" s="8">
        <v>0.5</v>
      </c>
      <c r="L86" s="8"/>
      <c r="M86" s="8">
        <v>5.0190000000000001</v>
      </c>
    </row>
    <row r="87" spans="1:13" x14ac:dyDescent="0.2">
      <c r="A87" s="14" t="s">
        <v>1</v>
      </c>
      <c r="B87" s="8">
        <v>0.24</v>
      </c>
      <c r="C87" s="8">
        <v>0.17</v>
      </c>
      <c r="D87" s="8">
        <v>0.1</v>
      </c>
      <c r="E87" s="8">
        <v>0.128</v>
      </c>
      <c r="F87" s="8">
        <v>0.1</v>
      </c>
      <c r="G87" s="8">
        <v>0.28000000000000003</v>
      </c>
      <c r="H87" s="8">
        <v>0.22</v>
      </c>
      <c r="I87" s="8">
        <v>0.3</v>
      </c>
      <c r="J87" s="8">
        <v>0.2</v>
      </c>
      <c r="K87" s="8">
        <v>0.2</v>
      </c>
      <c r="L87" s="8"/>
      <c r="M87" s="8">
        <v>1.9379999999999999</v>
      </c>
    </row>
    <row r="88" spans="1:13" x14ac:dyDescent="0.2">
      <c r="A88" s="15" t="s">
        <v>17</v>
      </c>
      <c r="B88" s="8">
        <v>0.12</v>
      </c>
      <c r="C88" s="8">
        <v>8.5000000000000006E-2</v>
      </c>
      <c r="D88" s="8">
        <v>0.05</v>
      </c>
      <c r="E88" s="8">
        <v>6.4000000000000001E-2</v>
      </c>
      <c r="F88" s="8">
        <v>0.05</v>
      </c>
      <c r="G88" s="8">
        <v>0.14000000000000001</v>
      </c>
      <c r="H88" s="8">
        <v>0.11</v>
      </c>
      <c r="I88" s="8">
        <v>0.15</v>
      </c>
      <c r="J88" s="8">
        <v>0.1</v>
      </c>
      <c r="K88" s="8">
        <v>0.1</v>
      </c>
      <c r="L88" s="8"/>
      <c r="M88" s="8">
        <v>0.96899999999999997</v>
      </c>
    </row>
    <row r="89" spans="1:13" x14ac:dyDescent="0.2">
      <c r="A89" s="15" t="s">
        <v>18</v>
      </c>
      <c r="B89" s="8">
        <v>0.12</v>
      </c>
      <c r="C89" s="8">
        <v>8.5000000000000006E-2</v>
      </c>
      <c r="D89" s="8">
        <v>0.05</v>
      </c>
      <c r="E89" s="8">
        <v>6.4000000000000001E-2</v>
      </c>
      <c r="F89" s="8">
        <v>0.05</v>
      </c>
      <c r="G89" s="8">
        <v>0.14000000000000001</v>
      </c>
      <c r="H89" s="8">
        <v>0.11</v>
      </c>
      <c r="I89" s="8">
        <v>0.15</v>
      </c>
      <c r="J89" s="8">
        <v>0.1</v>
      </c>
      <c r="K89" s="8">
        <v>0.1</v>
      </c>
      <c r="L89" s="8"/>
      <c r="M89" s="8">
        <v>0.96899999999999997</v>
      </c>
    </row>
    <row r="90" spans="1:13" x14ac:dyDescent="0.2">
      <c r="A90" s="14" t="s">
        <v>86</v>
      </c>
      <c r="B90" s="8">
        <v>0.24</v>
      </c>
      <c r="C90" s="8">
        <v>0.1275</v>
      </c>
      <c r="D90" s="8">
        <v>0.05</v>
      </c>
      <c r="E90" s="8">
        <v>0.128</v>
      </c>
      <c r="F90" s="8">
        <v>0.1</v>
      </c>
      <c r="G90" s="8">
        <v>0.28000000000000003</v>
      </c>
      <c r="H90" s="8">
        <v>0.11</v>
      </c>
      <c r="I90" s="8">
        <v>0.15</v>
      </c>
      <c r="J90" s="8">
        <v>0.1</v>
      </c>
      <c r="K90" s="8">
        <v>0.2</v>
      </c>
      <c r="L90" s="8"/>
      <c r="M90" s="8">
        <v>1.4855</v>
      </c>
    </row>
    <row r="91" spans="1:13" x14ac:dyDescent="0.2">
      <c r="A91" s="15" t="s">
        <v>17</v>
      </c>
      <c r="B91" s="8">
        <v>0.12</v>
      </c>
      <c r="C91" s="8">
        <v>4.2500000000000003E-2</v>
      </c>
      <c r="D91" s="8">
        <v>0</v>
      </c>
      <c r="E91" s="8">
        <v>6.4000000000000001E-2</v>
      </c>
      <c r="F91" s="8">
        <v>0.05</v>
      </c>
      <c r="G91" s="8">
        <v>0.14000000000000001</v>
      </c>
      <c r="H91" s="8">
        <v>0</v>
      </c>
      <c r="I91" s="8">
        <v>0</v>
      </c>
      <c r="J91" s="8">
        <v>0</v>
      </c>
      <c r="K91" s="8">
        <v>0.1</v>
      </c>
      <c r="L91" s="8"/>
      <c r="M91" s="8">
        <v>0.51650000000000007</v>
      </c>
    </row>
    <row r="92" spans="1:13" x14ac:dyDescent="0.2">
      <c r="A92" s="15" t="s">
        <v>18</v>
      </c>
      <c r="B92" s="8">
        <v>0.12</v>
      </c>
      <c r="C92" s="8">
        <v>8.5000000000000006E-2</v>
      </c>
      <c r="D92" s="8">
        <v>0.05</v>
      </c>
      <c r="E92" s="8">
        <v>6.4000000000000001E-2</v>
      </c>
      <c r="F92" s="8">
        <v>0.05</v>
      </c>
      <c r="G92" s="8">
        <v>0.14000000000000001</v>
      </c>
      <c r="H92" s="8">
        <v>0.11</v>
      </c>
      <c r="I92" s="8">
        <v>0.15</v>
      </c>
      <c r="J92" s="8">
        <v>0.1</v>
      </c>
      <c r="K92" s="8">
        <v>0.1</v>
      </c>
      <c r="L92" s="8"/>
      <c r="M92" s="8">
        <v>0.96899999999999997</v>
      </c>
    </row>
    <row r="93" spans="1:13" x14ac:dyDescent="0.2">
      <c r="A93" s="14" t="s">
        <v>0</v>
      </c>
      <c r="B93" s="8">
        <v>0.24</v>
      </c>
      <c r="C93" s="8">
        <v>0.1275</v>
      </c>
      <c r="D93" s="8">
        <v>0.05</v>
      </c>
      <c r="E93" s="8">
        <v>0.128</v>
      </c>
      <c r="F93" s="8">
        <v>0.1</v>
      </c>
      <c r="G93" s="8">
        <v>0.28000000000000003</v>
      </c>
      <c r="H93" s="8">
        <v>0.22</v>
      </c>
      <c r="I93" s="8">
        <v>0.15</v>
      </c>
      <c r="J93" s="8">
        <v>0.2</v>
      </c>
      <c r="K93" s="8">
        <v>0.1</v>
      </c>
      <c r="L93" s="8"/>
      <c r="M93" s="8">
        <v>1.5954999999999999</v>
      </c>
    </row>
    <row r="94" spans="1:13" x14ac:dyDescent="0.2">
      <c r="A94" s="15" t="s">
        <v>17</v>
      </c>
      <c r="B94" s="8">
        <v>0.12</v>
      </c>
      <c r="C94" s="8">
        <v>4.2500000000000003E-2</v>
      </c>
      <c r="D94" s="8">
        <v>0.05</v>
      </c>
      <c r="E94" s="8">
        <v>6.4000000000000001E-2</v>
      </c>
      <c r="F94" s="8">
        <v>0.05</v>
      </c>
      <c r="G94" s="8">
        <v>0.14000000000000001</v>
      </c>
      <c r="H94" s="8">
        <v>0.11</v>
      </c>
      <c r="I94" s="8">
        <v>0.15</v>
      </c>
      <c r="J94" s="8">
        <v>0.1</v>
      </c>
      <c r="K94" s="8">
        <v>0</v>
      </c>
      <c r="L94" s="8"/>
      <c r="M94" s="8">
        <v>0.82650000000000001</v>
      </c>
    </row>
    <row r="95" spans="1:13" x14ac:dyDescent="0.2">
      <c r="A95" s="15" t="s">
        <v>18</v>
      </c>
      <c r="B95" s="8">
        <v>0.12</v>
      </c>
      <c r="C95" s="8">
        <v>8.5000000000000006E-2</v>
      </c>
      <c r="D95" s="8">
        <v>0</v>
      </c>
      <c r="E95" s="8">
        <v>6.4000000000000001E-2</v>
      </c>
      <c r="F95" s="8">
        <v>0.05</v>
      </c>
      <c r="G95" s="8">
        <v>0.14000000000000001</v>
      </c>
      <c r="H95" s="8">
        <v>0.11</v>
      </c>
      <c r="I95" s="8">
        <v>0</v>
      </c>
      <c r="J95" s="8">
        <v>0.1</v>
      </c>
      <c r="K95" s="8">
        <v>0.1</v>
      </c>
      <c r="L95" s="8"/>
      <c r="M95" s="8">
        <v>0.76900000000000002</v>
      </c>
    </row>
    <row r="96" spans="1:13" x14ac:dyDescent="0.2">
      <c r="A96" s="13" t="s">
        <v>57</v>
      </c>
      <c r="B96" s="8">
        <v>0</v>
      </c>
      <c r="C96" s="8">
        <v>-4.2500000000000003E-2</v>
      </c>
      <c r="D96" s="8">
        <v>-0.2</v>
      </c>
      <c r="E96" s="8">
        <v>-6.4000000000000001E-2</v>
      </c>
      <c r="F96" s="8">
        <v>-0.1</v>
      </c>
      <c r="G96" s="8">
        <v>-0.56000000000000005</v>
      </c>
      <c r="H96" s="8">
        <v>-0.33</v>
      </c>
      <c r="I96" s="8">
        <v>-0.44999999999999996</v>
      </c>
      <c r="J96" s="8">
        <v>-0.30000000000000004</v>
      </c>
      <c r="K96" s="8">
        <v>-0.2</v>
      </c>
      <c r="L96" s="8"/>
      <c r="M96" s="8">
        <v>-2.2465000000000002</v>
      </c>
    </row>
    <row r="97" spans="1:13" x14ac:dyDescent="0.2">
      <c r="A97" s="14" t="s">
        <v>1</v>
      </c>
      <c r="B97" s="8">
        <v>0.12</v>
      </c>
      <c r="C97" s="8">
        <v>0</v>
      </c>
      <c r="D97" s="8">
        <v>-0.1</v>
      </c>
      <c r="E97" s="8">
        <v>0</v>
      </c>
      <c r="F97" s="8">
        <v>-0.05</v>
      </c>
      <c r="G97" s="8">
        <v>-0.28000000000000003</v>
      </c>
      <c r="H97" s="8">
        <v>-0.11</v>
      </c>
      <c r="I97" s="8">
        <v>-0.3</v>
      </c>
      <c r="J97" s="8">
        <v>-0.2</v>
      </c>
      <c r="K97" s="8">
        <v>-0.1</v>
      </c>
      <c r="L97" s="8"/>
      <c r="M97" s="8">
        <v>-1.02</v>
      </c>
    </row>
    <row r="98" spans="1:13" x14ac:dyDescent="0.2">
      <c r="A98" s="15" t="s">
        <v>17</v>
      </c>
      <c r="B98" s="8">
        <v>0</v>
      </c>
      <c r="C98" s="8">
        <v>0</v>
      </c>
      <c r="D98" s="8">
        <v>-0.05</v>
      </c>
      <c r="E98" s="8">
        <v>0</v>
      </c>
      <c r="F98" s="8">
        <v>0</v>
      </c>
      <c r="G98" s="8">
        <v>-0.14000000000000001</v>
      </c>
      <c r="H98" s="8">
        <v>0</v>
      </c>
      <c r="I98" s="8">
        <v>-0.15</v>
      </c>
      <c r="J98" s="8">
        <v>-0.1</v>
      </c>
      <c r="K98" s="8">
        <v>-0.1</v>
      </c>
      <c r="L98" s="8"/>
      <c r="M98" s="8">
        <v>-0.53999999999999992</v>
      </c>
    </row>
    <row r="99" spans="1:13" x14ac:dyDescent="0.2">
      <c r="A99" s="15" t="s">
        <v>18</v>
      </c>
      <c r="B99" s="8">
        <v>0.12</v>
      </c>
      <c r="C99" s="8">
        <v>0</v>
      </c>
      <c r="D99" s="8">
        <v>-0.05</v>
      </c>
      <c r="E99" s="8">
        <v>0</v>
      </c>
      <c r="F99" s="8">
        <v>-0.05</v>
      </c>
      <c r="G99" s="8">
        <v>-0.14000000000000001</v>
      </c>
      <c r="H99" s="8">
        <v>-0.11</v>
      </c>
      <c r="I99" s="8">
        <v>-0.15</v>
      </c>
      <c r="J99" s="8">
        <v>-0.1</v>
      </c>
      <c r="K99" s="8">
        <v>0</v>
      </c>
      <c r="L99" s="8"/>
      <c r="M99" s="8">
        <v>-0.48</v>
      </c>
    </row>
    <row r="100" spans="1:13" x14ac:dyDescent="0.2">
      <c r="A100" s="14" t="s">
        <v>0</v>
      </c>
      <c r="B100" s="8">
        <v>-0.12</v>
      </c>
      <c r="C100" s="8">
        <v>-4.2500000000000003E-2</v>
      </c>
      <c r="D100" s="8">
        <v>-0.1</v>
      </c>
      <c r="E100" s="8">
        <v>-6.4000000000000001E-2</v>
      </c>
      <c r="F100" s="8">
        <v>-0.05</v>
      </c>
      <c r="G100" s="8">
        <v>-0.28000000000000003</v>
      </c>
      <c r="H100" s="8">
        <v>-0.22</v>
      </c>
      <c r="I100" s="8">
        <v>-0.15</v>
      </c>
      <c r="J100" s="8">
        <v>-0.1</v>
      </c>
      <c r="K100" s="8">
        <v>-0.1</v>
      </c>
      <c r="L100" s="8"/>
      <c r="M100" s="8">
        <v>-1.2265000000000001</v>
      </c>
    </row>
    <row r="101" spans="1:13" x14ac:dyDescent="0.2">
      <c r="A101" s="15" t="s">
        <v>17</v>
      </c>
      <c r="B101" s="8">
        <v>0</v>
      </c>
      <c r="C101" s="8">
        <v>-4.2500000000000003E-2</v>
      </c>
      <c r="D101" s="8">
        <v>-0.05</v>
      </c>
      <c r="E101" s="8">
        <v>0</v>
      </c>
      <c r="F101" s="8">
        <v>0</v>
      </c>
      <c r="G101" s="8">
        <v>-0.14000000000000001</v>
      </c>
      <c r="H101" s="8">
        <v>-0.11</v>
      </c>
      <c r="I101" s="8">
        <v>0</v>
      </c>
      <c r="J101" s="8">
        <v>0</v>
      </c>
      <c r="K101" s="8">
        <v>0</v>
      </c>
      <c r="L101" s="8"/>
      <c r="M101" s="8">
        <v>-0.34250000000000003</v>
      </c>
    </row>
    <row r="102" spans="1:13" x14ac:dyDescent="0.2">
      <c r="A102" s="15" t="s">
        <v>18</v>
      </c>
      <c r="B102" s="8">
        <v>-0.12</v>
      </c>
      <c r="C102" s="8">
        <v>0</v>
      </c>
      <c r="D102" s="8">
        <v>-0.05</v>
      </c>
      <c r="E102" s="8">
        <v>-6.4000000000000001E-2</v>
      </c>
      <c r="F102" s="8">
        <v>-0.05</v>
      </c>
      <c r="G102" s="8">
        <v>-0.14000000000000001</v>
      </c>
      <c r="H102" s="8">
        <v>-0.11</v>
      </c>
      <c r="I102" s="8">
        <v>-0.15</v>
      </c>
      <c r="J102" s="8">
        <v>-0.1</v>
      </c>
      <c r="K102" s="8">
        <v>-0.1</v>
      </c>
      <c r="L102" s="8"/>
      <c r="M102" s="8">
        <v>-0.88400000000000001</v>
      </c>
    </row>
    <row r="103" spans="1:13" x14ac:dyDescent="0.2">
      <c r="A103" s="13" t="s">
        <v>59</v>
      </c>
      <c r="B103" s="8">
        <v>0.72</v>
      </c>
      <c r="C103" s="8">
        <v>0.38250000000000001</v>
      </c>
      <c r="D103" s="8">
        <v>0.25</v>
      </c>
      <c r="E103" s="8">
        <v>0.44800000000000001</v>
      </c>
      <c r="F103" s="8">
        <v>0.35</v>
      </c>
      <c r="G103" s="8">
        <v>0.84000000000000008</v>
      </c>
      <c r="H103" s="8">
        <v>0.66</v>
      </c>
      <c r="I103" s="8">
        <v>0.9</v>
      </c>
      <c r="J103" s="8">
        <v>0.7</v>
      </c>
      <c r="K103" s="8">
        <v>0.6</v>
      </c>
      <c r="L103" s="8"/>
      <c r="M103" s="8">
        <v>5.8505000000000011</v>
      </c>
    </row>
    <row r="104" spans="1:13" x14ac:dyDescent="0.2">
      <c r="A104" s="14" t="s">
        <v>1</v>
      </c>
      <c r="B104" s="8">
        <v>0.24</v>
      </c>
      <c r="C104" s="8">
        <v>0.17</v>
      </c>
      <c r="D104" s="8">
        <v>0.1</v>
      </c>
      <c r="E104" s="8">
        <v>0.128</v>
      </c>
      <c r="F104" s="8">
        <v>0.1</v>
      </c>
      <c r="G104" s="8">
        <v>0.28000000000000003</v>
      </c>
      <c r="H104" s="8">
        <v>0.22</v>
      </c>
      <c r="I104" s="8">
        <v>0.3</v>
      </c>
      <c r="J104" s="8">
        <v>0.2</v>
      </c>
      <c r="K104" s="8">
        <v>0.2</v>
      </c>
      <c r="L104" s="8"/>
      <c r="M104" s="8">
        <v>1.9379999999999999</v>
      </c>
    </row>
    <row r="105" spans="1:13" x14ac:dyDescent="0.2">
      <c r="A105" s="15" t="s">
        <v>17</v>
      </c>
      <c r="B105" s="8">
        <v>0.12</v>
      </c>
      <c r="C105" s="8">
        <v>8.5000000000000006E-2</v>
      </c>
      <c r="D105" s="8">
        <v>0.05</v>
      </c>
      <c r="E105" s="8">
        <v>6.4000000000000001E-2</v>
      </c>
      <c r="F105" s="8">
        <v>0.05</v>
      </c>
      <c r="G105" s="8">
        <v>0.14000000000000001</v>
      </c>
      <c r="H105" s="8">
        <v>0.11</v>
      </c>
      <c r="I105" s="8">
        <v>0.15</v>
      </c>
      <c r="J105" s="8">
        <v>0.1</v>
      </c>
      <c r="K105" s="8">
        <v>0.1</v>
      </c>
      <c r="L105" s="8"/>
      <c r="M105" s="8">
        <v>0.96899999999999997</v>
      </c>
    </row>
    <row r="106" spans="1:13" x14ac:dyDescent="0.2">
      <c r="A106" s="15" t="s">
        <v>18</v>
      </c>
      <c r="B106" s="8">
        <v>0.12</v>
      </c>
      <c r="C106" s="8">
        <v>8.5000000000000006E-2</v>
      </c>
      <c r="D106" s="8">
        <v>0.05</v>
      </c>
      <c r="E106" s="8">
        <v>6.4000000000000001E-2</v>
      </c>
      <c r="F106" s="8">
        <v>0.05</v>
      </c>
      <c r="G106" s="8">
        <v>0.14000000000000001</v>
      </c>
      <c r="H106" s="8">
        <v>0.11</v>
      </c>
      <c r="I106" s="8">
        <v>0.15</v>
      </c>
      <c r="J106" s="8">
        <v>0.1</v>
      </c>
      <c r="K106" s="8">
        <v>0.1</v>
      </c>
      <c r="L106" s="8"/>
      <c r="M106" s="8">
        <v>0.96899999999999997</v>
      </c>
    </row>
    <row r="107" spans="1:13" x14ac:dyDescent="0.2">
      <c r="A107" s="14" t="s">
        <v>86</v>
      </c>
      <c r="B107" s="8">
        <v>0.24</v>
      </c>
      <c r="C107" s="8">
        <v>8.5000000000000006E-2</v>
      </c>
      <c r="D107" s="8">
        <v>0.05</v>
      </c>
      <c r="E107" s="8">
        <v>0.128</v>
      </c>
      <c r="F107" s="8">
        <v>0.1</v>
      </c>
      <c r="G107" s="8">
        <v>0.28000000000000003</v>
      </c>
      <c r="H107" s="8">
        <v>0.22</v>
      </c>
      <c r="I107" s="8">
        <v>0.3</v>
      </c>
      <c r="J107" s="8">
        <v>0.2</v>
      </c>
      <c r="K107" s="8">
        <v>0.2</v>
      </c>
      <c r="L107" s="8"/>
      <c r="M107" s="8">
        <v>1.8029999999999999</v>
      </c>
    </row>
    <row r="108" spans="1:13" x14ac:dyDescent="0.2">
      <c r="A108" s="15" t="s">
        <v>17</v>
      </c>
      <c r="B108" s="8">
        <v>0.12</v>
      </c>
      <c r="C108" s="8">
        <v>0</v>
      </c>
      <c r="D108" s="8">
        <v>0.05</v>
      </c>
      <c r="E108" s="8">
        <v>6.4000000000000001E-2</v>
      </c>
      <c r="F108" s="8">
        <v>0.05</v>
      </c>
      <c r="G108" s="8">
        <v>0.14000000000000001</v>
      </c>
      <c r="H108" s="8">
        <v>0.11</v>
      </c>
      <c r="I108" s="8">
        <v>0.15</v>
      </c>
      <c r="J108" s="8">
        <v>0.1</v>
      </c>
      <c r="K108" s="8">
        <v>0.1</v>
      </c>
      <c r="L108" s="8"/>
      <c r="M108" s="8">
        <v>0.88400000000000001</v>
      </c>
    </row>
    <row r="109" spans="1:13" x14ac:dyDescent="0.2">
      <c r="A109" s="15" t="s">
        <v>18</v>
      </c>
      <c r="B109" s="8">
        <v>0.12</v>
      </c>
      <c r="C109" s="8">
        <v>8.5000000000000006E-2</v>
      </c>
      <c r="D109" s="8">
        <v>0</v>
      </c>
      <c r="E109" s="8">
        <v>6.4000000000000001E-2</v>
      </c>
      <c r="F109" s="8">
        <v>0.05</v>
      </c>
      <c r="G109" s="8">
        <v>0.14000000000000001</v>
      </c>
      <c r="H109" s="8">
        <v>0.11</v>
      </c>
      <c r="I109" s="8">
        <v>0.15</v>
      </c>
      <c r="J109" s="8">
        <v>0.1</v>
      </c>
      <c r="K109" s="8">
        <v>0.1</v>
      </c>
      <c r="L109" s="8"/>
      <c r="M109" s="8">
        <v>0.91900000000000004</v>
      </c>
    </row>
    <row r="110" spans="1:13" x14ac:dyDescent="0.2">
      <c r="A110" s="14" t="s">
        <v>0</v>
      </c>
      <c r="B110" s="8">
        <v>0.12</v>
      </c>
      <c r="C110" s="8">
        <v>0.1275</v>
      </c>
      <c r="D110" s="8">
        <v>0.1</v>
      </c>
      <c r="E110" s="8">
        <v>6.4000000000000001E-2</v>
      </c>
      <c r="F110" s="8">
        <v>0.1</v>
      </c>
      <c r="G110" s="8">
        <v>0.28000000000000003</v>
      </c>
      <c r="H110" s="8">
        <v>0.22</v>
      </c>
      <c r="I110" s="8">
        <v>0.3</v>
      </c>
      <c r="J110" s="8">
        <v>0.2</v>
      </c>
      <c r="K110" s="8">
        <v>0.2</v>
      </c>
      <c r="L110" s="8"/>
      <c r="M110" s="8">
        <v>1.7115</v>
      </c>
    </row>
    <row r="111" spans="1:13" x14ac:dyDescent="0.2">
      <c r="A111" s="15" t="s">
        <v>17</v>
      </c>
      <c r="B111" s="8">
        <v>0</v>
      </c>
      <c r="C111" s="8">
        <v>4.2500000000000003E-2</v>
      </c>
      <c r="D111" s="8">
        <v>0.05</v>
      </c>
      <c r="E111" s="8">
        <v>0</v>
      </c>
      <c r="F111" s="8">
        <v>0.05</v>
      </c>
      <c r="G111" s="8">
        <v>0.14000000000000001</v>
      </c>
      <c r="H111" s="8">
        <v>0.11</v>
      </c>
      <c r="I111" s="8">
        <v>0.15</v>
      </c>
      <c r="J111" s="8">
        <v>0.1</v>
      </c>
      <c r="K111" s="8">
        <v>0.1</v>
      </c>
      <c r="L111" s="8"/>
      <c r="M111" s="8">
        <v>0.74249999999999994</v>
      </c>
    </row>
    <row r="112" spans="1:13" x14ac:dyDescent="0.2">
      <c r="A112" s="15" t="s">
        <v>18</v>
      </c>
      <c r="B112" s="8">
        <v>0.12</v>
      </c>
      <c r="C112" s="8">
        <v>8.5000000000000006E-2</v>
      </c>
      <c r="D112" s="8">
        <v>0.05</v>
      </c>
      <c r="E112" s="8">
        <v>6.4000000000000001E-2</v>
      </c>
      <c r="F112" s="8">
        <v>0.05</v>
      </c>
      <c r="G112" s="8">
        <v>0.14000000000000001</v>
      </c>
      <c r="H112" s="8">
        <v>0.11</v>
      </c>
      <c r="I112" s="8">
        <v>0.15</v>
      </c>
      <c r="J112" s="8">
        <v>0.1</v>
      </c>
      <c r="K112" s="8">
        <v>0.1</v>
      </c>
      <c r="L112" s="8"/>
      <c r="M112" s="8">
        <v>0.96899999999999997</v>
      </c>
    </row>
    <row r="113" spans="1:13" x14ac:dyDescent="0.2">
      <c r="A113" s="14" t="s">
        <v>187</v>
      </c>
      <c r="B113" s="8">
        <v>0.12</v>
      </c>
      <c r="C113" s="8">
        <v>0</v>
      </c>
      <c r="D113" s="8">
        <v>0</v>
      </c>
      <c r="E113" s="8">
        <v>0.128</v>
      </c>
      <c r="F113" s="8">
        <v>0.05</v>
      </c>
      <c r="G113" s="8">
        <v>0</v>
      </c>
      <c r="H113" s="8">
        <v>0</v>
      </c>
      <c r="I113" s="8">
        <v>0</v>
      </c>
      <c r="J113" s="8">
        <v>0.1</v>
      </c>
      <c r="K113" s="8">
        <v>0</v>
      </c>
      <c r="L113" s="8"/>
      <c r="M113" s="8">
        <v>0.39800000000000002</v>
      </c>
    </row>
    <row r="114" spans="1:13" x14ac:dyDescent="0.2">
      <c r="A114" s="15" t="s">
        <v>17</v>
      </c>
      <c r="B114" s="8">
        <v>0.12</v>
      </c>
      <c r="C114" s="8">
        <v>0</v>
      </c>
      <c r="D114" s="8">
        <v>0</v>
      </c>
      <c r="E114" s="8">
        <v>6.4000000000000001E-2</v>
      </c>
      <c r="F114" s="8">
        <v>0</v>
      </c>
      <c r="G114" s="8">
        <v>0</v>
      </c>
      <c r="H114" s="8">
        <v>0</v>
      </c>
      <c r="I114" s="8">
        <v>0</v>
      </c>
      <c r="J114" s="8">
        <v>0</v>
      </c>
      <c r="K114" s="8">
        <v>0</v>
      </c>
      <c r="L114" s="8"/>
      <c r="M114" s="8">
        <v>0.184</v>
      </c>
    </row>
    <row r="115" spans="1:13" x14ac:dyDescent="0.2">
      <c r="A115" s="15" t="s">
        <v>18</v>
      </c>
      <c r="B115" s="8">
        <v>0</v>
      </c>
      <c r="C115" s="8">
        <v>0</v>
      </c>
      <c r="D115" s="8">
        <v>0</v>
      </c>
      <c r="E115" s="8">
        <v>6.4000000000000001E-2</v>
      </c>
      <c r="F115" s="8">
        <v>0.05</v>
      </c>
      <c r="G115" s="8">
        <v>0</v>
      </c>
      <c r="H115" s="8">
        <v>0</v>
      </c>
      <c r="I115" s="8">
        <v>0</v>
      </c>
      <c r="J115" s="8">
        <v>0.1</v>
      </c>
      <c r="K115" s="8">
        <v>0</v>
      </c>
      <c r="L115" s="8"/>
      <c r="M115" s="8">
        <v>0.21400000000000002</v>
      </c>
    </row>
    <row r="116" spans="1:13" x14ac:dyDescent="0.2">
      <c r="A116" s="13" t="s">
        <v>61</v>
      </c>
      <c r="B116" s="8">
        <v>0</v>
      </c>
      <c r="C116" s="8">
        <v>-8.5000000000000006E-2</v>
      </c>
      <c r="D116" s="8">
        <v>-0.05</v>
      </c>
      <c r="E116" s="8">
        <v>0</v>
      </c>
      <c r="F116" s="8">
        <v>0</v>
      </c>
      <c r="G116" s="8">
        <v>0</v>
      </c>
      <c r="H116" s="8">
        <v>0.11</v>
      </c>
      <c r="I116" s="8">
        <v>0.15</v>
      </c>
      <c r="J116" s="8">
        <v>-0.1</v>
      </c>
      <c r="K116" s="8">
        <v>-0.2</v>
      </c>
      <c r="L116" s="8"/>
      <c r="M116" s="8">
        <v>-0.17499999999999996</v>
      </c>
    </row>
    <row r="117" spans="1:13" x14ac:dyDescent="0.2">
      <c r="A117" s="14" t="s">
        <v>1</v>
      </c>
      <c r="B117" s="8">
        <v>0</v>
      </c>
      <c r="C117" s="8">
        <v>-8.5000000000000006E-2</v>
      </c>
      <c r="D117" s="8">
        <v>-0.05</v>
      </c>
      <c r="E117" s="8">
        <v>0</v>
      </c>
      <c r="F117" s="8">
        <v>0</v>
      </c>
      <c r="G117" s="8">
        <v>0</v>
      </c>
      <c r="H117" s="8">
        <v>0.11</v>
      </c>
      <c r="I117" s="8">
        <v>0.15</v>
      </c>
      <c r="J117" s="8">
        <v>-0.1</v>
      </c>
      <c r="K117" s="8">
        <v>-0.2</v>
      </c>
      <c r="L117" s="8"/>
      <c r="M117" s="8">
        <v>-0.17499999999999996</v>
      </c>
    </row>
    <row r="118" spans="1:13" x14ac:dyDescent="0.2">
      <c r="A118" s="15" t="s">
        <v>17</v>
      </c>
      <c r="B118" s="8">
        <v>0</v>
      </c>
      <c r="C118" s="8">
        <v>-4.2500000000000003E-2</v>
      </c>
      <c r="D118" s="8">
        <v>0</v>
      </c>
      <c r="E118" s="8">
        <v>0</v>
      </c>
      <c r="F118" s="8">
        <v>0</v>
      </c>
      <c r="G118" s="8">
        <v>0.14000000000000001</v>
      </c>
      <c r="H118" s="8">
        <v>0.11</v>
      </c>
      <c r="I118" s="8">
        <v>0.15</v>
      </c>
      <c r="J118" s="8">
        <v>-0.1</v>
      </c>
      <c r="K118" s="8">
        <v>-0.1</v>
      </c>
      <c r="L118" s="8"/>
      <c r="M118" s="8">
        <v>0.15750000000000006</v>
      </c>
    </row>
    <row r="119" spans="1:13" x14ac:dyDescent="0.2">
      <c r="A119" s="15" t="s">
        <v>18</v>
      </c>
      <c r="B119" s="8">
        <v>0</v>
      </c>
      <c r="C119" s="8">
        <v>-4.2500000000000003E-2</v>
      </c>
      <c r="D119" s="8">
        <v>-0.05</v>
      </c>
      <c r="E119" s="8">
        <v>0</v>
      </c>
      <c r="F119" s="8">
        <v>0</v>
      </c>
      <c r="G119" s="8">
        <v>-0.14000000000000001</v>
      </c>
      <c r="H119" s="8">
        <v>0</v>
      </c>
      <c r="I119" s="8">
        <v>0</v>
      </c>
      <c r="J119" s="8">
        <v>0</v>
      </c>
      <c r="K119" s="8">
        <v>-0.1</v>
      </c>
      <c r="L119" s="8"/>
      <c r="M119" s="8">
        <v>-0.33250000000000002</v>
      </c>
    </row>
    <row r="120" spans="1:13" x14ac:dyDescent="0.2">
      <c r="A120" s="13" t="s">
        <v>144</v>
      </c>
      <c r="B120" s="8">
        <v>0.48</v>
      </c>
      <c r="C120" s="8">
        <v>8.5000000000000006E-2</v>
      </c>
      <c r="D120" s="8">
        <v>0.05</v>
      </c>
      <c r="E120" s="8">
        <v>0.25600000000000001</v>
      </c>
      <c r="F120" s="8">
        <v>0.15000000000000002</v>
      </c>
      <c r="G120" s="8">
        <v>0.42000000000000004</v>
      </c>
      <c r="H120" s="8">
        <v>0.33</v>
      </c>
      <c r="I120" s="8">
        <v>0.3</v>
      </c>
      <c r="J120" s="8">
        <v>0.30000000000000004</v>
      </c>
      <c r="K120" s="8">
        <v>0.2</v>
      </c>
      <c r="L120" s="8"/>
      <c r="M120" s="8">
        <v>2.5710000000000002</v>
      </c>
    </row>
    <row r="121" spans="1:13" x14ac:dyDescent="0.2">
      <c r="A121" s="14" t="s">
        <v>0</v>
      </c>
      <c r="B121" s="8">
        <v>0.24</v>
      </c>
      <c r="C121" s="8">
        <v>8.5000000000000006E-2</v>
      </c>
      <c r="D121" s="8">
        <v>0</v>
      </c>
      <c r="E121" s="8">
        <v>0.128</v>
      </c>
      <c r="F121" s="8">
        <v>0.1</v>
      </c>
      <c r="G121" s="8">
        <v>0.28000000000000003</v>
      </c>
      <c r="H121" s="8">
        <v>0.22</v>
      </c>
      <c r="I121" s="8">
        <v>0.15</v>
      </c>
      <c r="J121" s="8">
        <v>0.2</v>
      </c>
      <c r="K121" s="8">
        <v>0.1</v>
      </c>
      <c r="L121" s="8"/>
      <c r="M121" s="8">
        <v>1.5030000000000001</v>
      </c>
    </row>
    <row r="122" spans="1:13" x14ac:dyDescent="0.2">
      <c r="A122" s="15" t="s">
        <v>17</v>
      </c>
      <c r="B122" s="8">
        <v>0.12</v>
      </c>
      <c r="C122" s="8">
        <v>0</v>
      </c>
      <c r="D122" s="8">
        <v>0</v>
      </c>
      <c r="E122" s="8">
        <v>6.4000000000000001E-2</v>
      </c>
      <c r="F122" s="8">
        <v>0.05</v>
      </c>
      <c r="G122" s="8">
        <v>0.14000000000000001</v>
      </c>
      <c r="H122" s="8">
        <v>0.11</v>
      </c>
      <c r="I122" s="8">
        <v>0.15</v>
      </c>
      <c r="J122" s="8">
        <v>0.1</v>
      </c>
      <c r="K122" s="8">
        <v>0</v>
      </c>
      <c r="L122" s="8"/>
      <c r="M122" s="8">
        <v>0.73399999999999999</v>
      </c>
    </row>
    <row r="123" spans="1:13" x14ac:dyDescent="0.2">
      <c r="A123" s="15" t="s">
        <v>18</v>
      </c>
      <c r="B123" s="8">
        <v>0.12</v>
      </c>
      <c r="C123" s="8">
        <v>8.5000000000000006E-2</v>
      </c>
      <c r="D123" s="8">
        <v>0</v>
      </c>
      <c r="E123" s="8">
        <v>6.4000000000000001E-2</v>
      </c>
      <c r="F123" s="8">
        <v>0.05</v>
      </c>
      <c r="G123" s="8">
        <v>0.14000000000000001</v>
      </c>
      <c r="H123" s="8">
        <v>0.11</v>
      </c>
      <c r="I123" s="8">
        <v>0</v>
      </c>
      <c r="J123" s="8">
        <v>0.1</v>
      </c>
      <c r="K123" s="8">
        <v>0.1</v>
      </c>
      <c r="L123" s="8"/>
      <c r="M123" s="8">
        <v>0.76900000000000002</v>
      </c>
    </row>
    <row r="124" spans="1:13" x14ac:dyDescent="0.2">
      <c r="A124" s="14" t="s">
        <v>187</v>
      </c>
      <c r="B124" s="8">
        <v>0.24</v>
      </c>
      <c r="C124" s="8">
        <v>0</v>
      </c>
      <c r="D124" s="8">
        <v>0.05</v>
      </c>
      <c r="E124" s="8">
        <v>0.128</v>
      </c>
      <c r="F124" s="8">
        <v>0.05</v>
      </c>
      <c r="G124" s="8">
        <v>0.14000000000000001</v>
      </c>
      <c r="H124" s="8">
        <v>0.11</v>
      </c>
      <c r="I124" s="8">
        <v>0.15</v>
      </c>
      <c r="J124" s="8">
        <v>0.1</v>
      </c>
      <c r="K124" s="8">
        <v>0.1</v>
      </c>
      <c r="L124" s="8"/>
      <c r="M124" s="8">
        <v>1.0680000000000001</v>
      </c>
    </row>
    <row r="125" spans="1:13" x14ac:dyDescent="0.2">
      <c r="A125" s="15" t="s">
        <v>17</v>
      </c>
      <c r="B125" s="8">
        <v>0.12</v>
      </c>
      <c r="C125" s="8">
        <v>0</v>
      </c>
      <c r="D125" s="8">
        <v>0</v>
      </c>
      <c r="E125" s="8">
        <v>6.4000000000000001E-2</v>
      </c>
      <c r="F125" s="8">
        <v>0</v>
      </c>
      <c r="G125" s="8">
        <v>0</v>
      </c>
      <c r="H125" s="8">
        <v>0</v>
      </c>
      <c r="I125" s="8">
        <v>0</v>
      </c>
      <c r="J125" s="8">
        <v>0</v>
      </c>
      <c r="K125" s="8">
        <v>0</v>
      </c>
      <c r="L125" s="8"/>
      <c r="M125" s="8">
        <v>0.184</v>
      </c>
    </row>
    <row r="126" spans="1:13" x14ac:dyDescent="0.2">
      <c r="A126" s="15" t="s">
        <v>18</v>
      </c>
      <c r="B126" s="8">
        <v>0.12</v>
      </c>
      <c r="C126" s="8">
        <v>0</v>
      </c>
      <c r="D126" s="8">
        <v>0.05</v>
      </c>
      <c r="E126" s="8">
        <v>6.4000000000000001E-2</v>
      </c>
      <c r="F126" s="8">
        <v>0.05</v>
      </c>
      <c r="G126" s="8">
        <v>0.14000000000000001</v>
      </c>
      <c r="H126" s="8">
        <v>0.11</v>
      </c>
      <c r="I126" s="8">
        <v>0.15</v>
      </c>
      <c r="J126" s="8">
        <v>0.1</v>
      </c>
      <c r="K126" s="8">
        <v>0.1</v>
      </c>
      <c r="L126" s="8"/>
      <c r="M126" s="8">
        <v>0.88400000000000001</v>
      </c>
    </row>
    <row r="127" spans="1:13" x14ac:dyDescent="0.2">
      <c r="A127" s="13" t="s">
        <v>149</v>
      </c>
      <c r="B127" s="8">
        <v>0.6</v>
      </c>
      <c r="C127" s="8">
        <v>0.17</v>
      </c>
      <c r="D127" s="8">
        <v>0</v>
      </c>
      <c r="E127" s="8">
        <v>0.32</v>
      </c>
      <c r="F127" s="8">
        <v>0.25</v>
      </c>
      <c r="G127" s="8">
        <v>0.56000000000000005</v>
      </c>
      <c r="H127" s="8">
        <v>0.22</v>
      </c>
      <c r="I127" s="8">
        <v>0.3</v>
      </c>
      <c r="J127" s="8">
        <v>0.2</v>
      </c>
      <c r="K127" s="8">
        <v>0.2</v>
      </c>
      <c r="L127" s="8"/>
      <c r="M127" s="8">
        <v>2.8200000000000003</v>
      </c>
    </row>
    <row r="128" spans="1:13" x14ac:dyDescent="0.2">
      <c r="A128" s="14" t="s">
        <v>86</v>
      </c>
      <c r="B128" s="8">
        <v>0.24</v>
      </c>
      <c r="C128" s="8">
        <v>0.17</v>
      </c>
      <c r="D128" s="8">
        <v>-0.05</v>
      </c>
      <c r="E128" s="8">
        <v>0.128</v>
      </c>
      <c r="F128" s="8">
        <v>0.1</v>
      </c>
      <c r="G128" s="8">
        <v>0.28000000000000003</v>
      </c>
      <c r="H128" s="8">
        <v>0.22</v>
      </c>
      <c r="I128" s="8">
        <v>0.15</v>
      </c>
      <c r="J128" s="8">
        <v>0.1</v>
      </c>
      <c r="K128" s="8">
        <v>0.1</v>
      </c>
      <c r="L128" s="8"/>
      <c r="M128" s="8">
        <v>1.4380000000000002</v>
      </c>
    </row>
    <row r="129" spans="1:13" x14ac:dyDescent="0.2">
      <c r="A129" s="15" t="s">
        <v>17</v>
      </c>
      <c r="B129" s="8">
        <v>0.12</v>
      </c>
      <c r="C129" s="8">
        <v>8.5000000000000006E-2</v>
      </c>
      <c r="D129" s="8">
        <v>-0.05</v>
      </c>
      <c r="E129" s="8">
        <v>6.4000000000000001E-2</v>
      </c>
      <c r="F129" s="8">
        <v>0.05</v>
      </c>
      <c r="G129" s="8">
        <v>0.14000000000000001</v>
      </c>
      <c r="H129" s="8">
        <v>0.11</v>
      </c>
      <c r="I129" s="8">
        <v>0</v>
      </c>
      <c r="J129" s="8">
        <v>0</v>
      </c>
      <c r="K129" s="8">
        <v>0</v>
      </c>
      <c r="L129" s="8"/>
      <c r="M129" s="8">
        <v>0.51900000000000002</v>
      </c>
    </row>
    <row r="130" spans="1:13" x14ac:dyDescent="0.2">
      <c r="A130" s="15" t="s">
        <v>18</v>
      </c>
      <c r="B130" s="8">
        <v>0.12</v>
      </c>
      <c r="C130" s="8">
        <v>8.5000000000000006E-2</v>
      </c>
      <c r="D130" s="8">
        <v>0</v>
      </c>
      <c r="E130" s="8">
        <v>6.4000000000000001E-2</v>
      </c>
      <c r="F130" s="8">
        <v>0.05</v>
      </c>
      <c r="G130" s="8">
        <v>0.14000000000000001</v>
      </c>
      <c r="H130" s="8">
        <v>0.11</v>
      </c>
      <c r="I130" s="8">
        <v>0.15</v>
      </c>
      <c r="J130" s="8">
        <v>0.1</v>
      </c>
      <c r="K130" s="8">
        <v>0.1</v>
      </c>
      <c r="L130" s="8"/>
      <c r="M130" s="8">
        <v>0.91900000000000004</v>
      </c>
    </row>
    <row r="131" spans="1:13" x14ac:dyDescent="0.2">
      <c r="A131" s="14" t="s">
        <v>0</v>
      </c>
      <c r="B131" s="8">
        <v>0.12</v>
      </c>
      <c r="C131" s="8">
        <v>0</v>
      </c>
      <c r="D131" s="8">
        <v>0.05</v>
      </c>
      <c r="E131" s="8">
        <v>6.4000000000000001E-2</v>
      </c>
      <c r="F131" s="8">
        <v>0.1</v>
      </c>
      <c r="G131" s="8">
        <v>0.14000000000000001</v>
      </c>
      <c r="H131" s="8">
        <v>-0.11</v>
      </c>
      <c r="I131" s="8">
        <v>0.15</v>
      </c>
      <c r="J131" s="8">
        <v>0.1</v>
      </c>
      <c r="K131" s="8">
        <v>0.1</v>
      </c>
      <c r="L131" s="8"/>
      <c r="M131" s="8">
        <v>0.71399999999999997</v>
      </c>
    </row>
    <row r="132" spans="1:13" x14ac:dyDescent="0.2">
      <c r="A132" s="15" t="s">
        <v>17</v>
      </c>
      <c r="B132" s="8">
        <v>0</v>
      </c>
      <c r="C132" s="8">
        <v>-4.2500000000000003E-2</v>
      </c>
      <c r="D132" s="8">
        <v>0</v>
      </c>
      <c r="E132" s="8">
        <v>0</v>
      </c>
      <c r="F132" s="8">
        <v>0.05</v>
      </c>
      <c r="G132" s="8">
        <v>0</v>
      </c>
      <c r="H132" s="8">
        <v>-0.11</v>
      </c>
      <c r="I132" s="8">
        <v>0</v>
      </c>
      <c r="J132" s="8">
        <v>0</v>
      </c>
      <c r="K132" s="8">
        <v>0</v>
      </c>
      <c r="L132" s="8"/>
      <c r="M132" s="8">
        <v>-0.10250000000000001</v>
      </c>
    </row>
    <row r="133" spans="1:13" x14ac:dyDescent="0.2">
      <c r="A133" s="15" t="s">
        <v>18</v>
      </c>
      <c r="B133" s="8">
        <v>0.12</v>
      </c>
      <c r="C133" s="8">
        <v>4.2500000000000003E-2</v>
      </c>
      <c r="D133" s="8">
        <v>0.05</v>
      </c>
      <c r="E133" s="8">
        <v>6.4000000000000001E-2</v>
      </c>
      <c r="F133" s="8">
        <v>0.05</v>
      </c>
      <c r="G133" s="8">
        <v>0.14000000000000001</v>
      </c>
      <c r="H133" s="8">
        <v>0</v>
      </c>
      <c r="I133" s="8">
        <v>0.15</v>
      </c>
      <c r="J133" s="8">
        <v>0.1</v>
      </c>
      <c r="K133" s="8">
        <v>0.1</v>
      </c>
      <c r="L133" s="8"/>
      <c r="M133" s="8">
        <v>0.8165</v>
      </c>
    </row>
    <row r="134" spans="1:13" x14ac:dyDescent="0.2">
      <c r="A134" s="14" t="s">
        <v>187</v>
      </c>
      <c r="B134" s="8">
        <v>0.24</v>
      </c>
      <c r="C134" s="8">
        <v>0</v>
      </c>
      <c r="D134" s="8">
        <v>0</v>
      </c>
      <c r="E134" s="8">
        <v>0.128</v>
      </c>
      <c r="F134" s="8">
        <v>0.05</v>
      </c>
      <c r="G134" s="8">
        <v>0.14000000000000001</v>
      </c>
      <c r="H134" s="8">
        <v>0.11</v>
      </c>
      <c r="I134" s="8">
        <v>0</v>
      </c>
      <c r="J134" s="8">
        <v>0</v>
      </c>
      <c r="K134" s="8">
        <v>0</v>
      </c>
      <c r="L134" s="8"/>
      <c r="M134" s="8">
        <v>0.66799999999999993</v>
      </c>
    </row>
    <row r="135" spans="1:13" x14ac:dyDescent="0.2">
      <c r="A135" s="15" t="s">
        <v>17</v>
      </c>
      <c r="B135" s="8">
        <v>0.12</v>
      </c>
      <c r="C135" s="8">
        <v>0</v>
      </c>
      <c r="D135" s="8">
        <v>0</v>
      </c>
      <c r="E135" s="8">
        <v>6.4000000000000001E-2</v>
      </c>
      <c r="F135" s="8">
        <v>0.05</v>
      </c>
      <c r="G135" s="8">
        <v>0.14000000000000001</v>
      </c>
      <c r="H135" s="8">
        <v>0.11</v>
      </c>
      <c r="I135" s="8">
        <v>0</v>
      </c>
      <c r="J135" s="8">
        <v>0</v>
      </c>
      <c r="K135" s="8">
        <v>0</v>
      </c>
      <c r="L135" s="8"/>
      <c r="M135" s="8">
        <v>0.48399999999999999</v>
      </c>
    </row>
    <row r="136" spans="1:13" x14ac:dyDescent="0.2">
      <c r="A136" s="15" t="s">
        <v>18</v>
      </c>
      <c r="B136" s="8">
        <v>0.12</v>
      </c>
      <c r="C136" s="8">
        <v>0</v>
      </c>
      <c r="D136" s="8">
        <v>0</v>
      </c>
      <c r="E136" s="8">
        <v>6.4000000000000001E-2</v>
      </c>
      <c r="F136" s="8">
        <v>0</v>
      </c>
      <c r="G136" s="8">
        <v>0</v>
      </c>
      <c r="H136" s="8">
        <v>0</v>
      </c>
      <c r="I136" s="8">
        <v>0</v>
      </c>
      <c r="J136" s="8">
        <v>0</v>
      </c>
      <c r="K136" s="8">
        <v>0</v>
      </c>
      <c r="L136" s="8"/>
      <c r="M136" s="8">
        <v>0.184</v>
      </c>
    </row>
    <row r="137" spans="1:13" x14ac:dyDescent="0.2">
      <c r="A137" s="13" t="s">
        <v>154</v>
      </c>
      <c r="B137" s="8">
        <v>0.24</v>
      </c>
      <c r="C137" s="8">
        <v>4.2500000000000003E-2</v>
      </c>
      <c r="D137" s="8">
        <v>-0.05</v>
      </c>
      <c r="E137" s="8">
        <v>0.128</v>
      </c>
      <c r="F137" s="8">
        <v>0.05</v>
      </c>
      <c r="G137" s="8">
        <v>0.14000000000000001</v>
      </c>
      <c r="H137" s="8">
        <v>0</v>
      </c>
      <c r="I137" s="8">
        <v>0.15</v>
      </c>
      <c r="J137" s="8">
        <v>0</v>
      </c>
      <c r="K137" s="8">
        <v>0</v>
      </c>
      <c r="L137" s="8"/>
      <c r="M137" s="8">
        <v>0.70050000000000001</v>
      </c>
    </row>
    <row r="138" spans="1:13" x14ac:dyDescent="0.2">
      <c r="A138" s="14" t="s">
        <v>0</v>
      </c>
      <c r="B138" s="8">
        <v>0.24</v>
      </c>
      <c r="C138" s="8">
        <v>4.2500000000000003E-2</v>
      </c>
      <c r="D138" s="8">
        <v>-0.05</v>
      </c>
      <c r="E138" s="8">
        <v>0.128</v>
      </c>
      <c r="F138" s="8">
        <v>0.05</v>
      </c>
      <c r="G138" s="8">
        <v>0.14000000000000001</v>
      </c>
      <c r="H138" s="8">
        <v>0</v>
      </c>
      <c r="I138" s="8">
        <v>0.15</v>
      </c>
      <c r="J138" s="8">
        <v>0</v>
      </c>
      <c r="K138" s="8">
        <v>0</v>
      </c>
      <c r="L138" s="8"/>
      <c r="M138" s="8">
        <v>0.70050000000000001</v>
      </c>
    </row>
    <row r="139" spans="1:13" x14ac:dyDescent="0.2">
      <c r="A139" s="15" t="s">
        <v>17</v>
      </c>
      <c r="B139" s="8">
        <v>0.12</v>
      </c>
      <c r="C139" s="8">
        <v>4.2500000000000003E-2</v>
      </c>
      <c r="D139" s="8">
        <v>0</v>
      </c>
      <c r="E139" s="8">
        <v>6.4000000000000001E-2</v>
      </c>
      <c r="F139" s="8">
        <v>0.05</v>
      </c>
      <c r="G139" s="8">
        <v>0.14000000000000001</v>
      </c>
      <c r="H139" s="8">
        <v>0</v>
      </c>
      <c r="I139" s="8">
        <v>0.15</v>
      </c>
      <c r="J139" s="8">
        <v>0</v>
      </c>
      <c r="K139" s="8">
        <v>0</v>
      </c>
      <c r="L139" s="8"/>
      <c r="M139" s="8">
        <v>0.5665</v>
      </c>
    </row>
    <row r="140" spans="1:13" x14ac:dyDescent="0.2">
      <c r="A140" s="15" t="s">
        <v>18</v>
      </c>
      <c r="B140" s="8">
        <v>0.12</v>
      </c>
      <c r="C140" s="8">
        <v>0</v>
      </c>
      <c r="D140" s="8">
        <v>-0.05</v>
      </c>
      <c r="E140" s="8">
        <v>6.4000000000000001E-2</v>
      </c>
      <c r="F140" s="8">
        <v>0</v>
      </c>
      <c r="G140" s="8">
        <v>0</v>
      </c>
      <c r="H140" s="8">
        <v>0</v>
      </c>
      <c r="I140" s="8">
        <v>0</v>
      </c>
      <c r="J140" s="8">
        <v>0</v>
      </c>
      <c r="K140" s="8">
        <v>0</v>
      </c>
      <c r="L140" s="8"/>
      <c r="M140" s="8">
        <v>0.13400000000000001</v>
      </c>
    </row>
    <row r="141" spans="1:13" x14ac:dyDescent="0.2">
      <c r="A141" s="13" t="s">
        <v>281</v>
      </c>
      <c r="B141" s="8">
        <v>0.36</v>
      </c>
      <c r="C141" s="8">
        <v>0.1275</v>
      </c>
      <c r="D141" s="8">
        <v>-0.05</v>
      </c>
      <c r="E141" s="8">
        <v>0.128</v>
      </c>
      <c r="F141" s="8">
        <v>0.15000000000000002</v>
      </c>
      <c r="G141" s="8">
        <v>0.28000000000000003</v>
      </c>
      <c r="H141" s="8">
        <v>-0.11</v>
      </c>
      <c r="I141" s="8">
        <v>0</v>
      </c>
      <c r="J141" s="8">
        <v>0.1</v>
      </c>
      <c r="K141" s="8">
        <v>0.2</v>
      </c>
      <c r="L141" s="8"/>
      <c r="M141" s="8">
        <v>1.1855</v>
      </c>
    </row>
    <row r="142" spans="1:13" x14ac:dyDescent="0.2">
      <c r="A142" s="14" t="s">
        <v>86</v>
      </c>
      <c r="B142" s="8">
        <v>0.12</v>
      </c>
      <c r="C142" s="8">
        <v>0.1275</v>
      </c>
      <c r="D142" s="8">
        <v>-0.05</v>
      </c>
      <c r="E142" s="8">
        <v>6.4000000000000001E-2</v>
      </c>
      <c r="F142" s="8">
        <v>0.1</v>
      </c>
      <c r="G142" s="8">
        <v>0.14000000000000001</v>
      </c>
      <c r="H142" s="8">
        <v>-0.11</v>
      </c>
      <c r="I142" s="8">
        <v>0</v>
      </c>
      <c r="J142" s="8">
        <v>0</v>
      </c>
      <c r="K142" s="8">
        <v>0.1</v>
      </c>
      <c r="L142" s="8"/>
      <c r="M142" s="8">
        <v>0.49149999999999994</v>
      </c>
    </row>
    <row r="143" spans="1:13" x14ac:dyDescent="0.2">
      <c r="A143" s="15" t="s">
        <v>17</v>
      </c>
      <c r="B143" s="8">
        <v>0</v>
      </c>
      <c r="C143" s="8">
        <v>4.2500000000000003E-2</v>
      </c>
      <c r="D143" s="8">
        <v>-0.05</v>
      </c>
      <c r="E143" s="8">
        <v>0</v>
      </c>
      <c r="F143" s="8">
        <v>0.05</v>
      </c>
      <c r="G143" s="8">
        <v>0</v>
      </c>
      <c r="H143" s="8">
        <v>-0.11</v>
      </c>
      <c r="I143" s="8">
        <v>-0.15</v>
      </c>
      <c r="J143" s="8">
        <v>-0.1</v>
      </c>
      <c r="K143" s="8">
        <v>0</v>
      </c>
      <c r="L143" s="8"/>
      <c r="M143" s="8">
        <v>-0.3175</v>
      </c>
    </row>
    <row r="144" spans="1:13" x14ac:dyDescent="0.2">
      <c r="A144" s="15" t="s">
        <v>18</v>
      </c>
      <c r="B144" s="8">
        <v>0.12</v>
      </c>
      <c r="C144" s="8">
        <v>8.5000000000000006E-2</v>
      </c>
      <c r="D144" s="8">
        <v>0</v>
      </c>
      <c r="E144" s="8">
        <v>6.4000000000000001E-2</v>
      </c>
      <c r="F144" s="8">
        <v>0.05</v>
      </c>
      <c r="G144" s="8">
        <v>0.14000000000000001</v>
      </c>
      <c r="H144" s="8">
        <v>0</v>
      </c>
      <c r="I144" s="8">
        <v>0.15</v>
      </c>
      <c r="J144" s="8">
        <v>0.1</v>
      </c>
      <c r="K144" s="8">
        <v>0.1</v>
      </c>
      <c r="L144" s="8"/>
      <c r="M144" s="8">
        <v>0.80899999999999994</v>
      </c>
    </row>
    <row r="145" spans="1:13" x14ac:dyDescent="0.2">
      <c r="A145" s="14" t="s">
        <v>187</v>
      </c>
      <c r="B145" s="8">
        <v>0.24</v>
      </c>
      <c r="C145" s="8">
        <v>0</v>
      </c>
      <c r="D145" s="8">
        <v>0</v>
      </c>
      <c r="E145" s="8">
        <v>6.4000000000000001E-2</v>
      </c>
      <c r="F145" s="8">
        <v>0.05</v>
      </c>
      <c r="G145" s="8">
        <v>0.14000000000000001</v>
      </c>
      <c r="H145" s="8">
        <v>0</v>
      </c>
      <c r="I145" s="8">
        <v>0</v>
      </c>
      <c r="J145" s="8">
        <v>0.1</v>
      </c>
      <c r="K145" s="8">
        <v>0.1</v>
      </c>
      <c r="L145" s="8"/>
      <c r="M145" s="8">
        <v>0.69399999999999995</v>
      </c>
    </row>
    <row r="146" spans="1:13" x14ac:dyDescent="0.2">
      <c r="A146" s="15" t="s">
        <v>17</v>
      </c>
      <c r="B146" s="8">
        <v>0.12</v>
      </c>
      <c r="C146" s="8">
        <v>0</v>
      </c>
      <c r="D146" s="8">
        <v>0</v>
      </c>
      <c r="E146" s="8">
        <v>0</v>
      </c>
      <c r="F146" s="8">
        <v>0.05</v>
      </c>
      <c r="G146" s="8">
        <v>0</v>
      </c>
      <c r="H146" s="8">
        <v>0</v>
      </c>
      <c r="I146" s="8">
        <v>0</v>
      </c>
      <c r="J146" s="8">
        <v>0</v>
      </c>
      <c r="K146" s="8">
        <v>0</v>
      </c>
      <c r="L146" s="8"/>
      <c r="M146" s="8">
        <v>0.16999999999999998</v>
      </c>
    </row>
    <row r="147" spans="1:13" x14ac:dyDescent="0.2">
      <c r="A147" s="15" t="s">
        <v>18</v>
      </c>
      <c r="B147" s="8">
        <v>0.12</v>
      </c>
      <c r="C147" s="8">
        <v>0</v>
      </c>
      <c r="D147" s="8">
        <v>0</v>
      </c>
      <c r="E147" s="8">
        <v>6.4000000000000001E-2</v>
      </c>
      <c r="F147" s="8">
        <v>0</v>
      </c>
      <c r="G147" s="8">
        <v>0.14000000000000001</v>
      </c>
      <c r="H147" s="8">
        <v>0</v>
      </c>
      <c r="I147" s="8">
        <v>0</v>
      </c>
      <c r="J147" s="8">
        <v>0.1</v>
      </c>
      <c r="K147" s="8">
        <v>0.1</v>
      </c>
      <c r="L147" s="8"/>
      <c r="M147" s="8">
        <v>0.52400000000000002</v>
      </c>
    </row>
    <row r="148" spans="1:13" x14ac:dyDescent="0.2">
      <c r="A148" s="13" t="s">
        <v>290</v>
      </c>
      <c r="B148" s="8">
        <v>0.12</v>
      </c>
      <c r="C148" s="8">
        <v>8.5000000000000006E-2</v>
      </c>
      <c r="D148" s="8">
        <v>-0.05</v>
      </c>
      <c r="E148" s="8">
        <v>0</v>
      </c>
      <c r="F148" s="8">
        <v>0.1</v>
      </c>
      <c r="G148" s="8">
        <v>0</v>
      </c>
      <c r="H148" s="8">
        <v>0</v>
      </c>
      <c r="I148" s="8">
        <v>-0.15</v>
      </c>
      <c r="J148" s="8">
        <v>0</v>
      </c>
      <c r="K148" s="8">
        <v>0</v>
      </c>
      <c r="L148" s="8"/>
      <c r="M148" s="8">
        <v>0.10500000000000009</v>
      </c>
    </row>
    <row r="149" spans="1:13" x14ac:dyDescent="0.2">
      <c r="A149" s="14" t="s">
        <v>86</v>
      </c>
      <c r="B149" s="8">
        <v>0.12</v>
      </c>
      <c r="C149" s="8">
        <v>8.5000000000000006E-2</v>
      </c>
      <c r="D149" s="8">
        <v>-0.05</v>
      </c>
      <c r="E149" s="8">
        <v>0</v>
      </c>
      <c r="F149" s="8">
        <v>0.1</v>
      </c>
      <c r="G149" s="8">
        <v>0</v>
      </c>
      <c r="H149" s="8">
        <v>0</v>
      </c>
      <c r="I149" s="8">
        <v>-0.15</v>
      </c>
      <c r="J149" s="8">
        <v>0</v>
      </c>
      <c r="K149" s="8">
        <v>0</v>
      </c>
      <c r="L149" s="8"/>
      <c r="M149" s="8">
        <v>0.10500000000000009</v>
      </c>
    </row>
    <row r="150" spans="1:13" x14ac:dyDescent="0.2">
      <c r="A150" s="15" t="s">
        <v>17</v>
      </c>
      <c r="B150" s="8">
        <v>0</v>
      </c>
      <c r="C150" s="8">
        <v>0</v>
      </c>
      <c r="D150" s="8">
        <v>-0.05</v>
      </c>
      <c r="E150" s="8">
        <v>-6.4000000000000001E-2</v>
      </c>
      <c r="F150" s="8">
        <v>0.05</v>
      </c>
      <c r="G150" s="8">
        <v>-0.14000000000000001</v>
      </c>
      <c r="H150" s="8">
        <v>-0.11</v>
      </c>
      <c r="I150" s="8">
        <v>-0.15</v>
      </c>
      <c r="J150" s="8">
        <v>-0.1</v>
      </c>
      <c r="K150" s="8">
        <v>0</v>
      </c>
      <c r="L150" s="8"/>
      <c r="M150" s="8">
        <v>-0.56399999999999995</v>
      </c>
    </row>
    <row r="151" spans="1:13" x14ac:dyDescent="0.2">
      <c r="A151" s="15" t="s">
        <v>18</v>
      </c>
      <c r="B151" s="8">
        <v>0.12</v>
      </c>
      <c r="C151" s="8">
        <v>8.5000000000000006E-2</v>
      </c>
      <c r="D151" s="8">
        <v>0</v>
      </c>
      <c r="E151" s="8">
        <v>6.4000000000000001E-2</v>
      </c>
      <c r="F151" s="8">
        <v>0.05</v>
      </c>
      <c r="G151" s="8">
        <v>0.14000000000000001</v>
      </c>
      <c r="H151" s="8">
        <v>0.11</v>
      </c>
      <c r="I151" s="8">
        <v>0</v>
      </c>
      <c r="J151" s="8">
        <v>0.1</v>
      </c>
      <c r="K151" s="8">
        <v>0</v>
      </c>
      <c r="L151" s="8"/>
      <c r="M151" s="8">
        <v>0.66900000000000004</v>
      </c>
    </row>
    <row r="152" spans="1:13" x14ac:dyDescent="0.2">
      <c r="A152" s="13" t="s">
        <v>299</v>
      </c>
      <c r="B152" s="8">
        <v>0.48</v>
      </c>
      <c r="C152" s="8">
        <v>0</v>
      </c>
      <c r="D152" s="8">
        <v>-0.05</v>
      </c>
      <c r="E152" s="8">
        <v>0.128</v>
      </c>
      <c r="F152" s="8">
        <v>0.2</v>
      </c>
      <c r="G152" s="8">
        <v>0.28000000000000003</v>
      </c>
      <c r="H152" s="8">
        <v>0</v>
      </c>
      <c r="I152" s="8">
        <v>0.15</v>
      </c>
      <c r="J152" s="8">
        <v>0.1</v>
      </c>
      <c r="K152" s="8">
        <v>0.1</v>
      </c>
      <c r="L152" s="8"/>
      <c r="M152" s="8">
        <v>1.3879999999999999</v>
      </c>
    </row>
    <row r="153" spans="1:13" x14ac:dyDescent="0.2">
      <c r="A153" s="14" t="s">
        <v>86</v>
      </c>
      <c r="B153" s="8">
        <v>0.24</v>
      </c>
      <c r="C153" s="8">
        <v>0</v>
      </c>
      <c r="D153" s="8">
        <v>-0.1</v>
      </c>
      <c r="E153" s="8">
        <v>0</v>
      </c>
      <c r="F153" s="8">
        <v>0.1</v>
      </c>
      <c r="G153" s="8">
        <v>0.14000000000000001</v>
      </c>
      <c r="H153" s="8">
        <v>-0.11</v>
      </c>
      <c r="I153" s="8">
        <v>0</v>
      </c>
      <c r="J153" s="8">
        <v>0</v>
      </c>
      <c r="K153" s="8">
        <v>0</v>
      </c>
      <c r="L153" s="8"/>
      <c r="M153" s="8">
        <v>0.27</v>
      </c>
    </row>
    <row r="154" spans="1:13" x14ac:dyDescent="0.2">
      <c r="A154" s="15" t="s">
        <v>17</v>
      </c>
      <c r="B154" s="8">
        <v>0.12</v>
      </c>
      <c r="C154" s="8">
        <v>0</v>
      </c>
      <c r="D154" s="8">
        <v>-0.05</v>
      </c>
      <c r="E154" s="8">
        <v>0</v>
      </c>
      <c r="F154" s="8">
        <v>0.05</v>
      </c>
      <c r="G154" s="8">
        <v>0</v>
      </c>
      <c r="H154" s="8">
        <v>-0.11</v>
      </c>
      <c r="I154" s="8">
        <v>0</v>
      </c>
      <c r="J154" s="8">
        <v>0</v>
      </c>
      <c r="K154" s="8">
        <v>0</v>
      </c>
      <c r="L154" s="8"/>
      <c r="M154" s="8">
        <v>9.999999999999995E-3</v>
      </c>
    </row>
    <row r="155" spans="1:13" x14ac:dyDescent="0.2">
      <c r="A155" s="15" t="s">
        <v>18</v>
      </c>
      <c r="B155" s="8">
        <v>0.12</v>
      </c>
      <c r="C155" s="8">
        <v>0</v>
      </c>
      <c r="D155" s="8">
        <v>-0.05</v>
      </c>
      <c r="E155" s="8">
        <v>0</v>
      </c>
      <c r="F155" s="8">
        <v>0.05</v>
      </c>
      <c r="G155" s="8">
        <v>0.14000000000000001</v>
      </c>
      <c r="H155" s="8">
        <v>0</v>
      </c>
      <c r="I155" s="8">
        <v>0</v>
      </c>
      <c r="J155" s="8">
        <v>0</v>
      </c>
      <c r="K155" s="8">
        <v>0</v>
      </c>
      <c r="L155" s="8"/>
      <c r="M155" s="8">
        <v>0.26</v>
      </c>
    </row>
    <row r="156" spans="1:13" x14ac:dyDescent="0.2">
      <c r="A156" s="14" t="s">
        <v>187</v>
      </c>
      <c r="B156" s="8">
        <v>0.24</v>
      </c>
      <c r="C156" s="8">
        <v>0</v>
      </c>
      <c r="D156" s="8">
        <v>0.05</v>
      </c>
      <c r="E156" s="8">
        <v>0.128</v>
      </c>
      <c r="F156" s="8">
        <v>0.1</v>
      </c>
      <c r="G156" s="8">
        <v>0.14000000000000001</v>
      </c>
      <c r="H156" s="8">
        <v>0.11</v>
      </c>
      <c r="I156" s="8">
        <v>0.15</v>
      </c>
      <c r="J156" s="8">
        <v>0.1</v>
      </c>
      <c r="K156" s="8">
        <v>0.1</v>
      </c>
      <c r="L156" s="8"/>
      <c r="M156" s="8">
        <v>1.1179999999999999</v>
      </c>
    </row>
    <row r="157" spans="1:13" x14ac:dyDescent="0.2">
      <c r="A157" s="15" t="s">
        <v>17</v>
      </c>
      <c r="B157" s="8">
        <v>0.12</v>
      </c>
      <c r="C157" s="8">
        <v>0</v>
      </c>
      <c r="D157" s="8">
        <v>0.05</v>
      </c>
      <c r="E157" s="8">
        <v>6.4000000000000001E-2</v>
      </c>
      <c r="F157" s="8">
        <v>0.05</v>
      </c>
      <c r="G157" s="8">
        <v>0.14000000000000001</v>
      </c>
      <c r="H157" s="8">
        <v>0.11</v>
      </c>
      <c r="I157" s="8">
        <v>0.15</v>
      </c>
      <c r="J157" s="8">
        <v>0.1</v>
      </c>
      <c r="K157" s="8">
        <v>0.1</v>
      </c>
      <c r="L157" s="8"/>
      <c r="M157" s="8">
        <v>0.88400000000000001</v>
      </c>
    </row>
    <row r="158" spans="1:13" x14ac:dyDescent="0.2">
      <c r="A158" s="15" t="s">
        <v>18</v>
      </c>
      <c r="B158" s="8">
        <v>0.12</v>
      </c>
      <c r="C158" s="8">
        <v>0</v>
      </c>
      <c r="D158" s="8">
        <v>0</v>
      </c>
      <c r="E158" s="8">
        <v>6.4000000000000001E-2</v>
      </c>
      <c r="F158" s="8">
        <v>0.05</v>
      </c>
      <c r="G158" s="8">
        <v>0</v>
      </c>
      <c r="H158" s="8">
        <v>0</v>
      </c>
      <c r="I158" s="8">
        <v>0</v>
      </c>
      <c r="J158" s="8">
        <v>0</v>
      </c>
      <c r="K158" s="8">
        <v>0</v>
      </c>
      <c r="L158" s="8"/>
      <c r="M158" s="8">
        <v>0.23399999999999999</v>
      </c>
    </row>
    <row r="159" spans="1:13" x14ac:dyDescent="0.2">
      <c r="A159" s="13" t="s">
        <v>311</v>
      </c>
      <c r="B159" s="8">
        <v>0.48</v>
      </c>
      <c r="C159" s="8">
        <v>0.1275</v>
      </c>
      <c r="D159" s="8">
        <v>-0.05</v>
      </c>
      <c r="E159" s="8">
        <v>0.25600000000000001</v>
      </c>
      <c r="F159" s="8">
        <v>0.2</v>
      </c>
      <c r="G159" s="8">
        <v>0.28000000000000003</v>
      </c>
      <c r="H159" s="8">
        <v>0.22</v>
      </c>
      <c r="I159" s="8">
        <v>0</v>
      </c>
      <c r="J159" s="8">
        <v>0.1</v>
      </c>
      <c r="K159" s="8">
        <v>0.30000000000000004</v>
      </c>
      <c r="L159" s="8"/>
      <c r="M159" s="8">
        <v>1.9134999999999998</v>
      </c>
    </row>
    <row r="160" spans="1:13" x14ac:dyDescent="0.2">
      <c r="A160" s="14" t="s">
        <v>86</v>
      </c>
      <c r="B160" s="8">
        <v>0.24</v>
      </c>
      <c r="C160" s="8">
        <v>0.1275</v>
      </c>
      <c r="D160" s="8">
        <v>0</v>
      </c>
      <c r="E160" s="8">
        <v>0.128</v>
      </c>
      <c r="F160" s="8">
        <v>0.1</v>
      </c>
      <c r="G160" s="8">
        <v>0.28000000000000003</v>
      </c>
      <c r="H160" s="8">
        <v>0.11</v>
      </c>
      <c r="I160" s="8">
        <v>0</v>
      </c>
      <c r="J160" s="8">
        <v>0.1</v>
      </c>
      <c r="K160" s="8">
        <v>0.2</v>
      </c>
      <c r="L160" s="8"/>
      <c r="M160" s="8">
        <v>1.2854999999999999</v>
      </c>
    </row>
    <row r="161" spans="1:13" x14ac:dyDescent="0.2">
      <c r="A161" s="15" t="s">
        <v>17</v>
      </c>
      <c r="B161" s="8">
        <v>0.12</v>
      </c>
      <c r="C161" s="8">
        <v>4.2500000000000003E-2</v>
      </c>
      <c r="D161" s="8">
        <v>-0.05</v>
      </c>
      <c r="E161" s="8">
        <v>6.4000000000000001E-2</v>
      </c>
      <c r="F161" s="8">
        <v>0.05</v>
      </c>
      <c r="G161" s="8">
        <v>0.14000000000000001</v>
      </c>
      <c r="H161" s="8">
        <v>0</v>
      </c>
      <c r="I161" s="8">
        <v>0</v>
      </c>
      <c r="J161" s="8">
        <v>0</v>
      </c>
      <c r="K161" s="8">
        <v>0.1</v>
      </c>
      <c r="L161" s="8"/>
      <c r="M161" s="8">
        <v>0.46650000000000003</v>
      </c>
    </row>
    <row r="162" spans="1:13" x14ac:dyDescent="0.2">
      <c r="A162" s="15" t="s">
        <v>18</v>
      </c>
      <c r="B162" s="8">
        <v>0.12</v>
      </c>
      <c r="C162" s="8">
        <v>8.5000000000000006E-2</v>
      </c>
      <c r="D162" s="8">
        <v>0.05</v>
      </c>
      <c r="E162" s="8">
        <v>6.4000000000000001E-2</v>
      </c>
      <c r="F162" s="8">
        <v>0.05</v>
      </c>
      <c r="G162" s="8">
        <v>0.14000000000000001</v>
      </c>
      <c r="H162" s="8">
        <v>0.11</v>
      </c>
      <c r="I162" s="8">
        <v>0</v>
      </c>
      <c r="J162" s="8">
        <v>0.1</v>
      </c>
      <c r="K162" s="8">
        <v>0.1</v>
      </c>
      <c r="L162" s="8"/>
      <c r="M162" s="8">
        <v>0.81899999999999995</v>
      </c>
    </row>
    <row r="163" spans="1:13" x14ac:dyDescent="0.2">
      <c r="A163" s="14" t="s">
        <v>187</v>
      </c>
      <c r="B163" s="8">
        <v>0.24</v>
      </c>
      <c r="C163" s="8">
        <v>0</v>
      </c>
      <c r="D163" s="8">
        <v>-0.05</v>
      </c>
      <c r="E163" s="8">
        <v>0.128</v>
      </c>
      <c r="F163" s="8">
        <v>0.1</v>
      </c>
      <c r="G163" s="8">
        <v>0</v>
      </c>
      <c r="H163" s="8">
        <v>0.11</v>
      </c>
      <c r="I163" s="8">
        <v>0</v>
      </c>
      <c r="J163" s="8">
        <v>0</v>
      </c>
      <c r="K163" s="8">
        <v>0.1</v>
      </c>
      <c r="L163" s="8"/>
      <c r="M163" s="8">
        <v>0.62799999999999989</v>
      </c>
    </row>
    <row r="164" spans="1:13" x14ac:dyDescent="0.2">
      <c r="A164" s="15" t="s">
        <v>17</v>
      </c>
      <c r="B164" s="8">
        <v>0.12</v>
      </c>
      <c r="C164" s="8">
        <v>0</v>
      </c>
      <c r="D164" s="8">
        <v>0</v>
      </c>
      <c r="E164" s="8">
        <v>6.4000000000000001E-2</v>
      </c>
      <c r="F164" s="8">
        <v>0.05</v>
      </c>
      <c r="G164" s="8">
        <v>0</v>
      </c>
      <c r="H164" s="8">
        <v>0.11</v>
      </c>
      <c r="I164" s="8">
        <v>0</v>
      </c>
      <c r="J164" s="8">
        <v>0</v>
      </c>
      <c r="K164" s="8">
        <v>0.1</v>
      </c>
      <c r="L164" s="8"/>
      <c r="M164" s="8">
        <v>0.44399999999999995</v>
      </c>
    </row>
    <row r="165" spans="1:13" x14ac:dyDescent="0.2">
      <c r="A165" s="15" t="s">
        <v>18</v>
      </c>
      <c r="B165" s="8">
        <v>0.12</v>
      </c>
      <c r="C165" s="8">
        <v>0</v>
      </c>
      <c r="D165" s="8">
        <v>-0.05</v>
      </c>
      <c r="E165" s="8">
        <v>6.4000000000000001E-2</v>
      </c>
      <c r="F165" s="8">
        <v>0.05</v>
      </c>
      <c r="G165" s="8">
        <v>0</v>
      </c>
      <c r="H165" s="8">
        <v>0</v>
      </c>
      <c r="I165" s="8">
        <v>0</v>
      </c>
      <c r="J165" s="8">
        <v>0</v>
      </c>
      <c r="K165" s="8">
        <v>0</v>
      </c>
      <c r="L165" s="8"/>
      <c r="M165" s="8">
        <v>0.184</v>
      </c>
    </row>
    <row r="166" spans="1:13" x14ac:dyDescent="0.2">
      <c r="A166" s="13" t="s">
        <v>63</v>
      </c>
      <c r="B166" s="8">
        <v>0</v>
      </c>
      <c r="C166" s="8">
        <v>-8.5000000000000006E-2</v>
      </c>
      <c r="D166" s="8">
        <v>-0.1</v>
      </c>
      <c r="E166" s="8">
        <v>0</v>
      </c>
      <c r="F166" s="8">
        <v>0.05</v>
      </c>
      <c r="G166" s="8">
        <v>-0.28000000000000003</v>
      </c>
      <c r="H166" s="8">
        <v>-0.22</v>
      </c>
      <c r="I166" s="8">
        <v>-0.15</v>
      </c>
      <c r="J166" s="8">
        <v>-0.1</v>
      </c>
      <c r="K166" s="8">
        <v>-0.1</v>
      </c>
      <c r="L166" s="8"/>
      <c r="M166" s="8">
        <v>-0.98499999999999999</v>
      </c>
    </row>
    <row r="167" spans="1:13" x14ac:dyDescent="0.2">
      <c r="A167" s="14" t="s">
        <v>1</v>
      </c>
      <c r="B167" s="8">
        <v>0</v>
      </c>
      <c r="C167" s="8">
        <v>-8.5000000000000006E-2</v>
      </c>
      <c r="D167" s="8">
        <v>-0.1</v>
      </c>
      <c r="E167" s="8">
        <v>0</v>
      </c>
      <c r="F167" s="8">
        <v>0.05</v>
      </c>
      <c r="G167" s="8">
        <v>-0.28000000000000003</v>
      </c>
      <c r="H167" s="8">
        <v>-0.22</v>
      </c>
      <c r="I167" s="8">
        <v>-0.15</v>
      </c>
      <c r="J167" s="8">
        <v>-0.1</v>
      </c>
      <c r="K167" s="8">
        <v>-0.1</v>
      </c>
      <c r="L167" s="8"/>
      <c r="M167" s="8">
        <v>-0.98499999999999999</v>
      </c>
    </row>
    <row r="168" spans="1:13" x14ac:dyDescent="0.2">
      <c r="A168" s="15" t="s">
        <v>17</v>
      </c>
      <c r="B168" s="8">
        <v>0</v>
      </c>
      <c r="C168" s="8">
        <v>-4.2500000000000003E-2</v>
      </c>
      <c r="D168" s="8">
        <v>-0.05</v>
      </c>
      <c r="E168" s="8">
        <v>0</v>
      </c>
      <c r="F168" s="8">
        <v>0.05</v>
      </c>
      <c r="G168" s="8">
        <v>-0.14000000000000001</v>
      </c>
      <c r="H168" s="8">
        <v>-0.11</v>
      </c>
      <c r="I168" s="8">
        <v>0</v>
      </c>
      <c r="J168" s="8">
        <v>0</v>
      </c>
      <c r="K168" s="8">
        <v>0</v>
      </c>
      <c r="L168" s="8"/>
      <c r="M168" s="8">
        <v>-0.29249999999999998</v>
      </c>
    </row>
    <row r="169" spans="1:13" x14ac:dyDescent="0.2">
      <c r="A169" s="15" t="s">
        <v>18</v>
      </c>
      <c r="B169" s="8">
        <v>0</v>
      </c>
      <c r="C169" s="8">
        <v>-4.2500000000000003E-2</v>
      </c>
      <c r="D169" s="8">
        <v>-0.05</v>
      </c>
      <c r="E169" s="8">
        <v>0</v>
      </c>
      <c r="F169" s="8">
        <v>0</v>
      </c>
      <c r="G169" s="8">
        <v>-0.14000000000000001</v>
      </c>
      <c r="H169" s="8">
        <v>-0.11</v>
      </c>
      <c r="I169" s="8">
        <v>-0.15</v>
      </c>
      <c r="J169" s="8">
        <v>-0.1</v>
      </c>
      <c r="K169" s="8">
        <v>-0.1</v>
      </c>
      <c r="L169" s="8"/>
      <c r="M169" s="8">
        <v>-0.6925</v>
      </c>
    </row>
    <row r="170" spans="1:13" x14ac:dyDescent="0.2">
      <c r="A170" s="13" t="s">
        <v>66</v>
      </c>
      <c r="B170" s="8">
        <v>0.12</v>
      </c>
      <c r="C170" s="8">
        <v>8.5000000000000006E-2</v>
      </c>
      <c r="D170" s="8">
        <v>0</v>
      </c>
      <c r="E170" s="8">
        <v>0</v>
      </c>
      <c r="F170" s="8">
        <v>0.1</v>
      </c>
      <c r="G170" s="8">
        <v>0</v>
      </c>
      <c r="H170" s="8">
        <v>0.11</v>
      </c>
      <c r="I170" s="8">
        <v>0</v>
      </c>
      <c r="J170" s="8">
        <v>0.1</v>
      </c>
      <c r="K170" s="8">
        <v>0</v>
      </c>
      <c r="L170" s="8"/>
      <c r="M170" s="8">
        <v>0.5149999999999999</v>
      </c>
    </row>
    <row r="171" spans="1:13" x14ac:dyDescent="0.2">
      <c r="A171" s="14" t="s">
        <v>1</v>
      </c>
      <c r="B171" s="8">
        <v>0.12</v>
      </c>
      <c r="C171" s="8">
        <v>8.5000000000000006E-2</v>
      </c>
      <c r="D171" s="8">
        <v>0</v>
      </c>
      <c r="E171" s="8">
        <v>0</v>
      </c>
      <c r="F171" s="8">
        <v>0.1</v>
      </c>
      <c r="G171" s="8">
        <v>0</v>
      </c>
      <c r="H171" s="8">
        <v>0.11</v>
      </c>
      <c r="I171" s="8">
        <v>0</v>
      </c>
      <c r="J171" s="8">
        <v>0.1</v>
      </c>
      <c r="K171" s="8">
        <v>0</v>
      </c>
      <c r="L171" s="8"/>
      <c r="M171" s="8">
        <v>0.5149999999999999</v>
      </c>
    </row>
    <row r="172" spans="1:13" x14ac:dyDescent="0.2">
      <c r="A172" s="15" t="s">
        <v>17</v>
      </c>
      <c r="B172" s="8">
        <v>0.12</v>
      </c>
      <c r="C172" s="8">
        <v>0</v>
      </c>
      <c r="D172" s="8">
        <v>0.05</v>
      </c>
      <c r="E172" s="8">
        <v>0</v>
      </c>
      <c r="F172" s="8">
        <v>0.05</v>
      </c>
      <c r="G172" s="8">
        <v>0.14000000000000001</v>
      </c>
      <c r="H172" s="8">
        <v>0.11</v>
      </c>
      <c r="I172" s="8">
        <v>0</v>
      </c>
      <c r="J172" s="8">
        <v>0.1</v>
      </c>
      <c r="K172" s="8">
        <v>0</v>
      </c>
      <c r="L172" s="8"/>
      <c r="M172" s="8">
        <v>0.56999999999999995</v>
      </c>
    </row>
    <row r="173" spans="1:13" x14ac:dyDescent="0.2">
      <c r="A173" s="15" t="s">
        <v>18</v>
      </c>
      <c r="B173" s="8">
        <v>0</v>
      </c>
      <c r="C173" s="8">
        <v>8.5000000000000006E-2</v>
      </c>
      <c r="D173" s="8">
        <v>-0.05</v>
      </c>
      <c r="E173" s="8">
        <v>0</v>
      </c>
      <c r="F173" s="8">
        <v>0.05</v>
      </c>
      <c r="G173" s="8">
        <v>-0.14000000000000001</v>
      </c>
      <c r="H173" s="8">
        <v>0</v>
      </c>
      <c r="I173" s="8">
        <v>0</v>
      </c>
      <c r="J173" s="8">
        <v>0</v>
      </c>
      <c r="K173" s="8">
        <v>0</v>
      </c>
      <c r="L173" s="8"/>
      <c r="M173" s="8">
        <v>-5.5000000000000007E-2</v>
      </c>
    </row>
    <row r="174" spans="1:13" x14ac:dyDescent="0.2">
      <c r="A174" s="13" t="s">
        <v>68</v>
      </c>
      <c r="B174" s="8">
        <v>-0.12</v>
      </c>
      <c r="C174" s="8">
        <v>-8.5000000000000006E-2</v>
      </c>
      <c r="D174" s="8">
        <v>-0.05</v>
      </c>
      <c r="E174" s="8">
        <v>0</v>
      </c>
      <c r="F174" s="8">
        <v>0</v>
      </c>
      <c r="G174" s="8">
        <v>-0.28000000000000003</v>
      </c>
      <c r="H174" s="8">
        <v>-0.22</v>
      </c>
      <c r="I174" s="8">
        <v>-0.3</v>
      </c>
      <c r="J174" s="8">
        <v>-0.1</v>
      </c>
      <c r="K174" s="8">
        <v>-0.1</v>
      </c>
      <c r="L174" s="8"/>
      <c r="M174" s="8">
        <v>-1.2549999999999999</v>
      </c>
    </row>
    <row r="175" spans="1:13" x14ac:dyDescent="0.2">
      <c r="A175" s="14" t="s">
        <v>1</v>
      </c>
      <c r="B175" s="8">
        <v>-0.12</v>
      </c>
      <c r="C175" s="8">
        <v>-8.5000000000000006E-2</v>
      </c>
      <c r="D175" s="8">
        <v>-0.05</v>
      </c>
      <c r="E175" s="8">
        <v>0</v>
      </c>
      <c r="F175" s="8">
        <v>0</v>
      </c>
      <c r="G175" s="8">
        <v>-0.28000000000000003</v>
      </c>
      <c r="H175" s="8">
        <v>-0.22</v>
      </c>
      <c r="I175" s="8">
        <v>-0.3</v>
      </c>
      <c r="J175" s="8">
        <v>-0.1</v>
      </c>
      <c r="K175" s="8">
        <v>-0.1</v>
      </c>
      <c r="L175" s="8"/>
      <c r="M175" s="8">
        <v>-1.2549999999999999</v>
      </c>
    </row>
    <row r="176" spans="1:13" x14ac:dyDescent="0.2">
      <c r="A176" s="15" t="s">
        <v>17</v>
      </c>
      <c r="B176" s="8">
        <v>-0.12</v>
      </c>
      <c r="C176" s="8">
        <v>0</v>
      </c>
      <c r="D176" s="8">
        <v>0</v>
      </c>
      <c r="E176" s="8">
        <v>0</v>
      </c>
      <c r="F176" s="8">
        <v>0</v>
      </c>
      <c r="G176" s="8">
        <v>-0.14000000000000001</v>
      </c>
      <c r="H176" s="8">
        <v>-0.11</v>
      </c>
      <c r="I176" s="8">
        <v>-0.15</v>
      </c>
      <c r="J176" s="8">
        <v>0</v>
      </c>
      <c r="K176" s="8">
        <v>0</v>
      </c>
      <c r="L176" s="8"/>
      <c r="M176" s="8">
        <v>-0.52</v>
      </c>
    </row>
    <row r="177" spans="1:13" x14ac:dyDescent="0.2">
      <c r="A177" s="15" t="s">
        <v>18</v>
      </c>
      <c r="B177" s="8">
        <v>0</v>
      </c>
      <c r="C177" s="8">
        <v>-8.5000000000000006E-2</v>
      </c>
      <c r="D177" s="8">
        <v>-0.05</v>
      </c>
      <c r="E177" s="8">
        <v>0</v>
      </c>
      <c r="F177" s="8">
        <v>0</v>
      </c>
      <c r="G177" s="8">
        <v>-0.14000000000000001</v>
      </c>
      <c r="H177" s="8">
        <v>-0.11</v>
      </c>
      <c r="I177" s="8">
        <v>-0.15</v>
      </c>
      <c r="J177" s="8">
        <v>-0.1</v>
      </c>
      <c r="K177" s="8">
        <v>-0.1</v>
      </c>
      <c r="L177" s="8"/>
      <c r="M177" s="8">
        <v>-0.73499999999999999</v>
      </c>
    </row>
    <row r="178" spans="1:13" x14ac:dyDescent="0.2">
      <c r="A178" s="13" t="s">
        <v>70</v>
      </c>
      <c r="B178" s="8">
        <v>0.24</v>
      </c>
      <c r="C178" s="8">
        <v>0.17</v>
      </c>
      <c r="D178" s="8">
        <v>-0.1</v>
      </c>
      <c r="E178" s="8">
        <v>0.128</v>
      </c>
      <c r="F178" s="8">
        <v>0.2</v>
      </c>
      <c r="G178" s="8">
        <v>0.28000000000000003</v>
      </c>
      <c r="H178" s="8">
        <v>0</v>
      </c>
      <c r="I178" s="8">
        <v>0</v>
      </c>
      <c r="J178" s="8">
        <v>0.1</v>
      </c>
      <c r="K178" s="8">
        <v>0.1</v>
      </c>
      <c r="L178" s="8"/>
      <c r="M178" s="8">
        <v>1.1180000000000001</v>
      </c>
    </row>
    <row r="179" spans="1:13" x14ac:dyDescent="0.2">
      <c r="A179" s="14" t="s">
        <v>1</v>
      </c>
      <c r="B179" s="8">
        <v>0.12</v>
      </c>
      <c r="C179" s="8">
        <v>0.17</v>
      </c>
      <c r="D179" s="8">
        <v>-0.05</v>
      </c>
      <c r="E179" s="8">
        <v>6.4000000000000001E-2</v>
      </c>
      <c r="F179" s="8">
        <v>0.1</v>
      </c>
      <c r="G179" s="8">
        <v>0.14000000000000001</v>
      </c>
      <c r="H179" s="8">
        <v>0.11</v>
      </c>
      <c r="I179" s="8">
        <v>0.15</v>
      </c>
      <c r="J179" s="8">
        <v>0.1</v>
      </c>
      <c r="K179" s="8">
        <v>0.1</v>
      </c>
      <c r="L179" s="8"/>
      <c r="M179" s="8">
        <v>1.004</v>
      </c>
    </row>
    <row r="180" spans="1:13" x14ac:dyDescent="0.2">
      <c r="A180" s="15" t="s">
        <v>17</v>
      </c>
      <c r="B180" s="8">
        <v>0</v>
      </c>
      <c r="C180" s="8">
        <v>8.5000000000000006E-2</v>
      </c>
      <c r="D180" s="8">
        <v>0</v>
      </c>
      <c r="E180" s="8">
        <v>0</v>
      </c>
      <c r="F180" s="8">
        <v>0.05</v>
      </c>
      <c r="G180" s="8">
        <v>0</v>
      </c>
      <c r="H180" s="8">
        <v>0</v>
      </c>
      <c r="I180" s="8">
        <v>0</v>
      </c>
      <c r="J180" s="8">
        <v>0.1</v>
      </c>
      <c r="K180" s="8">
        <v>0.1</v>
      </c>
      <c r="L180" s="8"/>
      <c r="M180" s="8">
        <v>0.33500000000000002</v>
      </c>
    </row>
    <row r="181" spans="1:13" x14ac:dyDescent="0.2">
      <c r="A181" s="15" t="s">
        <v>18</v>
      </c>
      <c r="B181" s="8">
        <v>0.12</v>
      </c>
      <c r="C181" s="8">
        <v>8.5000000000000006E-2</v>
      </c>
      <c r="D181" s="8">
        <v>-0.05</v>
      </c>
      <c r="E181" s="8">
        <v>6.4000000000000001E-2</v>
      </c>
      <c r="F181" s="8">
        <v>0.05</v>
      </c>
      <c r="G181" s="8">
        <v>0.14000000000000001</v>
      </c>
      <c r="H181" s="8">
        <v>0.11</v>
      </c>
      <c r="I181" s="8">
        <v>0.15</v>
      </c>
      <c r="J181" s="8">
        <v>0</v>
      </c>
      <c r="K181" s="8">
        <v>0</v>
      </c>
      <c r="L181" s="8"/>
      <c r="M181" s="8">
        <v>0.66900000000000004</v>
      </c>
    </row>
    <row r="182" spans="1:13" x14ac:dyDescent="0.2">
      <c r="A182" s="14" t="s">
        <v>86</v>
      </c>
      <c r="B182" s="8">
        <v>0.12</v>
      </c>
      <c r="C182" s="8">
        <v>0</v>
      </c>
      <c r="D182" s="8">
        <v>-0.05</v>
      </c>
      <c r="E182" s="8">
        <v>6.4000000000000001E-2</v>
      </c>
      <c r="F182" s="8">
        <v>0.1</v>
      </c>
      <c r="G182" s="8">
        <v>0.14000000000000001</v>
      </c>
      <c r="H182" s="8">
        <v>-0.11</v>
      </c>
      <c r="I182" s="8">
        <v>-0.15</v>
      </c>
      <c r="J182" s="8">
        <v>0</v>
      </c>
      <c r="K182" s="8">
        <v>0</v>
      </c>
      <c r="L182" s="8"/>
      <c r="M182" s="8">
        <v>0.11400000000000005</v>
      </c>
    </row>
    <row r="183" spans="1:13" x14ac:dyDescent="0.2">
      <c r="A183" s="15" t="s">
        <v>17</v>
      </c>
      <c r="B183" s="8">
        <v>0</v>
      </c>
      <c r="C183" s="8">
        <v>-8.5000000000000006E-2</v>
      </c>
      <c r="D183" s="8">
        <v>-0.05</v>
      </c>
      <c r="E183" s="8">
        <v>0</v>
      </c>
      <c r="F183" s="8">
        <v>0.05</v>
      </c>
      <c r="G183" s="8">
        <v>0</v>
      </c>
      <c r="H183" s="8">
        <v>-0.11</v>
      </c>
      <c r="I183" s="8">
        <v>-0.15</v>
      </c>
      <c r="J183" s="8">
        <v>0</v>
      </c>
      <c r="K183" s="8">
        <v>0</v>
      </c>
      <c r="L183" s="8"/>
      <c r="M183" s="8">
        <v>-0.34499999999999997</v>
      </c>
    </row>
    <row r="184" spans="1:13" x14ac:dyDescent="0.2">
      <c r="A184" s="15" t="s">
        <v>18</v>
      </c>
      <c r="B184" s="8">
        <v>0.12</v>
      </c>
      <c r="C184" s="8">
        <v>8.5000000000000006E-2</v>
      </c>
      <c r="D184" s="8">
        <v>0</v>
      </c>
      <c r="E184" s="8">
        <v>6.4000000000000001E-2</v>
      </c>
      <c r="F184" s="8">
        <v>0.05</v>
      </c>
      <c r="G184" s="8">
        <v>0.14000000000000001</v>
      </c>
      <c r="H184" s="8">
        <v>0</v>
      </c>
      <c r="I184" s="8">
        <v>0</v>
      </c>
      <c r="J184" s="8">
        <v>0</v>
      </c>
      <c r="K184" s="8">
        <v>0</v>
      </c>
      <c r="L184" s="8"/>
      <c r="M184" s="8">
        <v>0.45900000000000002</v>
      </c>
    </row>
    <row r="185" spans="1:13" x14ac:dyDescent="0.2">
      <c r="A185" s="13" t="s">
        <v>72</v>
      </c>
      <c r="B185" s="8">
        <v>0.24</v>
      </c>
      <c r="C185" s="8">
        <v>-8.5000000000000006E-2</v>
      </c>
      <c r="D185" s="8">
        <v>-0.1</v>
      </c>
      <c r="E185" s="8">
        <v>6.4000000000000001E-2</v>
      </c>
      <c r="F185" s="8">
        <v>0.05</v>
      </c>
      <c r="G185" s="8">
        <v>-0.14000000000000001</v>
      </c>
      <c r="H185" s="8">
        <v>-0.11</v>
      </c>
      <c r="I185" s="8">
        <v>0</v>
      </c>
      <c r="J185" s="8">
        <v>-0.2</v>
      </c>
      <c r="K185" s="8">
        <v>-0.2</v>
      </c>
      <c r="L185" s="8"/>
      <c r="M185" s="8">
        <v>-0.48100000000000004</v>
      </c>
    </row>
    <row r="186" spans="1:13" x14ac:dyDescent="0.2">
      <c r="A186" s="14" t="s">
        <v>1</v>
      </c>
      <c r="B186" s="8">
        <v>0.24</v>
      </c>
      <c r="C186" s="8">
        <v>-8.5000000000000006E-2</v>
      </c>
      <c r="D186" s="8">
        <v>-0.1</v>
      </c>
      <c r="E186" s="8">
        <v>6.4000000000000001E-2</v>
      </c>
      <c r="F186" s="8">
        <v>0.05</v>
      </c>
      <c r="G186" s="8">
        <v>-0.14000000000000001</v>
      </c>
      <c r="H186" s="8">
        <v>-0.11</v>
      </c>
      <c r="I186" s="8">
        <v>0</v>
      </c>
      <c r="J186" s="8">
        <v>-0.2</v>
      </c>
      <c r="K186" s="8">
        <v>-0.2</v>
      </c>
      <c r="L186" s="8"/>
      <c r="M186" s="8">
        <v>-0.48100000000000004</v>
      </c>
    </row>
    <row r="187" spans="1:13" x14ac:dyDescent="0.2">
      <c r="A187" s="15" t="s">
        <v>17</v>
      </c>
      <c r="B187" s="8">
        <v>0.12</v>
      </c>
      <c r="C187" s="8">
        <v>-8.5000000000000006E-2</v>
      </c>
      <c r="D187" s="8">
        <v>-0.05</v>
      </c>
      <c r="E187" s="8">
        <v>0</v>
      </c>
      <c r="F187" s="8">
        <v>0.05</v>
      </c>
      <c r="G187" s="8">
        <v>-0.14000000000000001</v>
      </c>
      <c r="H187" s="8">
        <v>-0.11</v>
      </c>
      <c r="I187" s="8">
        <v>0</v>
      </c>
      <c r="J187" s="8">
        <v>-0.1</v>
      </c>
      <c r="K187" s="8">
        <v>-0.1</v>
      </c>
      <c r="L187" s="8"/>
      <c r="M187" s="8">
        <v>-0.41500000000000004</v>
      </c>
    </row>
    <row r="188" spans="1:13" x14ac:dyDescent="0.2">
      <c r="A188" s="15" t="s">
        <v>18</v>
      </c>
      <c r="B188" s="8">
        <v>0.12</v>
      </c>
      <c r="C188" s="8">
        <v>0</v>
      </c>
      <c r="D188" s="8">
        <v>-0.05</v>
      </c>
      <c r="E188" s="8">
        <v>6.4000000000000001E-2</v>
      </c>
      <c r="F188" s="8">
        <v>0</v>
      </c>
      <c r="G188" s="8">
        <v>0</v>
      </c>
      <c r="H188" s="8">
        <v>0</v>
      </c>
      <c r="I188" s="8">
        <v>0</v>
      </c>
      <c r="J188" s="8">
        <v>-0.1</v>
      </c>
      <c r="K188" s="8">
        <v>-0.1</v>
      </c>
      <c r="L188" s="8"/>
      <c r="M188" s="8">
        <v>-6.6000000000000003E-2</v>
      </c>
    </row>
    <row r="189" spans="1:13" x14ac:dyDescent="0.2">
      <c r="A189" s="13" t="s">
        <v>162</v>
      </c>
      <c r="B189" s="8">
        <v>0.24</v>
      </c>
      <c r="C189" s="8">
        <v>4.2500000000000003E-2</v>
      </c>
      <c r="D189" s="8">
        <v>-0.1</v>
      </c>
      <c r="E189" s="8">
        <v>6.4000000000000001E-2</v>
      </c>
      <c r="F189" s="8">
        <v>0.1</v>
      </c>
      <c r="G189" s="8">
        <v>-0.14000000000000001</v>
      </c>
      <c r="H189" s="8">
        <v>-0.22</v>
      </c>
      <c r="I189" s="8">
        <v>0</v>
      </c>
      <c r="J189" s="8">
        <v>-0.1</v>
      </c>
      <c r="K189" s="8">
        <v>0</v>
      </c>
      <c r="L189" s="8"/>
      <c r="M189" s="8">
        <v>-0.11349999999999999</v>
      </c>
    </row>
    <row r="190" spans="1:13" x14ac:dyDescent="0.2">
      <c r="A190" s="14" t="s">
        <v>86</v>
      </c>
      <c r="B190" s="8">
        <v>0</v>
      </c>
      <c r="C190" s="8">
        <v>0</v>
      </c>
      <c r="D190" s="8">
        <v>-0.1</v>
      </c>
      <c r="E190" s="8">
        <v>0</v>
      </c>
      <c r="F190" s="8">
        <v>0.05</v>
      </c>
      <c r="G190" s="8">
        <v>0</v>
      </c>
      <c r="H190" s="8">
        <v>-0.11</v>
      </c>
      <c r="I190" s="8">
        <v>0</v>
      </c>
      <c r="J190" s="8">
        <v>0</v>
      </c>
      <c r="K190" s="8">
        <v>0</v>
      </c>
      <c r="L190" s="8"/>
      <c r="M190" s="8">
        <v>-0.15999999999999998</v>
      </c>
    </row>
    <row r="191" spans="1:13" x14ac:dyDescent="0.2">
      <c r="A191" s="15" t="s">
        <v>17</v>
      </c>
      <c r="B191" s="8">
        <v>0.12</v>
      </c>
      <c r="C191" s="8">
        <v>0</v>
      </c>
      <c r="D191" s="8">
        <v>-0.05</v>
      </c>
      <c r="E191" s="8">
        <v>6.4000000000000001E-2</v>
      </c>
      <c r="F191" s="8">
        <v>0.05</v>
      </c>
      <c r="G191" s="8">
        <v>0</v>
      </c>
      <c r="H191" s="8">
        <v>0</v>
      </c>
      <c r="I191" s="8">
        <v>0</v>
      </c>
      <c r="J191" s="8">
        <v>0</v>
      </c>
      <c r="K191" s="8">
        <v>0</v>
      </c>
      <c r="L191" s="8"/>
      <c r="M191" s="8">
        <v>0.184</v>
      </c>
    </row>
    <row r="192" spans="1:13" x14ac:dyDescent="0.2">
      <c r="A192" s="15" t="s">
        <v>18</v>
      </c>
      <c r="B192" s="8">
        <v>-0.12</v>
      </c>
      <c r="C192" s="8">
        <v>0</v>
      </c>
      <c r="D192" s="8">
        <v>-0.05</v>
      </c>
      <c r="E192" s="8">
        <v>-6.4000000000000001E-2</v>
      </c>
      <c r="F192" s="8">
        <v>0</v>
      </c>
      <c r="G192" s="8">
        <v>0</v>
      </c>
      <c r="H192" s="8">
        <v>-0.11</v>
      </c>
      <c r="I192" s="8">
        <v>0</v>
      </c>
      <c r="J192" s="8">
        <v>0</v>
      </c>
      <c r="K192" s="8">
        <v>0</v>
      </c>
      <c r="L192" s="8"/>
      <c r="M192" s="8">
        <v>-0.34399999999999997</v>
      </c>
    </row>
    <row r="193" spans="1:13" x14ac:dyDescent="0.2">
      <c r="A193" s="14" t="s">
        <v>0</v>
      </c>
      <c r="B193" s="8">
        <v>0.24</v>
      </c>
      <c r="C193" s="8">
        <v>4.2500000000000003E-2</v>
      </c>
      <c r="D193" s="8">
        <v>0</v>
      </c>
      <c r="E193" s="8">
        <v>6.4000000000000001E-2</v>
      </c>
      <c r="F193" s="8">
        <v>0.05</v>
      </c>
      <c r="G193" s="8">
        <v>-0.14000000000000001</v>
      </c>
      <c r="H193" s="8">
        <v>-0.11</v>
      </c>
      <c r="I193" s="8">
        <v>0</v>
      </c>
      <c r="J193" s="8">
        <v>-0.1</v>
      </c>
      <c r="K193" s="8">
        <v>0</v>
      </c>
      <c r="L193" s="8"/>
      <c r="M193" s="8">
        <v>4.6499999999999986E-2</v>
      </c>
    </row>
    <row r="194" spans="1:13" x14ac:dyDescent="0.2">
      <c r="A194" s="15" t="s">
        <v>17</v>
      </c>
      <c r="B194" s="8">
        <v>0.12</v>
      </c>
      <c r="C194" s="8">
        <v>8.5000000000000006E-2</v>
      </c>
      <c r="D194" s="8">
        <v>0.05</v>
      </c>
      <c r="E194" s="8">
        <v>6.4000000000000001E-2</v>
      </c>
      <c r="F194" s="8">
        <v>0.05</v>
      </c>
      <c r="G194" s="8">
        <v>0</v>
      </c>
      <c r="H194" s="8">
        <v>0</v>
      </c>
      <c r="I194" s="8">
        <v>0.15</v>
      </c>
      <c r="J194" s="8">
        <v>0</v>
      </c>
      <c r="K194" s="8">
        <v>0.1</v>
      </c>
      <c r="L194" s="8"/>
      <c r="M194" s="8">
        <v>0.61899999999999999</v>
      </c>
    </row>
    <row r="195" spans="1:13" x14ac:dyDescent="0.2">
      <c r="A195" s="15" t="s">
        <v>18</v>
      </c>
      <c r="B195" s="8">
        <v>0.12</v>
      </c>
      <c r="C195" s="8">
        <v>-4.2500000000000003E-2</v>
      </c>
      <c r="D195" s="8">
        <v>-0.05</v>
      </c>
      <c r="E195" s="8">
        <v>0</v>
      </c>
      <c r="F195" s="8">
        <v>0</v>
      </c>
      <c r="G195" s="8">
        <v>-0.14000000000000001</v>
      </c>
      <c r="H195" s="8">
        <v>-0.11</v>
      </c>
      <c r="I195" s="8">
        <v>-0.15</v>
      </c>
      <c r="J195" s="8">
        <v>-0.1</v>
      </c>
      <c r="K195" s="8">
        <v>-0.1</v>
      </c>
      <c r="L195" s="8"/>
      <c r="M195" s="8">
        <v>-0.57250000000000001</v>
      </c>
    </row>
    <row r="196" spans="1:13" x14ac:dyDescent="0.2">
      <c r="A196" s="13" t="s">
        <v>339</v>
      </c>
      <c r="B196" s="8">
        <v>0.24</v>
      </c>
      <c r="C196" s="8">
        <v>0.1275</v>
      </c>
      <c r="D196" s="8">
        <v>0</v>
      </c>
      <c r="E196" s="8">
        <v>0.128</v>
      </c>
      <c r="F196" s="8">
        <v>0.1</v>
      </c>
      <c r="G196" s="8">
        <v>0</v>
      </c>
      <c r="H196" s="8">
        <v>0.11</v>
      </c>
      <c r="I196" s="8">
        <v>0.3</v>
      </c>
      <c r="J196" s="8">
        <v>0.1</v>
      </c>
      <c r="K196" s="8">
        <v>0.1</v>
      </c>
      <c r="L196" s="8"/>
      <c r="M196" s="8">
        <v>1.2054999999999998</v>
      </c>
    </row>
    <row r="197" spans="1:13" x14ac:dyDescent="0.2">
      <c r="A197" s="14" t="s">
        <v>86</v>
      </c>
      <c r="B197" s="8">
        <v>0.24</v>
      </c>
      <c r="C197" s="8">
        <v>0.1275</v>
      </c>
      <c r="D197" s="8">
        <v>0</v>
      </c>
      <c r="E197" s="8">
        <v>0.128</v>
      </c>
      <c r="F197" s="8">
        <v>0.1</v>
      </c>
      <c r="G197" s="8">
        <v>0</v>
      </c>
      <c r="H197" s="8">
        <v>0.11</v>
      </c>
      <c r="I197" s="8">
        <v>0.3</v>
      </c>
      <c r="J197" s="8">
        <v>0.1</v>
      </c>
      <c r="K197" s="8">
        <v>0.1</v>
      </c>
      <c r="L197" s="8"/>
      <c r="M197" s="8">
        <v>1.2054999999999998</v>
      </c>
    </row>
    <row r="198" spans="1:13" x14ac:dyDescent="0.2">
      <c r="A198" s="15" t="s">
        <v>17</v>
      </c>
      <c r="B198" s="8">
        <v>0.12</v>
      </c>
      <c r="C198" s="8">
        <v>4.2500000000000003E-2</v>
      </c>
      <c r="D198" s="8">
        <v>0</v>
      </c>
      <c r="E198" s="8">
        <v>6.4000000000000001E-2</v>
      </c>
      <c r="F198" s="8">
        <v>0.05</v>
      </c>
      <c r="G198" s="8">
        <v>0</v>
      </c>
      <c r="H198" s="8">
        <v>0</v>
      </c>
      <c r="I198" s="8">
        <v>0.15</v>
      </c>
      <c r="J198" s="8">
        <v>0</v>
      </c>
      <c r="K198" s="8">
        <v>0</v>
      </c>
      <c r="L198" s="8"/>
      <c r="M198" s="8">
        <v>0.42649999999999999</v>
      </c>
    </row>
    <row r="199" spans="1:13" x14ac:dyDescent="0.2">
      <c r="A199" s="15" t="s">
        <v>18</v>
      </c>
      <c r="B199" s="8">
        <v>0.12</v>
      </c>
      <c r="C199" s="8">
        <v>8.5000000000000006E-2</v>
      </c>
      <c r="D199" s="8">
        <v>0</v>
      </c>
      <c r="E199" s="8">
        <v>6.4000000000000001E-2</v>
      </c>
      <c r="F199" s="8">
        <v>0.05</v>
      </c>
      <c r="G199" s="8">
        <v>0</v>
      </c>
      <c r="H199" s="8">
        <v>0.11</v>
      </c>
      <c r="I199" s="8">
        <v>0.15</v>
      </c>
      <c r="J199" s="8">
        <v>0.1</v>
      </c>
      <c r="K199" s="8">
        <v>0.1</v>
      </c>
      <c r="L199" s="8"/>
      <c r="M199" s="8">
        <v>0.77899999999999991</v>
      </c>
    </row>
    <row r="200" spans="1:13" x14ac:dyDescent="0.2">
      <c r="A200" s="13" t="s">
        <v>164</v>
      </c>
      <c r="B200" s="8">
        <v>0</v>
      </c>
      <c r="C200" s="8">
        <v>-0.1275</v>
      </c>
      <c r="D200" s="8">
        <v>-0.1</v>
      </c>
      <c r="E200" s="8">
        <v>-6.4000000000000001E-2</v>
      </c>
      <c r="F200" s="8">
        <v>0</v>
      </c>
      <c r="G200" s="8">
        <v>-0.28000000000000003</v>
      </c>
      <c r="H200" s="8">
        <v>-0.22</v>
      </c>
      <c r="I200" s="8">
        <v>-0.3</v>
      </c>
      <c r="J200" s="8">
        <v>-0.2</v>
      </c>
      <c r="K200" s="8">
        <v>-0.2</v>
      </c>
      <c r="L200" s="8"/>
      <c r="M200" s="8">
        <v>-1.4914999999999998</v>
      </c>
    </row>
    <row r="201" spans="1:13" x14ac:dyDescent="0.2">
      <c r="A201" s="14" t="s">
        <v>0</v>
      </c>
      <c r="B201" s="8">
        <v>0</v>
      </c>
      <c r="C201" s="8">
        <v>-0.1275</v>
      </c>
      <c r="D201" s="8">
        <v>-0.1</v>
      </c>
      <c r="E201" s="8">
        <v>-6.4000000000000001E-2</v>
      </c>
      <c r="F201" s="8">
        <v>0</v>
      </c>
      <c r="G201" s="8">
        <v>-0.28000000000000003</v>
      </c>
      <c r="H201" s="8">
        <v>-0.22</v>
      </c>
      <c r="I201" s="8">
        <v>-0.3</v>
      </c>
      <c r="J201" s="8">
        <v>-0.2</v>
      </c>
      <c r="K201" s="8">
        <v>-0.2</v>
      </c>
      <c r="L201" s="8"/>
      <c r="M201" s="8">
        <v>-1.4914999999999998</v>
      </c>
    </row>
    <row r="202" spans="1:13" x14ac:dyDescent="0.2">
      <c r="A202" s="15" t="s">
        <v>17</v>
      </c>
      <c r="B202" s="8">
        <v>0</v>
      </c>
      <c r="C202" s="8">
        <v>-8.5000000000000006E-2</v>
      </c>
      <c r="D202" s="8">
        <v>-0.05</v>
      </c>
      <c r="E202" s="8">
        <v>-6.4000000000000001E-2</v>
      </c>
      <c r="F202" s="8">
        <v>0</v>
      </c>
      <c r="G202" s="8">
        <v>-0.14000000000000001</v>
      </c>
      <c r="H202" s="8">
        <v>-0.11</v>
      </c>
      <c r="I202" s="8">
        <v>-0.15</v>
      </c>
      <c r="J202" s="8">
        <v>-0.1</v>
      </c>
      <c r="K202" s="8">
        <v>-0.1</v>
      </c>
      <c r="L202" s="8"/>
      <c r="M202" s="8">
        <v>-0.79899999999999993</v>
      </c>
    </row>
    <row r="203" spans="1:13" x14ac:dyDescent="0.2">
      <c r="A203" s="15" t="s">
        <v>18</v>
      </c>
      <c r="B203" s="8">
        <v>0</v>
      </c>
      <c r="C203" s="8">
        <v>-4.2500000000000003E-2</v>
      </c>
      <c r="D203" s="8">
        <v>-0.05</v>
      </c>
      <c r="E203" s="8">
        <v>0</v>
      </c>
      <c r="F203" s="8">
        <v>0</v>
      </c>
      <c r="G203" s="8">
        <v>-0.14000000000000001</v>
      </c>
      <c r="H203" s="8">
        <v>-0.11</v>
      </c>
      <c r="I203" s="8">
        <v>-0.15</v>
      </c>
      <c r="J203" s="8">
        <v>-0.1</v>
      </c>
      <c r="K203" s="8">
        <v>-0.1</v>
      </c>
      <c r="L203" s="8"/>
      <c r="M203" s="8">
        <v>-0.6925</v>
      </c>
    </row>
    <row r="204" spans="1:13" x14ac:dyDescent="0.2">
      <c r="A204" s="13" t="s">
        <v>168</v>
      </c>
      <c r="B204" s="8">
        <v>0</v>
      </c>
      <c r="C204" s="8">
        <v>-4.2500000000000003E-2</v>
      </c>
      <c r="D204" s="8">
        <v>-0.1</v>
      </c>
      <c r="E204" s="8">
        <v>-6.4000000000000001E-2</v>
      </c>
      <c r="F204" s="8">
        <v>0</v>
      </c>
      <c r="G204" s="8">
        <v>-0.28000000000000003</v>
      </c>
      <c r="H204" s="8">
        <v>-0.22</v>
      </c>
      <c r="I204" s="8">
        <v>-0.3</v>
      </c>
      <c r="J204" s="8">
        <v>-0.2</v>
      </c>
      <c r="K204" s="8">
        <v>-0.2</v>
      </c>
      <c r="L204" s="8"/>
      <c r="M204" s="8">
        <v>-1.4064999999999999</v>
      </c>
    </row>
    <row r="205" spans="1:13" x14ac:dyDescent="0.2">
      <c r="A205" s="14" t="s">
        <v>0</v>
      </c>
      <c r="B205" s="8">
        <v>0</v>
      </c>
      <c r="C205" s="8">
        <v>-4.2500000000000003E-2</v>
      </c>
      <c r="D205" s="8">
        <v>-0.1</v>
      </c>
      <c r="E205" s="8">
        <v>-6.4000000000000001E-2</v>
      </c>
      <c r="F205" s="8">
        <v>0</v>
      </c>
      <c r="G205" s="8">
        <v>-0.28000000000000003</v>
      </c>
      <c r="H205" s="8">
        <v>-0.22</v>
      </c>
      <c r="I205" s="8">
        <v>-0.3</v>
      </c>
      <c r="J205" s="8">
        <v>-0.2</v>
      </c>
      <c r="K205" s="8">
        <v>-0.2</v>
      </c>
      <c r="L205" s="8"/>
      <c r="M205" s="8">
        <v>-1.4064999999999999</v>
      </c>
    </row>
    <row r="206" spans="1:13" x14ac:dyDescent="0.2">
      <c r="A206" s="15" t="s">
        <v>17</v>
      </c>
      <c r="B206" s="8">
        <v>0</v>
      </c>
      <c r="C206" s="8">
        <v>-4.2500000000000003E-2</v>
      </c>
      <c r="D206" s="8">
        <v>-0.05</v>
      </c>
      <c r="E206" s="8">
        <v>0</v>
      </c>
      <c r="F206" s="8">
        <v>0.05</v>
      </c>
      <c r="G206" s="8">
        <v>-0.14000000000000001</v>
      </c>
      <c r="H206" s="8">
        <v>-0.11</v>
      </c>
      <c r="I206" s="8">
        <v>-0.15</v>
      </c>
      <c r="J206" s="8">
        <v>-0.1</v>
      </c>
      <c r="K206" s="8">
        <v>-0.1</v>
      </c>
      <c r="L206" s="8"/>
      <c r="M206" s="8">
        <v>-0.64249999999999996</v>
      </c>
    </row>
    <row r="207" spans="1:13" x14ac:dyDescent="0.2">
      <c r="A207" s="15" t="s">
        <v>18</v>
      </c>
      <c r="B207" s="8">
        <v>0</v>
      </c>
      <c r="C207" s="8">
        <v>0</v>
      </c>
      <c r="D207" s="8">
        <v>-0.05</v>
      </c>
      <c r="E207" s="8">
        <v>-6.4000000000000001E-2</v>
      </c>
      <c r="F207" s="8">
        <v>-0.05</v>
      </c>
      <c r="G207" s="8">
        <v>-0.14000000000000001</v>
      </c>
      <c r="H207" s="8">
        <v>-0.11</v>
      </c>
      <c r="I207" s="8">
        <v>-0.15</v>
      </c>
      <c r="J207" s="8">
        <v>-0.1</v>
      </c>
      <c r="K207" s="8">
        <v>-0.1</v>
      </c>
      <c r="L207" s="8"/>
      <c r="M207" s="8">
        <v>-0.76400000000000001</v>
      </c>
    </row>
    <row r="208" spans="1:13" x14ac:dyDescent="0.2">
      <c r="A208" s="13" t="s">
        <v>174</v>
      </c>
      <c r="B208" s="8">
        <v>0</v>
      </c>
      <c r="C208" s="8">
        <v>0</v>
      </c>
      <c r="D208" s="8">
        <v>-0.1</v>
      </c>
      <c r="E208" s="8">
        <v>0</v>
      </c>
      <c r="F208" s="8">
        <v>0.05</v>
      </c>
      <c r="G208" s="8">
        <v>-0.28000000000000003</v>
      </c>
      <c r="H208" s="8">
        <v>-0.22</v>
      </c>
      <c r="I208" s="8">
        <v>-0.3</v>
      </c>
      <c r="J208" s="8">
        <v>-0.1</v>
      </c>
      <c r="K208" s="8">
        <v>0</v>
      </c>
      <c r="L208" s="8"/>
      <c r="M208" s="8">
        <v>-0.95</v>
      </c>
    </row>
    <row r="209" spans="1:13" x14ac:dyDescent="0.2">
      <c r="A209" s="14" t="s">
        <v>0</v>
      </c>
      <c r="B209" s="8">
        <v>0</v>
      </c>
      <c r="C209" s="8">
        <v>0</v>
      </c>
      <c r="D209" s="8">
        <v>-0.1</v>
      </c>
      <c r="E209" s="8">
        <v>0</v>
      </c>
      <c r="F209" s="8">
        <v>0.05</v>
      </c>
      <c r="G209" s="8">
        <v>-0.28000000000000003</v>
      </c>
      <c r="H209" s="8">
        <v>-0.22</v>
      </c>
      <c r="I209" s="8">
        <v>-0.3</v>
      </c>
      <c r="J209" s="8">
        <v>-0.1</v>
      </c>
      <c r="K209" s="8">
        <v>0</v>
      </c>
      <c r="L209" s="8"/>
      <c r="M209" s="8">
        <v>-0.95</v>
      </c>
    </row>
    <row r="210" spans="1:13" x14ac:dyDescent="0.2">
      <c r="A210" s="15" t="s">
        <v>17</v>
      </c>
      <c r="B210" s="8">
        <v>0</v>
      </c>
      <c r="C210" s="8">
        <v>-8.5000000000000006E-2</v>
      </c>
      <c r="D210" s="8">
        <v>-0.05</v>
      </c>
      <c r="E210" s="8">
        <v>0</v>
      </c>
      <c r="F210" s="8">
        <v>0.05</v>
      </c>
      <c r="G210" s="8">
        <v>-0.14000000000000001</v>
      </c>
      <c r="H210" s="8">
        <v>-0.11</v>
      </c>
      <c r="I210" s="8">
        <v>-0.15</v>
      </c>
      <c r="J210" s="8">
        <v>0</v>
      </c>
      <c r="K210" s="8">
        <v>0</v>
      </c>
      <c r="L210" s="8"/>
      <c r="M210" s="8">
        <v>-0.48499999999999999</v>
      </c>
    </row>
    <row r="211" spans="1:13" x14ac:dyDescent="0.2">
      <c r="A211" s="15" t="s">
        <v>18</v>
      </c>
      <c r="B211" s="8">
        <v>0</v>
      </c>
      <c r="C211" s="8">
        <v>8.5000000000000006E-2</v>
      </c>
      <c r="D211" s="8">
        <v>-0.05</v>
      </c>
      <c r="E211" s="8">
        <v>0</v>
      </c>
      <c r="F211" s="8">
        <v>0</v>
      </c>
      <c r="G211" s="8">
        <v>-0.14000000000000001</v>
      </c>
      <c r="H211" s="8">
        <v>-0.11</v>
      </c>
      <c r="I211" s="8">
        <v>-0.15</v>
      </c>
      <c r="J211" s="8">
        <v>-0.1</v>
      </c>
      <c r="K211" s="8">
        <v>0</v>
      </c>
      <c r="L211" s="8"/>
      <c r="M211" s="8">
        <v>-0.46499999999999997</v>
      </c>
    </row>
    <row r="212" spans="1:13" x14ac:dyDescent="0.2">
      <c r="A212" s="13" t="s">
        <v>346</v>
      </c>
      <c r="B212" s="8">
        <v>0.12</v>
      </c>
      <c r="C212" s="8">
        <v>-4.2500000000000003E-2</v>
      </c>
      <c r="D212" s="8">
        <v>-0.15000000000000002</v>
      </c>
      <c r="E212" s="8">
        <v>-0.192</v>
      </c>
      <c r="F212" s="8">
        <v>0.05</v>
      </c>
      <c r="G212" s="8">
        <v>-0.14000000000000001</v>
      </c>
      <c r="H212" s="8">
        <v>-0.22</v>
      </c>
      <c r="I212" s="8">
        <v>0</v>
      </c>
      <c r="J212" s="8">
        <v>-0.1</v>
      </c>
      <c r="K212" s="8">
        <v>-0.1</v>
      </c>
      <c r="L212" s="8"/>
      <c r="M212" s="8">
        <v>-0.77449999999999997</v>
      </c>
    </row>
    <row r="213" spans="1:13" x14ac:dyDescent="0.2">
      <c r="A213" s="14" t="s">
        <v>86</v>
      </c>
      <c r="B213" s="8">
        <v>-0.12</v>
      </c>
      <c r="C213" s="8">
        <v>-4.2500000000000003E-2</v>
      </c>
      <c r="D213" s="8">
        <v>-0.1</v>
      </c>
      <c r="E213" s="8">
        <v>-0.128</v>
      </c>
      <c r="F213" s="8">
        <v>0</v>
      </c>
      <c r="G213" s="8">
        <v>-0.14000000000000001</v>
      </c>
      <c r="H213" s="8">
        <v>-0.22</v>
      </c>
      <c r="I213" s="8">
        <v>0</v>
      </c>
      <c r="J213" s="8">
        <v>-0.1</v>
      </c>
      <c r="K213" s="8">
        <v>-0.1</v>
      </c>
      <c r="L213" s="8"/>
      <c r="M213" s="8">
        <v>-0.95050000000000001</v>
      </c>
    </row>
    <row r="214" spans="1:13" x14ac:dyDescent="0.2">
      <c r="A214" s="15" t="s">
        <v>17</v>
      </c>
      <c r="B214" s="8">
        <v>0</v>
      </c>
      <c r="C214" s="8">
        <v>0</v>
      </c>
      <c r="D214" s="8">
        <v>-0.05</v>
      </c>
      <c r="E214" s="8">
        <v>-6.4000000000000001E-2</v>
      </c>
      <c r="F214" s="8">
        <v>0.05</v>
      </c>
      <c r="G214" s="8">
        <v>-0.14000000000000001</v>
      </c>
      <c r="H214" s="8">
        <v>-0.11</v>
      </c>
      <c r="I214" s="8">
        <v>0</v>
      </c>
      <c r="J214" s="8">
        <v>-0.1</v>
      </c>
      <c r="K214" s="8">
        <v>-0.1</v>
      </c>
      <c r="L214" s="8"/>
      <c r="M214" s="8">
        <v>-0.51400000000000001</v>
      </c>
    </row>
    <row r="215" spans="1:13" x14ac:dyDescent="0.2">
      <c r="A215" s="15" t="s">
        <v>18</v>
      </c>
      <c r="B215" s="8">
        <v>-0.12</v>
      </c>
      <c r="C215" s="8">
        <v>-4.2500000000000003E-2</v>
      </c>
      <c r="D215" s="8">
        <v>-0.05</v>
      </c>
      <c r="E215" s="8">
        <v>-6.4000000000000001E-2</v>
      </c>
      <c r="F215" s="8">
        <v>-0.05</v>
      </c>
      <c r="G215" s="8">
        <v>0</v>
      </c>
      <c r="H215" s="8">
        <v>-0.11</v>
      </c>
      <c r="I215" s="8">
        <v>0</v>
      </c>
      <c r="J215" s="8">
        <v>0</v>
      </c>
      <c r="K215" s="8">
        <v>0</v>
      </c>
      <c r="L215" s="8"/>
      <c r="M215" s="8">
        <v>-0.4365</v>
      </c>
    </row>
    <row r="216" spans="1:13" x14ac:dyDescent="0.2">
      <c r="A216" s="14" t="s">
        <v>187</v>
      </c>
      <c r="B216" s="8">
        <v>0.24</v>
      </c>
      <c r="C216" s="8">
        <v>0</v>
      </c>
      <c r="D216" s="8">
        <v>-0.05</v>
      </c>
      <c r="E216" s="8">
        <v>-6.4000000000000001E-2</v>
      </c>
      <c r="F216" s="8">
        <v>0.05</v>
      </c>
      <c r="G216" s="8">
        <v>0</v>
      </c>
      <c r="H216" s="8">
        <v>0</v>
      </c>
      <c r="I216" s="8">
        <v>0</v>
      </c>
      <c r="J216" s="8">
        <v>0</v>
      </c>
      <c r="K216" s="8">
        <v>0</v>
      </c>
      <c r="L216" s="8"/>
      <c r="M216" s="8">
        <v>0.17599999999999999</v>
      </c>
    </row>
    <row r="217" spans="1:13" x14ac:dyDescent="0.2">
      <c r="A217" s="15" t="s">
        <v>17</v>
      </c>
      <c r="B217" s="8">
        <v>0.12</v>
      </c>
      <c r="C217" s="8">
        <v>0</v>
      </c>
      <c r="D217" s="8">
        <v>0</v>
      </c>
      <c r="E217" s="8">
        <v>0</v>
      </c>
      <c r="F217" s="8">
        <v>0.05</v>
      </c>
      <c r="G217" s="8">
        <v>0</v>
      </c>
      <c r="H217" s="8">
        <v>0</v>
      </c>
      <c r="I217" s="8">
        <v>0</v>
      </c>
      <c r="J217" s="8">
        <v>0</v>
      </c>
      <c r="K217" s="8">
        <v>0</v>
      </c>
      <c r="L217" s="8"/>
      <c r="M217" s="8">
        <v>0.16999999999999998</v>
      </c>
    </row>
    <row r="218" spans="1:13" x14ac:dyDescent="0.2">
      <c r="A218" s="15" t="s">
        <v>18</v>
      </c>
      <c r="B218" s="8">
        <v>0.12</v>
      </c>
      <c r="C218" s="8">
        <v>0</v>
      </c>
      <c r="D218" s="8">
        <v>-0.05</v>
      </c>
      <c r="E218" s="8">
        <v>-6.4000000000000001E-2</v>
      </c>
      <c r="F218" s="8">
        <v>0</v>
      </c>
      <c r="G218" s="8">
        <v>0</v>
      </c>
      <c r="H218" s="8">
        <v>0</v>
      </c>
      <c r="I218" s="8">
        <v>0</v>
      </c>
      <c r="J218" s="8">
        <v>0</v>
      </c>
      <c r="K218" s="8">
        <v>0</v>
      </c>
      <c r="L218" s="8"/>
      <c r="M218" s="8">
        <v>5.9999999999999915E-3</v>
      </c>
    </row>
    <row r="219" spans="1:13" x14ac:dyDescent="0.2">
      <c r="A219" s="13" t="s">
        <v>355</v>
      </c>
      <c r="B219" s="8">
        <v>0.24</v>
      </c>
      <c r="C219" s="8">
        <v>0</v>
      </c>
      <c r="D219" s="8">
        <v>-0.05</v>
      </c>
      <c r="E219" s="8">
        <v>0.128</v>
      </c>
      <c r="F219" s="8">
        <v>0.1</v>
      </c>
      <c r="G219" s="8">
        <v>0.14000000000000001</v>
      </c>
      <c r="H219" s="8">
        <v>0</v>
      </c>
      <c r="I219" s="8">
        <v>0</v>
      </c>
      <c r="J219" s="8">
        <v>0</v>
      </c>
      <c r="K219" s="8">
        <v>0</v>
      </c>
      <c r="L219" s="8"/>
      <c r="M219" s="8">
        <v>0.55800000000000005</v>
      </c>
    </row>
    <row r="220" spans="1:13" x14ac:dyDescent="0.2">
      <c r="A220" s="14" t="s">
        <v>86</v>
      </c>
      <c r="B220" s="8">
        <v>0.24</v>
      </c>
      <c r="C220" s="8">
        <v>0</v>
      </c>
      <c r="D220" s="8">
        <v>-0.05</v>
      </c>
      <c r="E220" s="8">
        <v>0.128</v>
      </c>
      <c r="F220" s="8">
        <v>0.1</v>
      </c>
      <c r="G220" s="8">
        <v>0.14000000000000001</v>
      </c>
      <c r="H220" s="8">
        <v>0</v>
      </c>
      <c r="I220" s="8">
        <v>0</v>
      </c>
      <c r="J220" s="8">
        <v>0</v>
      </c>
      <c r="K220" s="8">
        <v>0</v>
      </c>
      <c r="L220" s="8"/>
      <c r="M220" s="8">
        <v>0.55800000000000005</v>
      </c>
    </row>
    <row r="221" spans="1:13" x14ac:dyDescent="0.2">
      <c r="A221" s="15" t="s">
        <v>17</v>
      </c>
      <c r="B221" s="8">
        <v>0.12</v>
      </c>
      <c r="C221" s="8">
        <v>-8.5000000000000006E-2</v>
      </c>
      <c r="D221" s="8">
        <v>-0.05</v>
      </c>
      <c r="E221" s="8">
        <v>6.4000000000000001E-2</v>
      </c>
      <c r="F221" s="8">
        <v>0.05</v>
      </c>
      <c r="G221" s="8">
        <v>0</v>
      </c>
      <c r="H221" s="8">
        <v>0</v>
      </c>
      <c r="I221" s="8">
        <v>0</v>
      </c>
      <c r="J221" s="8">
        <v>0</v>
      </c>
      <c r="K221" s="8">
        <v>0</v>
      </c>
      <c r="L221" s="8"/>
      <c r="M221" s="8">
        <v>9.8999999999999991E-2</v>
      </c>
    </row>
    <row r="222" spans="1:13" x14ac:dyDescent="0.2">
      <c r="A222" s="15" t="s">
        <v>18</v>
      </c>
      <c r="B222" s="8">
        <v>0.12</v>
      </c>
      <c r="C222" s="8">
        <v>8.5000000000000006E-2</v>
      </c>
      <c r="D222" s="8">
        <v>0</v>
      </c>
      <c r="E222" s="8">
        <v>6.4000000000000001E-2</v>
      </c>
      <c r="F222" s="8">
        <v>0.05</v>
      </c>
      <c r="G222" s="8">
        <v>0.14000000000000001</v>
      </c>
      <c r="H222" s="8">
        <v>0</v>
      </c>
      <c r="I222" s="8">
        <v>0</v>
      </c>
      <c r="J222" s="8">
        <v>0</v>
      </c>
      <c r="K222" s="8">
        <v>0</v>
      </c>
      <c r="L222" s="8"/>
      <c r="M222" s="8">
        <v>0.45900000000000002</v>
      </c>
    </row>
    <row r="223" spans="1:13" x14ac:dyDescent="0.2">
      <c r="A223" s="13" t="s">
        <v>417</v>
      </c>
      <c r="B223" s="8">
        <v>0.24</v>
      </c>
      <c r="C223" s="8">
        <v>0</v>
      </c>
      <c r="D223" s="8">
        <v>-0.05</v>
      </c>
      <c r="E223" s="8">
        <v>6.4000000000000001E-2</v>
      </c>
      <c r="F223" s="8">
        <v>0.05</v>
      </c>
      <c r="G223" s="8">
        <v>-0.14000000000000001</v>
      </c>
      <c r="H223" s="8">
        <v>-0.11</v>
      </c>
      <c r="I223" s="8">
        <v>-0.15</v>
      </c>
      <c r="J223" s="8">
        <v>-0.1</v>
      </c>
      <c r="K223" s="8">
        <v>0</v>
      </c>
      <c r="L223" s="8"/>
      <c r="M223" s="8">
        <v>-0.19600000000000006</v>
      </c>
    </row>
    <row r="224" spans="1:13" x14ac:dyDescent="0.2">
      <c r="A224" s="14" t="s">
        <v>187</v>
      </c>
      <c r="B224" s="8">
        <v>0.24</v>
      </c>
      <c r="C224" s="8">
        <v>0</v>
      </c>
      <c r="D224" s="8">
        <v>-0.05</v>
      </c>
      <c r="E224" s="8">
        <v>6.4000000000000001E-2</v>
      </c>
      <c r="F224" s="8">
        <v>0.05</v>
      </c>
      <c r="G224" s="8">
        <v>-0.14000000000000001</v>
      </c>
      <c r="H224" s="8">
        <v>-0.11</v>
      </c>
      <c r="I224" s="8">
        <v>-0.15</v>
      </c>
      <c r="J224" s="8">
        <v>-0.1</v>
      </c>
      <c r="K224" s="8">
        <v>0</v>
      </c>
      <c r="L224" s="8"/>
      <c r="M224" s="8">
        <v>-0.19600000000000006</v>
      </c>
    </row>
    <row r="225" spans="1:26" x14ac:dyDescent="0.2">
      <c r="A225" s="15" t="s">
        <v>17</v>
      </c>
      <c r="B225" s="8">
        <v>0.12</v>
      </c>
      <c r="C225" s="8">
        <v>0</v>
      </c>
      <c r="D225" s="8">
        <v>0</v>
      </c>
      <c r="E225" s="8">
        <v>6.4000000000000001E-2</v>
      </c>
      <c r="F225" s="8">
        <v>0.05</v>
      </c>
      <c r="G225" s="8">
        <v>0</v>
      </c>
      <c r="H225" s="8">
        <v>0</v>
      </c>
      <c r="I225" s="8">
        <v>0</v>
      </c>
      <c r="J225" s="8">
        <v>0</v>
      </c>
      <c r="K225" s="8">
        <v>0.1</v>
      </c>
      <c r="L225" s="8"/>
      <c r="M225" s="8">
        <v>0.33399999999999996</v>
      </c>
    </row>
    <row r="226" spans="1:26" x14ac:dyDescent="0.2">
      <c r="A226" s="15" t="s">
        <v>18</v>
      </c>
      <c r="B226" s="8">
        <v>0.12</v>
      </c>
      <c r="C226" s="8">
        <v>0</v>
      </c>
      <c r="D226" s="8">
        <v>-0.05</v>
      </c>
      <c r="E226" s="8">
        <v>0</v>
      </c>
      <c r="F226" s="8">
        <v>0</v>
      </c>
      <c r="G226" s="8">
        <v>-0.14000000000000001</v>
      </c>
      <c r="H226" s="8">
        <v>-0.11</v>
      </c>
      <c r="I226" s="8">
        <v>-0.15</v>
      </c>
      <c r="J226" s="8">
        <v>-0.1</v>
      </c>
      <c r="K226" s="8">
        <v>-0.1</v>
      </c>
      <c r="L226" s="8"/>
      <c r="M226" s="8">
        <v>-0.53</v>
      </c>
    </row>
    <row r="227" spans="1:26" x14ac:dyDescent="0.2">
      <c r="A227" s="13" t="s">
        <v>455</v>
      </c>
      <c r="B227" s="8">
        <v>0.24</v>
      </c>
      <c r="C227" s="8">
        <v>0</v>
      </c>
      <c r="D227" s="8">
        <v>-0.05</v>
      </c>
      <c r="E227" s="8">
        <v>6.4000000000000001E-2</v>
      </c>
      <c r="F227" s="8">
        <v>0.05</v>
      </c>
      <c r="G227" s="8">
        <v>0.14000000000000001</v>
      </c>
      <c r="H227" s="8">
        <v>0.11</v>
      </c>
      <c r="I227" s="8">
        <v>0</v>
      </c>
      <c r="J227" s="8">
        <v>0</v>
      </c>
      <c r="K227" s="8">
        <v>0</v>
      </c>
      <c r="L227" s="8"/>
      <c r="M227" s="8">
        <v>0.55399999999999994</v>
      </c>
    </row>
    <row r="228" spans="1:26" x14ac:dyDescent="0.2">
      <c r="A228" s="14" t="s">
        <v>187</v>
      </c>
      <c r="B228" s="8">
        <v>0.24</v>
      </c>
      <c r="C228" s="8">
        <v>0</v>
      </c>
      <c r="D228" s="8">
        <v>-0.05</v>
      </c>
      <c r="E228" s="8">
        <v>6.4000000000000001E-2</v>
      </c>
      <c r="F228" s="8">
        <v>0.05</v>
      </c>
      <c r="G228" s="8">
        <v>0.14000000000000001</v>
      </c>
      <c r="H228" s="8">
        <v>0.11</v>
      </c>
      <c r="I228" s="8">
        <v>0</v>
      </c>
      <c r="J228" s="8">
        <v>0</v>
      </c>
      <c r="K228" s="8">
        <v>0</v>
      </c>
      <c r="L228" s="8"/>
      <c r="M228" s="8">
        <v>0.55399999999999994</v>
      </c>
    </row>
    <row r="229" spans="1:26" x14ac:dyDescent="0.2">
      <c r="A229" s="15" t="s">
        <v>17</v>
      </c>
      <c r="B229" s="8">
        <v>0.12</v>
      </c>
      <c r="C229" s="8">
        <v>0</v>
      </c>
      <c r="D229" s="8">
        <v>0</v>
      </c>
      <c r="E229" s="8">
        <v>6.4000000000000001E-2</v>
      </c>
      <c r="F229" s="8">
        <v>0.05</v>
      </c>
      <c r="G229" s="8">
        <v>0.14000000000000001</v>
      </c>
      <c r="H229" s="8">
        <v>0.11</v>
      </c>
      <c r="I229" s="8">
        <v>0</v>
      </c>
      <c r="J229" s="8">
        <v>0</v>
      </c>
      <c r="K229" s="8">
        <v>0</v>
      </c>
      <c r="L229" s="8"/>
      <c r="M229" s="8">
        <v>0.48399999999999999</v>
      </c>
    </row>
    <row r="230" spans="1:26" x14ac:dyDescent="0.2">
      <c r="A230" s="15" t="s">
        <v>18</v>
      </c>
      <c r="B230" s="8">
        <v>0.12</v>
      </c>
      <c r="C230" s="8">
        <v>0</v>
      </c>
      <c r="D230" s="8">
        <v>-0.05</v>
      </c>
      <c r="E230" s="8">
        <v>0</v>
      </c>
      <c r="F230" s="8">
        <v>0</v>
      </c>
      <c r="G230" s="8">
        <v>0</v>
      </c>
      <c r="H230" s="8">
        <v>0</v>
      </c>
      <c r="I230" s="8">
        <v>0</v>
      </c>
      <c r="J230" s="8">
        <v>0</v>
      </c>
      <c r="K230" s="8">
        <v>0</v>
      </c>
      <c r="L230" s="8"/>
      <c r="M230" s="8">
        <v>6.9999999999999993E-2</v>
      </c>
    </row>
    <row r="231" spans="1:26" x14ac:dyDescent="0.2">
      <c r="A231" s="13" t="s">
        <v>464</v>
      </c>
      <c r="B231" s="8">
        <v>0.24</v>
      </c>
      <c r="C231" s="8">
        <v>0</v>
      </c>
      <c r="D231" s="8">
        <v>0.1</v>
      </c>
      <c r="E231" s="8">
        <v>0.128</v>
      </c>
      <c r="F231" s="8">
        <v>0.1</v>
      </c>
      <c r="G231" s="8">
        <v>0.14000000000000001</v>
      </c>
      <c r="H231" s="8">
        <v>0.11</v>
      </c>
      <c r="I231" s="8">
        <v>0.3</v>
      </c>
      <c r="J231" s="8">
        <v>0.2</v>
      </c>
      <c r="K231" s="8">
        <v>0.2</v>
      </c>
      <c r="L231" s="8"/>
      <c r="M231" s="8">
        <v>1.5179999999999998</v>
      </c>
    </row>
    <row r="232" spans="1:26" x14ac:dyDescent="0.2">
      <c r="A232" s="14" t="s">
        <v>187</v>
      </c>
      <c r="B232" s="8">
        <v>0.24</v>
      </c>
      <c r="C232" s="8">
        <v>0</v>
      </c>
      <c r="D232" s="8">
        <v>0.1</v>
      </c>
      <c r="E232" s="8">
        <v>0.128</v>
      </c>
      <c r="F232" s="8">
        <v>0.1</v>
      </c>
      <c r="G232" s="8">
        <v>0.14000000000000001</v>
      </c>
      <c r="H232" s="8">
        <v>0.11</v>
      </c>
      <c r="I232" s="8">
        <v>0.3</v>
      </c>
      <c r="J232" s="8">
        <v>0.2</v>
      </c>
      <c r="K232" s="8">
        <v>0.2</v>
      </c>
      <c r="L232" s="8"/>
      <c r="M232" s="8">
        <v>1.5179999999999998</v>
      </c>
    </row>
    <row r="233" spans="1:26" x14ac:dyDescent="0.2">
      <c r="A233" s="15" t="s">
        <v>17</v>
      </c>
      <c r="B233" s="8">
        <v>0.12</v>
      </c>
      <c r="C233" s="8">
        <v>0</v>
      </c>
      <c r="D233" s="8">
        <v>0.05</v>
      </c>
      <c r="E233" s="8">
        <v>6.4000000000000001E-2</v>
      </c>
      <c r="F233" s="8">
        <v>0.05</v>
      </c>
      <c r="G233" s="8">
        <v>0</v>
      </c>
      <c r="H233" s="8">
        <v>0</v>
      </c>
      <c r="I233" s="8">
        <v>0.15</v>
      </c>
      <c r="J233" s="8">
        <v>0.1</v>
      </c>
      <c r="K233" s="8">
        <v>0.1</v>
      </c>
      <c r="L233" s="8"/>
      <c r="M233" s="8">
        <v>0.6339999999999999</v>
      </c>
      <c r="P233" t="s">
        <v>19</v>
      </c>
      <c r="Q233" t="s">
        <v>27</v>
      </c>
      <c r="R233" t="s">
        <v>28</v>
      </c>
      <c r="S233" t="s">
        <v>20</v>
      </c>
      <c r="T233" t="s">
        <v>21</v>
      </c>
      <c r="U233" t="s">
        <v>22</v>
      </c>
      <c r="V233" t="s">
        <v>23</v>
      </c>
      <c r="W233" t="s">
        <v>24</v>
      </c>
      <c r="X233" t="s">
        <v>25</v>
      </c>
      <c r="Y233" t="s">
        <v>26</v>
      </c>
      <c r="Z233" t="s">
        <v>94</v>
      </c>
    </row>
    <row r="234" spans="1:26" x14ac:dyDescent="0.2">
      <c r="A234" s="15" t="s">
        <v>18</v>
      </c>
      <c r="B234" s="8">
        <v>0.12</v>
      </c>
      <c r="C234" s="8">
        <v>0</v>
      </c>
      <c r="D234" s="8">
        <v>0.05</v>
      </c>
      <c r="E234" s="8">
        <v>6.4000000000000001E-2</v>
      </c>
      <c r="F234" s="8">
        <v>0.05</v>
      </c>
      <c r="G234" s="8">
        <v>0.14000000000000001</v>
      </c>
      <c r="H234" s="8">
        <v>0.11</v>
      </c>
      <c r="I234" s="8">
        <v>0.15</v>
      </c>
      <c r="J234" s="8">
        <v>0.1</v>
      </c>
      <c r="K234" s="8">
        <v>0.1</v>
      </c>
      <c r="L234" s="8"/>
      <c r="M234" s="8">
        <v>0.88400000000000001</v>
      </c>
      <c r="N234" t="s">
        <v>15</v>
      </c>
    </row>
    <row r="235" spans="1:26" x14ac:dyDescent="0.2">
      <c r="A235" s="13" t="s">
        <v>502</v>
      </c>
      <c r="B235" s="8">
        <v>0.24</v>
      </c>
      <c r="C235" s="8">
        <v>0</v>
      </c>
      <c r="D235" s="8">
        <v>0.05</v>
      </c>
      <c r="E235" s="8">
        <v>0.128</v>
      </c>
      <c r="F235" s="8">
        <v>0.1</v>
      </c>
      <c r="G235" s="8">
        <v>0.14000000000000001</v>
      </c>
      <c r="H235" s="8">
        <v>0.11</v>
      </c>
      <c r="I235" s="8">
        <v>0.15</v>
      </c>
      <c r="J235" s="8">
        <v>0.1</v>
      </c>
      <c r="K235" s="8">
        <v>0.1</v>
      </c>
      <c r="L235" s="8"/>
      <c r="M235" s="8">
        <v>1.1179999999999999</v>
      </c>
      <c r="P235" t="s">
        <v>19</v>
      </c>
      <c r="Q235" t="s">
        <v>27</v>
      </c>
      <c r="R235" t="s">
        <v>28</v>
      </c>
      <c r="S235" t="s">
        <v>20</v>
      </c>
      <c r="T235" t="s">
        <v>21</v>
      </c>
      <c r="U235" t="s">
        <v>22</v>
      </c>
      <c r="V235" t="s">
        <v>23</v>
      </c>
      <c r="W235" t="s">
        <v>24</v>
      </c>
      <c r="X235" t="s">
        <v>25</v>
      </c>
      <c r="Y235" t="s">
        <v>26</v>
      </c>
      <c r="Z235" t="s">
        <v>94</v>
      </c>
    </row>
    <row r="236" spans="1:26" x14ac:dyDescent="0.2">
      <c r="A236" s="14" t="s">
        <v>187</v>
      </c>
      <c r="B236" s="8">
        <v>0.24</v>
      </c>
      <c r="C236" s="8">
        <v>0</v>
      </c>
      <c r="D236" s="8">
        <v>0.05</v>
      </c>
      <c r="E236" s="8">
        <v>0.128</v>
      </c>
      <c r="F236" s="8">
        <v>0.1</v>
      </c>
      <c r="G236" s="8">
        <v>0.14000000000000001</v>
      </c>
      <c r="H236" s="8">
        <v>0.11</v>
      </c>
      <c r="I236" s="8">
        <v>0.15</v>
      </c>
      <c r="J236" s="8">
        <v>0.1</v>
      </c>
      <c r="K236" s="8">
        <v>0.1</v>
      </c>
      <c r="L236" s="8"/>
      <c r="M236" s="8">
        <v>1.1179999999999999</v>
      </c>
      <c r="N236" t="s">
        <v>1</v>
      </c>
      <c r="O236" t="s">
        <v>17</v>
      </c>
      <c r="P236">
        <v>0.12</v>
      </c>
      <c r="Q236">
        <v>4.2500000000000003E-2</v>
      </c>
      <c r="R236">
        <v>0.05</v>
      </c>
      <c r="S236">
        <v>6.4000000000000001E-2</v>
      </c>
      <c r="T236">
        <v>0.05</v>
      </c>
      <c r="U236">
        <v>0</v>
      </c>
      <c r="V236">
        <v>0.11</v>
      </c>
      <c r="W236">
        <v>0.15</v>
      </c>
      <c r="X236">
        <v>0.1</v>
      </c>
      <c r="Y236">
        <v>0.1</v>
      </c>
      <c r="Z236">
        <v>0.78649999999999998</v>
      </c>
    </row>
    <row r="237" spans="1:26" x14ac:dyDescent="0.2">
      <c r="A237" s="15" t="s">
        <v>17</v>
      </c>
      <c r="B237" s="8">
        <v>0.12</v>
      </c>
      <c r="C237" s="8">
        <v>0</v>
      </c>
      <c r="D237" s="8">
        <v>0.05</v>
      </c>
      <c r="E237" s="8">
        <v>6.4000000000000001E-2</v>
      </c>
      <c r="F237" s="8">
        <v>0.05</v>
      </c>
      <c r="G237" s="8">
        <v>0.14000000000000001</v>
      </c>
      <c r="H237" s="8">
        <v>0.11</v>
      </c>
      <c r="I237" s="8">
        <v>0.15</v>
      </c>
      <c r="J237" s="8">
        <v>0.1</v>
      </c>
      <c r="K237" s="8">
        <v>0.1</v>
      </c>
      <c r="L237" s="8"/>
      <c r="M237" s="8">
        <v>0.88400000000000001</v>
      </c>
      <c r="O237" t="s">
        <v>18</v>
      </c>
      <c r="P237">
        <v>0.12</v>
      </c>
      <c r="Q237">
        <v>8.5000000000000006E-2</v>
      </c>
      <c r="R237">
        <v>0</v>
      </c>
      <c r="S237">
        <v>6.4000000000000001E-2</v>
      </c>
      <c r="T237">
        <v>0.05</v>
      </c>
      <c r="U237">
        <v>0.14000000000000001</v>
      </c>
      <c r="V237">
        <v>0.11</v>
      </c>
      <c r="W237">
        <v>0.15</v>
      </c>
      <c r="X237">
        <v>0.1</v>
      </c>
      <c r="Y237">
        <v>0.1</v>
      </c>
      <c r="Z237">
        <v>0.91900000000000004</v>
      </c>
    </row>
    <row r="238" spans="1:26" x14ac:dyDescent="0.2">
      <c r="A238" s="15" t="s">
        <v>18</v>
      </c>
      <c r="B238" s="8">
        <v>0.12</v>
      </c>
      <c r="C238" s="8">
        <v>0</v>
      </c>
      <c r="D238" s="8">
        <v>0</v>
      </c>
      <c r="E238" s="8">
        <v>6.4000000000000001E-2</v>
      </c>
      <c r="F238" s="8">
        <v>0.05</v>
      </c>
      <c r="G238" s="8">
        <v>0</v>
      </c>
      <c r="H238" s="8">
        <v>0</v>
      </c>
      <c r="I238" s="8">
        <v>0</v>
      </c>
      <c r="J238" s="8">
        <v>0</v>
      </c>
      <c r="K238" s="8">
        <v>0</v>
      </c>
      <c r="L238" s="8"/>
      <c r="M238" s="8">
        <v>0.23399999999999999</v>
      </c>
    </row>
    <row r="239" spans="1:26" x14ac:dyDescent="0.2">
      <c r="A239" s="13" t="s">
        <v>517</v>
      </c>
      <c r="B239" s="8">
        <v>0.24</v>
      </c>
      <c r="C239" s="8">
        <v>0</v>
      </c>
      <c r="D239" s="8">
        <v>0</v>
      </c>
      <c r="E239" s="8">
        <v>6.4000000000000001E-2</v>
      </c>
      <c r="F239" s="8">
        <v>0.05</v>
      </c>
      <c r="G239" s="8">
        <v>0.14000000000000001</v>
      </c>
      <c r="H239" s="8">
        <v>0.11</v>
      </c>
      <c r="I239" s="8">
        <v>0</v>
      </c>
      <c r="J239" s="8">
        <v>0</v>
      </c>
      <c r="K239" s="8">
        <v>0</v>
      </c>
      <c r="L239" s="8"/>
      <c r="M239" s="8">
        <v>0.60399999999999998</v>
      </c>
      <c r="N239" t="s">
        <v>0</v>
      </c>
      <c r="O239" t="s">
        <v>17</v>
      </c>
      <c r="P239">
        <v>0.12</v>
      </c>
      <c r="Q239">
        <v>0</v>
      </c>
      <c r="R239">
        <v>0</v>
      </c>
      <c r="S239">
        <v>6.4000000000000001E-2</v>
      </c>
      <c r="T239">
        <v>0.05</v>
      </c>
      <c r="U239">
        <v>0.14000000000000001</v>
      </c>
      <c r="V239">
        <v>0.11</v>
      </c>
      <c r="W239">
        <v>0.15</v>
      </c>
      <c r="X239">
        <v>0</v>
      </c>
      <c r="Y239">
        <v>0</v>
      </c>
      <c r="Z239">
        <v>0.63400000000000001</v>
      </c>
    </row>
    <row r="240" spans="1:26" x14ac:dyDescent="0.2">
      <c r="A240" s="14" t="s">
        <v>187</v>
      </c>
      <c r="B240" s="8">
        <v>0.24</v>
      </c>
      <c r="C240" s="8">
        <v>0</v>
      </c>
      <c r="D240" s="8">
        <v>0</v>
      </c>
      <c r="E240" s="8">
        <v>6.4000000000000001E-2</v>
      </c>
      <c r="F240" s="8">
        <v>0.05</v>
      </c>
      <c r="G240" s="8">
        <v>0.14000000000000001</v>
      </c>
      <c r="H240" s="8">
        <v>0.11</v>
      </c>
      <c r="I240" s="8">
        <v>0</v>
      </c>
      <c r="J240" s="8">
        <v>0</v>
      </c>
      <c r="K240" s="8">
        <v>0</v>
      </c>
      <c r="L240" s="8"/>
      <c r="M240" s="8">
        <v>0.60399999999999998</v>
      </c>
      <c r="O240" t="s">
        <v>18</v>
      </c>
      <c r="P240">
        <v>0.12</v>
      </c>
      <c r="Q240">
        <v>0</v>
      </c>
      <c r="R240">
        <v>-0.05</v>
      </c>
      <c r="S240">
        <v>6.4000000000000001E-2</v>
      </c>
      <c r="T240">
        <v>-0.05</v>
      </c>
      <c r="U240">
        <v>-0.14000000000000001</v>
      </c>
      <c r="V240">
        <v>-0.11</v>
      </c>
      <c r="W240">
        <v>-0.15</v>
      </c>
      <c r="X240">
        <v>-0.1</v>
      </c>
      <c r="Y240">
        <v>0</v>
      </c>
      <c r="Z240">
        <v>-0.41600000000000004</v>
      </c>
    </row>
    <row r="241" spans="1:13" x14ac:dyDescent="0.2">
      <c r="A241" s="15" t="s">
        <v>17</v>
      </c>
      <c r="B241" s="8">
        <v>0.12</v>
      </c>
      <c r="C241" s="8">
        <v>0</v>
      </c>
      <c r="D241" s="8">
        <v>0.05</v>
      </c>
      <c r="E241" s="8">
        <v>6.4000000000000001E-2</v>
      </c>
      <c r="F241" s="8">
        <v>0.05</v>
      </c>
      <c r="G241" s="8">
        <v>0.14000000000000001</v>
      </c>
      <c r="H241" s="8">
        <v>0.11</v>
      </c>
      <c r="I241" s="8">
        <v>0.15</v>
      </c>
      <c r="J241" s="8">
        <v>0.1</v>
      </c>
      <c r="K241" s="8">
        <v>0.1</v>
      </c>
      <c r="L241" s="8"/>
      <c r="M241" s="8">
        <v>0.88400000000000001</v>
      </c>
    </row>
    <row r="242" spans="1:13" x14ac:dyDescent="0.2">
      <c r="A242" s="15" t="s">
        <v>18</v>
      </c>
      <c r="B242" s="8">
        <v>0.12</v>
      </c>
      <c r="C242" s="8">
        <v>0</v>
      </c>
      <c r="D242" s="8">
        <v>-0.05</v>
      </c>
      <c r="E242" s="8">
        <v>0</v>
      </c>
      <c r="F242" s="8">
        <v>0</v>
      </c>
      <c r="G242" s="8">
        <v>0</v>
      </c>
      <c r="H242" s="8">
        <v>0</v>
      </c>
      <c r="I242" s="8">
        <v>-0.15</v>
      </c>
      <c r="J242" s="8">
        <v>-0.1</v>
      </c>
      <c r="K242" s="8">
        <v>-0.1</v>
      </c>
      <c r="L242" s="8"/>
      <c r="M242" s="8">
        <v>-0.28000000000000003</v>
      </c>
    </row>
    <row r="243" spans="1:13" x14ac:dyDescent="0.2">
      <c r="A243" s="13" t="s">
        <v>529</v>
      </c>
      <c r="B243" s="8">
        <v>0.24</v>
      </c>
      <c r="C243" s="8">
        <v>0</v>
      </c>
      <c r="D243" s="8">
        <v>-0.05</v>
      </c>
      <c r="E243" s="8">
        <v>6.4000000000000001E-2</v>
      </c>
      <c r="F243" s="8">
        <v>0.05</v>
      </c>
      <c r="G243" s="8">
        <v>0.14000000000000001</v>
      </c>
      <c r="H243" s="8">
        <v>0</v>
      </c>
      <c r="I243" s="8">
        <v>-0.15</v>
      </c>
      <c r="J243" s="8">
        <v>0.1</v>
      </c>
      <c r="K243" s="8">
        <v>-0.1</v>
      </c>
      <c r="L243" s="8"/>
      <c r="M243" s="8">
        <v>0.29399999999999993</v>
      </c>
    </row>
    <row r="244" spans="1:13" x14ac:dyDescent="0.2">
      <c r="A244" s="14" t="s">
        <v>187</v>
      </c>
      <c r="B244" s="8">
        <v>0.24</v>
      </c>
      <c r="C244" s="8">
        <v>0</v>
      </c>
      <c r="D244" s="8">
        <v>-0.05</v>
      </c>
      <c r="E244" s="8">
        <v>6.4000000000000001E-2</v>
      </c>
      <c r="F244" s="8">
        <v>0.05</v>
      </c>
      <c r="G244" s="8">
        <v>0.14000000000000001</v>
      </c>
      <c r="H244" s="8">
        <v>0</v>
      </c>
      <c r="I244" s="8">
        <v>-0.15</v>
      </c>
      <c r="J244" s="8">
        <v>0.1</v>
      </c>
      <c r="K244" s="8">
        <v>-0.1</v>
      </c>
      <c r="L244" s="8"/>
      <c r="M244" s="8">
        <v>0.29399999999999993</v>
      </c>
    </row>
    <row r="245" spans="1:13" x14ac:dyDescent="0.2">
      <c r="A245" s="15" t="s">
        <v>17</v>
      </c>
      <c r="B245" s="8">
        <v>0.12</v>
      </c>
      <c r="C245" s="8">
        <v>0</v>
      </c>
      <c r="D245" s="8">
        <v>0</v>
      </c>
      <c r="E245" s="8">
        <v>6.4000000000000001E-2</v>
      </c>
      <c r="F245" s="8">
        <v>0.05</v>
      </c>
      <c r="G245" s="8">
        <v>0.14000000000000001</v>
      </c>
      <c r="H245" s="8">
        <v>0.11</v>
      </c>
      <c r="I245" s="8">
        <v>0</v>
      </c>
      <c r="J245" s="8">
        <v>0.1</v>
      </c>
      <c r="K245" s="8">
        <v>0</v>
      </c>
      <c r="L245" s="8"/>
      <c r="M245" s="8">
        <v>0.58399999999999996</v>
      </c>
    </row>
    <row r="246" spans="1:13" x14ac:dyDescent="0.2">
      <c r="A246" s="15" t="s">
        <v>18</v>
      </c>
      <c r="B246" s="8">
        <v>0.12</v>
      </c>
      <c r="C246" s="8">
        <v>0</v>
      </c>
      <c r="D246" s="8">
        <v>-0.05</v>
      </c>
      <c r="E246" s="8">
        <v>0</v>
      </c>
      <c r="F246" s="8">
        <v>0</v>
      </c>
      <c r="G246" s="8">
        <v>0</v>
      </c>
      <c r="H246" s="8">
        <v>-0.11</v>
      </c>
      <c r="I246" s="8">
        <v>-0.15</v>
      </c>
      <c r="J246" s="8">
        <v>0</v>
      </c>
      <c r="K246" s="8">
        <v>-0.1</v>
      </c>
      <c r="L246" s="8"/>
      <c r="M246" s="8">
        <v>-0.29000000000000004</v>
      </c>
    </row>
    <row r="247" spans="1:13" x14ac:dyDescent="0.2">
      <c r="A247" s="13" t="s">
        <v>550</v>
      </c>
      <c r="B247" s="8">
        <v>0.24</v>
      </c>
      <c r="C247" s="8">
        <v>0</v>
      </c>
      <c r="D247" s="8">
        <v>-0.05</v>
      </c>
      <c r="E247" s="8">
        <v>-6.4000000000000001E-2</v>
      </c>
      <c r="F247" s="8">
        <v>-0.05</v>
      </c>
      <c r="G247" s="8">
        <v>-0.14000000000000001</v>
      </c>
      <c r="H247" s="8">
        <v>-0.11</v>
      </c>
      <c r="I247" s="8">
        <v>-0.15</v>
      </c>
      <c r="J247" s="8">
        <v>-0.1</v>
      </c>
      <c r="K247" s="8">
        <v>-0.1</v>
      </c>
      <c r="L247" s="8"/>
      <c r="M247" s="8">
        <v>-0.52400000000000002</v>
      </c>
    </row>
    <row r="248" spans="1:13" x14ac:dyDescent="0.2">
      <c r="A248" s="14" t="s">
        <v>187</v>
      </c>
      <c r="B248" s="8">
        <v>0.24</v>
      </c>
      <c r="C248" s="8">
        <v>0</v>
      </c>
      <c r="D248" s="8">
        <v>-0.05</v>
      </c>
      <c r="E248" s="8">
        <v>-6.4000000000000001E-2</v>
      </c>
      <c r="F248" s="8">
        <v>-0.05</v>
      </c>
      <c r="G248" s="8">
        <v>-0.14000000000000001</v>
      </c>
      <c r="H248" s="8">
        <v>-0.11</v>
      </c>
      <c r="I248" s="8">
        <v>-0.15</v>
      </c>
      <c r="J248" s="8">
        <v>-0.1</v>
      </c>
      <c r="K248" s="8">
        <v>-0.1</v>
      </c>
      <c r="L248" s="8"/>
      <c r="M248" s="8">
        <v>-0.52400000000000002</v>
      </c>
    </row>
    <row r="249" spans="1:13" x14ac:dyDescent="0.2">
      <c r="A249" s="15" t="s">
        <v>17</v>
      </c>
      <c r="B249" s="8">
        <v>0.12</v>
      </c>
      <c r="C249" s="8">
        <v>0</v>
      </c>
      <c r="D249" s="8">
        <v>0</v>
      </c>
      <c r="E249" s="8">
        <v>0</v>
      </c>
      <c r="F249" s="8">
        <v>0</v>
      </c>
      <c r="G249" s="8">
        <v>0</v>
      </c>
      <c r="H249" s="8">
        <v>0</v>
      </c>
      <c r="I249" s="8">
        <v>0</v>
      </c>
      <c r="J249" s="8">
        <v>0</v>
      </c>
      <c r="K249" s="8">
        <v>0</v>
      </c>
      <c r="L249" s="8"/>
      <c r="M249" s="8">
        <v>0.12</v>
      </c>
    </row>
    <row r="250" spans="1:13" x14ac:dyDescent="0.2">
      <c r="A250" s="15" t="s">
        <v>18</v>
      </c>
      <c r="B250" s="8">
        <v>0.12</v>
      </c>
      <c r="C250" s="8">
        <v>0</v>
      </c>
      <c r="D250" s="8">
        <v>-0.05</v>
      </c>
      <c r="E250" s="8">
        <v>-6.4000000000000001E-2</v>
      </c>
      <c r="F250" s="8">
        <v>-0.05</v>
      </c>
      <c r="G250" s="8">
        <v>-0.14000000000000001</v>
      </c>
      <c r="H250" s="8">
        <v>-0.11</v>
      </c>
      <c r="I250" s="8">
        <v>-0.15</v>
      </c>
      <c r="J250" s="8">
        <v>-0.1</v>
      </c>
      <c r="K250" s="8">
        <v>-0.1</v>
      </c>
      <c r="L250" s="8"/>
      <c r="M250" s="8">
        <v>-0.64400000000000002</v>
      </c>
    </row>
    <row r="251" spans="1:13" x14ac:dyDescent="0.2">
      <c r="A251" s="13" t="s">
        <v>94</v>
      </c>
      <c r="B251" s="8">
        <v>11.399999999999984</v>
      </c>
      <c r="C251" s="8">
        <v>3.2299999999999991</v>
      </c>
      <c r="D251" s="8">
        <v>-1.1000000000000003</v>
      </c>
      <c r="E251" s="8">
        <v>4.6080000000000032</v>
      </c>
      <c r="F251" s="8">
        <v>4.499999999999992</v>
      </c>
      <c r="G251" s="8">
        <v>4.0600000000000023</v>
      </c>
      <c r="H251" s="8">
        <v>1.6500000000000004</v>
      </c>
      <c r="I251" s="8">
        <v>3.4499999999999993</v>
      </c>
      <c r="J251" s="8">
        <v>2.5000000000000009</v>
      </c>
      <c r="K251" s="8">
        <v>3.0000000000000013</v>
      </c>
      <c r="L251" s="8">
        <v>0</v>
      </c>
      <c r="M251" s="8">
        <v>37.297999999999988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0D8A-5D22-6F4C-86B7-EFEA458BC600}">
  <dimension ref="A1:AH3094"/>
  <sheetViews>
    <sheetView tabSelected="1" topLeftCell="A2122" zoomScale="75" zoomScaleNormal="75" workbookViewId="0">
      <selection activeCell="N2150" sqref="N2150"/>
    </sheetView>
  </sheetViews>
  <sheetFormatPr baseColWidth="10" defaultRowHeight="16" x14ac:dyDescent="0.2"/>
  <cols>
    <col min="1" max="1" width="9.83203125" customWidth="1"/>
    <col min="2" max="2" width="11.83203125" customWidth="1"/>
    <col min="3" max="3" width="14.5" customWidth="1"/>
    <col min="5" max="5" width="19.33203125" customWidth="1"/>
    <col min="6" max="6" width="13.6640625" customWidth="1"/>
    <col min="7" max="7" width="14.5" customWidth="1"/>
    <col min="9" max="9" width="14.6640625" customWidth="1"/>
    <col min="10" max="10" width="17.1640625" customWidth="1"/>
    <col min="11" max="11" width="16.33203125" customWidth="1"/>
    <col min="12" max="12" width="13.33203125" customWidth="1"/>
    <col min="13" max="13" width="13.1640625" customWidth="1"/>
    <col min="16" max="18" width="10.83203125" customWidth="1"/>
    <col min="19" max="22" width="10.83203125" hidden="1" customWidth="1"/>
    <col min="23" max="25" width="0" hidden="1" customWidth="1"/>
    <col min="34" max="34" width="91.6640625" customWidth="1"/>
  </cols>
  <sheetData>
    <row r="1" spans="1:29" x14ac:dyDescent="0.2">
      <c r="O1" s="6"/>
      <c r="P1" s="6"/>
      <c r="Q1" s="6"/>
      <c r="R1" s="6"/>
      <c r="S1" s="6"/>
    </row>
    <row r="2" spans="1:29" x14ac:dyDescent="0.2">
      <c r="O2" s="6"/>
      <c r="P2" s="6"/>
      <c r="Q2" s="6"/>
    </row>
    <row r="5" spans="1:29" ht="17" thickBot="1" x14ac:dyDescent="0.25">
      <c r="A5" s="62" t="s">
        <v>570</v>
      </c>
      <c r="B5" s="62" t="s">
        <v>2</v>
      </c>
      <c r="C5" s="63" t="s">
        <v>3</v>
      </c>
      <c r="D5" s="63" t="s">
        <v>4</v>
      </c>
      <c r="E5" s="63" t="s">
        <v>101</v>
      </c>
      <c r="F5" s="63" t="s">
        <v>12</v>
      </c>
      <c r="G5" s="63" t="s">
        <v>7</v>
      </c>
      <c r="H5" s="63" t="s">
        <v>6</v>
      </c>
      <c r="I5" s="63" t="s">
        <v>13</v>
      </c>
      <c r="J5" s="63" t="s">
        <v>8</v>
      </c>
      <c r="K5" s="63" t="s">
        <v>43</v>
      </c>
      <c r="L5" s="63" t="s">
        <v>9</v>
      </c>
      <c r="M5" s="63" t="s">
        <v>29</v>
      </c>
      <c r="N5" s="63" t="s">
        <v>10</v>
      </c>
      <c r="Q5" t="s">
        <v>682</v>
      </c>
      <c r="AB5" t="s">
        <v>43</v>
      </c>
      <c r="AC5" t="s">
        <v>9</v>
      </c>
    </row>
    <row r="6" spans="1:29" x14ac:dyDescent="0.2">
      <c r="A6" s="29" t="s">
        <v>14</v>
      </c>
      <c r="B6" s="29" t="s">
        <v>1</v>
      </c>
      <c r="C6" s="29" t="s">
        <v>15</v>
      </c>
      <c r="D6" s="29" t="s">
        <v>5</v>
      </c>
      <c r="E6" s="30" t="s">
        <v>102</v>
      </c>
      <c r="F6" s="30" t="s">
        <v>16</v>
      </c>
      <c r="G6" s="29">
        <v>1</v>
      </c>
      <c r="H6" s="29" t="s">
        <v>17</v>
      </c>
      <c r="I6" s="29" t="s">
        <v>19</v>
      </c>
      <c r="J6" s="29">
        <v>1</v>
      </c>
      <c r="K6" s="31">
        <f>AB6/COUNTIFS($B:$B,$B6,$C:$C,$C6,$H:$H,$H6,$I:$I,$I6)</f>
        <v>0.12</v>
      </c>
      <c r="L6" s="32">
        <f t="shared" ref="L6:L69" si="0">AC6</f>
        <v>1</v>
      </c>
      <c r="M6" s="33">
        <f t="shared" ref="M6:M27" si="1">J6*K6*L6</f>
        <v>0.12</v>
      </c>
      <c r="N6" s="29"/>
      <c r="O6">
        <f>tScores[[#This Row],[Raw_Rating_Text]]+J8+J10+J12+J14+J16+J18+J20+J22+J24+J26</f>
        <v>9</v>
      </c>
      <c r="P6" s="8">
        <f t="shared" ref="P6:Q6" si="2">K6+K8+K10+K12+K14+K16+K18+K20+K22+K24+K26</f>
        <v>1</v>
      </c>
      <c r="Q6" s="8">
        <f t="shared" si="2"/>
        <v>10.5</v>
      </c>
      <c r="R6" s="8">
        <f>M6+M8+M10+M12+M14+M16+M18+M20+M22+M24+M26</f>
        <v>0.78649999999999998</v>
      </c>
      <c r="AA6" s="137">
        <f>AB6/COUNTIFS($B:$B,$B6,$C:$C,$C6,$H:$H,$H6,$I:$I,$I6)</f>
        <v>0.12</v>
      </c>
      <c r="AB6" s="138">
        <f>VLOOKUP(I6,'Weights and Confidence'!$D$16:$AC$26,3,FALSE)</f>
        <v>0.12</v>
      </c>
      <c r="AC6" s="139">
        <f>VLOOKUP(I6,'Weights and Confidence'!$D$16:$AC$26,4,FALSE)</f>
        <v>1</v>
      </c>
    </row>
    <row r="7" spans="1:29" x14ac:dyDescent="0.2">
      <c r="A7" s="34" t="s">
        <v>14</v>
      </c>
      <c r="B7" s="34" t="s">
        <v>1</v>
      </c>
      <c r="C7" s="34" t="s">
        <v>15</v>
      </c>
      <c r="D7" s="34" t="s">
        <v>5</v>
      </c>
      <c r="E7" s="34" t="s">
        <v>102</v>
      </c>
      <c r="F7" s="34" t="s">
        <v>16</v>
      </c>
      <c r="G7" s="34">
        <v>1</v>
      </c>
      <c r="H7" s="34" t="s">
        <v>18</v>
      </c>
      <c r="I7" s="34" t="s">
        <v>19</v>
      </c>
      <c r="J7" s="34">
        <v>1</v>
      </c>
      <c r="K7" s="35">
        <f>AB7/COUNTIFS($B:$B,$B7,$C:$C,$C7,$H:$H,$H7,$I:$I,$I7)</f>
        <v>0.12</v>
      </c>
      <c r="L7" s="36">
        <f t="shared" si="0"/>
        <v>1</v>
      </c>
      <c r="M7" s="37">
        <f t="shared" si="1"/>
        <v>0.12</v>
      </c>
      <c r="N7" s="34"/>
      <c r="O7">
        <f>tScores[[#This Row],[Raw_Rating_Text]]+J9+J11+J13+J15+J17+J19+J21+J23+J25+J27</f>
        <v>10</v>
      </c>
      <c r="P7" s="8">
        <f t="shared" ref="P7:Q7" si="3">K7+K9+K11+K13+K15+K17+K19+K21+K23+K25+K27</f>
        <v>1</v>
      </c>
      <c r="Q7" s="8">
        <f t="shared" si="3"/>
        <v>10.5</v>
      </c>
      <c r="R7" s="8">
        <f>M7+M9+M11+M13+M15+M17+M19+M21+M23+M25+M27</f>
        <v>0.91899999999999993</v>
      </c>
      <c r="AA7" s="137">
        <f>AB7/COUNTIFS($B:$B,$B7,$C:$C,$C7,$H:$H,$H7,$I:$I,$I7)</f>
        <v>0.12</v>
      </c>
      <c r="AB7" s="138">
        <f>VLOOKUP(I7,'Weights and Confidence'!$D$16:$AC$26,3,FALSE)</f>
        <v>0.12</v>
      </c>
      <c r="AC7" s="139">
        <f>VLOOKUP(I7,'Weights and Confidence'!$D$16:$AC$26,4,FALSE)</f>
        <v>1</v>
      </c>
    </row>
    <row r="8" spans="1:29" x14ac:dyDescent="0.2">
      <c r="A8" s="38" t="s">
        <v>14</v>
      </c>
      <c r="B8" s="38" t="s">
        <v>1</v>
      </c>
      <c r="C8" s="38" t="s">
        <v>15</v>
      </c>
      <c r="D8" s="38" t="s">
        <v>5</v>
      </c>
      <c r="E8" s="38" t="s">
        <v>102</v>
      </c>
      <c r="F8" s="38" t="s">
        <v>16</v>
      </c>
      <c r="G8" s="38">
        <v>2</v>
      </c>
      <c r="H8" s="38" t="s">
        <v>17</v>
      </c>
      <c r="I8" s="38" t="s">
        <v>20</v>
      </c>
      <c r="J8" s="38">
        <v>1</v>
      </c>
      <c r="K8" s="39">
        <f>AB8/COUNTIFS($B:$B,$B8,$C:$C,$C8,$H:$H,$H8,$I:$I,$I8)</f>
        <v>0.08</v>
      </c>
      <c r="L8" s="40">
        <f t="shared" si="0"/>
        <v>0.8</v>
      </c>
      <c r="M8" s="41">
        <f t="shared" si="1"/>
        <v>6.4000000000000001E-2</v>
      </c>
      <c r="N8" s="38"/>
      <c r="AA8" s="137">
        <f>AB8/COUNTIFS($B:$B,$B8,$C:$C,$C8,$H:$H,$H8,$I:$I,$I8)</f>
        <v>0.08</v>
      </c>
      <c r="AB8" s="138">
        <f>VLOOKUP(I8,'Weights and Confidence'!$D$16:$AC$26,3,FALSE)</f>
        <v>0.08</v>
      </c>
      <c r="AC8" s="139">
        <f>VLOOKUP(I8,'Weights and Confidence'!$D$16:$AC$26,4,FALSE)</f>
        <v>0.8</v>
      </c>
    </row>
    <row r="9" spans="1:29" x14ac:dyDescent="0.2">
      <c r="A9" s="34" t="s">
        <v>14</v>
      </c>
      <c r="B9" s="34" t="s">
        <v>1</v>
      </c>
      <c r="C9" s="34" t="s">
        <v>15</v>
      </c>
      <c r="D9" s="34" t="s">
        <v>5</v>
      </c>
      <c r="E9" s="34" t="s">
        <v>102</v>
      </c>
      <c r="F9" s="34" t="s">
        <v>16</v>
      </c>
      <c r="G9" s="34">
        <v>2</v>
      </c>
      <c r="H9" s="34" t="s">
        <v>18</v>
      </c>
      <c r="I9" s="34" t="s">
        <v>20</v>
      </c>
      <c r="J9" s="34">
        <v>1</v>
      </c>
      <c r="K9" s="35">
        <f>AB9/COUNTIFS($B:$B,$B9,$C:$C,$C9,$H:$H,$H9,$I:$I,$I9)</f>
        <v>0.08</v>
      </c>
      <c r="L9" s="36">
        <f t="shared" si="0"/>
        <v>0.8</v>
      </c>
      <c r="M9" s="37">
        <f t="shared" si="1"/>
        <v>6.4000000000000001E-2</v>
      </c>
      <c r="N9" s="34"/>
      <c r="AA9" s="137">
        <f>AB9/COUNTIFS($B:$B,$B9,$C:$C,$C9,$H:$H,$H9,$I:$I,$I9)</f>
        <v>0.08</v>
      </c>
      <c r="AB9" s="138">
        <f>VLOOKUP(I9,'Weights and Confidence'!$D$16:$AC$26,3,FALSE)</f>
        <v>0.08</v>
      </c>
      <c r="AC9" s="139">
        <f>VLOOKUP(I9,'Weights and Confidence'!$D$16:$AC$26,4,FALSE)</f>
        <v>0.8</v>
      </c>
    </row>
    <row r="10" spans="1:29" x14ac:dyDescent="0.2">
      <c r="A10" s="38" t="s">
        <v>14</v>
      </c>
      <c r="B10" s="38" t="s">
        <v>1</v>
      </c>
      <c r="C10" s="38" t="s">
        <v>15</v>
      </c>
      <c r="D10" s="38" t="s">
        <v>5</v>
      </c>
      <c r="E10" s="38" t="s">
        <v>102</v>
      </c>
      <c r="F10" s="38" t="s">
        <v>16</v>
      </c>
      <c r="G10" s="38">
        <v>3</v>
      </c>
      <c r="H10" s="38" t="s">
        <v>17</v>
      </c>
      <c r="I10" s="38" t="s">
        <v>21</v>
      </c>
      <c r="J10" s="38">
        <v>1</v>
      </c>
      <c r="K10" s="35">
        <f>AB10/COUNTIFS($B:$B,$B10,$C:$C,$C10,$H:$H,$H10,$I:$I,$I10)</f>
        <v>0.05</v>
      </c>
      <c r="L10" s="40">
        <f t="shared" si="0"/>
        <v>1</v>
      </c>
      <c r="M10" s="41">
        <f t="shared" si="1"/>
        <v>0.05</v>
      </c>
      <c r="N10" s="38"/>
      <c r="AA10" s="137">
        <f>AB10/COUNTIFS($B:$B,$B10,$C:$C,$C10,$H:$H,$H10,$I:$I,$I10)</f>
        <v>0.05</v>
      </c>
      <c r="AB10" s="138">
        <f>VLOOKUP(I10,'Weights and Confidence'!$D$16:$AC$26,3,FALSE)</f>
        <v>0.05</v>
      </c>
      <c r="AC10" s="139">
        <f>VLOOKUP(I10,'Weights and Confidence'!$D$16:$AC$26,4,FALSE)</f>
        <v>1</v>
      </c>
    </row>
    <row r="11" spans="1:29" x14ac:dyDescent="0.2">
      <c r="A11" s="34" t="s">
        <v>14</v>
      </c>
      <c r="B11" s="34" t="s">
        <v>1</v>
      </c>
      <c r="C11" s="34" t="s">
        <v>15</v>
      </c>
      <c r="D11" s="34" t="s">
        <v>5</v>
      </c>
      <c r="E11" s="34" t="s">
        <v>102</v>
      </c>
      <c r="F11" s="34" t="s">
        <v>16</v>
      </c>
      <c r="G11" s="34">
        <v>3</v>
      </c>
      <c r="H11" s="34" t="s">
        <v>18</v>
      </c>
      <c r="I11" s="34" t="s">
        <v>21</v>
      </c>
      <c r="J11" s="34">
        <v>1</v>
      </c>
      <c r="K11" s="35">
        <f>AB11/COUNTIFS($B:$B,$B11,$C:$C,$C11,$H:$H,$H11,$I:$I,$I11)</f>
        <v>0.05</v>
      </c>
      <c r="L11" s="36">
        <f t="shared" si="0"/>
        <v>1</v>
      </c>
      <c r="M11" s="37">
        <f t="shared" si="1"/>
        <v>0.05</v>
      </c>
      <c r="N11" s="34"/>
      <c r="R11" s="7"/>
      <c r="AA11" s="137">
        <f>AB11/COUNTIFS($B:$B,$B11,$C:$C,$C11,$H:$H,$H11,$I:$I,$I11)</f>
        <v>0.05</v>
      </c>
      <c r="AB11" s="138">
        <f>VLOOKUP(I11,'Weights and Confidence'!$D$16:$AC$26,3,FALSE)</f>
        <v>0.05</v>
      </c>
      <c r="AC11" s="139">
        <f>VLOOKUP(I11,'Weights and Confidence'!$D$16:$AC$26,4,FALSE)</f>
        <v>1</v>
      </c>
    </row>
    <row r="12" spans="1:29" x14ac:dyDescent="0.2">
      <c r="A12" s="38" t="s">
        <v>14</v>
      </c>
      <c r="B12" s="38" t="s">
        <v>1</v>
      </c>
      <c r="C12" s="38" t="s">
        <v>15</v>
      </c>
      <c r="D12" s="38" t="s">
        <v>5</v>
      </c>
      <c r="E12" s="38" t="s">
        <v>102</v>
      </c>
      <c r="F12" s="38" t="s">
        <v>16</v>
      </c>
      <c r="G12" s="38">
        <v>4</v>
      </c>
      <c r="H12" s="38" t="s">
        <v>17</v>
      </c>
      <c r="I12" s="38" t="s">
        <v>22</v>
      </c>
      <c r="J12" s="38">
        <v>0</v>
      </c>
      <c r="K12" s="39">
        <f>AB12/COUNTIFS($B:$B,$B12,$C:$C,$C12,$H:$H,$H12,$I:$I,$I12)</f>
        <v>0.14000000000000001</v>
      </c>
      <c r="L12" s="40">
        <f t="shared" si="0"/>
        <v>1</v>
      </c>
      <c r="M12" s="41">
        <f t="shared" si="1"/>
        <v>0</v>
      </c>
      <c r="N12" s="38"/>
      <c r="R12" s="7"/>
      <c r="AA12" s="137">
        <f>AB12/COUNTIFS($B:$B,$B12,$C:$C,$C12,$H:$H,$H12,$I:$I,$I12)</f>
        <v>0.14000000000000001</v>
      </c>
      <c r="AB12" s="138">
        <f>VLOOKUP(I12,'Weights and Confidence'!$D$16:$AC$26,3,FALSE)</f>
        <v>0.14000000000000001</v>
      </c>
      <c r="AC12" s="139">
        <f>VLOOKUP(I12,'Weights and Confidence'!$D$16:$AC$26,4,FALSE)</f>
        <v>1</v>
      </c>
    </row>
    <row r="13" spans="1:29" x14ac:dyDescent="0.2">
      <c r="A13" s="34" t="s">
        <v>14</v>
      </c>
      <c r="B13" s="34" t="s">
        <v>1</v>
      </c>
      <c r="C13" s="34" t="s">
        <v>15</v>
      </c>
      <c r="D13" s="34" t="s">
        <v>5</v>
      </c>
      <c r="E13" s="34" t="s">
        <v>102</v>
      </c>
      <c r="F13" s="34" t="s">
        <v>16</v>
      </c>
      <c r="G13" s="34">
        <v>4</v>
      </c>
      <c r="H13" s="34" t="s">
        <v>18</v>
      </c>
      <c r="I13" s="34" t="s">
        <v>22</v>
      </c>
      <c r="J13" s="34">
        <v>1</v>
      </c>
      <c r="K13" s="35">
        <f>AB13/COUNTIFS($B:$B,$B13,$C:$C,$C13,$H:$H,$H13,$I:$I,$I13)</f>
        <v>0.14000000000000001</v>
      </c>
      <c r="L13" s="36">
        <f t="shared" si="0"/>
        <v>1</v>
      </c>
      <c r="M13" s="37">
        <f t="shared" si="1"/>
        <v>0.14000000000000001</v>
      </c>
      <c r="N13" s="34"/>
      <c r="R13" s="7"/>
      <c r="AA13" s="137">
        <f>AB13/COUNTIFS($B:$B,$B13,$C:$C,$C13,$H:$H,$H13,$I:$I,$I13)</f>
        <v>0.14000000000000001</v>
      </c>
      <c r="AB13" s="138">
        <f>VLOOKUP(I13,'Weights and Confidence'!$D$16:$AC$26,3,FALSE)</f>
        <v>0.14000000000000001</v>
      </c>
      <c r="AC13" s="139">
        <f>VLOOKUP(I13,'Weights and Confidence'!$D$16:$AC$26,4,FALSE)</f>
        <v>1</v>
      </c>
    </row>
    <row r="14" spans="1:29" x14ac:dyDescent="0.2">
      <c r="A14" s="38" t="s">
        <v>14</v>
      </c>
      <c r="B14" s="38" t="s">
        <v>1</v>
      </c>
      <c r="C14" s="38" t="s">
        <v>15</v>
      </c>
      <c r="D14" s="38" t="s">
        <v>5</v>
      </c>
      <c r="E14" s="38" t="s">
        <v>102</v>
      </c>
      <c r="F14" s="38" t="s">
        <v>16</v>
      </c>
      <c r="G14" s="38">
        <v>5</v>
      </c>
      <c r="H14" s="38" t="s">
        <v>17</v>
      </c>
      <c r="I14" s="38" t="s">
        <v>23</v>
      </c>
      <c r="J14" s="38">
        <v>1</v>
      </c>
      <c r="K14" s="39">
        <f>AB14/COUNTIFS($B:$B,$B14,$C:$C,$C14,$H:$H,$H14,$I:$I,$I14)</f>
        <v>0.11</v>
      </c>
      <c r="L14" s="40">
        <f t="shared" si="0"/>
        <v>1</v>
      </c>
      <c r="M14" s="41">
        <f t="shared" si="1"/>
        <v>0.11</v>
      </c>
      <c r="N14" s="38"/>
      <c r="R14" s="7"/>
      <c r="AA14" s="137">
        <f>AB14/COUNTIFS($B:$B,$B14,$C:$C,$C14,$H:$H,$H14,$I:$I,$I14)</f>
        <v>0.11</v>
      </c>
      <c r="AB14" s="138">
        <f>VLOOKUP(I14,'Weights and Confidence'!$D$16:$AC$26,3,FALSE)</f>
        <v>0.11</v>
      </c>
      <c r="AC14" s="139">
        <f>VLOOKUP(I14,'Weights and Confidence'!$D$16:$AC$26,4,FALSE)</f>
        <v>1</v>
      </c>
    </row>
    <row r="15" spans="1:29" x14ac:dyDescent="0.2">
      <c r="A15" s="34" t="s">
        <v>14</v>
      </c>
      <c r="B15" s="34" t="s">
        <v>1</v>
      </c>
      <c r="C15" s="34" t="s">
        <v>15</v>
      </c>
      <c r="D15" s="34" t="s">
        <v>5</v>
      </c>
      <c r="E15" s="34" t="s">
        <v>102</v>
      </c>
      <c r="F15" s="34" t="s">
        <v>16</v>
      </c>
      <c r="G15" s="34">
        <v>5</v>
      </c>
      <c r="H15" s="34" t="s">
        <v>18</v>
      </c>
      <c r="I15" s="34" t="s">
        <v>23</v>
      </c>
      <c r="J15" s="34">
        <v>1</v>
      </c>
      <c r="K15" s="35">
        <f>AB15/COUNTIFS($B:$B,$B15,$C:$C,$C15,$H:$H,$H15,$I:$I,$I15)</f>
        <v>0.11</v>
      </c>
      <c r="L15" s="36">
        <f t="shared" si="0"/>
        <v>1</v>
      </c>
      <c r="M15" s="37">
        <f t="shared" si="1"/>
        <v>0.11</v>
      </c>
      <c r="N15" s="34"/>
      <c r="R15" s="7"/>
      <c r="AA15" s="137">
        <f>AB15/COUNTIFS($B:$B,$B15,$C:$C,$C15,$H:$H,$H15,$I:$I,$I15)</f>
        <v>0.11</v>
      </c>
      <c r="AB15" s="138">
        <f>VLOOKUP(I15,'Weights and Confidence'!$D$16:$AC$26,3,FALSE)</f>
        <v>0.11</v>
      </c>
      <c r="AC15" s="139">
        <f>VLOOKUP(I15,'Weights and Confidence'!$D$16:$AC$26,4,FALSE)</f>
        <v>1</v>
      </c>
    </row>
    <row r="16" spans="1:29" x14ac:dyDescent="0.2">
      <c r="A16" s="38" t="s">
        <v>14</v>
      </c>
      <c r="B16" s="38" t="s">
        <v>1</v>
      </c>
      <c r="C16" s="38" t="s">
        <v>15</v>
      </c>
      <c r="D16" s="38" t="s">
        <v>5</v>
      </c>
      <c r="E16" s="38" t="s">
        <v>102</v>
      </c>
      <c r="F16" s="38" t="s">
        <v>16</v>
      </c>
      <c r="G16" s="38">
        <v>6</v>
      </c>
      <c r="H16" s="38" t="s">
        <v>17</v>
      </c>
      <c r="I16" s="38" t="s">
        <v>24</v>
      </c>
      <c r="J16" s="38">
        <v>1</v>
      </c>
      <c r="K16" s="39">
        <f>AB16/COUNTIFS($B:$B,$B16,$C:$C,$C16,$H:$H,$H16,$I:$I,$I16)</f>
        <v>0.15</v>
      </c>
      <c r="L16" s="40">
        <f t="shared" si="0"/>
        <v>1</v>
      </c>
      <c r="M16" s="41">
        <f t="shared" si="1"/>
        <v>0.15</v>
      </c>
      <c r="N16" s="38"/>
      <c r="R16" s="7"/>
      <c r="AA16" s="137">
        <f>AB16/COUNTIFS($B:$B,$B16,$C:$C,$C16,$H:$H,$H16,$I:$I,$I16)</f>
        <v>0.15</v>
      </c>
      <c r="AB16" s="138">
        <f>VLOOKUP(I16,'Weights and Confidence'!$D$16:$AC$26,3,FALSE)</f>
        <v>0.15</v>
      </c>
      <c r="AC16" s="139">
        <f>VLOOKUP(I16,'Weights and Confidence'!$D$16:$AC$26,4,FALSE)</f>
        <v>1</v>
      </c>
    </row>
    <row r="17" spans="1:29" x14ac:dyDescent="0.2">
      <c r="A17" s="34" t="s">
        <v>14</v>
      </c>
      <c r="B17" s="34" t="s">
        <v>1</v>
      </c>
      <c r="C17" s="34" t="s">
        <v>15</v>
      </c>
      <c r="D17" s="34" t="s">
        <v>5</v>
      </c>
      <c r="E17" s="34" t="s">
        <v>102</v>
      </c>
      <c r="F17" s="34" t="s">
        <v>16</v>
      </c>
      <c r="G17" s="34">
        <v>6</v>
      </c>
      <c r="H17" s="34" t="s">
        <v>18</v>
      </c>
      <c r="I17" s="34" t="s">
        <v>24</v>
      </c>
      <c r="J17" s="34">
        <v>1</v>
      </c>
      <c r="K17" s="35">
        <f>AB17/COUNTIFS($B:$B,$B17,$C:$C,$C17,$H:$H,$H17,$I:$I,$I17)</f>
        <v>0.15</v>
      </c>
      <c r="L17" s="36">
        <f t="shared" si="0"/>
        <v>1</v>
      </c>
      <c r="M17" s="37">
        <f t="shared" si="1"/>
        <v>0.15</v>
      </c>
      <c r="N17" s="34"/>
      <c r="R17" s="7"/>
      <c r="AA17" s="137">
        <f>AB17/COUNTIFS($B:$B,$B17,$C:$C,$C17,$H:$H,$H17,$I:$I,$I17)</f>
        <v>0.15</v>
      </c>
      <c r="AB17" s="138">
        <f>VLOOKUP(I17,'Weights and Confidence'!$D$16:$AC$26,3,FALSE)</f>
        <v>0.15</v>
      </c>
      <c r="AC17" s="139">
        <f>VLOOKUP(I17,'Weights and Confidence'!$D$16:$AC$26,4,FALSE)</f>
        <v>1</v>
      </c>
    </row>
    <row r="18" spans="1:29" x14ac:dyDescent="0.2">
      <c r="A18" s="38" t="s">
        <v>14</v>
      </c>
      <c r="B18" s="38" t="s">
        <v>1</v>
      </c>
      <c r="C18" s="38" t="s">
        <v>15</v>
      </c>
      <c r="D18" s="38" t="s">
        <v>5</v>
      </c>
      <c r="E18" s="38" t="s">
        <v>102</v>
      </c>
      <c r="F18" s="38" t="s">
        <v>16</v>
      </c>
      <c r="G18" s="38">
        <v>7</v>
      </c>
      <c r="H18" s="38" t="s">
        <v>17</v>
      </c>
      <c r="I18" s="38" t="s">
        <v>25</v>
      </c>
      <c r="J18" s="38">
        <v>1</v>
      </c>
      <c r="K18" s="39">
        <f>AB18/COUNTIFS($B:$B,$B18,$C:$C,$C18,$H:$H,$H18,$I:$I,$I18)</f>
        <v>0.1</v>
      </c>
      <c r="L18" s="40">
        <f t="shared" si="0"/>
        <v>1</v>
      </c>
      <c r="M18" s="41">
        <f t="shared" si="1"/>
        <v>0.1</v>
      </c>
      <c r="N18" s="38"/>
      <c r="R18" s="7"/>
      <c r="AA18" s="137">
        <f>AB18/COUNTIFS($B:$B,$B18,$C:$C,$C18,$H:$H,$H18,$I:$I,$I18)</f>
        <v>0.1</v>
      </c>
      <c r="AB18" s="138">
        <f>VLOOKUP(I18,'Weights and Confidence'!$D$16:$AC$26,3,FALSE)</f>
        <v>0.1</v>
      </c>
      <c r="AC18" s="139">
        <f>VLOOKUP(I18,'Weights and Confidence'!$D$16:$AC$26,4,FALSE)</f>
        <v>1</v>
      </c>
    </row>
    <row r="19" spans="1:29" x14ac:dyDescent="0.2">
      <c r="A19" s="34" t="s">
        <v>14</v>
      </c>
      <c r="B19" s="34" t="s">
        <v>1</v>
      </c>
      <c r="C19" s="34" t="s">
        <v>15</v>
      </c>
      <c r="D19" s="34" t="s">
        <v>5</v>
      </c>
      <c r="E19" s="34" t="s">
        <v>102</v>
      </c>
      <c r="F19" s="34" t="s">
        <v>16</v>
      </c>
      <c r="G19" s="34">
        <v>7</v>
      </c>
      <c r="H19" s="34" t="s">
        <v>18</v>
      </c>
      <c r="I19" s="34" t="s">
        <v>25</v>
      </c>
      <c r="J19" s="34">
        <v>1</v>
      </c>
      <c r="K19" s="35">
        <f>AB19/COUNTIFS($B:$B,$B19,$C:$C,$C19,$H:$H,$H19,$I:$I,$I19)</f>
        <v>0.1</v>
      </c>
      <c r="L19" s="36">
        <f t="shared" si="0"/>
        <v>1</v>
      </c>
      <c r="M19" s="37">
        <f t="shared" si="1"/>
        <v>0.1</v>
      </c>
      <c r="N19" s="34"/>
      <c r="R19" s="7"/>
      <c r="AA19" s="137">
        <f>AB19/COUNTIFS($B:$B,$B19,$C:$C,$C19,$H:$H,$H19,$I:$I,$I19)</f>
        <v>0.1</v>
      </c>
      <c r="AB19" s="138">
        <f>VLOOKUP(I19,'Weights and Confidence'!$D$16:$AC$26,3,FALSE)</f>
        <v>0.1</v>
      </c>
      <c r="AC19" s="139">
        <f>VLOOKUP(I19,'Weights and Confidence'!$D$16:$AC$26,4,FALSE)</f>
        <v>1</v>
      </c>
    </row>
    <row r="20" spans="1:29" x14ac:dyDescent="0.2">
      <c r="A20" s="38" t="s">
        <v>14</v>
      </c>
      <c r="B20" s="38" t="s">
        <v>1</v>
      </c>
      <c r="C20" s="38" t="s">
        <v>15</v>
      </c>
      <c r="D20" s="38" t="s">
        <v>5</v>
      </c>
      <c r="E20" s="38" t="s">
        <v>102</v>
      </c>
      <c r="F20" s="38" t="s">
        <v>16</v>
      </c>
      <c r="G20" s="38">
        <v>8</v>
      </c>
      <c r="H20" s="38" t="s">
        <v>17</v>
      </c>
      <c r="I20" s="38" t="s">
        <v>26</v>
      </c>
      <c r="J20" s="38">
        <v>1</v>
      </c>
      <c r="K20" s="39">
        <f>AB20/COUNTIFS($B:$B,$B20,$C:$C,$C20,$H:$H,$H20,$I:$I,$I20)</f>
        <v>0.1</v>
      </c>
      <c r="L20" s="40">
        <f t="shared" si="0"/>
        <v>1</v>
      </c>
      <c r="M20" s="41">
        <f t="shared" si="1"/>
        <v>0.1</v>
      </c>
      <c r="N20" s="38"/>
      <c r="R20" s="7"/>
      <c r="AA20" s="137">
        <f>AB20/COUNTIFS($B:$B,$B20,$C:$C,$C20,$H:$H,$H20,$I:$I,$I20)</f>
        <v>0.1</v>
      </c>
      <c r="AB20" s="138">
        <f>VLOOKUP(I20,'Weights and Confidence'!$D$16:$AC$26,3,FALSE)</f>
        <v>0.1</v>
      </c>
      <c r="AC20" s="139">
        <f>VLOOKUP(I20,'Weights and Confidence'!$D$16:$AC$26,4,FALSE)</f>
        <v>1</v>
      </c>
    </row>
    <row r="21" spans="1:29" x14ac:dyDescent="0.2">
      <c r="A21" s="34" t="s">
        <v>14</v>
      </c>
      <c r="B21" s="34" t="s">
        <v>1</v>
      </c>
      <c r="C21" s="34" t="s">
        <v>15</v>
      </c>
      <c r="D21" s="34" t="s">
        <v>5</v>
      </c>
      <c r="E21" s="34" t="s">
        <v>102</v>
      </c>
      <c r="F21" s="34" t="s">
        <v>16</v>
      </c>
      <c r="G21" s="34">
        <v>8</v>
      </c>
      <c r="H21" s="34" t="s">
        <v>18</v>
      </c>
      <c r="I21" s="34" t="s">
        <v>26</v>
      </c>
      <c r="J21" s="34">
        <v>1</v>
      </c>
      <c r="K21" s="35">
        <f>AB21/COUNTIFS($B:$B,$B21,$C:$C,$C21,$H:$H,$H21,$I:$I,$I21)</f>
        <v>0.1</v>
      </c>
      <c r="L21" s="36">
        <f t="shared" si="0"/>
        <v>1</v>
      </c>
      <c r="M21" s="37">
        <f t="shared" si="1"/>
        <v>0.1</v>
      </c>
      <c r="N21" s="34"/>
      <c r="R21" s="7"/>
      <c r="AA21" s="137">
        <f>AB21/COUNTIFS($B:$B,$B21,$C:$C,$C21,$H:$H,$H21,$I:$I,$I21)</f>
        <v>0.1</v>
      </c>
      <c r="AB21" s="138">
        <f>VLOOKUP(I21,'Weights and Confidence'!$D$16:$AC$26,3,FALSE)</f>
        <v>0.1</v>
      </c>
      <c r="AC21" s="139">
        <f>VLOOKUP(I21,'Weights and Confidence'!$D$16:$AC$26,4,FALSE)</f>
        <v>1</v>
      </c>
    </row>
    <row r="22" spans="1:29" x14ac:dyDescent="0.2">
      <c r="A22" s="38" t="s">
        <v>14</v>
      </c>
      <c r="B22" s="38" t="s">
        <v>1</v>
      </c>
      <c r="C22" s="38" t="s">
        <v>15</v>
      </c>
      <c r="D22" s="38" t="s">
        <v>5</v>
      </c>
      <c r="E22" s="38" t="s">
        <v>102</v>
      </c>
      <c r="F22" s="38" t="s">
        <v>16</v>
      </c>
      <c r="G22" s="38">
        <v>9</v>
      </c>
      <c r="H22" s="38" t="s">
        <v>17</v>
      </c>
      <c r="I22" s="38" t="s">
        <v>27</v>
      </c>
      <c r="J22" s="38">
        <v>1</v>
      </c>
      <c r="K22" s="39">
        <f>AB22/COUNTIFS($B:$B,$B22,$C:$C,$C22,$H:$H,$H22,$I:$I,$I22)</f>
        <v>0.05</v>
      </c>
      <c r="L22" s="40">
        <f t="shared" si="0"/>
        <v>0.85</v>
      </c>
      <c r="M22" s="41">
        <f t="shared" si="1"/>
        <v>4.2500000000000003E-2</v>
      </c>
      <c r="N22" s="38"/>
      <c r="AA22" s="137">
        <f>AB22/COUNTIFS($B:$B,$B22,$C:$C,$C22,$H:$H,$H22,$I:$I,$I22)</f>
        <v>0.05</v>
      </c>
      <c r="AB22" s="138">
        <f>VLOOKUP(I22,'Weights and Confidence'!$D$16:$AC$26,3,FALSE)</f>
        <v>0.1</v>
      </c>
      <c r="AC22" s="139">
        <f>VLOOKUP(I22,'Weights and Confidence'!$D$16:$AC$26,4,FALSE)</f>
        <v>0.85</v>
      </c>
    </row>
    <row r="23" spans="1:29" x14ac:dyDescent="0.2">
      <c r="A23" s="34" t="s">
        <v>14</v>
      </c>
      <c r="B23" s="34" t="s">
        <v>1</v>
      </c>
      <c r="C23" s="34" t="s">
        <v>15</v>
      </c>
      <c r="D23" s="34" t="s">
        <v>5</v>
      </c>
      <c r="E23" s="34" t="s">
        <v>102</v>
      </c>
      <c r="F23" s="34" t="s">
        <v>16</v>
      </c>
      <c r="G23" s="34">
        <v>9</v>
      </c>
      <c r="H23" s="34" t="s">
        <v>18</v>
      </c>
      <c r="I23" s="34" t="s">
        <v>27</v>
      </c>
      <c r="J23" s="34">
        <v>1</v>
      </c>
      <c r="K23" s="35">
        <f>AB23/COUNTIFS($B:$B,$B23,$C:$C,$C23,$H:$H,$H23,$I:$I,$I23)</f>
        <v>0.05</v>
      </c>
      <c r="L23" s="36">
        <f t="shared" si="0"/>
        <v>0.85</v>
      </c>
      <c r="M23" s="37">
        <f t="shared" si="1"/>
        <v>4.2500000000000003E-2</v>
      </c>
      <c r="N23" s="34"/>
      <c r="AA23" s="137">
        <f>AB23/COUNTIFS($B:$B,$B23,$C:$C,$C23,$H:$H,$H23,$I:$I,$I23)</f>
        <v>0.05</v>
      </c>
      <c r="AB23" s="138">
        <f>VLOOKUP(I23,'Weights and Confidence'!$D$16:$AC$26,3,FALSE)</f>
        <v>0.1</v>
      </c>
      <c r="AC23" s="139">
        <f>VLOOKUP(I23,'Weights and Confidence'!$D$16:$AC$26,4,FALSE)</f>
        <v>0.85</v>
      </c>
    </row>
    <row r="24" spans="1:29" x14ac:dyDescent="0.2">
      <c r="A24" s="38" t="s">
        <v>14</v>
      </c>
      <c r="B24" s="38" t="s">
        <v>1</v>
      </c>
      <c r="C24" s="38" t="s">
        <v>15</v>
      </c>
      <c r="D24" s="38" t="s">
        <v>5</v>
      </c>
      <c r="E24" s="38" t="s">
        <v>102</v>
      </c>
      <c r="F24" s="38" t="s">
        <v>16</v>
      </c>
      <c r="G24" s="38">
        <v>10</v>
      </c>
      <c r="H24" s="38" t="s">
        <v>17</v>
      </c>
      <c r="I24" s="38" t="s">
        <v>27</v>
      </c>
      <c r="J24" s="38">
        <v>0</v>
      </c>
      <c r="K24" s="39">
        <f>AB24/COUNTIFS($B:$B,$B24,$C:$C,$C24,$H:$H,$H24,$I:$I,$I24)</f>
        <v>0.05</v>
      </c>
      <c r="L24" s="40">
        <f t="shared" si="0"/>
        <v>0.85</v>
      </c>
      <c r="M24" s="41">
        <f t="shared" si="1"/>
        <v>0</v>
      </c>
      <c r="N24" s="38"/>
      <c r="AA24" s="137">
        <f>AB24/COUNTIFS($B:$B,$B24,$C:$C,$C24,$H:$H,$H24,$I:$I,$I24)</f>
        <v>0.05</v>
      </c>
      <c r="AB24" s="138">
        <f>VLOOKUP(I24,'Weights and Confidence'!$D$16:$AC$26,3,FALSE)</f>
        <v>0.1</v>
      </c>
      <c r="AC24" s="139">
        <f>VLOOKUP(I24,'Weights and Confidence'!$D$16:$AC$26,4,FALSE)</f>
        <v>0.85</v>
      </c>
    </row>
    <row r="25" spans="1:29" x14ac:dyDescent="0.2">
      <c r="A25" s="34" t="s">
        <v>14</v>
      </c>
      <c r="B25" s="34" t="s">
        <v>1</v>
      </c>
      <c r="C25" s="34" t="s">
        <v>15</v>
      </c>
      <c r="D25" s="34" t="s">
        <v>5</v>
      </c>
      <c r="E25" s="34" t="s">
        <v>102</v>
      </c>
      <c r="F25" s="34" t="s">
        <v>16</v>
      </c>
      <c r="G25" s="34">
        <v>10</v>
      </c>
      <c r="H25" s="34" t="s">
        <v>18</v>
      </c>
      <c r="I25" s="34" t="s">
        <v>27</v>
      </c>
      <c r="J25" s="34">
        <v>1</v>
      </c>
      <c r="K25" s="35">
        <f>AB25/COUNTIFS($B:$B,$B25,$C:$C,$C25,$H:$H,$H25,$I:$I,$I25)</f>
        <v>0.05</v>
      </c>
      <c r="L25" s="36">
        <f t="shared" si="0"/>
        <v>0.85</v>
      </c>
      <c r="M25" s="37">
        <f t="shared" si="1"/>
        <v>4.2500000000000003E-2</v>
      </c>
      <c r="N25" s="34"/>
      <c r="AA25" s="137">
        <f>AB25/COUNTIFS($B:$B,$B25,$C:$C,$C25,$H:$H,$H25,$I:$I,$I25)</f>
        <v>0.05</v>
      </c>
      <c r="AB25" s="138">
        <f>VLOOKUP(I25,'Weights and Confidence'!$D$16:$AC$26,3,FALSE)</f>
        <v>0.1</v>
      </c>
      <c r="AC25" s="139">
        <f>VLOOKUP(I25,'Weights and Confidence'!$D$16:$AC$26,4,FALSE)</f>
        <v>0.85</v>
      </c>
    </row>
    <row r="26" spans="1:29" x14ac:dyDescent="0.2">
      <c r="A26" s="38" t="s">
        <v>14</v>
      </c>
      <c r="B26" s="38" t="s">
        <v>1</v>
      </c>
      <c r="C26" s="38" t="s">
        <v>15</v>
      </c>
      <c r="D26" s="38" t="s">
        <v>5</v>
      </c>
      <c r="E26" s="38" t="s">
        <v>102</v>
      </c>
      <c r="F26" s="38" t="s">
        <v>16</v>
      </c>
      <c r="G26" s="38">
        <v>11</v>
      </c>
      <c r="H26" s="38" t="s">
        <v>17</v>
      </c>
      <c r="I26" s="38" t="s">
        <v>28</v>
      </c>
      <c r="J26" s="38">
        <v>1</v>
      </c>
      <c r="K26" s="39">
        <f>AB26/COUNTIFS($B:$B,$B26,$C:$C,$C26,$H:$H,$H26,$I:$I,$I26)</f>
        <v>0.05</v>
      </c>
      <c r="L26" s="40">
        <f t="shared" si="0"/>
        <v>1</v>
      </c>
      <c r="M26" s="41">
        <f t="shared" si="1"/>
        <v>0.05</v>
      </c>
      <c r="N26" s="38"/>
      <c r="AA26" s="137">
        <f>AB26/COUNTIFS($B:$B,$B26,$C:$C,$C26,$H:$H,$H26,$I:$I,$I26)</f>
        <v>0.05</v>
      </c>
      <c r="AB26" s="138">
        <f>VLOOKUP(I26,'Weights and Confidence'!$D$16:$AC$26,3,FALSE)</f>
        <v>0.05</v>
      </c>
      <c r="AC26" s="139">
        <f>VLOOKUP(I26,'Weights and Confidence'!$D$16:$AC$26,4,FALSE)</f>
        <v>1</v>
      </c>
    </row>
    <row r="27" spans="1:29" ht="17" thickBot="1" x14ac:dyDescent="0.25">
      <c r="A27" s="34" t="s">
        <v>14</v>
      </c>
      <c r="B27" s="34" t="s">
        <v>1</v>
      </c>
      <c r="C27" s="34" t="s">
        <v>15</v>
      </c>
      <c r="D27" s="34" t="s">
        <v>5</v>
      </c>
      <c r="E27" s="34" t="s">
        <v>102</v>
      </c>
      <c r="F27" s="34" t="s">
        <v>16</v>
      </c>
      <c r="G27" s="34">
        <v>11</v>
      </c>
      <c r="H27" s="34" t="s">
        <v>18</v>
      </c>
      <c r="I27" s="34" t="s">
        <v>28</v>
      </c>
      <c r="J27" s="34">
        <v>0</v>
      </c>
      <c r="K27" s="35">
        <f>AB27/COUNTIFS($B:$B,$B27,$C:$C,$C27,$H:$H,$H27,$I:$I,$I27)</f>
        <v>0.05</v>
      </c>
      <c r="L27" s="36">
        <f t="shared" si="0"/>
        <v>1</v>
      </c>
      <c r="M27" s="37">
        <f t="shared" si="1"/>
        <v>0</v>
      </c>
      <c r="N27" s="34"/>
      <c r="AA27" s="140">
        <f>AB27/COUNTIFS($B:$B,$B27,$C:$C,$C27,$H:$H,$H27,$I:$I,$I27)</f>
        <v>0.05</v>
      </c>
      <c r="AB27" s="141">
        <f>VLOOKUP(I27,'Weights and Confidence'!$D$16:$AC$26,3,FALSE)</f>
        <v>0.05</v>
      </c>
      <c r="AC27" s="139">
        <f>VLOOKUP(I27,'Weights and Confidence'!$D$16:$AC$26,4,FALSE)</f>
        <v>1</v>
      </c>
    </row>
    <row r="28" spans="1:29" ht="17" thickTop="1" x14ac:dyDescent="0.2">
      <c r="A28" s="42" t="s">
        <v>14</v>
      </c>
      <c r="B28" s="42" t="s">
        <v>1</v>
      </c>
      <c r="C28" s="42" t="s">
        <v>44</v>
      </c>
      <c r="D28" s="42" t="s">
        <v>5</v>
      </c>
      <c r="E28" s="43" t="s">
        <v>103</v>
      </c>
      <c r="F28" s="43" t="s">
        <v>45</v>
      </c>
      <c r="G28" s="42">
        <v>1</v>
      </c>
      <c r="H28" s="42" t="s">
        <v>17</v>
      </c>
      <c r="I28" s="42" t="s">
        <v>19</v>
      </c>
      <c r="J28" s="42">
        <v>1</v>
      </c>
      <c r="K28" s="44">
        <f>AB28/COUNTIFS($B:$B,$B28,$C:$C,$C28,$H:$H,$H28,$I:$I,$I28)</f>
        <v>0.12</v>
      </c>
      <c r="L28" s="45">
        <f t="shared" si="0"/>
        <v>1</v>
      </c>
      <c r="M28" s="46">
        <f t="shared" ref="M28:M49" si="4">J28*K28*L28</f>
        <v>0.12</v>
      </c>
      <c r="N28" s="42"/>
      <c r="O28">
        <f>tScores[[#This Row],[Raw_Rating_Text]]+J30+J32+J34+J36+J38+J40+J42+J44+J46+J48</f>
        <v>3</v>
      </c>
      <c r="R28" s="8">
        <f>tScores[[#This Row],[Final_Score]]+M30+M32+M34+M36+M38+M40+M42+M44+M46+M48</f>
        <v>0.23399999999999999</v>
      </c>
      <c r="AA28" s="137">
        <f>AB28/COUNTIFS($B:$B,$B28,$C:$C,$C28,$H:$H,$H28,$I:$I,$I28)</f>
        <v>0.12</v>
      </c>
      <c r="AB28" s="138">
        <f>VLOOKUP(I28,'Weights and Confidence'!$D$16:$AC$26,3,FALSE)</f>
        <v>0.12</v>
      </c>
      <c r="AC28" s="139">
        <f>VLOOKUP(I28,'Weights and Confidence'!$D$16:$AC$26,4,FALSE)</f>
        <v>1</v>
      </c>
    </row>
    <row r="29" spans="1:29" x14ac:dyDescent="0.2">
      <c r="A29" s="34" t="s">
        <v>14</v>
      </c>
      <c r="B29" s="34" t="s">
        <v>1</v>
      </c>
      <c r="C29" s="34" t="s">
        <v>44</v>
      </c>
      <c r="D29" s="34" t="s">
        <v>5</v>
      </c>
      <c r="E29" s="34" t="s">
        <v>103</v>
      </c>
      <c r="F29" s="34" t="s">
        <v>45</v>
      </c>
      <c r="G29" s="34">
        <v>1</v>
      </c>
      <c r="H29" s="34" t="s">
        <v>18</v>
      </c>
      <c r="I29" s="34" t="s">
        <v>19</v>
      </c>
      <c r="J29" s="34">
        <v>1</v>
      </c>
      <c r="K29" s="35">
        <f>AB29/COUNTIFS($B:$B,$B29,$C:$C,$C29,$H:$H,$H29,$I:$I,$I29)</f>
        <v>0.12</v>
      </c>
      <c r="L29" s="36">
        <f t="shared" si="0"/>
        <v>1</v>
      </c>
      <c r="M29" s="37">
        <f t="shared" si="4"/>
        <v>0.12</v>
      </c>
      <c r="N29" s="34"/>
      <c r="O29">
        <f>tScores[[#This Row],[Raw_Rating_Text]]+J31+J33+J35+J37+J39+J41+J43+J45+J47+J49</f>
        <v>10</v>
      </c>
      <c r="R29" s="8">
        <f>tScores[[#This Row],[Final_Score]]+M31+M33+M35+M37+M39+M41+M43+M45+M47+M49</f>
        <v>0.91899999999999993</v>
      </c>
      <c r="AA29" s="137">
        <f>AB29/COUNTIFS($B:$B,$B29,$C:$C,$C29,$H:$H,$H29,$I:$I,$I29)</f>
        <v>0.12</v>
      </c>
      <c r="AB29" s="138">
        <f>VLOOKUP(I29,'Weights and Confidence'!$D$16:$AC$26,3,FALSE)</f>
        <v>0.12</v>
      </c>
      <c r="AC29" s="139">
        <f>VLOOKUP(I29,'Weights and Confidence'!$D$16:$AC$26,4,FALSE)</f>
        <v>1</v>
      </c>
    </row>
    <row r="30" spans="1:29" x14ac:dyDescent="0.2">
      <c r="A30" s="38" t="s">
        <v>14</v>
      </c>
      <c r="B30" s="38" t="s">
        <v>1</v>
      </c>
      <c r="C30" s="38" t="s">
        <v>44</v>
      </c>
      <c r="D30" s="38" t="s">
        <v>5</v>
      </c>
      <c r="E30" s="38" t="s">
        <v>103</v>
      </c>
      <c r="F30" s="38" t="s">
        <v>45</v>
      </c>
      <c r="G30" s="38">
        <v>2</v>
      </c>
      <c r="H30" s="38" t="s">
        <v>17</v>
      </c>
      <c r="I30" s="38" t="s">
        <v>20</v>
      </c>
      <c r="J30" s="38">
        <v>1</v>
      </c>
      <c r="K30" s="39">
        <f>AB30/COUNTIFS($B:$B,$B30,$C:$C,$C30,$H:$H,$H30,$I:$I,$I30)</f>
        <v>0.08</v>
      </c>
      <c r="L30" s="40">
        <f t="shared" si="0"/>
        <v>0.8</v>
      </c>
      <c r="M30" s="41">
        <f t="shared" si="4"/>
        <v>6.4000000000000001E-2</v>
      </c>
      <c r="N30" s="38"/>
      <c r="AA30" s="137">
        <f>AB30/COUNTIFS($B:$B,$B30,$C:$C,$C30,$H:$H,$H30,$I:$I,$I30)</f>
        <v>0.08</v>
      </c>
      <c r="AB30" s="138">
        <f>VLOOKUP(I30,'Weights and Confidence'!$D$16:$AC$26,3,FALSE)</f>
        <v>0.08</v>
      </c>
      <c r="AC30" s="139">
        <f>VLOOKUP(I30,'Weights and Confidence'!$D$16:$AC$26,4,FALSE)</f>
        <v>0.8</v>
      </c>
    </row>
    <row r="31" spans="1:29" x14ac:dyDescent="0.2">
      <c r="A31" s="34" t="s">
        <v>14</v>
      </c>
      <c r="B31" s="34" t="s">
        <v>1</v>
      </c>
      <c r="C31" s="34" t="s">
        <v>44</v>
      </c>
      <c r="D31" s="34" t="s">
        <v>5</v>
      </c>
      <c r="E31" s="34" t="s">
        <v>103</v>
      </c>
      <c r="F31" s="34" t="s">
        <v>45</v>
      </c>
      <c r="G31" s="34">
        <v>2</v>
      </c>
      <c r="H31" s="34" t="s">
        <v>18</v>
      </c>
      <c r="I31" s="34" t="s">
        <v>20</v>
      </c>
      <c r="J31" s="34">
        <v>1</v>
      </c>
      <c r="K31" s="35">
        <f>AB31/COUNTIFS($B:$B,$B31,$C:$C,$C31,$H:$H,$H31,$I:$I,$I31)</f>
        <v>0.08</v>
      </c>
      <c r="L31" s="36">
        <f t="shared" si="0"/>
        <v>0.8</v>
      </c>
      <c r="M31" s="37">
        <f t="shared" si="4"/>
        <v>6.4000000000000001E-2</v>
      </c>
      <c r="N31" s="34"/>
      <c r="AA31" s="137">
        <f>AB31/COUNTIFS($B:$B,$B31,$C:$C,$C31,$H:$H,$H31,$I:$I,$I31)</f>
        <v>0.08</v>
      </c>
      <c r="AB31" s="138">
        <f>VLOOKUP(I31,'Weights and Confidence'!$D$16:$AC$26,3,FALSE)</f>
        <v>0.08</v>
      </c>
      <c r="AC31" s="139">
        <f>VLOOKUP(I31,'Weights and Confidence'!$D$16:$AC$26,4,FALSE)</f>
        <v>0.8</v>
      </c>
    </row>
    <row r="32" spans="1:29" x14ac:dyDescent="0.2">
      <c r="A32" s="38" t="s">
        <v>14</v>
      </c>
      <c r="B32" s="38" t="s">
        <v>1</v>
      </c>
      <c r="C32" s="38" t="s">
        <v>44</v>
      </c>
      <c r="D32" s="38" t="s">
        <v>5</v>
      </c>
      <c r="E32" s="38" t="s">
        <v>103</v>
      </c>
      <c r="F32" s="38" t="s">
        <v>45</v>
      </c>
      <c r="G32" s="38">
        <v>3</v>
      </c>
      <c r="H32" s="38" t="s">
        <v>17</v>
      </c>
      <c r="I32" s="38" t="s">
        <v>21</v>
      </c>
      <c r="J32" s="38">
        <v>1</v>
      </c>
      <c r="K32" s="39">
        <f>AB32/COUNTIFS($B:$B,$B32,$C:$C,$C32,$H:$H,$H32,$I:$I,$I32)</f>
        <v>0.05</v>
      </c>
      <c r="L32" s="40">
        <f t="shared" si="0"/>
        <v>1</v>
      </c>
      <c r="M32" s="41">
        <f t="shared" si="4"/>
        <v>0.05</v>
      </c>
      <c r="N32" s="38"/>
      <c r="AA32" s="137">
        <f>AB32/COUNTIFS($B:$B,$B32,$C:$C,$C32,$H:$H,$H32,$I:$I,$I32)</f>
        <v>0.05</v>
      </c>
      <c r="AB32" s="138">
        <f>VLOOKUP(I32,'Weights and Confidence'!$D$16:$AC$26,3,FALSE)</f>
        <v>0.05</v>
      </c>
      <c r="AC32" s="139">
        <f>VLOOKUP(I32,'Weights and Confidence'!$D$16:$AC$26,4,FALSE)</f>
        <v>1</v>
      </c>
    </row>
    <row r="33" spans="1:29" x14ac:dyDescent="0.2">
      <c r="A33" s="34" t="s">
        <v>14</v>
      </c>
      <c r="B33" s="34" t="s">
        <v>1</v>
      </c>
      <c r="C33" s="34" t="s">
        <v>44</v>
      </c>
      <c r="D33" s="34" t="s">
        <v>5</v>
      </c>
      <c r="E33" s="34" t="s">
        <v>103</v>
      </c>
      <c r="F33" s="34" t="s">
        <v>45</v>
      </c>
      <c r="G33" s="34">
        <v>3</v>
      </c>
      <c r="H33" s="34" t="s">
        <v>18</v>
      </c>
      <c r="I33" s="34" t="s">
        <v>21</v>
      </c>
      <c r="J33" s="34">
        <v>1</v>
      </c>
      <c r="K33" s="35">
        <f>AB33/COUNTIFS($B:$B,$B33,$C:$C,$C33,$H:$H,$H33,$I:$I,$I33)</f>
        <v>0.05</v>
      </c>
      <c r="L33" s="36">
        <f t="shared" si="0"/>
        <v>1</v>
      </c>
      <c r="M33" s="37">
        <f t="shared" si="4"/>
        <v>0.05</v>
      </c>
      <c r="N33" s="34"/>
      <c r="AA33" s="137">
        <f>AB33/COUNTIFS($B:$B,$B33,$C:$C,$C33,$H:$H,$H33,$I:$I,$I33)</f>
        <v>0.05</v>
      </c>
      <c r="AB33" s="138">
        <f>VLOOKUP(I33,'Weights and Confidence'!$D$16:$AC$26,3,FALSE)</f>
        <v>0.05</v>
      </c>
      <c r="AC33" s="139">
        <f>VLOOKUP(I33,'Weights and Confidence'!$D$16:$AC$26,4,FALSE)</f>
        <v>1</v>
      </c>
    </row>
    <row r="34" spans="1:29" x14ac:dyDescent="0.2">
      <c r="A34" s="38" t="s">
        <v>14</v>
      </c>
      <c r="B34" s="38" t="s">
        <v>1</v>
      </c>
      <c r="C34" s="38" t="s">
        <v>44</v>
      </c>
      <c r="D34" s="38" t="s">
        <v>5</v>
      </c>
      <c r="E34" s="38" t="s">
        <v>103</v>
      </c>
      <c r="F34" s="38" t="s">
        <v>45</v>
      </c>
      <c r="G34" s="38">
        <v>4</v>
      </c>
      <c r="H34" s="38" t="s">
        <v>17</v>
      </c>
      <c r="I34" s="38" t="s">
        <v>22</v>
      </c>
      <c r="J34" s="38">
        <v>0</v>
      </c>
      <c r="K34" s="39">
        <f>AB34/COUNTIFS($B:$B,$B34,$C:$C,$C34,$H:$H,$H34,$I:$I,$I34)</f>
        <v>0.14000000000000001</v>
      </c>
      <c r="L34" s="40">
        <f t="shared" si="0"/>
        <v>1</v>
      </c>
      <c r="M34" s="41">
        <f t="shared" si="4"/>
        <v>0</v>
      </c>
      <c r="N34" s="38"/>
      <c r="AA34" s="137">
        <f>AB34/COUNTIFS($B:$B,$B34,$C:$C,$C34,$H:$H,$H34,$I:$I,$I34)</f>
        <v>0.14000000000000001</v>
      </c>
      <c r="AB34" s="138">
        <f>VLOOKUP(I34,'Weights and Confidence'!$D$16:$AC$26,3,FALSE)</f>
        <v>0.14000000000000001</v>
      </c>
      <c r="AC34" s="139">
        <f>VLOOKUP(I34,'Weights and Confidence'!$D$16:$AC$26,4,FALSE)</f>
        <v>1</v>
      </c>
    </row>
    <row r="35" spans="1:29" x14ac:dyDescent="0.2">
      <c r="A35" s="34" t="s">
        <v>14</v>
      </c>
      <c r="B35" s="34" t="s">
        <v>1</v>
      </c>
      <c r="C35" s="34" t="s">
        <v>44</v>
      </c>
      <c r="D35" s="34" t="s">
        <v>5</v>
      </c>
      <c r="E35" s="34" t="s">
        <v>103</v>
      </c>
      <c r="F35" s="34" t="s">
        <v>45</v>
      </c>
      <c r="G35" s="34">
        <v>4</v>
      </c>
      <c r="H35" s="34" t="s">
        <v>18</v>
      </c>
      <c r="I35" s="34" t="s">
        <v>22</v>
      </c>
      <c r="J35" s="34">
        <v>1</v>
      </c>
      <c r="K35" s="35">
        <f>AB35/COUNTIFS($B:$B,$B35,$C:$C,$C35,$H:$H,$H35,$I:$I,$I35)</f>
        <v>0.14000000000000001</v>
      </c>
      <c r="L35" s="36">
        <f t="shared" si="0"/>
        <v>1</v>
      </c>
      <c r="M35" s="37">
        <f t="shared" si="4"/>
        <v>0.14000000000000001</v>
      </c>
      <c r="N35" s="34"/>
      <c r="AA35" s="137">
        <f>AB35/COUNTIFS($B:$B,$B35,$C:$C,$C35,$H:$H,$H35,$I:$I,$I35)</f>
        <v>0.14000000000000001</v>
      </c>
      <c r="AB35" s="138">
        <f>VLOOKUP(I35,'Weights and Confidence'!$D$16:$AC$26,3,FALSE)</f>
        <v>0.14000000000000001</v>
      </c>
      <c r="AC35" s="139">
        <f>VLOOKUP(I35,'Weights and Confidence'!$D$16:$AC$26,4,FALSE)</f>
        <v>1</v>
      </c>
    </row>
    <row r="36" spans="1:29" x14ac:dyDescent="0.2">
      <c r="A36" s="38" t="s">
        <v>14</v>
      </c>
      <c r="B36" s="38" t="s">
        <v>1</v>
      </c>
      <c r="C36" s="38" t="s">
        <v>44</v>
      </c>
      <c r="D36" s="38" t="s">
        <v>5</v>
      </c>
      <c r="E36" s="38" t="s">
        <v>103</v>
      </c>
      <c r="F36" s="38" t="s">
        <v>45</v>
      </c>
      <c r="G36" s="38">
        <v>5</v>
      </c>
      <c r="H36" s="38" t="s">
        <v>17</v>
      </c>
      <c r="I36" s="38" t="s">
        <v>23</v>
      </c>
      <c r="J36" s="38">
        <v>0</v>
      </c>
      <c r="K36" s="39">
        <f>AB36/COUNTIFS($B:$B,$B36,$C:$C,$C36,$H:$H,$H36,$I:$I,$I36)</f>
        <v>0.11</v>
      </c>
      <c r="L36" s="40">
        <f t="shared" si="0"/>
        <v>1</v>
      </c>
      <c r="M36" s="41">
        <f t="shared" si="4"/>
        <v>0</v>
      </c>
      <c r="N36" s="38"/>
      <c r="AA36" s="137">
        <f>AB36/COUNTIFS($B:$B,$B36,$C:$C,$C36,$H:$H,$H36,$I:$I,$I36)</f>
        <v>0.11</v>
      </c>
      <c r="AB36" s="138">
        <f>VLOOKUP(I36,'Weights and Confidence'!$D$16:$AC$26,3,FALSE)</f>
        <v>0.11</v>
      </c>
      <c r="AC36" s="139">
        <f>VLOOKUP(I36,'Weights and Confidence'!$D$16:$AC$26,4,FALSE)</f>
        <v>1</v>
      </c>
    </row>
    <row r="37" spans="1:29" x14ac:dyDescent="0.2">
      <c r="A37" s="34" t="s">
        <v>14</v>
      </c>
      <c r="B37" s="34" t="s">
        <v>1</v>
      </c>
      <c r="C37" s="34" t="s">
        <v>44</v>
      </c>
      <c r="D37" s="34" t="s">
        <v>5</v>
      </c>
      <c r="E37" s="34" t="s">
        <v>103</v>
      </c>
      <c r="F37" s="34" t="s">
        <v>45</v>
      </c>
      <c r="G37" s="34">
        <v>5</v>
      </c>
      <c r="H37" s="34" t="s">
        <v>18</v>
      </c>
      <c r="I37" s="34" t="s">
        <v>23</v>
      </c>
      <c r="J37" s="34">
        <v>1</v>
      </c>
      <c r="K37" s="35">
        <f>AB37/COUNTIFS($B:$B,$B37,$C:$C,$C37,$H:$H,$H37,$I:$I,$I37)</f>
        <v>0.11</v>
      </c>
      <c r="L37" s="36">
        <f t="shared" si="0"/>
        <v>1</v>
      </c>
      <c r="M37" s="37">
        <f t="shared" si="4"/>
        <v>0.11</v>
      </c>
      <c r="N37" s="34"/>
      <c r="AA37" s="137">
        <f>AB37/COUNTIFS($B:$B,$B37,$C:$C,$C37,$H:$H,$H37,$I:$I,$I37)</f>
        <v>0.11</v>
      </c>
      <c r="AB37" s="138">
        <f>VLOOKUP(I37,'Weights and Confidence'!$D$16:$AC$26,3,FALSE)</f>
        <v>0.11</v>
      </c>
      <c r="AC37" s="139">
        <f>VLOOKUP(I37,'Weights and Confidence'!$D$16:$AC$26,4,FALSE)</f>
        <v>1</v>
      </c>
    </row>
    <row r="38" spans="1:29" x14ac:dyDescent="0.2">
      <c r="A38" s="38" t="s">
        <v>14</v>
      </c>
      <c r="B38" s="38" t="s">
        <v>1</v>
      </c>
      <c r="C38" s="38" t="s">
        <v>44</v>
      </c>
      <c r="D38" s="38" t="s">
        <v>5</v>
      </c>
      <c r="E38" s="38" t="s">
        <v>103</v>
      </c>
      <c r="F38" s="38" t="s">
        <v>45</v>
      </c>
      <c r="G38" s="38">
        <v>6</v>
      </c>
      <c r="H38" s="38" t="s">
        <v>17</v>
      </c>
      <c r="I38" s="38" t="s">
        <v>24</v>
      </c>
      <c r="J38" s="38">
        <v>0</v>
      </c>
      <c r="K38" s="39">
        <f>AB38/COUNTIFS($B:$B,$B38,$C:$C,$C38,$H:$H,$H38,$I:$I,$I38)</f>
        <v>0.15</v>
      </c>
      <c r="L38" s="40">
        <f t="shared" si="0"/>
        <v>1</v>
      </c>
      <c r="M38" s="41">
        <f t="shared" si="4"/>
        <v>0</v>
      </c>
      <c r="N38" s="38"/>
      <c r="AA38" s="137">
        <f>AB38/COUNTIFS($B:$B,$B38,$C:$C,$C38,$H:$H,$H38,$I:$I,$I38)</f>
        <v>0.15</v>
      </c>
      <c r="AB38" s="138">
        <f>VLOOKUP(I38,'Weights and Confidence'!$D$16:$AC$26,3,FALSE)</f>
        <v>0.15</v>
      </c>
      <c r="AC38" s="139">
        <f>VLOOKUP(I38,'Weights and Confidence'!$D$16:$AC$26,4,FALSE)</f>
        <v>1</v>
      </c>
    </row>
    <row r="39" spans="1:29" x14ac:dyDescent="0.2">
      <c r="A39" s="34" t="s">
        <v>14</v>
      </c>
      <c r="B39" s="34" t="s">
        <v>1</v>
      </c>
      <c r="C39" s="34" t="s">
        <v>44</v>
      </c>
      <c r="D39" s="34" t="s">
        <v>5</v>
      </c>
      <c r="E39" s="34" t="s">
        <v>103</v>
      </c>
      <c r="F39" s="34" t="s">
        <v>45</v>
      </c>
      <c r="G39" s="34">
        <v>6</v>
      </c>
      <c r="H39" s="34" t="s">
        <v>18</v>
      </c>
      <c r="I39" s="34" t="s">
        <v>24</v>
      </c>
      <c r="J39" s="34">
        <v>1</v>
      </c>
      <c r="K39" s="35">
        <f>AB39/COUNTIFS($B:$B,$B39,$C:$C,$C39,$H:$H,$H39,$I:$I,$I39)</f>
        <v>0.15</v>
      </c>
      <c r="L39" s="36">
        <f t="shared" si="0"/>
        <v>1</v>
      </c>
      <c r="M39" s="37">
        <f t="shared" si="4"/>
        <v>0.15</v>
      </c>
      <c r="N39" s="34"/>
      <c r="AA39" s="137">
        <f>AB39/COUNTIFS($B:$B,$B39,$C:$C,$C39,$H:$H,$H39,$I:$I,$I39)</f>
        <v>0.15</v>
      </c>
      <c r="AB39" s="138">
        <f>VLOOKUP(I39,'Weights and Confidence'!$D$16:$AC$26,3,FALSE)</f>
        <v>0.15</v>
      </c>
      <c r="AC39" s="139">
        <f>VLOOKUP(I39,'Weights and Confidence'!$D$16:$AC$26,4,FALSE)</f>
        <v>1</v>
      </c>
    </row>
    <row r="40" spans="1:29" x14ac:dyDescent="0.2">
      <c r="A40" s="38" t="s">
        <v>14</v>
      </c>
      <c r="B40" s="38" t="s">
        <v>1</v>
      </c>
      <c r="C40" s="38" t="s">
        <v>44</v>
      </c>
      <c r="D40" s="38" t="s">
        <v>5</v>
      </c>
      <c r="E40" s="38" t="s">
        <v>103</v>
      </c>
      <c r="F40" s="38" t="s">
        <v>45</v>
      </c>
      <c r="G40" s="38">
        <v>7</v>
      </c>
      <c r="H40" s="38" t="s">
        <v>17</v>
      </c>
      <c r="I40" s="38" t="s">
        <v>25</v>
      </c>
      <c r="J40" s="38">
        <v>0</v>
      </c>
      <c r="K40" s="39">
        <f>AB40/COUNTIFS($B:$B,$B40,$C:$C,$C40,$H:$H,$H40,$I:$I,$I40)</f>
        <v>0.1</v>
      </c>
      <c r="L40" s="40">
        <f t="shared" si="0"/>
        <v>1</v>
      </c>
      <c r="M40" s="41">
        <f t="shared" si="4"/>
        <v>0</v>
      </c>
      <c r="N40" s="38"/>
      <c r="AA40" s="137">
        <f>AB40/COUNTIFS($B:$B,$B40,$C:$C,$C40,$H:$H,$H40,$I:$I,$I40)</f>
        <v>0.1</v>
      </c>
      <c r="AB40" s="138">
        <f>VLOOKUP(I40,'Weights and Confidence'!$D$16:$AC$26,3,FALSE)</f>
        <v>0.1</v>
      </c>
      <c r="AC40" s="139">
        <f>VLOOKUP(I40,'Weights and Confidence'!$D$16:$AC$26,4,FALSE)</f>
        <v>1</v>
      </c>
    </row>
    <row r="41" spans="1:29" x14ac:dyDescent="0.2">
      <c r="A41" s="34" t="s">
        <v>14</v>
      </c>
      <c r="B41" s="34" t="s">
        <v>1</v>
      </c>
      <c r="C41" s="34" t="s">
        <v>44</v>
      </c>
      <c r="D41" s="34" t="s">
        <v>5</v>
      </c>
      <c r="E41" s="34" t="s">
        <v>103</v>
      </c>
      <c r="F41" s="34" t="s">
        <v>45</v>
      </c>
      <c r="G41" s="34">
        <v>7</v>
      </c>
      <c r="H41" s="34" t="s">
        <v>18</v>
      </c>
      <c r="I41" s="34" t="s">
        <v>25</v>
      </c>
      <c r="J41" s="34">
        <v>1</v>
      </c>
      <c r="K41" s="35">
        <f>AB41/COUNTIFS($B:$B,$B41,$C:$C,$C41,$H:$H,$H41,$I:$I,$I41)</f>
        <v>0.1</v>
      </c>
      <c r="L41" s="36">
        <f t="shared" si="0"/>
        <v>1</v>
      </c>
      <c r="M41" s="37">
        <f t="shared" si="4"/>
        <v>0.1</v>
      </c>
      <c r="N41" s="34"/>
      <c r="AA41" s="137">
        <f>AB41/COUNTIFS($B:$B,$B41,$C:$C,$C41,$H:$H,$H41,$I:$I,$I41)</f>
        <v>0.1</v>
      </c>
      <c r="AB41" s="138">
        <f>VLOOKUP(I41,'Weights and Confidence'!$D$16:$AC$26,3,FALSE)</f>
        <v>0.1</v>
      </c>
      <c r="AC41" s="139">
        <f>VLOOKUP(I41,'Weights and Confidence'!$D$16:$AC$26,4,FALSE)</f>
        <v>1</v>
      </c>
    </row>
    <row r="42" spans="1:29" x14ac:dyDescent="0.2">
      <c r="A42" s="38" t="s">
        <v>14</v>
      </c>
      <c r="B42" s="38" t="s">
        <v>1</v>
      </c>
      <c r="C42" s="38" t="s">
        <v>44</v>
      </c>
      <c r="D42" s="38" t="s">
        <v>5</v>
      </c>
      <c r="E42" s="38" t="s">
        <v>103</v>
      </c>
      <c r="F42" s="38" t="s">
        <v>45</v>
      </c>
      <c r="G42" s="38">
        <v>8</v>
      </c>
      <c r="H42" s="38" t="s">
        <v>17</v>
      </c>
      <c r="I42" s="38" t="s">
        <v>26</v>
      </c>
      <c r="J42" s="38">
        <v>0</v>
      </c>
      <c r="K42" s="39">
        <f>AB42/COUNTIFS($B:$B,$B42,$C:$C,$C42,$H:$H,$H42,$I:$I,$I42)</f>
        <v>0.1</v>
      </c>
      <c r="L42" s="40">
        <f t="shared" si="0"/>
        <v>1</v>
      </c>
      <c r="M42" s="41">
        <f t="shared" si="4"/>
        <v>0</v>
      </c>
      <c r="N42" s="38"/>
      <c r="AA42" s="137">
        <f>AB42/COUNTIFS($B:$B,$B42,$C:$C,$C42,$H:$H,$H42,$I:$I,$I42)</f>
        <v>0.1</v>
      </c>
      <c r="AB42" s="138">
        <f>VLOOKUP(I42,'Weights and Confidence'!$D$16:$AC$26,3,FALSE)</f>
        <v>0.1</v>
      </c>
      <c r="AC42" s="139">
        <f>VLOOKUP(I42,'Weights and Confidence'!$D$16:$AC$26,4,FALSE)</f>
        <v>1</v>
      </c>
    </row>
    <row r="43" spans="1:29" x14ac:dyDescent="0.2">
      <c r="A43" s="34" t="s">
        <v>14</v>
      </c>
      <c r="B43" s="34" t="s">
        <v>1</v>
      </c>
      <c r="C43" s="34" t="s">
        <v>44</v>
      </c>
      <c r="D43" s="34" t="s">
        <v>5</v>
      </c>
      <c r="E43" s="34" t="s">
        <v>103</v>
      </c>
      <c r="F43" s="34" t="s">
        <v>45</v>
      </c>
      <c r="G43" s="34">
        <v>8</v>
      </c>
      <c r="H43" s="34" t="s">
        <v>18</v>
      </c>
      <c r="I43" s="34" t="s">
        <v>26</v>
      </c>
      <c r="J43" s="34">
        <v>1</v>
      </c>
      <c r="K43" s="35">
        <f>AB43/COUNTIFS($B:$B,$B43,$C:$C,$C43,$H:$H,$H43,$I:$I,$I43)</f>
        <v>0.1</v>
      </c>
      <c r="L43" s="36">
        <f t="shared" si="0"/>
        <v>1</v>
      </c>
      <c r="M43" s="37">
        <f t="shared" si="4"/>
        <v>0.1</v>
      </c>
      <c r="N43" s="34"/>
      <c r="AA43" s="137">
        <f>AB43/COUNTIFS($B:$B,$B43,$C:$C,$C43,$H:$H,$H43,$I:$I,$I43)</f>
        <v>0.1</v>
      </c>
      <c r="AB43" s="138">
        <f>VLOOKUP(I43,'Weights and Confidence'!$D$16:$AC$26,3,FALSE)</f>
        <v>0.1</v>
      </c>
      <c r="AC43" s="139">
        <f>VLOOKUP(I43,'Weights and Confidence'!$D$16:$AC$26,4,FALSE)</f>
        <v>1</v>
      </c>
    </row>
    <row r="44" spans="1:29" x14ac:dyDescent="0.2">
      <c r="A44" s="38" t="s">
        <v>14</v>
      </c>
      <c r="B44" s="38" t="s">
        <v>1</v>
      </c>
      <c r="C44" s="38" t="s">
        <v>44</v>
      </c>
      <c r="D44" s="38" t="s">
        <v>5</v>
      </c>
      <c r="E44" s="38" t="s">
        <v>103</v>
      </c>
      <c r="F44" s="38" t="s">
        <v>45</v>
      </c>
      <c r="G44" s="38">
        <v>9</v>
      </c>
      <c r="H44" s="38" t="s">
        <v>17</v>
      </c>
      <c r="I44" s="38" t="s">
        <v>27</v>
      </c>
      <c r="J44" s="38">
        <v>0</v>
      </c>
      <c r="K44" s="39">
        <f>AB44/COUNTIFS($B:$B,$B44,$C:$C,$C44,$H:$H,$H44,$I:$I,$I44)</f>
        <v>0.05</v>
      </c>
      <c r="L44" s="40">
        <f t="shared" si="0"/>
        <v>0.85</v>
      </c>
      <c r="M44" s="41">
        <f t="shared" si="4"/>
        <v>0</v>
      </c>
      <c r="N44" s="38"/>
      <c r="AA44" s="137">
        <f>AB44/COUNTIFS($B:$B,$B44,$C:$C,$C44,$H:$H,$H44,$I:$I,$I44)</f>
        <v>0.05</v>
      </c>
      <c r="AB44" s="138">
        <f>VLOOKUP(I44,'Weights and Confidence'!$D$16:$AC$26,3,FALSE)</f>
        <v>0.1</v>
      </c>
      <c r="AC44" s="139">
        <f>VLOOKUP(I44,'Weights and Confidence'!$D$16:$AC$26,4,FALSE)</f>
        <v>0.85</v>
      </c>
    </row>
    <row r="45" spans="1:29" x14ac:dyDescent="0.2">
      <c r="A45" s="34" t="s">
        <v>14</v>
      </c>
      <c r="B45" s="34" t="s">
        <v>1</v>
      </c>
      <c r="C45" s="34" t="s">
        <v>44</v>
      </c>
      <c r="D45" s="34" t="s">
        <v>5</v>
      </c>
      <c r="E45" s="34" t="s">
        <v>103</v>
      </c>
      <c r="F45" s="34" t="s">
        <v>45</v>
      </c>
      <c r="G45" s="34">
        <v>9</v>
      </c>
      <c r="H45" s="34" t="s">
        <v>18</v>
      </c>
      <c r="I45" s="34" t="s">
        <v>27</v>
      </c>
      <c r="J45" s="34">
        <v>1</v>
      </c>
      <c r="K45" s="35">
        <f>AB45/COUNTIFS($B:$B,$B45,$C:$C,$C45,$H:$H,$H45,$I:$I,$I45)</f>
        <v>0.05</v>
      </c>
      <c r="L45" s="36">
        <f t="shared" si="0"/>
        <v>0.85</v>
      </c>
      <c r="M45" s="37">
        <f t="shared" si="4"/>
        <v>4.2500000000000003E-2</v>
      </c>
      <c r="N45" s="34"/>
      <c r="AA45" s="137">
        <f>AB45/COUNTIFS($B:$B,$B45,$C:$C,$C45,$H:$H,$H45,$I:$I,$I45)</f>
        <v>0.05</v>
      </c>
      <c r="AB45" s="138">
        <f>VLOOKUP(I45,'Weights and Confidence'!$D$16:$AC$26,3,FALSE)</f>
        <v>0.1</v>
      </c>
      <c r="AC45" s="139">
        <f>VLOOKUP(I45,'Weights and Confidence'!$D$16:$AC$26,4,FALSE)</f>
        <v>0.85</v>
      </c>
    </row>
    <row r="46" spans="1:29" x14ac:dyDescent="0.2">
      <c r="A46" s="38" t="s">
        <v>14</v>
      </c>
      <c r="B46" s="38" t="s">
        <v>1</v>
      </c>
      <c r="C46" s="38" t="s">
        <v>44</v>
      </c>
      <c r="D46" s="38" t="s">
        <v>5</v>
      </c>
      <c r="E46" s="38" t="s">
        <v>103</v>
      </c>
      <c r="F46" s="38" t="s">
        <v>45</v>
      </c>
      <c r="G46" s="38">
        <v>10</v>
      </c>
      <c r="H46" s="38" t="s">
        <v>17</v>
      </c>
      <c r="I46" s="38" t="s">
        <v>27</v>
      </c>
      <c r="J46" s="38">
        <v>0</v>
      </c>
      <c r="K46" s="39">
        <f>AB46/COUNTIFS($B:$B,$B46,$C:$C,$C46,$H:$H,$H46,$I:$I,$I46)</f>
        <v>0.05</v>
      </c>
      <c r="L46" s="40">
        <f t="shared" si="0"/>
        <v>0.85</v>
      </c>
      <c r="M46" s="41">
        <f t="shared" si="4"/>
        <v>0</v>
      </c>
      <c r="N46" s="38"/>
      <c r="AA46" s="137">
        <f>AB46/COUNTIFS($B:$B,$B46,$C:$C,$C46,$H:$H,$H46,$I:$I,$I46)</f>
        <v>0.05</v>
      </c>
      <c r="AB46" s="138">
        <f>VLOOKUP(I46,'Weights and Confidence'!$D$16:$AC$26,3,FALSE)</f>
        <v>0.1</v>
      </c>
      <c r="AC46" s="139">
        <f>VLOOKUP(I46,'Weights and Confidence'!$D$16:$AC$26,4,FALSE)</f>
        <v>0.85</v>
      </c>
    </row>
    <row r="47" spans="1:29" x14ac:dyDescent="0.2">
      <c r="A47" s="34" t="s">
        <v>14</v>
      </c>
      <c r="B47" s="34" t="s">
        <v>1</v>
      </c>
      <c r="C47" s="34" t="s">
        <v>44</v>
      </c>
      <c r="D47" s="34" t="s">
        <v>5</v>
      </c>
      <c r="E47" s="34" t="s">
        <v>103</v>
      </c>
      <c r="F47" s="34" t="s">
        <v>45</v>
      </c>
      <c r="G47" s="34">
        <v>10</v>
      </c>
      <c r="H47" s="34" t="s">
        <v>18</v>
      </c>
      <c r="I47" s="34" t="s">
        <v>27</v>
      </c>
      <c r="J47" s="34">
        <v>1</v>
      </c>
      <c r="K47" s="35">
        <f>AB47/COUNTIFS($B:$B,$B47,$C:$C,$C47,$H:$H,$H47,$I:$I,$I47)</f>
        <v>0.05</v>
      </c>
      <c r="L47" s="36">
        <f t="shared" si="0"/>
        <v>0.85</v>
      </c>
      <c r="M47" s="37">
        <f t="shared" si="4"/>
        <v>4.2500000000000003E-2</v>
      </c>
      <c r="N47" s="34"/>
      <c r="AA47" s="137">
        <f>AB47/COUNTIFS($B:$B,$B47,$C:$C,$C47,$H:$H,$H47,$I:$I,$I47)</f>
        <v>0.05</v>
      </c>
      <c r="AB47" s="138">
        <f>VLOOKUP(I47,'Weights and Confidence'!$D$16:$AC$26,3,FALSE)</f>
        <v>0.1</v>
      </c>
      <c r="AC47" s="139">
        <f>VLOOKUP(I47,'Weights and Confidence'!$D$16:$AC$26,4,FALSE)</f>
        <v>0.85</v>
      </c>
    </row>
    <row r="48" spans="1:29" x14ac:dyDescent="0.2">
      <c r="A48" s="38" t="s">
        <v>14</v>
      </c>
      <c r="B48" s="38" t="s">
        <v>1</v>
      </c>
      <c r="C48" s="38" t="s">
        <v>44</v>
      </c>
      <c r="D48" s="38" t="s">
        <v>5</v>
      </c>
      <c r="E48" s="38" t="s">
        <v>103</v>
      </c>
      <c r="F48" s="38" t="s">
        <v>45</v>
      </c>
      <c r="G48" s="38">
        <v>11</v>
      </c>
      <c r="H48" s="38" t="s">
        <v>17</v>
      </c>
      <c r="I48" s="38" t="s">
        <v>28</v>
      </c>
      <c r="J48" s="38">
        <v>0</v>
      </c>
      <c r="K48" s="39">
        <f>AB48/COUNTIFS($B:$B,$B48,$C:$C,$C48,$H:$H,$H48,$I:$I,$I48)</f>
        <v>0.05</v>
      </c>
      <c r="L48" s="40">
        <f t="shared" si="0"/>
        <v>1</v>
      </c>
      <c r="M48" s="41">
        <f t="shared" si="4"/>
        <v>0</v>
      </c>
      <c r="N48" s="38"/>
      <c r="AA48" s="137">
        <f>AB48/COUNTIFS($B:$B,$B48,$C:$C,$C48,$H:$H,$H48,$I:$I,$I48)</f>
        <v>0.05</v>
      </c>
      <c r="AB48" s="138">
        <f>VLOOKUP(I48,'Weights and Confidence'!$D$16:$AC$26,3,FALSE)</f>
        <v>0.05</v>
      </c>
      <c r="AC48" s="139">
        <f>VLOOKUP(I48,'Weights and Confidence'!$D$16:$AC$26,4,FALSE)</f>
        <v>1</v>
      </c>
    </row>
    <row r="49" spans="1:29" ht="17" thickBot="1" x14ac:dyDescent="0.25">
      <c r="A49" s="34" t="s">
        <v>14</v>
      </c>
      <c r="B49" s="34" t="s">
        <v>1</v>
      </c>
      <c r="C49" s="34" t="s">
        <v>44</v>
      </c>
      <c r="D49" s="34" t="s">
        <v>5</v>
      </c>
      <c r="E49" s="34" t="s">
        <v>103</v>
      </c>
      <c r="F49" s="34" t="s">
        <v>45</v>
      </c>
      <c r="G49" s="34">
        <v>11</v>
      </c>
      <c r="H49" s="34" t="s">
        <v>18</v>
      </c>
      <c r="I49" s="34" t="s">
        <v>28</v>
      </c>
      <c r="J49" s="34">
        <v>0</v>
      </c>
      <c r="K49" s="35">
        <f>AB49/COUNTIFS($B:$B,$B49,$C:$C,$C49,$H:$H,$H49,$I:$I,$I49)</f>
        <v>0.05</v>
      </c>
      <c r="L49" s="36">
        <f t="shared" si="0"/>
        <v>1</v>
      </c>
      <c r="M49" s="37">
        <f t="shared" si="4"/>
        <v>0</v>
      </c>
      <c r="N49" s="34"/>
      <c r="AA49" s="140">
        <f>AB49/COUNTIFS($B:$B,$B49,$C:$C,$C49,$H:$H,$H49,$I:$I,$I49)</f>
        <v>0.05</v>
      </c>
      <c r="AB49" s="141">
        <f>VLOOKUP(I49,'Weights and Confidence'!$D$16:$AC$26,3,FALSE)</f>
        <v>0.05</v>
      </c>
      <c r="AC49" s="142">
        <f>VLOOKUP(I49,'Weights and Confidence'!$D$16:$AC$26,4,FALSE)</f>
        <v>1</v>
      </c>
    </row>
    <row r="50" spans="1:29" ht="17" thickTop="1" x14ac:dyDescent="0.2">
      <c r="A50" s="42" t="s">
        <v>14</v>
      </c>
      <c r="B50" s="42" t="s">
        <v>1</v>
      </c>
      <c r="C50" s="42" t="s">
        <v>47</v>
      </c>
      <c r="D50" s="42" t="s">
        <v>5</v>
      </c>
      <c r="E50" s="43" t="s">
        <v>104</v>
      </c>
      <c r="F50" s="43" t="s">
        <v>46</v>
      </c>
      <c r="G50" s="42">
        <v>1</v>
      </c>
      <c r="H50" s="42" t="s">
        <v>17</v>
      </c>
      <c r="I50" s="42" t="s">
        <v>19</v>
      </c>
      <c r="J50" s="42">
        <v>1</v>
      </c>
      <c r="K50" s="44">
        <f>AB50/COUNTIFS($B:$B,$B50,$C:$C,$C50,$H:$H,$H50,$I:$I,$I50)</f>
        <v>0.12</v>
      </c>
      <c r="L50" s="45">
        <f t="shared" si="0"/>
        <v>1</v>
      </c>
      <c r="M50" s="46">
        <f t="shared" ref="M50:M71" si="5">J50*K50*L50</f>
        <v>0.12</v>
      </c>
      <c r="N50" s="42"/>
      <c r="O50">
        <f>tScores[[#This Row],[Raw_Rating_Text]]+J52+J54+J56+J58+J60+J62+J64+J66+J68+J70</f>
        <v>8</v>
      </c>
      <c r="P50" s="8">
        <f>'Normalized Score'!$M50+M52+M54+M56+M58+M60+M62+M64+M66+M68+M70</f>
        <v>0.67899999999999994</v>
      </c>
      <c r="AA50" s="137">
        <f>AB50/COUNTIFS($B:$B,$B50,$C:$C,$C50,$H:$H,$H50,$I:$I,$I50)</f>
        <v>0.12</v>
      </c>
      <c r="AB50" s="138">
        <f>VLOOKUP(I50,'Weights and Confidence'!$D$16:$AC$26,3,FALSE)</f>
        <v>0.12</v>
      </c>
      <c r="AC50" s="139">
        <f>VLOOKUP(I50,'Weights and Confidence'!$D$16:$AC$26,4,FALSE)</f>
        <v>1</v>
      </c>
    </row>
    <row r="51" spans="1:29" x14ac:dyDescent="0.2">
      <c r="A51" s="34" t="s">
        <v>14</v>
      </c>
      <c r="B51" s="34" t="s">
        <v>1</v>
      </c>
      <c r="C51" s="34" t="s">
        <v>47</v>
      </c>
      <c r="D51" s="34" t="s">
        <v>5</v>
      </c>
      <c r="E51" s="34" t="s">
        <v>104</v>
      </c>
      <c r="F51" s="34" t="s">
        <v>46</v>
      </c>
      <c r="G51" s="34">
        <v>1</v>
      </c>
      <c r="H51" s="34" t="s">
        <v>18</v>
      </c>
      <c r="I51" s="34" t="s">
        <v>19</v>
      </c>
      <c r="J51" s="34">
        <v>1</v>
      </c>
      <c r="K51" s="35">
        <f>AB51/COUNTIFS($B:$B,$B51,$C:$C,$C51,$H:$H,$H51,$I:$I,$I51)</f>
        <v>0.12</v>
      </c>
      <c r="L51" s="36">
        <f t="shared" si="0"/>
        <v>1</v>
      </c>
      <c r="M51" s="37">
        <f t="shared" si="5"/>
        <v>0.12</v>
      </c>
      <c r="N51" s="34"/>
      <c r="O51">
        <f>tScores[[#This Row],[Raw_Rating_Text]]+J53+J55+J57+J59+J61+J63+J65+J67+J69+J71</f>
        <v>9</v>
      </c>
      <c r="AA51" s="137">
        <f>AB51/COUNTIFS($B:$B,$B51,$C:$C,$C51,$H:$H,$H51,$I:$I,$I51)</f>
        <v>0.12</v>
      </c>
      <c r="AB51" s="138">
        <f>VLOOKUP(I51,'Weights and Confidence'!$D$16:$AC$26,3,FALSE)</f>
        <v>0.12</v>
      </c>
      <c r="AC51" s="139">
        <f>VLOOKUP(I51,'Weights and Confidence'!$D$16:$AC$26,4,FALSE)</f>
        <v>1</v>
      </c>
    </row>
    <row r="52" spans="1:29" x14ac:dyDescent="0.2">
      <c r="A52" s="38" t="s">
        <v>14</v>
      </c>
      <c r="B52" s="38" t="s">
        <v>1</v>
      </c>
      <c r="C52" s="38" t="s">
        <v>47</v>
      </c>
      <c r="D52" s="38" t="s">
        <v>5</v>
      </c>
      <c r="E52" s="38" t="s">
        <v>104</v>
      </c>
      <c r="F52" s="38" t="s">
        <v>46</v>
      </c>
      <c r="G52" s="38">
        <v>2</v>
      </c>
      <c r="H52" s="38" t="s">
        <v>17</v>
      </c>
      <c r="I52" s="38" t="s">
        <v>20</v>
      </c>
      <c r="J52" s="38">
        <v>1</v>
      </c>
      <c r="K52" s="39">
        <f>AB52/COUNTIFS($B:$B,$B52,$C:$C,$C52,$H:$H,$H52,$I:$I,$I52)</f>
        <v>0.08</v>
      </c>
      <c r="L52" s="40">
        <f t="shared" si="0"/>
        <v>0.8</v>
      </c>
      <c r="M52" s="41">
        <f t="shared" si="5"/>
        <v>6.4000000000000001E-2</v>
      </c>
      <c r="N52" s="38"/>
      <c r="AA52" s="137">
        <f>AB52/COUNTIFS($B:$B,$B52,$C:$C,$C52,$H:$H,$H52,$I:$I,$I52)</f>
        <v>0.08</v>
      </c>
      <c r="AB52" s="138">
        <f>VLOOKUP(I52,'Weights and Confidence'!$D$16:$AC$26,3,FALSE)</f>
        <v>0.08</v>
      </c>
      <c r="AC52" s="139">
        <f>VLOOKUP(I52,'Weights and Confidence'!$D$16:$AC$26,4,FALSE)</f>
        <v>0.8</v>
      </c>
    </row>
    <row r="53" spans="1:29" x14ac:dyDescent="0.2">
      <c r="A53" s="34" t="s">
        <v>14</v>
      </c>
      <c r="B53" s="34" t="s">
        <v>1</v>
      </c>
      <c r="C53" s="34" t="s">
        <v>47</v>
      </c>
      <c r="D53" s="34" t="s">
        <v>5</v>
      </c>
      <c r="E53" s="34" t="s">
        <v>104</v>
      </c>
      <c r="F53" s="34" t="s">
        <v>46</v>
      </c>
      <c r="G53" s="34">
        <v>2</v>
      </c>
      <c r="H53" s="34" t="s">
        <v>18</v>
      </c>
      <c r="I53" s="34" t="s">
        <v>20</v>
      </c>
      <c r="J53" s="34">
        <v>1</v>
      </c>
      <c r="K53" s="35">
        <f>AB53/COUNTIFS($B:$B,$B53,$C:$C,$C53,$H:$H,$H53,$I:$I,$I53)</f>
        <v>0.08</v>
      </c>
      <c r="L53" s="36">
        <f t="shared" si="0"/>
        <v>0.8</v>
      </c>
      <c r="M53" s="37">
        <f t="shared" si="5"/>
        <v>6.4000000000000001E-2</v>
      </c>
      <c r="N53" s="34"/>
      <c r="AA53" s="137">
        <f>AB53/COUNTIFS($B:$B,$B53,$C:$C,$C53,$H:$H,$H53,$I:$I,$I53)</f>
        <v>0.08</v>
      </c>
      <c r="AB53" s="138">
        <f>VLOOKUP(I53,'Weights and Confidence'!$D$16:$AC$26,3,FALSE)</f>
        <v>0.08</v>
      </c>
      <c r="AC53" s="139">
        <f>VLOOKUP(I53,'Weights and Confidence'!$D$16:$AC$26,4,FALSE)</f>
        <v>0.8</v>
      </c>
    </row>
    <row r="54" spans="1:29" x14ac:dyDescent="0.2">
      <c r="A54" s="38" t="s">
        <v>14</v>
      </c>
      <c r="B54" s="38" t="s">
        <v>1</v>
      </c>
      <c r="C54" s="38" t="s">
        <v>47</v>
      </c>
      <c r="D54" s="38" t="s">
        <v>5</v>
      </c>
      <c r="E54" s="38" t="s">
        <v>104</v>
      </c>
      <c r="F54" s="38" t="s">
        <v>46</v>
      </c>
      <c r="G54" s="38">
        <v>3</v>
      </c>
      <c r="H54" s="38" t="s">
        <v>17</v>
      </c>
      <c r="I54" s="38" t="s">
        <v>21</v>
      </c>
      <c r="J54" s="38">
        <v>0</v>
      </c>
      <c r="K54" s="39">
        <f>AB54/COUNTIFS($B:$B,$B54,$C:$C,$C54,$H:$H,$H54,$I:$I,$I54)</f>
        <v>0.05</v>
      </c>
      <c r="L54" s="40">
        <f t="shared" si="0"/>
        <v>1</v>
      </c>
      <c r="M54" s="41">
        <f t="shared" si="5"/>
        <v>0</v>
      </c>
      <c r="N54" s="38"/>
      <c r="AA54" s="137">
        <f>AB54/COUNTIFS($B:$B,$B54,$C:$C,$C54,$H:$H,$H54,$I:$I,$I54)</f>
        <v>0.05</v>
      </c>
      <c r="AB54" s="138">
        <f>VLOOKUP(I54,'Weights and Confidence'!$D$16:$AC$26,3,FALSE)</f>
        <v>0.05</v>
      </c>
      <c r="AC54" s="139">
        <f>VLOOKUP(I54,'Weights and Confidence'!$D$16:$AC$26,4,FALSE)</f>
        <v>1</v>
      </c>
    </row>
    <row r="55" spans="1:29" x14ac:dyDescent="0.2">
      <c r="A55" s="34" t="s">
        <v>14</v>
      </c>
      <c r="B55" s="34" t="s">
        <v>1</v>
      </c>
      <c r="C55" s="34" t="s">
        <v>47</v>
      </c>
      <c r="D55" s="34" t="s">
        <v>5</v>
      </c>
      <c r="E55" s="34" t="s">
        <v>104</v>
      </c>
      <c r="F55" s="34" t="s">
        <v>46</v>
      </c>
      <c r="G55" s="34">
        <v>3</v>
      </c>
      <c r="H55" s="34" t="s">
        <v>18</v>
      </c>
      <c r="I55" s="34" t="s">
        <v>21</v>
      </c>
      <c r="J55" s="34">
        <v>1</v>
      </c>
      <c r="K55" s="35">
        <f>AB55/COUNTIFS($B:$B,$B55,$C:$C,$C55,$H:$H,$H55,$I:$I,$I55)</f>
        <v>0.05</v>
      </c>
      <c r="L55" s="36">
        <f t="shared" si="0"/>
        <v>1</v>
      </c>
      <c r="M55" s="37">
        <f t="shared" si="5"/>
        <v>0.05</v>
      </c>
      <c r="N55" s="34"/>
      <c r="AA55" s="137">
        <f>AB55/COUNTIFS($B:$B,$B55,$C:$C,$C55,$H:$H,$H55,$I:$I,$I55)</f>
        <v>0.05</v>
      </c>
      <c r="AB55" s="138">
        <f>VLOOKUP(I55,'Weights and Confidence'!$D$16:$AC$26,3,FALSE)</f>
        <v>0.05</v>
      </c>
      <c r="AC55" s="139">
        <f>VLOOKUP(I55,'Weights and Confidence'!$D$16:$AC$26,4,FALSE)</f>
        <v>1</v>
      </c>
    </row>
    <row r="56" spans="1:29" x14ac:dyDescent="0.2">
      <c r="A56" s="38" t="s">
        <v>14</v>
      </c>
      <c r="B56" s="38" t="s">
        <v>1</v>
      </c>
      <c r="C56" s="38" t="s">
        <v>47</v>
      </c>
      <c r="D56" s="38" t="s">
        <v>5</v>
      </c>
      <c r="E56" s="38" t="s">
        <v>104</v>
      </c>
      <c r="F56" s="38" t="s">
        <v>46</v>
      </c>
      <c r="G56" s="38">
        <v>4</v>
      </c>
      <c r="H56" s="38" t="s">
        <v>17</v>
      </c>
      <c r="I56" s="38" t="s">
        <v>22</v>
      </c>
      <c r="J56" s="38">
        <v>0</v>
      </c>
      <c r="K56" s="39">
        <f>AB56/COUNTIFS($B:$B,$B56,$C:$C,$C56,$H:$H,$H56,$I:$I,$I56)</f>
        <v>0.14000000000000001</v>
      </c>
      <c r="L56" s="40">
        <f t="shared" si="0"/>
        <v>1</v>
      </c>
      <c r="M56" s="41">
        <f t="shared" si="5"/>
        <v>0</v>
      </c>
      <c r="N56" s="38"/>
      <c r="AA56" s="137">
        <f>AB56/COUNTIFS($B:$B,$B56,$C:$C,$C56,$H:$H,$H56,$I:$I,$I56)</f>
        <v>0.14000000000000001</v>
      </c>
      <c r="AB56" s="138">
        <f>VLOOKUP(I56,'Weights and Confidence'!$D$16:$AC$26,3,FALSE)</f>
        <v>0.14000000000000001</v>
      </c>
      <c r="AC56" s="139">
        <f>VLOOKUP(I56,'Weights and Confidence'!$D$16:$AC$26,4,FALSE)</f>
        <v>1</v>
      </c>
    </row>
    <row r="57" spans="1:29" x14ac:dyDescent="0.2">
      <c r="A57" s="34" t="s">
        <v>14</v>
      </c>
      <c r="B57" s="34" t="s">
        <v>1</v>
      </c>
      <c r="C57" s="34" t="s">
        <v>47</v>
      </c>
      <c r="D57" s="34" t="s">
        <v>5</v>
      </c>
      <c r="E57" s="34" t="s">
        <v>104</v>
      </c>
      <c r="F57" s="34" t="s">
        <v>46</v>
      </c>
      <c r="G57" s="34">
        <v>4</v>
      </c>
      <c r="H57" s="34" t="s">
        <v>18</v>
      </c>
      <c r="I57" s="34" t="s">
        <v>22</v>
      </c>
      <c r="J57" s="34">
        <v>1</v>
      </c>
      <c r="K57" s="35">
        <f>AB57/COUNTIFS($B:$B,$B57,$C:$C,$C57,$H:$H,$H57,$I:$I,$I57)</f>
        <v>0.14000000000000001</v>
      </c>
      <c r="L57" s="36">
        <f t="shared" si="0"/>
        <v>1</v>
      </c>
      <c r="M57" s="37">
        <f t="shared" si="5"/>
        <v>0.14000000000000001</v>
      </c>
      <c r="N57" s="34"/>
      <c r="AA57" s="137">
        <f>AB57/COUNTIFS($B:$B,$B57,$C:$C,$C57,$H:$H,$H57,$I:$I,$I57)</f>
        <v>0.14000000000000001</v>
      </c>
      <c r="AB57" s="138">
        <f>VLOOKUP(I57,'Weights and Confidence'!$D$16:$AC$26,3,FALSE)</f>
        <v>0.14000000000000001</v>
      </c>
      <c r="AC57" s="139">
        <f>VLOOKUP(I57,'Weights and Confidence'!$D$16:$AC$26,4,FALSE)</f>
        <v>1</v>
      </c>
    </row>
    <row r="58" spans="1:29" x14ac:dyDescent="0.2">
      <c r="A58" s="38" t="s">
        <v>14</v>
      </c>
      <c r="B58" s="38" t="s">
        <v>1</v>
      </c>
      <c r="C58" s="38" t="s">
        <v>47</v>
      </c>
      <c r="D58" s="38" t="s">
        <v>5</v>
      </c>
      <c r="E58" s="38" t="s">
        <v>104</v>
      </c>
      <c r="F58" s="38" t="s">
        <v>46</v>
      </c>
      <c r="G58" s="38">
        <v>5</v>
      </c>
      <c r="H58" s="38" t="s">
        <v>17</v>
      </c>
      <c r="I58" s="38" t="s">
        <v>23</v>
      </c>
      <c r="J58" s="38">
        <v>1</v>
      </c>
      <c r="K58" s="39">
        <f>AB58/COUNTIFS($B:$B,$B58,$C:$C,$C58,$H:$H,$H58,$I:$I,$I58)</f>
        <v>0.11</v>
      </c>
      <c r="L58" s="40">
        <f t="shared" si="0"/>
        <v>1</v>
      </c>
      <c r="M58" s="41">
        <f t="shared" si="5"/>
        <v>0.11</v>
      </c>
      <c r="N58" s="38"/>
      <c r="AA58" s="137">
        <f>AB58/COUNTIFS($B:$B,$B58,$C:$C,$C58,$H:$H,$H58,$I:$I,$I58)</f>
        <v>0.11</v>
      </c>
      <c r="AB58" s="138">
        <f>VLOOKUP(I58,'Weights and Confidence'!$D$16:$AC$26,3,FALSE)</f>
        <v>0.11</v>
      </c>
      <c r="AC58" s="139">
        <f>VLOOKUP(I58,'Weights and Confidence'!$D$16:$AC$26,4,FALSE)</f>
        <v>1</v>
      </c>
    </row>
    <row r="59" spans="1:29" x14ac:dyDescent="0.2">
      <c r="A59" s="34" t="s">
        <v>14</v>
      </c>
      <c r="B59" s="34" t="s">
        <v>1</v>
      </c>
      <c r="C59" s="34" t="s">
        <v>47</v>
      </c>
      <c r="D59" s="34" t="s">
        <v>5</v>
      </c>
      <c r="E59" s="34" t="s">
        <v>104</v>
      </c>
      <c r="F59" s="34" t="s">
        <v>46</v>
      </c>
      <c r="G59" s="34">
        <v>5</v>
      </c>
      <c r="H59" s="34" t="s">
        <v>18</v>
      </c>
      <c r="I59" s="34" t="s">
        <v>23</v>
      </c>
      <c r="J59" s="34">
        <v>1</v>
      </c>
      <c r="K59" s="35">
        <f>AB59/COUNTIFS($B:$B,$B59,$C:$C,$C59,$H:$H,$H59,$I:$I,$I59)</f>
        <v>0.11</v>
      </c>
      <c r="L59" s="36">
        <f t="shared" si="0"/>
        <v>1</v>
      </c>
      <c r="M59" s="37">
        <f t="shared" si="5"/>
        <v>0.11</v>
      </c>
      <c r="N59" s="34"/>
      <c r="AA59" s="137">
        <f>AB59/COUNTIFS($B:$B,$B59,$C:$C,$C59,$H:$H,$H59,$I:$I,$I59)</f>
        <v>0.11</v>
      </c>
      <c r="AB59" s="138">
        <f>VLOOKUP(I59,'Weights and Confidence'!$D$16:$AC$26,3,FALSE)</f>
        <v>0.11</v>
      </c>
      <c r="AC59" s="139">
        <f>VLOOKUP(I59,'Weights and Confidence'!$D$16:$AC$26,4,FALSE)</f>
        <v>1</v>
      </c>
    </row>
    <row r="60" spans="1:29" x14ac:dyDescent="0.2">
      <c r="A60" s="38" t="s">
        <v>14</v>
      </c>
      <c r="B60" s="38" t="s">
        <v>1</v>
      </c>
      <c r="C60" s="38" t="s">
        <v>47</v>
      </c>
      <c r="D60" s="38" t="s">
        <v>5</v>
      </c>
      <c r="E60" s="38" t="s">
        <v>104</v>
      </c>
      <c r="F60" s="38" t="s">
        <v>46</v>
      </c>
      <c r="G60" s="38">
        <v>6</v>
      </c>
      <c r="H60" s="38" t="s">
        <v>17</v>
      </c>
      <c r="I60" s="38" t="s">
        <v>24</v>
      </c>
      <c r="J60" s="38">
        <v>1</v>
      </c>
      <c r="K60" s="39">
        <f>AB60/COUNTIFS($B:$B,$B60,$C:$C,$C60,$H:$H,$H60,$I:$I,$I60)</f>
        <v>0.15</v>
      </c>
      <c r="L60" s="40">
        <f t="shared" si="0"/>
        <v>1</v>
      </c>
      <c r="M60" s="41">
        <f t="shared" si="5"/>
        <v>0.15</v>
      </c>
      <c r="N60" s="38"/>
      <c r="AA60" s="137">
        <f>AB60/COUNTIFS($B:$B,$B60,$C:$C,$C60,$H:$H,$H60,$I:$I,$I60)</f>
        <v>0.15</v>
      </c>
      <c r="AB60" s="138">
        <f>VLOOKUP(I60,'Weights and Confidence'!$D$16:$AC$26,3,FALSE)</f>
        <v>0.15</v>
      </c>
      <c r="AC60" s="139">
        <f>VLOOKUP(I60,'Weights and Confidence'!$D$16:$AC$26,4,FALSE)</f>
        <v>1</v>
      </c>
    </row>
    <row r="61" spans="1:29" x14ac:dyDescent="0.2">
      <c r="A61" s="34" t="s">
        <v>14</v>
      </c>
      <c r="B61" s="34" t="s">
        <v>1</v>
      </c>
      <c r="C61" s="34" t="s">
        <v>47</v>
      </c>
      <c r="D61" s="34" t="s">
        <v>5</v>
      </c>
      <c r="E61" s="34" t="s">
        <v>104</v>
      </c>
      <c r="F61" s="34" t="s">
        <v>46</v>
      </c>
      <c r="G61" s="34">
        <v>6</v>
      </c>
      <c r="H61" s="34" t="s">
        <v>18</v>
      </c>
      <c r="I61" s="34" t="s">
        <v>24</v>
      </c>
      <c r="J61" s="34">
        <v>1</v>
      </c>
      <c r="K61" s="35">
        <f>AB61/COUNTIFS($B:$B,$B61,$C:$C,$C61,$H:$H,$H61,$I:$I,$I61)</f>
        <v>0.15</v>
      </c>
      <c r="L61" s="36">
        <f t="shared" si="0"/>
        <v>1</v>
      </c>
      <c r="M61" s="37">
        <f t="shared" si="5"/>
        <v>0.15</v>
      </c>
      <c r="N61" s="34"/>
      <c r="AA61" s="137">
        <f>AB61/COUNTIFS($B:$B,$B61,$C:$C,$C61,$H:$H,$H61,$I:$I,$I61)</f>
        <v>0.15</v>
      </c>
      <c r="AB61" s="138">
        <f>VLOOKUP(I61,'Weights and Confidence'!$D$16:$AC$26,3,FALSE)</f>
        <v>0.15</v>
      </c>
      <c r="AC61" s="139">
        <f>VLOOKUP(I61,'Weights and Confidence'!$D$16:$AC$26,4,FALSE)</f>
        <v>1</v>
      </c>
    </row>
    <row r="62" spans="1:29" x14ac:dyDescent="0.2">
      <c r="A62" s="38" t="s">
        <v>14</v>
      </c>
      <c r="B62" s="38" t="s">
        <v>1</v>
      </c>
      <c r="C62" s="38" t="s">
        <v>47</v>
      </c>
      <c r="D62" s="38" t="s">
        <v>5</v>
      </c>
      <c r="E62" s="38" t="s">
        <v>104</v>
      </c>
      <c r="F62" s="38" t="s">
        <v>46</v>
      </c>
      <c r="G62" s="38">
        <v>7</v>
      </c>
      <c r="H62" s="38" t="s">
        <v>17</v>
      </c>
      <c r="I62" s="38" t="s">
        <v>25</v>
      </c>
      <c r="J62" s="38">
        <v>0</v>
      </c>
      <c r="K62" s="39">
        <f>AB62/COUNTIFS($B:$B,$B62,$C:$C,$C62,$H:$H,$H62,$I:$I,$I62)</f>
        <v>0.1</v>
      </c>
      <c r="L62" s="40">
        <f t="shared" si="0"/>
        <v>1</v>
      </c>
      <c r="M62" s="41">
        <f t="shared" si="5"/>
        <v>0</v>
      </c>
      <c r="N62" s="38"/>
      <c r="AA62" s="137">
        <f>AB62/COUNTIFS($B:$B,$B62,$C:$C,$C62,$H:$H,$H62,$I:$I,$I62)</f>
        <v>0.1</v>
      </c>
      <c r="AB62" s="138">
        <f>VLOOKUP(I62,'Weights and Confidence'!$D$16:$AC$26,3,FALSE)</f>
        <v>0.1</v>
      </c>
      <c r="AC62" s="139">
        <f>VLOOKUP(I62,'Weights and Confidence'!$D$16:$AC$26,4,FALSE)</f>
        <v>1</v>
      </c>
    </row>
    <row r="63" spans="1:29" x14ac:dyDescent="0.2">
      <c r="A63" s="34" t="s">
        <v>14</v>
      </c>
      <c r="B63" s="34" t="s">
        <v>1</v>
      </c>
      <c r="C63" s="34" t="s">
        <v>47</v>
      </c>
      <c r="D63" s="34" t="s">
        <v>5</v>
      </c>
      <c r="E63" s="34" t="s">
        <v>104</v>
      </c>
      <c r="F63" s="34" t="s">
        <v>46</v>
      </c>
      <c r="G63" s="34">
        <v>7</v>
      </c>
      <c r="H63" s="34" t="s">
        <v>18</v>
      </c>
      <c r="I63" s="34" t="s">
        <v>25</v>
      </c>
      <c r="J63" s="34">
        <v>0</v>
      </c>
      <c r="K63" s="35">
        <f>AB63/COUNTIFS($B:$B,$B63,$C:$C,$C63,$H:$H,$H63,$I:$I,$I63)</f>
        <v>0.1</v>
      </c>
      <c r="L63" s="36">
        <f t="shared" si="0"/>
        <v>1</v>
      </c>
      <c r="M63" s="37">
        <f t="shared" si="5"/>
        <v>0</v>
      </c>
      <c r="N63" s="34"/>
      <c r="AA63" s="137">
        <f>AB63/COUNTIFS($B:$B,$B63,$C:$C,$C63,$H:$H,$H63,$I:$I,$I63)</f>
        <v>0.1</v>
      </c>
      <c r="AB63" s="138">
        <f>VLOOKUP(I63,'Weights and Confidence'!$D$16:$AC$26,3,FALSE)</f>
        <v>0.1</v>
      </c>
      <c r="AC63" s="139">
        <f>VLOOKUP(I63,'Weights and Confidence'!$D$16:$AC$26,4,FALSE)</f>
        <v>1</v>
      </c>
    </row>
    <row r="64" spans="1:29" x14ac:dyDescent="0.2">
      <c r="A64" s="38" t="s">
        <v>14</v>
      </c>
      <c r="B64" s="38" t="s">
        <v>1</v>
      </c>
      <c r="C64" s="38" t="s">
        <v>47</v>
      </c>
      <c r="D64" s="38" t="s">
        <v>5</v>
      </c>
      <c r="E64" s="38" t="s">
        <v>104</v>
      </c>
      <c r="F64" s="38" t="s">
        <v>46</v>
      </c>
      <c r="G64" s="38">
        <v>8</v>
      </c>
      <c r="H64" s="38" t="s">
        <v>17</v>
      </c>
      <c r="I64" s="38" t="s">
        <v>26</v>
      </c>
      <c r="J64" s="38">
        <v>1</v>
      </c>
      <c r="K64" s="39">
        <f>AB64/COUNTIFS($B:$B,$B64,$C:$C,$C64,$H:$H,$H64,$I:$I,$I64)</f>
        <v>0.1</v>
      </c>
      <c r="L64" s="40">
        <f t="shared" si="0"/>
        <v>1</v>
      </c>
      <c r="M64" s="41">
        <f t="shared" si="5"/>
        <v>0.1</v>
      </c>
      <c r="N64" s="38"/>
      <c r="AA64" s="137">
        <f>AB64/COUNTIFS($B:$B,$B64,$C:$C,$C64,$H:$H,$H64,$I:$I,$I64)</f>
        <v>0.1</v>
      </c>
      <c r="AB64" s="138">
        <f>VLOOKUP(I64,'Weights and Confidence'!$D$16:$AC$26,3,FALSE)</f>
        <v>0.1</v>
      </c>
      <c r="AC64" s="139">
        <f>VLOOKUP(I64,'Weights and Confidence'!$D$16:$AC$26,4,FALSE)</f>
        <v>1</v>
      </c>
    </row>
    <row r="65" spans="1:29" x14ac:dyDescent="0.2">
      <c r="A65" s="34" t="s">
        <v>14</v>
      </c>
      <c r="B65" s="34" t="s">
        <v>1</v>
      </c>
      <c r="C65" s="34" t="s">
        <v>47</v>
      </c>
      <c r="D65" s="34" t="s">
        <v>5</v>
      </c>
      <c r="E65" s="34" t="s">
        <v>104</v>
      </c>
      <c r="F65" s="34" t="s">
        <v>46</v>
      </c>
      <c r="G65" s="34">
        <v>8</v>
      </c>
      <c r="H65" s="34" t="s">
        <v>18</v>
      </c>
      <c r="I65" s="34" t="s">
        <v>26</v>
      </c>
      <c r="J65" s="34">
        <v>1</v>
      </c>
      <c r="K65" s="35">
        <f>AB65/COUNTIFS($B:$B,$B65,$C:$C,$C65,$H:$H,$H65,$I:$I,$I65)</f>
        <v>0.1</v>
      </c>
      <c r="L65" s="36">
        <f t="shared" si="0"/>
        <v>1</v>
      </c>
      <c r="M65" s="37">
        <f t="shared" si="5"/>
        <v>0.1</v>
      </c>
      <c r="N65" s="34"/>
      <c r="AA65" s="137">
        <f>AB65/COUNTIFS($B:$B,$B65,$C:$C,$C65,$H:$H,$H65,$I:$I,$I65)</f>
        <v>0.1</v>
      </c>
      <c r="AB65" s="138">
        <f>VLOOKUP(I65,'Weights and Confidence'!$D$16:$AC$26,3,FALSE)</f>
        <v>0.1</v>
      </c>
      <c r="AC65" s="139">
        <f>VLOOKUP(I65,'Weights and Confidence'!$D$16:$AC$26,4,FALSE)</f>
        <v>1</v>
      </c>
    </row>
    <row r="66" spans="1:29" x14ac:dyDescent="0.2">
      <c r="A66" s="38" t="s">
        <v>14</v>
      </c>
      <c r="B66" s="38" t="s">
        <v>1</v>
      </c>
      <c r="C66" s="38" t="s">
        <v>47</v>
      </c>
      <c r="D66" s="38" t="s">
        <v>5</v>
      </c>
      <c r="E66" s="38" t="s">
        <v>104</v>
      </c>
      <c r="F66" s="38" t="s">
        <v>46</v>
      </c>
      <c r="G66" s="38">
        <v>9</v>
      </c>
      <c r="H66" s="38" t="s">
        <v>17</v>
      </c>
      <c r="I66" s="38" t="s">
        <v>27</v>
      </c>
      <c r="J66" s="38">
        <v>1</v>
      </c>
      <c r="K66" s="39">
        <f>AB66/COUNTIFS($B:$B,$B66,$C:$C,$C66,$H:$H,$H66,$I:$I,$I66)</f>
        <v>0.05</v>
      </c>
      <c r="L66" s="40">
        <f t="shared" si="0"/>
        <v>0.85</v>
      </c>
      <c r="M66" s="41">
        <f t="shared" si="5"/>
        <v>4.2500000000000003E-2</v>
      </c>
      <c r="N66" s="38"/>
      <c r="AA66" s="137">
        <f>AB66/COUNTIFS($B:$B,$B66,$C:$C,$C66,$H:$H,$H66,$I:$I,$I66)</f>
        <v>0.05</v>
      </c>
      <c r="AB66" s="138">
        <f>VLOOKUP(I66,'Weights and Confidence'!$D$16:$AC$26,3,FALSE)</f>
        <v>0.1</v>
      </c>
      <c r="AC66" s="139">
        <f>VLOOKUP(I66,'Weights and Confidence'!$D$16:$AC$26,4,FALSE)</f>
        <v>0.85</v>
      </c>
    </row>
    <row r="67" spans="1:29" x14ac:dyDescent="0.2">
      <c r="A67" s="34" t="s">
        <v>14</v>
      </c>
      <c r="B67" s="34" t="s">
        <v>1</v>
      </c>
      <c r="C67" s="34" t="s">
        <v>47</v>
      </c>
      <c r="D67" s="34" t="s">
        <v>5</v>
      </c>
      <c r="E67" s="34" t="s">
        <v>104</v>
      </c>
      <c r="F67" s="34" t="s">
        <v>46</v>
      </c>
      <c r="G67" s="34">
        <v>9</v>
      </c>
      <c r="H67" s="34" t="s">
        <v>18</v>
      </c>
      <c r="I67" s="34" t="s">
        <v>27</v>
      </c>
      <c r="J67" s="34">
        <v>1</v>
      </c>
      <c r="K67" s="35">
        <f>AB67/COUNTIFS($B:$B,$B67,$C:$C,$C67,$H:$H,$H67,$I:$I,$I67)</f>
        <v>0.05</v>
      </c>
      <c r="L67" s="36">
        <f t="shared" si="0"/>
        <v>0.85</v>
      </c>
      <c r="M67" s="37">
        <f t="shared" si="5"/>
        <v>4.2500000000000003E-2</v>
      </c>
      <c r="N67" s="34"/>
      <c r="AA67" s="137">
        <f>AB67/COUNTIFS($B:$B,$B67,$C:$C,$C67,$H:$H,$H67,$I:$I,$I67)</f>
        <v>0.05</v>
      </c>
      <c r="AB67" s="138">
        <f>VLOOKUP(I67,'Weights and Confidence'!$D$16:$AC$26,3,FALSE)</f>
        <v>0.1</v>
      </c>
      <c r="AC67" s="139">
        <f>VLOOKUP(I67,'Weights and Confidence'!$D$16:$AC$26,4,FALSE)</f>
        <v>0.85</v>
      </c>
    </row>
    <row r="68" spans="1:29" x14ac:dyDescent="0.2">
      <c r="A68" s="38" t="s">
        <v>14</v>
      </c>
      <c r="B68" s="38" t="s">
        <v>1</v>
      </c>
      <c r="C68" s="38" t="s">
        <v>47</v>
      </c>
      <c r="D68" s="38" t="s">
        <v>5</v>
      </c>
      <c r="E68" s="38" t="s">
        <v>104</v>
      </c>
      <c r="F68" s="38" t="s">
        <v>46</v>
      </c>
      <c r="G68" s="38">
        <v>10</v>
      </c>
      <c r="H68" s="38" t="s">
        <v>17</v>
      </c>
      <c r="I68" s="38" t="s">
        <v>27</v>
      </c>
      <c r="J68" s="38">
        <v>1</v>
      </c>
      <c r="K68" s="39">
        <f>AB68/COUNTIFS($B:$B,$B68,$C:$C,$C68,$H:$H,$H68,$I:$I,$I68)</f>
        <v>0.05</v>
      </c>
      <c r="L68" s="40">
        <f t="shared" si="0"/>
        <v>0.85</v>
      </c>
      <c r="M68" s="41">
        <f t="shared" si="5"/>
        <v>4.2500000000000003E-2</v>
      </c>
      <c r="N68" s="38"/>
      <c r="AA68" s="137">
        <f>AB68/COUNTIFS($B:$B,$B68,$C:$C,$C68,$H:$H,$H68,$I:$I,$I68)</f>
        <v>0.05</v>
      </c>
      <c r="AB68" s="138">
        <f>VLOOKUP(I68,'Weights and Confidence'!$D$16:$AC$26,3,FALSE)</f>
        <v>0.1</v>
      </c>
      <c r="AC68" s="139">
        <f>VLOOKUP(I68,'Weights and Confidence'!$D$16:$AC$26,4,FALSE)</f>
        <v>0.85</v>
      </c>
    </row>
    <row r="69" spans="1:29" x14ac:dyDescent="0.2">
      <c r="A69" s="34" t="s">
        <v>14</v>
      </c>
      <c r="B69" s="34" t="s">
        <v>1</v>
      </c>
      <c r="C69" s="34" t="s">
        <v>47</v>
      </c>
      <c r="D69" s="34" t="s">
        <v>5</v>
      </c>
      <c r="E69" s="34" t="s">
        <v>104</v>
      </c>
      <c r="F69" s="34" t="s">
        <v>46</v>
      </c>
      <c r="G69" s="34">
        <v>10</v>
      </c>
      <c r="H69" s="34" t="s">
        <v>18</v>
      </c>
      <c r="I69" s="34" t="s">
        <v>27</v>
      </c>
      <c r="J69" s="34">
        <v>1</v>
      </c>
      <c r="K69" s="35">
        <f>AB69/COUNTIFS($B:$B,$B69,$C:$C,$C69,$H:$H,$H69,$I:$I,$I69)</f>
        <v>0.05</v>
      </c>
      <c r="L69" s="36">
        <f t="shared" si="0"/>
        <v>0.85</v>
      </c>
      <c r="M69" s="37">
        <f t="shared" si="5"/>
        <v>4.2500000000000003E-2</v>
      </c>
      <c r="N69" s="34"/>
      <c r="AA69" s="137">
        <f>AB69/COUNTIFS($B:$B,$B69,$C:$C,$C69,$H:$H,$H69,$I:$I,$I69)</f>
        <v>0.05</v>
      </c>
      <c r="AB69" s="138">
        <f>VLOOKUP(I69,'Weights and Confidence'!$D$16:$AC$26,3,FALSE)</f>
        <v>0.1</v>
      </c>
      <c r="AC69" s="139">
        <f>VLOOKUP(I69,'Weights and Confidence'!$D$16:$AC$26,4,FALSE)</f>
        <v>0.85</v>
      </c>
    </row>
    <row r="70" spans="1:29" x14ac:dyDescent="0.2">
      <c r="A70" s="38" t="s">
        <v>14</v>
      </c>
      <c r="B70" s="38" t="s">
        <v>1</v>
      </c>
      <c r="C70" s="38" t="s">
        <v>47</v>
      </c>
      <c r="D70" s="38" t="s">
        <v>5</v>
      </c>
      <c r="E70" s="38" t="s">
        <v>104</v>
      </c>
      <c r="F70" s="38" t="s">
        <v>46</v>
      </c>
      <c r="G70" s="38">
        <v>11</v>
      </c>
      <c r="H70" s="38" t="s">
        <v>17</v>
      </c>
      <c r="I70" s="38" t="s">
        <v>28</v>
      </c>
      <c r="J70" s="38">
        <v>1</v>
      </c>
      <c r="K70" s="39">
        <f>AB70/COUNTIFS($B:$B,$B70,$C:$C,$C70,$H:$H,$H70,$I:$I,$I70)</f>
        <v>0.05</v>
      </c>
      <c r="L70" s="40">
        <f t="shared" ref="L70:L133" si="6">AC70</f>
        <v>1</v>
      </c>
      <c r="M70" s="41">
        <f t="shared" si="5"/>
        <v>0.05</v>
      </c>
      <c r="N70" s="38"/>
      <c r="AA70" s="137">
        <f>AB70/COUNTIFS($B:$B,$B70,$C:$C,$C70,$H:$H,$H70,$I:$I,$I70)</f>
        <v>0.05</v>
      </c>
      <c r="AB70" s="138">
        <f>VLOOKUP(I70,'Weights and Confidence'!$D$16:$AC$26,3,FALSE)</f>
        <v>0.05</v>
      </c>
      <c r="AC70" s="139">
        <f>VLOOKUP(I70,'Weights and Confidence'!$D$16:$AC$26,4,FALSE)</f>
        <v>1</v>
      </c>
    </row>
    <row r="71" spans="1:29" ht="17" thickBot="1" x14ac:dyDescent="0.25">
      <c r="A71" s="34" t="s">
        <v>14</v>
      </c>
      <c r="B71" s="34" t="s">
        <v>1</v>
      </c>
      <c r="C71" s="34" t="s">
        <v>47</v>
      </c>
      <c r="D71" s="34" t="s">
        <v>5</v>
      </c>
      <c r="E71" s="34" t="s">
        <v>104</v>
      </c>
      <c r="F71" s="34" t="s">
        <v>46</v>
      </c>
      <c r="G71" s="34">
        <v>11</v>
      </c>
      <c r="H71" s="34" t="s">
        <v>18</v>
      </c>
      <c r="I71" s="34" t="s">
        <v>28</v>
      </c>
      <c r="J71" s="34">
        <v>0</v>
      </c>
      <c r="K71" s="35">
        <f>AB71/COUNTIFS($B:$B,$B71,$C:$C,$C71,$H:$H,$H71,$I:$I,$I71)</f>
        <v>0.05</v>
      </c>
      <c r="L71" s="36">
        <f t="shared" si="6"/>
        <v>1</v>
      </c>
      <c r="M71" s="37">
        <f t="shared" si="5"/>
        <v>0</v>
      </c>
      <c r="N71" s="34"/>
      <c r="AA71" s="140">
        <f>AB71/COUNTIFS($B:$B,$B71,$C:$C,$C71,$H:$H,$H71,$I:$I,$I71)</f>
        <v>0.05</v>
      </c>
      <c r="AB71" s="141">
        <f>VLOOKUP(I71,'Weights and Confidence'!$D$16:$AC$26,3,FALSE)</f>
        <v>0.05</v>
      </c>
      <c r="AC71" s="142">
        <f>VLOOKUP(I71,'Weights and Confidence'!$D$16:$AC$26,4,FALSE)</f>
        <v>1</v>
      </c>
    </row>
    <row r="72" spans="1:29" ht="17" thickTop="1" x14ac:dyDescent="0.2">
      <c r="A72" s="42" t="s">
        <v>14</v>
      </c>
      <c r="B72" s="42" t="s">
        <v>1</v>
      </c>
      <c r="C72" s="42" t="s">
        <v>48</v>
      </c>
      <c r="D72" s="42" t="s">
        <v>5</v>
      </c>
      <c r="E72" s="42" t="s">
        <v>104</v>
      </c>
      <c r="F72" s="43" t="s">
        <v>49</v>
      </c>
      <c r="G72" s="42">
        <v>1</v>
      </c>
      <c r="H72" s="42" t="s">
        <v>17</v>
      </c>
      <c r="I72" s="42" t="s">
        <v>19</v>
      </c>
      <c r="J72" s="42">
        <v>0</v>
      </c>
      <c r="K72" s="44">
        <f>AB72/COUNTIFS($B:$B,$B72,$C:$C,$C72,$H:$H,$H72,$I:$I,$I72)</f>
        <v>0.12</v>
      </c>
      <c r="L72" s="45">
        <f t="shared" si="6"/>
        <v>1</v>
      </c>
      <c r="M72" s="46">
        <f t="shared" ref="M72:M93" si="7">J72*K72*L72</f>
        <v>0</v>
      </c>
      <c r="N72" s="42"/>
      <c r="O72">
        <f>tScores[[#This Row],[Raw_Rating_Text]]+J74+J76+J78+J80+J82+J84+J86+J88+J90+J92</f>
        <v>1</v>
      </c>
      <c r="AA72" s="137">
        <f>AB72/COUNTIFS($B:$B,$B72,$C:$C,$C72,$H:$H,$H72,$I:$I,$I72)</f>
        <v>0.12</v>
      </c>
      <c r="AB72" s="138">
        <f>VLOOKUP(I72,'Weights and Confidence'!$D$16:$AC$26,3,FALSE)</f>
        <v>0.12</v>
      </c>
      <c r="AC72" s="139">
        <f>VLOOKUP(I72,'Weights and Confidence'!$D$16:$AC$26,4,FALSE)</f>
        <v>1</v>
      </c>
    </row>
    <row r="73" spans="1:29" x14ac:dyDescent="0.2">
      <c r="A73" s="34" t="s">
        <v>14</v>
      </c>
      <c r="B73" s="34" t="s">
        <v>1</v>
      </c>
      <c r="C73" s="34" t="s">
        <v>48</v>
      </c>
      <c r="D73" s="34" t="s">
        <v>5</v>
      </c>
      <c r="E73" s="34" t="s">
        <v>104</v>
      </c>
      <c r="F73" s="34" t="s">
        <v>49</v>
      </c>
      <c r="G73" s="34">
        <v>1</v>
      </c>
      <c r="H73" s="34" t="s">
        <v>18</v>
      </c>
      <c r="I73" s="34" t="s">
        <v>19</v>
      </c>
      <c r="J73" s="34">
        <v>1</v>
      </c>
      <c r="K73" s="35">
        <f>AB73/COUNTIFS($B:$B,$B73,$C:$C,$C73,$H:$H,$H73,$I:$I,$I73)</f>
        <v>0.12</v>
      </c>
      <c r="L73" s="36">
        <f t="shared" si="6"/>
        <v>1</v>
      </c>
      <c r="M73" s="37">
        <f t="shared" si="7"/>
        <v>0.12</v>
      </c>
      <c r="N73" s="34"/>
      <c r="O73">
        <f>tScores[[#This Row],[Raw_Rating_Text]]+J75+J77+J79+J81+J83+J85+J87+J89+J91+J93</f>
        <v>4</v>
      </c>
      <c r="AA73" s="137">
        <f>AB73/COUNTIFS($B:$B,$B73,$C:$C,$C73,$H:$H,$H73,$I:$I,$I73)</f>
        <v>0.12</v>
      </c>
      <c r="AB73" s="138">
        <f>VLOOKUP(I73,'Weights and Confidence'!$D$16:$AC$26,3,FALSE)</f>
        <v>0.12</v>
      </c>
      <c r="AC73" s="139">
        <f>VLOOKUP(I73,'Weights and Confidence'!$D$16:$AC$26,4,FALSE)</f>
        <v>1</v>
      </c>
    </row>
    <row r="74" spans="1:29" x14ac:dyDescent="0.2">
      <c r="A74" s="38" t="s">
        <v>14</v>
      </c>
      <c r="B74" s="38" t="s">
        <v>1</v>
      </c>
      <c r="C74" s="38" t="s">
        <v>48</v>
      </c>
      <c r="D74" s="38" t="s">
        <v>5</v>
      </c>
      <c r="E74" s="38" t="s">
        <v>104</v>
      </c>
      <c r="F74" s="38" t="s">
        <v>49</v>
      </c>
      <c r="G74" s="38">
        <v>2</v>
      </c>
      <c r="H74" s="38" t="s">
        <v>17</v>
      </c>
      <c r="I74" s="38" t="s">
        <v>20</v>
      </c>
      <c r="J74" s="38">
        <v>0</v>
      </c>
      <c r="K74" s="39">
        <f>AB74/COUNTIFS($B:$B,$B74,$C:$C,$C74,$H:$H,$H74,$I:$I,$I74)</f>
        <v>0.08</v>
      </c>
      <c r="L74" s="40">
        <f t="shared" si="6"/>
        <v>0.8</v>
      </c>
      <c r="M74" s="41">
        <f t="shared" si="7"/>
        <v>0</v>
      </c>
      <c r="N74" s="38"/>
      <c r="AA74" s="137">
        <f>AB74/COUNTIFS($B:$B,$B74,$C:$C,$C74,$H:$H,$H74,$I:$I,$I74)</f>
        <v>0.08</v>
      </c>
      <c r="AB74" s="138">
        <f>VLOOKUP(I74,'Weights and Confidence'!$D$16:$AC$26,3,FALSE)</f>
        <v>0.08</v>
      </c>
      <c r="AC74" s="139">
        <f>VLOOKUP(I74,'Weights and Confidence'!$D$16:$AC$26,4,FALSE)</f>
        <v>0.8</v>
      </c>
    </row>
    <row r="75" spans="1:29" x14ac:dyDescent="0.2">
      <c r="A75" s="34" t="s">
        <v>14</v>
      </c>
      <c r="B75" s="34" t="s">
        <v>1</v>
      </c>
      <c r="C75" s="34" t="s">
        <v>48</v>
      </c>
      <c r="D75" s="34" t="s">
        <v>5</v>
      </c>
      <c r="E75" s="34" t="s">
        <v>104</v>
      </c>
      <c r="F75" s="34" t="s">
        <v>49</v>
      </c>
      <c r="G75" s="34">
        <v>2</v>
      </c>
      <c r="H75" s="34" t="s">
        <v>18</v>
      </c>
      <c r="I75" s="34" t="s">
        <v>20</v>
      </c>
      <c r="J75" s="34">
        <v>1</v>
      </c>
      <c r="K75" s="35">
        <f>AB75/COUNTIFS($B:$B,$B75,$C:$C,$C75,$H:$H,$H75,$I:$I,$I75)</f>
        <v>0.08</v>
      </c>
      <c r="L75" s="36">
        <f t="shared" si="6"/>
        <v>0.8</v>
      </c>
      <c r="M75" s="37">
        <f t="shared" si="7"/>
        <v>6.4000000000000001E-2</v>
      </c>
      <c r="N75" s="34"/>
      <c r="AA75" s="137">
        <f>AB75/COUNTIFS($B:$B,$B75,$C:$C,$C75,$H:$H,$H75,$I:$I,$I75)</f>
        <v>0.08</v>
      </c>
      <c r="AB75" s="138">
        <f>VLOOKUP(I75,'Weights and Confidence'!$D$16:$AC$26,3,FALSE)</f>
        <v>0.08</v>
      </c>
      <c r="AC75" s="139">
        <f>VLOOKUP(I75,'Weights and Confidence'!$D$16:$AC$26,4,FALSE)</f>
        <v>0.8</v>
      </c>
    </row>
    <row r="76" spans="1:29" x14ac:dyDescent="0.2">
      <c r="A76" s="38" t="s">
        <v>14</v>
      </c>
      <c r="B76" s="38" t="s">
        <v>1</v>
      </c>
      <c r="C76" s="38" t="s">
        <v>48</v>
      </c>
      <c r="D76" s="38" t="s">
        <v>5</v>
      </c>
      <c r="E76" s="38" t="s">
        <v>104</v>
      </c>
      <c r="F76" s="38" t="s">
        <v>49</v>
      </c>
      <c r="G76" s="38">
        <v>3</v>
      </c>
      <c r="H76" s="38" t="s">
        <v>17</v>
      </c>
      <c r="I76" s="38" t="s">
        <v>21</v>
      </c>
      <c r="J76" s="38">
        <v>1</v>
      </c>
      <c r="K76" s="39">
        <f>AB76/COUNTIFS($B:$B,$B76,$C:$C,$C76,$H:$H,$H76,$I:$I,$I76)</f>
        <v>0.05</v>
      </c>
      <c r="L76" s="40">
        <f t="shared" si="6"/>
        <v>1</v>
      </c>
      <c r="M76" s="41">
        <f t="shared" si="7"/>
        <v>0.05</v>
      </c>
      <c r="N76" s="38"/>
      <c r="AA76" s="137">
        <f>AB76/COUNTIFS($B:$B,$B76,$C:$C,$C76,$H:$H,$H76,$I:$I,$I76)</f>
        <v>0.05</v>
      </c>
      <c r="AB76" s="138">
        <f>VLOOKUP(I76,'Weights and Confidence'!$D$16:$AC$26,3,FALSE)</f>
        <v>0.05</v>
      </c>
      <c r="AC76" s="139">
        <f>VLOOKUP(I76,'Weights and Confidence'!$D$16:$AC$26,4,FALSE)</f>
        <v>1</v>
      </c>
    </row>
    <row r="77" spans="1:29" x14ac:dyDescent="0.2">
      <c r="A77" s="34" t="s">
        <v>14</v>
      </c>
      <c r="B77" s="34" t="s">
        <v>1</v>
      </c>
      <c r="C77" s="34" t="s">
        <v>48</v>
      </c>
      <c r="D77" s="34" t="s">
        <v>5</v>
      </c>
      <c r="E77" s="34" t="s">
        <v>104</v>
      </c>
      <c r="F77" s="34" t="s">
        <v>49</v>
      </c>
      <c r="G77" s="34">
        <v>3</v>
      </c>
      <c r="H77" s="34" t="s">
        <v>18</v>
      </c>
      <c r="I77" s="34" t="s">
        <v>21</v>
      </c>
      <c r="J77" s="34">
        <v>0</v>
      </c>
      <c r="K77" s="35">
        <f>AB77/COUNTIFS($B:$B,$B77,$C:$C,$C77,$H:$H,$H77,$I:$I,$I77)</f>
        <v>0.05</v>
      </c>
      <c r="L77" s="36">
        <f t="shared" si="6"/>
        <v>1</v>
      </c>
      <c r="M77" s="37">
        <f t="shared" si="7"/>
        <v>0</v>
      </c>
      <c r="N77" s="34"/>
      <c r="AA77" s="137">
        <f>AB77/COUNTIFS($B:$B,$B77,$C:$C,$C77,$H:$H,$H77,$I:$I,$I77)</f>
        <v>0.05</v>
      </c>
      <c r="AB77" s="138">
        <f>VLOOKUP(I77,'Weights and Confidence'!$D$16:$AC$26,3,FALSE)</f>
        <v>0.05</v>
      </c>
      <c r="AC77" s="139">
        <f>VLOOKUP(I77,'Weights and Confidence'!$D$16:$AC$26,4,FALSE)</f>
        <v>1</v>
      </c>
    </row>
    <row r="78" spans="1:29" x14ac:dyDescent="0.2">
      <c r="A78" s="38" t="s">
        <v>14</v>
      </c>
      <c r="B78" s="38" t="s">
        <v>1</v>
      </c>
      <c r="C78" s="38" t="s">
        <v>48</v>
      </c>
      <c r="D78" s="38" t="s">
        <v>5</v>
      </c>
      <c r="E78" s="38" t="s">
        <v>104</v>
      </c>
      <c r="F78" s="38" t="s">
        <v>49</v>
      </c>
      <c r="G78" s="38">
        <v>4</v>
      </c>
      <c r="H78" s="38" t="s">
        <v>17</v>
      </c>
      <c r="I78" s="38" t="s">
        <v>22</v>
      </c>
      <c r="J78" s="38">
        <v>0</v>
      </c>
      <c r="K78" s="39">
        <f>AB78/COUNTIFS($B:$B,$B78,$C:$C,$C78,$H:$H,$H78,$I:$I,$I78)</f>
        <v>0.14000000000000001</v>
      </c>
      <c r="L78" s="40">
        <f t="shared" si="6"/>
        <v>1</v>
      </c>
      <c r="M78" s="41">
        <f t="shared" si="7"/>
        <v>0</v>
      </c>
      <c r="N78" s="38"/>
      <c r="AA78" s="137">
        <f>AB78/COUNTIFS($B:$B,$B78,$C:$C,$C78,$H:$H,$H78,$I:$I,$I78)</f>
        <v>0.14000000000000001</v>
      </c>
      <c r="AB78" s="138">
        <f>VLOOKUP(I78,'Weights and Confidence'!$D$16:$AC$26,3,FALSE)</f>
        <v>0.14000000000000001</v>
      </c>
      <c r="AC78" s="139">
        <f>VLOOKUP(I78,'Weights and Confidence'!$D$16:$AC$26,4,FALSE)</f>
        <v>1</v>
      </c>
    </row>
    <row r="79" spans="1:29" x14ac:dyDescent="0.2">
      <c r="A79" s="34" t="s">
        <v>14</v>
      </c>
      <c r="B79" s="34" t="s">
        <v>1</v>
      </c>
      <c r="C79" s="34" t="s">
        <v>48</v>
      </c>
      <c r="D79" s="34" t="s">
        <v>5</v>
      </c>
      <c r="E79" s="34" t="s">
        <v>104</v>
      </c>
      <c r="F79" s="34" t="s">
        <v>49</v>
      </c>
      <c r="G79" s="34">
        <v>4</v>
      </c>
      <c r="H79" s="34" t="s">
        <v>18</v>
      </c>
      <c r="I79" s="34" t="s">
        <v>22</v>
      </c>
      <c r="J79" s="34">
        <v>0</v>
      </c>
      <c r="K79" s="35">
        <f>AB79/COUNTIFS($B:$B,$B79,$C:$C,$C79,$H:$H,$H79,$I:$I,$I79)</f>
        <v>0.14000000000000001</v>
      </c>
      <c r="L79" s="36">
        <f t="shared" si="6"/>
        <v>1</v>
      </c>
      <c r="M79" s="37">
        <f t="shared" si="7"/>
        <v>0</v>
      </c>
      <c r="N79" s="34"/>
      <c r="AA79" s="137">
        <f>AB79/COUNTIFS($B:$B,$B79,$C:$C,$C79,$H:$H,$H79,$I:$I,$I79)</f>
        <v>0.14000000000000001</v>
      </c>
      <c r="AB79" s="138">
        <f>VLOOKUP(I79,'Weights and Confidence'!$D$16:$AC$26,3,FALSE)</f>
        <v>0.14000000000000001</v>
      </c>
      <c r="AC79" s="139">
        <f>VLOOKUP(I79,'Weights and Confidence'!$D$16:$AC$26,4,FALSE)</f>
        <v>1</v>
      </c>
    </row>
    <row r="80" spans="1:29" x14ac:dyDescent="0.2">
      <c r="A80" s="38" t="s">
        <v>14</v>
      </c>
      <c r="B80" s="38" t="s">
        <v>1</v>
      </c>
      <c r="C80" s="38" t="s">
        <v>48</v>
      </c>
      <c r="D80" s="38" t="s">
        <v>5</v>
      </c>
      <c r="E80" s="38" t="s">
        <v>104</v>
      </c>
      <c r="F80" s="38" t="s">
        <v>49</v>
      </c>
      <c r="G80" s="38">
        <v>5</v>
      </c>
      <c r="H80" s="38" t="s">
        <v>17</v>
      </c>
      <c r="I80" s="38" t="s">
        <v>23</v>
      </c>
      <c r="J80" s="38">
        <v>-1</v>
      </c>
      <c r="K80" s="39">
        <f>AB80/COUNTIFS($B:$B,$B80,$C:$C,$C80,$H:$H,$H80,$I:$I,$I80)</f>
        <v>0.11</v>
      </c>
      <c r="L80" s="40">
        <f t="shared" si="6"/>
        <v>1</v>
      </c>
      <c r="M80" s="41">
        <f t="shared" si="7"/>
        <v>-0.11</v>
      </c>
      <c r="N80" s="38"/>
      <c r="AA80" s="137">
        <f>AB80/COUNTIFS($B:$B,$B80,$C:$C,$C80,$H:$H,$H80,$I:$I,$I80)</f>
        <v>0.11</v>
      </c>
      <c r="AB80" s="138">
        <f>VLOOKUP(I80,'Weights and Confidence'!$D$16:$AC$26,3,FALSE)</f>
        <v>0.11</v>
      </c>
      <c r="AC80" s="139">
        <f>VLOOKUP(I80,'Weights and Confidence'!$D$16:$AC$26,4,FALSE)</f>
        <v>1</v>
      </c>
    </row>
    <row r="81" spans="1:29" x14ac:dyDescent="0.2">
      <c r="A81" s="34" t="s">
        <v>14</v>
      </c>
      <c r="B81" s="34" t="s">
        <v>1</v>
      </c>
      <c r="C81" s="34" t="s">
        <v>48</v>
      </c>
      <c r="D81" s="34" t="s">
        <v>5</v>
      </c>
      <c r="E81" s="34" t="s">
        <v>104</v>
      </c>
      <c r="F81" s="34" t="s">
        <v>49</v>
      </c>
      <c r="G81" s="34">
        <v>5</v>
      </c>
      <c r="H81" s="34" t="s">
        <v>18</v>
      </c>
      <c r="I81" s="34" t="s">
        <v>23</v>
      </c>
      <c r="J81" s="34">
        <v>0</v>
      </c>
      <c r="K81" s="35">
        <f>AB81/COUNTIFS($B:$B,$B81,$C:$C,$C81,$H:$H,$H81,$I:$I,$I81)</f>
        <v>0.11</v>
      </c>
      <c r="L81" s="36">
        <f t="shared" si="6"/>
        <v>1</v>
      </c>
      <c r="M81" s="37">
        <f t="shared" si="7"/>
        <v>0</v>
      </c>
      <c r="N81" s="34"/>
      <c r="AA81" s="137">
        <f>AB81/COUNTIFS($B:$B,$B81,$C:$C,$C81,$H:$H,$H81,$I:$I,$I81)</f>
        <v>0.11</v>
      </c>
      <c r="AB81" s="138">
        <f>VLOOKUP(I81,'Weights and Confidence'!$D$16:$AC$26,3,FALSE)</f>
        <v>0.11</v>
      </c>
      <c r="AC81" s="139">
        <f>VLOOKUP(I81,'Weights and Confidence'!$D$16:$AC$26,4,FALSE)</f>
        <v>1</v>
      </c>
    </row>
    <row r="82" spans="1:29" x14ac:dyDescent="0.2">
      <c r="A82" s="38" t="s">
        <v>14</v>
      </c>
      <c r="B82" s="38" t="s">
        <v>1</v>
      </c>
      <c r="C82" s="38" t="s">
        <v>48</v>
      </c>
      <c r="D82" s="38" t="s">
        <v>5</v>
      </c>
      <c r="E82" s="38" t="s">
        <v>104</v>
      </c>
      <c r="F82" s="38" t="s">
        <v>49</v>
      </c>
      <c r="G82" s="38">
        <v>6</v>
      </c>
      <c r="H82" s="38" t="s">
        <v>17</v>
      </c>
      <c r="I82" s="38" t="s">
        <v>24</v>
      </c>
      <c r="J82" s="38">
        <v>-1</v>
      </c>
      <c r="K82" s="39">
        <f>AB82/COUNTIFS($B:$B,$B82,$C:$C,$C82,$H:$H,$H82,$I:$I,$I82)</f>
        <v>0.15</v>
      </c>
      <c r="L82" s="40">
        <f t="shared" si="6"/>
        <v>1</v>
      </c>
      <c r="M82" s="41">
        <f t="shared" si="7"/>
        <v>-0.15</v>
      </c>
      <c r="N82" s="38"/>
      <c r="AA82" s="137">
        <f>AB82/COUNTIFS($B:$B,$B82,$C:$C,$C82,$H:$H,$H82,$I:$I,$I82)</f>
        <v>0.15</v>
      </c>
      <c r="AB82" s="138">
        <f>VLOOKUP(I82,'Weights and Confidence'!$D$16:$AC$26,3,FALSE)</f>
        <v>0.15</v>
      </c>
      <c r="AC82" s="139">
        <f>VLOOKUP(I82,'Weights and Confidence'!$D$16:$AC$26,4,FALSE)</f>
        <v>1</v>
      </c>
    </row>
    <row r="83" spans="1:29" x14ac:dyDescent="0.2">
      <c r="A83" s="34" t="s">
        <v>14</v>
      </c>
      <c r="B83" s="34" t="s">
        <v>1</v>
      </c>
      <c r="C83" s="34" t="s">
        <v>48</v>
      </c>
      <c r="D83" s="34" t="s">
        <v>5</v>
      </c>
      <c r="E83" s="34" t="s">
        <v>104</v>
      </c>
      <c r="F83" s="34" t="s">
        <v>49</v>
      </c>
      <c r="G83" s="34">
        <v>6</v>
      </c>
      <c r="H83" s="34" t="s">
        <v>18</v>
      </c>
      <c r="I83" s="34" t="s">
        <v>24</v>
      </c>
      <c r="J83" s="34">
        <v>1</v>
      </c>
      <c r="K83" s="35">
        <f>AB83/COUNTIFS($B:$B,$B83,$C:$C,$C83,$H:$H,$H83,$I:$I,$I83)</f>
        <v>0.15</v>
      </c>
      <c r="L83" s="36">
        <f t="shared" si="6"/>
        <v>1</v>
      </c>
      <c r="M83" s="37">
        <f t="shared" si="7"/>
        <v>0.15</v>
      </c>
      <c r="N83" s="34"/>
      <c r="AA83" s="137">
        <f>AB83/COUNTIFS($B:$B,$B83,$C:$C,$C83,$H:$H,$H83,$I:$I,$I83)</f>
        <v>0.15</v>
      </c>
      <c r="AB83" s="138">
        <f>VLOOKUP(I83,'Weights and Confidence'!$D$16:$AC$26,3,FALSE)</f>
        <v>0.15</v>
      </c>
      <c r="AC83" s="139">
        <f>VLOOKUP(I83,'Weights and Confidence'!$D$16:$AC$26,4,FALSE)</f>
        <v>1</v>
      </c>
    </row>
    <row r="84" spans="1:29" x14ac:dyDescent="0.2">
      <c r="A84" s="38" t="s">
        <v>14</v>
      </c>
      <c r="B84" s="38" t="s">
        <v>1</v>
      </c>
      <c r="C84" s="38" t="s">
        <v>48</v>
      </c>
      <c r="D84" s="38" t="s">
        <v>5</v>
      </c>
      <c r="E84" s="38" t="s">
        <v>104</v>
      </c>
      <c r="F84" s="38" t="s">
        <v>49</v>
      </c>
      <c r="G84" s="38">
        <v>7</v>
      </c>
      <c r="H84" s="38" t="s">
        <v>17</v>
      </c>
      <c r="I84" s="38" t="s">
        <v>25</v>
      </c>
      <c r="J84" s="38">
        <v>0</v>
      </c>
      <c r="K84" s="39">
        <f>AB84/COUNTIFS($B:$B,$B84,$C:$C,$C84,$H:$H,$H84,$I:$I,$I84)</f>
        <v>0.1</v>
      </c>
      <c r="L84" s="40">
        <f t="shared" si="6"/>
        <v>1</v>
      </c>
      <c r="M84" s="41">
        <f t="shared" si="7"/>
        <v>0</v>
      </c>
      <c r="N84" s="38"/>
      <c r="AA84" s="137">
        <f>AB84/COUNTIFS($B:$B,$B84,$C:$C,$C84,$H:$H,$H84,$I:$I,$I84)</f>
        <v>0.1</v>
      </c>
      <c r="AB84" s="138">
        <f>VLOOKUP(I84,'Weights and Confidence'!$D$16:$AC$26,3,FALSE)</f>
        <v>0.1</v>
      </c>
      <c r="AC84" s="139">
        <f>VLOOKUP(I84,'Weights and Confidence'!$D$16:$AC$26,4,FALSE)</f>
        <v>1</v>
      </c>
    </row>
    <row r="85" spans="1:29" x14ac:dyDescent="0.2">
      <c r="A85" s="34" t="s">
        <v>14</v>
      </c>
      <c r="B85" s="34" t="s">
        <v>1</v>
      </c>
      <c r="C85" s="34" t="s">
        <v>48</v>
      </c>
      <c r="D85" s="34" t="s">
        <v>5</v>
      </c>
      <c r="E85" s="34" t="s">
        <v>104</v>
      </c>
      <c r="F85" s="34" t="s">
        <v>49</v>
      </c>
      <c r="G85" s="34">
        <v>7</v>
      </c>
      <c r="H85" s="34" t="s">
        <v>18</v>
      </c>
      <c r="I85" s="34" t="s">
        <v>25</v>
      </c>
      <c r="J85" s="34">
        <v>0</v>
      </c>
      <c r="K85" s="35">
        <f>AB85/COUNTIFS($B:$B,$B85,$C:$C,$C85,$H:$H,$H85,$I:$I,$I85)</f>
        <v>0.1</v>
      </c>
      <c r="L85" s="36">
        <f t="shared" si="6"/>
        <v>1</v>
      </c>
      <c r="M85" s="37">
        <f t="shared" si="7"/>
        <v>0</v>
      </c>
      <c r="N85" s="34"/>
      <c r="AA85" s="137">
        <f>AB85/COUNTIFS($B:$B,$B85,$C:$C,$C85,$H:$H,$H85,$I:$I,$I85)</f>
        <v>0.1</v>
      </c>
      <c r="AB85" s="138">
        <f>VLOOKUP(I85,'Weights and Confidence'!$D$16:$AC$26,3,FALSE)</f>
        <v>0.1</v>
      </c>
      <c r="AC85" s="139">
        <f>VLOOKUP(I85,'Weights and Confidence'!$D$16:$AC$26,4,FALSE)</f>
        <v>1</v>
      </c>
    </row>
    <row r="86" spans="1:29" x14ac:dyDescent="0.2">
      <c r="A86" s="38" t="s">
        <v>14</v>
      </c>
      <c r="B86" s="38" t="s">
        <v>1</v>
      </c>
      <c r="C86" s="38" t="s">
        <v>48</v>
      </c>
      <c r="D86" s="38" t="s">
        <v>5</v>
      </c>
      <c r="E86" s="38" t="s">
        <v>104</v>
      </c>
      <c r="F86" s="38" t="s">
        <v>49</v>
      </c>
      <c r="G86" s="38">
        <v>8</v>
      </c>
      <c r="H86" s="38" t="s">
        <v>17</v>
      </c>
      <c r="I86" s="38" t="s">
        <v>26</v>
      </c>
      <c r="J86" s="38">
        <v>0</v>
      </c>
      <c r="K86" s="39">
        <f>AB86/COUNTIFS($B:$B,$B86,$C:$C,$C86,$H:$H,$H86,$I:$I,$I86)</f>
        <v>0.1</v>
      </c>
      <c r="L86" s="40">
        <f t="shared" si="6"/>
        <v>1</v>
      </c>
      <c r="M86" s="41">
        <f t="shared" si="7"/>
        <v>0</v>
      </c>
      <c r="N86" s="38"/>
      <c r="AA86" s="137">
        <f>AB86/COUNTIFS($B:$B,$B86,$C:$C,$C86,$H:$H,$H86,$I:$I,$I86)</f>
        <v>0.1</v>
      </c>
      <c r="AB86" s="138">
        <f>VLOOKUP(I86,'Weights and Confidence'!$D$16:$AC$26,3,FALSE)</f>
        <v>0.1</v>
      </c>
      <c r="AC86" s="139">
        <f>VLOOKUP(I86,'Weights and Confidence'!$D$16:$AC$26,4,FALSE)</f>
        <v>1</v>
      </c>
    </row>
    <row r="87" spans="1:29" x14ac:dyDescent="0.2">
      <c r="A87" s="34" t="s">
        <v>14</v>
      </c>
      <c r="B87" s="34" t="s">
        <v>1</v>
      </c>
      <c r="C87" s="34" t="s">
        <v>48</v>
      </c>
      <c r="D87" s="34" t="s">
        <v>5</v>
      </c>
      <c r="E87" s="34" t="s">
        <v>104</v>
      </c>
      <c r="F87" s="34" t="s">
        <v>49</v>
      </c>
      <c r="G87" s="34">
        <v>8</v>
      </c>
      <c r="H87" s="34" t="s">
        <v>18</v>
      </c>
      <c r="I87" s="34" t="s">
        <v>26</v>
      </c>
      <c r="J87" s="34">
        <v>0</v>
      </c>
      <c r="K87" s="35">
        <f>AB87/COUNTIFS($B:$B,$B87,$C:$C,$C87,$H:$H,$H87,$I:$I,$I87)</f>
        <v>0.1</v>
      </c>
      <c r="L87" s="36">
        <f t="shared" si="6"/>
        <v>1</v>
      </c>
      <c r="M87" s="37">
        <f t="shared" si="7"/>
        <v>0</v>
      </c>
      <c r="N87" s="34"/>
      <c r="AA87" s="137">
        <f>AB87/COUNTIFS($B:$B,$B87,$C:$C,$C87,$H:$H,$H87,$I:$I,$I87)</f>
        <v>0.1</v>
      </c>
      <c r="AB87" s="138">
        <f>VLOOKUP(I87,'Weights and Confidence'!$D$16:$AC$26,3,FALSE)</f>
        <v>0.1</v>
      </c>
      <c r="AC87" s="139">
        <f>VLOOKUP(I87,'Weights and Confidence'!$D$16:$AC$26,4,FALSE)</f>
        <v>1</v>
      </c>
    </row>
    <row r="88" spans="1:29" x14ac:dyDescent="0.2">
      <c r="A88" s="38" t="s">
        <v>14</v>
      </c>
      <c r="B88" s="38" t="s">
        <v>1</v>
      </c>
      <c r="C88" s="38" t="s">
        <v>48</v>
      </c>
      <c r="D88" s="38" t="s">
        <v>5</v>
      </c>
      <c r="E88" s="38" t="s">
        <v>104</v>
      </c>
      <c r="F88" s="38" t="s">
        <v>49</v>
      </c>
      <c r="G88" s="38">
        <v>9</v>
      </c>
      <c r="H88" s="38" t="s">
        <v>17</v>
      </c>
      <c r="I88" s="38" t="s">
        <v>27</v>
      </c>
      <c r="J88" s="38">
        <v>1</v>
      </c>
      <c r="K88" s="39">
        <f>AB88/COUNTIFS($B:$B,$B88,$C:$C,$C88,$H:$H,$H88,$I:$I,$I88)</f>
        <v>0.05</v>
      </c>
      <c r="L88" s="40">
        <f t="shared" si="6"/>
        <v>0.85</v>
      </c>
      <c r="M88" s="41">
        <f t="shared" si="7"/>
        <v>4.2500000000000003E-2</v>
      </c>
      <c r="N88" s="38"/>
      <c r="AA88" s="137">
        <f>AB88/COUNTIFS($B:$B,$B88,$C:$C,$C88,$H:$H,$H88,$I:$I,$I88)</f>
        <v>0.05</v>
      </c>
      <c r="AB88" s="138">
        <f>VLOOKUP(I88,'Weights and Confidence'!$D$16:$AC$26,3,FALSE)</f>
        <v>0.1</v>
      </c>
      <c r="AC88" s="139">
        <f>VLOOKUP(I88,'Weights and Confidence'!$D$16:$AC$26,4,FALSE)</f>
        <v>0.85</v>
      </c>
    </row>
    <row r="89" spans="1:29" x14ac:dyDescent="0.2">
      <c r="A89" s="34" t="s">
        <v>14</v>
      </c>
      <c r="B89" s="34" t="s">
        <v>1</v>
      </c>
      <c r="C89" s="34" t="s">
        <v>48</v>
      </c>
      <c r="D89" s="34" t="s">
        <v>5</v>
      </c>
      <c r="E89" s="34" t="s">
        <v>104</v>
      </c>
      <c r="F89" s="34" t="s">
        <v>49</v>
      </c>
      <c r="G89" s="34">
        <v>9</v>
      </c>
      <c r="H89" s="34" t="s">
        <v>18</v>
      </c>
      <c r="I89" s="34" t="s">
        <v>27</v>
      </c>
      <c r="J89" s="34">
        <v>1</v>
      </c>
      <c r="K89" s="35">
        <f>AB89/COUNTIFS($B:$B,$B89,$C:$C,$C89,$H:$H,$H89,$I:$I,$I89)</f>
        <v>0.05</v>
      </c>
      <c r="L89" s="36">
        <f t="shared" si="6"/>
        <v>0.85</v>
      </c>
      <c r="M89" s="37">
        <f t="shared" si="7"/>
        <v>4.2500000000000003E-2</v>
      </c>
      <c r="N89" s="34"/>
      <c r="AA89" s="137">
        <f>AB89/COUNTIFS($B:$B,$B89,$C:$C,$C89,$H:$H,$H89,$I:$I,$I89)</f>
        <v>0.05</v>
      </c>
      <c r="AB89" s="138">
        <f>VLOOKUP(I89,'Weights and Confidence'!$D$16:$AC$26,3,FALSE)</f>
        <v>0.1</v>
      </c>
      <c r="AC89" s="139">
        <f>VLOOKUP(I89,'Weights and Confidence'!$D$16:$AC$26,4,FALSE)</f>
        <v>0.85</v>
      </c>
    </row>
    <row r="90" spans="1:29" x14ac:dyDescent="0.2">
      <c r="A90" s="38" t="s">
        <v>14</v>
      </c>
      <c r="B90" s="38" t="s">
        <v>1</v>
      </c>
      <c r="C90" s="38" t="s">
        <v>48</v>
      </c>
      <c r="D90" s="38" t="s">
        <v>5</v>
      </c>
      <c r="E90" s="38" t="s">
        <v>104</v>
      </c>
      <c r="F90" s="38" t="s">
        <v>49</v>
      </c>
      <c r="G90" s="38">
        <v>10</v>
      </c>
      <c r="H90" s="38" t="s">
        <v>17</v>
      </c>
      <c r="I90" s="38" t="s">
        <v>27</v>
      </c>
      <c r="J90" s="38">
        <v>1</v>
      </c>
      <c r="K90" s="39">
        <f>AB90/COUNTIFS($B:$B,$B90,$C:$C,$C90,$H:$H,$H90,$I:$I,$I90)</f>
        <v>0.05</v>
      </c>
      <c r="L90" s="40">
        <f t="shared" si="6"/>
        <v>0.85</v>
      </c>
      <c r="M90" s="41">
        <f t="shared" si="7"/>
        <v>4.2500000000000003E-2</v>
      </c>
      <c r="N90" s="38"/>
      <c r="AA90" s="137">
        <f>AB90/COUNTIFS($B:$B,$B90,$C:$C,$C90,$H:$H,$H90,$I:$I,$I90)</f>
        <v>0.05</v>
      </c>
      <c r="AB90" s="138">
        <f>VLOOKUP(I90,'Weights and Confidence'!$D$16:$AC$26,3,FALSE)</f>
        <v>0.1</v>
      </c>
      <c r="AC90" s="139">
        <f>VLOOKUP(I90,'Weights and Confidence'!$D$16:$AC$26,4,FALSE)</f>
        <v>0.85</v>
      </c>
    </row>
    <row r="91" spans="1:29" x14ac:dyDescent="0.2">
      <c r="A91" s="34" t="s">
        <v>14</v>
      </c>
      <c r="B91" s="34" t="s">
        <v>1</v>
      </c>
      <c r="C91" s="34" t="s">
        <v>48</v>
      </c>
      <c r="D91" s="34" t="s">
        <v>5</v>
      </c>
      <c r="E91" s="34" t="s">
        <v>104</v>
      </c>
      <c r="F91" s="34" t="s">
        <v>49</v>
      </c>
      <c r="G91" s="34">
        <v>10</v>
      </c>
      <c r="H91" s="34" t="s">
        <v>18</v>
      </c>
      <c r="I91" s="34" t="s">
        <v>27</v>
      </c>
      <c r="J91" s="34">
        <v>1</v>
      </c>
      <c r="K91" s="35">
        <f>AB91/COUNTIFS($B:$B,$B91,$C:$C,$C91,$H:$H,$H91,$I:$I,$I91)</f>
        <v>0.05</v>
      </c>
      <c r="L91" s="36">
        <f t="shared" si="6"/>
        <v>0.85</v>
      </c>
      <c r="M91" s="37">
        <f t="shared" si="7"/>
        <v>4.2500000000000003E-2</v>
      </c>
      <c r="N91" s="34"/>
      <c r="AA91" s="137">
        <f>AB91/COUNTIFS($B:$B,$B91,$C:$C,$C91,$H:$H,$H91,$I:$I,$I91)</f>
        <v>0.05</v>
      </c>
      <c r="AB91" s="138">
        <f>VLOOKUP(I91,'Weights and Confidence'!$D$16:$AC$26,3,FALSE)</f>
        <v>0.1</v>
      </c>
      <c r="AC91" s="139">
        <f>VLOOKUP(I91,'Weights and Confidence'!$D$16:$AC$26,4,FALSE)</f>
        <v>0.85</v>
      </c>
    </row>
    <row r="92" spans="1:29" x14ac:dyDescent="0.2">
      <c r="A92" s="38" t="s">
        <v>14</v>
      </c>
      <c r="B92" s="38" t="s">
        <v>1</v>
      </c>
      <c r="C92" s="38" t="s">
        <v>48</v>
      </c>
      <c r="D92" s="38" t="s">
        <v>5</v>
      </c>
      <c r="E92" s="38" t="s">
        <v>104</v>
      </c>
      <c r="F92" s="38" t="s">
        <v>49</v>
      </c>
      <c r="G92" s="38">
        <v>11</v>
      </c>
      <c r="H92" s="38" t="s">
        <v>17</v>
      </c>
      <c r="I92" s="38" t="s">
        <v>28</v>
      </c>
      <c r="J92" s="38">
        <v>0</v>
      </c>
      <c r="K92" s="39">
        <f>AB92/COUNTIFS($B:$B,$B92,$C:$C,$C92,$H:$H,$H92,$I:$I,$I92)</f>
        <v>0.05</v>
      </c>
      <c r="L92" s="40">
        <f t="shared" si="6"/>
        <v>1</v>
      </c>
      <c r="M92" s="41">
        <f t="shared" si="7"/>
        <v>0</v>
      </c>
      <c r="N92" s="38"/>
      <c r="AA92" s="137">
        <f>AB92/COUNTIFS($B:$B,$B92,$C:$C,$C92,$H:$H,$H92,$I:$I,$I92)</f>
        <v>0.05</v>
      </c>
      <c r="AB92" s="138">
        <f>VLOOKUP(I92,'Weights and Confidence'!$D$16:$AC$26,3,FALSE)</f>
        <v>0.05</v>
      </c>
      <c r="AC92" s="139">
        <f>VLOOKUP(I92,'Weights and Confidence'!$D$16:$AC$26,4,FALSE)</f>
        <v>1</v>
      </c>
    </row>
    <row r="93" spans="1:29" ht="17" thickBot="1" x14ac:dyDescent="0.25">
      <c r="A93" s="34" t="s">
        <v>14</v>
      </c>
      <c r="B93" s="34" t="s">
        <v>1</v>
      </c>
      <c r="C93" s="34" t="s">
        <v>48</v>
      </c>
      <c r="D93" s="34" t="s">
        <v>5</v>
      </c>
      <c r="E93" s="34" t="s">
        <v>104</v>
      </c>
      <c r="F93" s="34" t="s">
        <v>49</v>
      </c>
      <c r="G93" s="34">
        <v>11</v>
      </c>
      <c r="H93" s="34" t="s">
        <v>18</v>
      </c>
      <c r="I93" s="34" t="s">
        <v>28</v>
      </c>
      <c r="J93" s="34">
        <v>-1</v>
      </c>
      <c r="K93" s="35">
        <f>AB93/COUNTIFS($B:$B,$B93,$C:$C,$C93,$H:$H,$H93,$I:$I,$I93)</f>
        <v>0.05</v>
      </c>
      <c r="L93" s="36">
        <f t="shared" si="6"/>
        <v>1</v>
      </c>
      <c r="M93" s="37">
        <f t="shared" si="7"/>
        <v>-0.05</v>
      </c>
      <c r="N93" s="34"/>
      <c r="AA93" s="140">
        <f>AB93/COUNTIFS($B:$B,$B93,$C:$C,$C93,$H:$H,$H93,$I:$I,$I93)</f>
        <v>0.05</v>
      </c>
      <c r="AB93" s="141">
        <f>VLOOKUP(I93,'Weights and Confidence'!$D$16:$AC$26,3,FALSE)</f>
        <v>0.05</v>
      </c>
      <c r="AC93" s="142">
        <f>VLOOKUP(I93,'Weights and Confidence'!$D$16:$AC$26,4,FALSE)</f>
        <v>1</v>
      </c>
    </row>
    <row r="94" spans="1:29" ht="17" thickTop="1" x14ac:dyDescent="0.2">
      <c r="A94" s="42" t="s">
        <v>14</v>
      </c>
      <c r="B94" s="42" t="s">
        <v>1</v>
      </c>
      <c r="C94" s="42" t="s">
        <v>50</v>
      </c>
      <c r="D94" s="42" t="s">
        <v>5</v>
      </c>
      <c r="E94" s="43" t="s">
        <v>103</v>
      </c>
      <c r="F94" s="43" t="s">
        <v>51</v>
      </c>
      <c r="G94" s="42">
        <v>1</v>
      </c>
      <c r="H94" s="42" t="s">
        <v>17</v>
      </c>
      <c r="I94" s="42" t="s">
        <v>19</v>
      </c>
      <c r="J94" s="42">
        <v>1</v>
      </c>
      <c r="K94" s="44">
        <f>AB94/COUNTIFS($B:$B,$B94,$C:$C,$C94,$H:$H,$H94,$I:$I,$I94)</f>
        <v>0.12</v>
      </c>
      <c r="L94" s="45">
        <f t="shared" si="6"/>
        <v>1</v>
      </c>
      <c r="M94" s="46">
        <f t="shared" ref="M94:M115" si="8">J94*K94*L94</f>
        <v>0.12</v>
      </c>
      <c r="N94" s="42"/>
      <c r="AA94" s="137">
        <f>AB94/COUNTIFS($B:$B,$B94,$C:$C,$C94,$H:$H,$H94,$I:$I,$I94)</f>
        <v>0.12</v>
      </c>
      <c r="AB94" s="138">
        <f>VLOOKUP(I94,'Weights and Confidence'!$D$16:$AC$26,3,FALSE)</f>
        <v>0.12</v>
      </c>
      <c r="AC94" s="139">
        <f>VLOOKUP(I94,'Weights and Confidence'!$D$16:$AC$26,4,FALSE)</f>
        <v>1</v>
      </c>
    </row>
    <row r="95" spans="1:29" x14ac:dyDescent="0.2">
      <c r="A95" s="34" t="s">
        <v>14</v>
      </c>
      <c r="B95" s="34" t="s">
        <v>1</v>
      </c>
      <c r="C95" s="34" t="s">
        <v>50</v>
      </c>
      <c r="D95" s="34" t="s">
        <v>5</v>
      </c>
      <c r="E95" s="34" t="s">
        <v>103</v>
      </c>
      <c r="F95" s="34" t="s">
        <v>51</v>
      </c>
      <c r="G95" s="34">
        <v>1</v>
      </c>
      <c r="H95" s="34" t="s">
        <v>18</v>
      </c>
      <c r="I95" s="34" t="s">
        <v>19</v>
      </c>
      <c r="J95" s="34">
        <v>1</v>
      </c>
      <c r="K95" s="35">
        <f>AB95/COUNTIFS($B:$B,$B95,$C:$C,$C95,$H:$H,$H95,$I:$I,$I95)</f>
        <v>0.12</v>
      </c>
      <c r="L95" s="36">
        <f t="shared" si="6"/>
        <v>1</v>
      </c>
      <c r="M95" s="37">
        <f t="shared" si="8"/>
        <v>0.12</v>
      </c>
      <c r="N95" s="34"/>
      <c r="AA95" s="137">
        <f>AB95/COUNTIFS($B:$B,$B95,$C:$C,$C95,$H:$H,$H95,$I:$I,$I95)</f>
        <v>0.12</v>
      </c>
      <c r="AB95" s="138">
        <f>VLOOKUP(I95,'Weights and Confidence'!$D$16:$AC$26,3,FALSE)</f>
        <v>0.12</v>
      </c>
      <c r="AC95" s="139">
        <f>VLOOKUP(I95,'Weights and Confidence'!$D$16:$AC$26,4,FALSE)</f>
        <v>1</v>
      </c>
    </row>
    <row r="96" spans="1:29" x14ac:dyDescent="0.2">
      <c r="A96" s="38" t="s">
        <v>14</v>
      </c>
      <c r="B96" s="38" t="s">
        <v>1</v>
      </c>
      <c r="C96" s="38" t="s">
        <v>50</v>
      </c>
      <c r="D96" s="38" t="s">
        <v>5</v>
      </c>
      <c r="E96" s="38" t="s">
        <v>103</v>
      </c>
      <c r="F96" s="38" t="s">
        <v>51</v>
      </c>
      <c r="G96" s="38">
        <v>2</v>
      </c>
      <c r="H96" s="38" t="s">
        <v>17</v>
      </c>
      <c r="I96" s="38" t="s">
        <v>20</v>
      </c>
      <c r="J96" s="38">
        <v>1</v>
      </c>
      <c r="K96" s="39">
        <f>AB96/COUNTIFS($B:$B,$B96,$C:$C,$C96,$H:$H,$H96,$I:$I,$I96)</f>
        <v>0.08</v>
      </c>
      <c r="L96" s="40">
        <f t="shared" si="6"/>
        <v>0.8</v>
      </c>
      <c r="M96" s="41">
        <f t="shared" si="8"/>
        <v>6.4000000000000001E-2</v>
      </c>
      <c r="N96" s="38"/>
      <c r="AA96" s="137">
        <f>AB96/COUNTIFS($B:$B,$B96,$C:$C,$C96,$H:$H,$H96,$I:$I,$I96)</f>
        <v>0.08</v>
      </c>
      <c r="AB96" s="138">
        <f>VLOOKUP(I96,'Weights and Confidence'!$D$16:$AC$26,3,FALSE)</f>
        <v>0.08</v>
      </c>
      <c r="AC96" s="139">
        <f>VLOOKUP(I96,'Weights and Confidence'!$D$16:$AC$26,4,FALSE)</f>
        <v>0.8</v>
      </c>
    </row>
    <row r="97" spans="1:29" x14ac:dyDescent="0.2">
      <c r="A97" s="34" t="s">
        <v>14</v>
      </c>
      <c r="B97" s="34" t="s">
        <v>1</v>
      </c>
      <c r="C97" s="34" t="s">
        <v>50</v>
      </c>
      <c r="D97" s="34" t="s">
        <v>5</v>
      </c>
      <c r="E97" s="34" t="s">
        <v>103</v>
      </c>
      <c r="F97" s="34" t="s">
        <v>51</v>
      </c>
      <c r="G97" s="34">
        <v>2</v>
      </c>
      <c r="H97" s="34" t="s">
        <v>18</v>
      </c>
      <c r="I97" s="34" t="s">
        <v>20</v>
      </c>
      <c r="J97" s="34">
        <v>1</v>
      </c>
      <c r="K97" s="35">
        <f>AB97/COUNTIFS($B:$B,$B97,$C:$C,$C97,$H:$H,$H97,$I:$I,$I97)</f>
        <v>0.08</v>
      </c>
      <c r="L97" s="36">
        <f t="shared" si="6"/>
        <v>0.8</v>
      </c>
      <c r="M97" s="37">
        <f t="shared" si="8"/>
        <v>6.4000000000000001E-2</v>
      </c>
      <c r="N97" s="34"/>
      <c r="AA97" s="137">
        <f>AB97/COUNTIFS($B:$B,$B97,$C:$C,$C97,$H:$H,$H97,$I:$I,$I97)</f>
        <v>0.08</v>
      </c>
      <c r="AB97" s="138">
        <f>VLOOKUP(I97,'Weights and Confidence'!$D$16:$AC$26,3,FALSE)</f>
        <v>0.08</v>
      </c>
      <c r="AC97" s="139">
        <f>VLOOKUP(I97,'Weights and Confidence'!$D$16:$AC$26,4,FALSE)</f>
        <v>0.8</v>
      </c>
    </row>
    <row r="98" spans="1:29" x14ac:dyDescent="0.2">
      <c r="A98" s="38" t="s">
        <v>14</v>
      </c>
      <c r="B98" s="38" t="s">
        <v>1</v>
      </c>
      <c r="C98" s="38" t="s">
        <v>50</v>
      </c>
      <c r="D98" s="38" t="s">
        <v>5</v>
      </c>
      <c r="E98" s="38" t="s">
        <v>103</v>
      </c>
      <c r="F98" s="38" t="s">
        <v>51</v>
      </c>
      <c r="G98" s="38">
        <v>3</v>
      </c>
      <c r="H98" s="38" t="s">
        <v>17</v>
      </c>
      <c r="I98" s="38" t="s">
        <v>21</v>
      </c>
      <c r="J98" s="38">
        <v>0</v>
      </c>
      <c r="K98" s="39">
        <f>AB98/COUNTIFS($B:$B,$B98,$C:$C,$C98,$H:$H,$H98,$I:$I,$I98)</f>
        <v>0.05</v>
      </c>
      <c r="L98" s="40">
        <f t="shared" si="6"/>
        <v>1</v>
      </c>
      <c r="M98" s="41">
        <f t="shared" si="8"/>
        <v>0</v>
      </c>
      <c r="N98" s="38"/>
      <c r="AA98" s="137">
        <f>AB98/COUNTIFS($B:$B,$B98,$C:$C,$C98,$H:$H,$H98,$I:$I,$I98)</f>
        <v>0.05</v>
      </c>
      <c r="AB98" s="138">
        <f>VLOOKUP(I98,'Weights and Confidence'!$D$16:$AC$26,3,FALSE)</f>
        <v>0.05</v>
      </c>
      <c r="AC98" s="139">
        <f>VLOOKUP(I98,'Weights and Confidence'!$D$16:$AC$26,4,FALSE)</f>
        <v>1</v>
      </c>
    </row>
    <row r="99" spans="1:29" x14ac:dyDescent="0.2">
      <c r="A99" s="34" t="s">
        <v>14</v>
      </c>
      <c r="B99" s="34" t="s">
        <v>1</v>
      </c>
      <c r="C99" s="34" t="s">
        <v>50</v>
      </c>
      <c r="D99" s="34" t="s">
        <v>5</v>
      </c>
      <c r="E99" s="34" t="s">
        <v>103</v>
      </c>
      <c r="F99" s="34" t="s">
        <v>51</v>
      </c>
      <c r="G99" s="34">
        <v>3</v>
      </c>
      <c r="H99" s="34" t="s">
        <v>18</v>
      </c>
      <c r="I99" s="34" t="s">
        <v>21</v>
      </c>
      <c r="J99" s="34">
        <v>1</v>
      </c>
      <c r="K99" s="35">
        <f>AB99/COUNTIFS($B:$B,$B99,$C:$C,$C99,$H:$H,$H99,$I:$I,$I99)</f>
        <v>0.05</v>
      </c>
      <c r="L99" s="36">
        <f t="shared" si="6"/>
        <v>1</v>
      </c>
      <c r="M99" s="37">
        <f t="shared" si="8"/>
        <v>0.05</v>
      </c>
      <c r="N99" s="34"/>
      <c r="AA99" s="137">
        <f>AB99/COUNTIFS($B:$B,$B99,$C:$C,$C99,$H:$H,$H99,$I:$I,$I99)</f>
        <v>0.05</v>
      </c>
      <c r="AB99" s="138">
        <f>VLOOKUP(I99,'Weights and Confidence'!$D$16:$AC$26,3,FALSE)</f>
        <v>0.05</v>
      </c>
      <c r="AC99" s="139">
        <f>VLOOKUP(I99,'Weights and Confidence'!$D$16:$AC$26,4,FALSE)</f>
        <v>1</v>
      </c>
    </row>
    <row r="100" spans="1:29" x14ac:dyDescent="0.2">
      <c r="A100" s="38" t="s">
        <v>14</v>
      </c>
      <c r="B100" s="38" t="s">
        <v>1</v>
      </c>
      <c r="C100" s="38" t="s">
        <v>50</v>
      </c>
      <c r="D100" s="38" t="s">
        <v>5</v>
      </c>
      <c r="E100" s="38" t="s">
        <v>103</v>
      </c>
      <c r="F100" s="38" t="s">
        <v>51</v>
      </c>
      <c r="G100" s="38">
        <v>4</v>
      </c>
      <c r="H100" s="38" t="s">
        <v>17</v>
      </c>
      <c r="I100" s="38" t="s">
        <v>22</v>
      </c>
      <c r="J100" s="38">
        <v>0</v>
      </c>
      <c r="K100" s="39">
        <f>AB100/COUNTIFS($B:$B,$B100,$C:$C,$C100,$H:$H,$H100,$I:$I,$I100)</f>
        <v>0.14000000000000001</v>
      </c>
      <c r="L100" s="40">
        <f t="shared" si="6"/>
        <v>1</v>
      </c>
      <c r="M100" s="41">
        <f t="shared" si="8"/>
        <v>0</v>
      </c>
      <c r="N100" s="38"/>
      <c r="AA100" s="137">
        <f>AB100/COUNTIFS($B:$B,$B100,$C:$C,$C100,$H:$H,$H100,$I:$I,$I100)</f>
        <v>0.14000000000000001</v>
      </c>
      <c r="AB100" s="138">
        <f>VLOOKUP(I100,'Weights and Confidence'!$D$16:$AC$26,3,FALSE)</f>
        <v>0.14000000000000001</v>
      </c>
      <c r="AC100" s="139">
        <f>VLOOKUP(I100,'Weights and Confidence'!$D$16:$AC$26,4,FALSE)</f>
        <v>1</v>
      </c>
    </row>
    <row r="101" spans="1:29" x14ac:dyDescent="0.2">
      <c r="A101" s="34" t="s">
        <v>14</v>
      </c>
      <c r="B101" s="34" t="s">
        <v>1</v>
      </c>
      <c r="C101" s="34" t="s">
        <v>50</v>
      </c>
      <c r="D101" s="34" t="s">
        <v>5</v>
      </c>
      <c r="E101" s="34" t="s">
        <v>103</v>
      </c>
      <c r="F101" s="34" t="s">
        <v>51</v>
      </c>
      <c r="G101" s="34">
        <v>4</v>
      </c>
      <c r="H101" s="34" t="s">
        <v>18</v>
      </c>
      <c r="I101" s="34" t="s">
        <v>22</v>
      </c>
      <c r="J101" s="34">
        <v>1</v>
      </c>
      <c r="K101" s="35">
        <f>AB101/COUNTIFS($B:$B,$B101,$C:$C,$C101,$H:$H,$H101,$I:$I,$I101)</f>
        <v>0.14000000000000001</v>
      </c>
      <c r="L101" s="36">
        <f t="shared" si="6"/>
        <v>1</v>
      </c>
      <c r="M101" s="37">
        <f t="shared" si="8"/>
        <v>0.14000000000000001</v>
      </c>
      <c r="N101" s="34"/>
      <c r="AA101" s="137">
        <f>AB101/COUNTIFS($B:$B,$B101,$C:$C,$C101,$H:$H,$H101,$I:$I,$I101)</f>
        <v>0.14000000000000001</v>
      </c>
      <c r="AB101" s="138">
        <f>VLOOKUP(I101,'Weights and Confidence'!$D$16:$AC$26,3,FALSE)</f>
        <v>0.14000000000000001</v>
      </c>
      <c r="AC101" s="139">
        <f>VLOOKUP(I101,'Weights and Confidence'!$D$16:$AC$26,4,FALSE)</f>
        <v>1</v>
      </c>
    </row>
    <row r="102" spans="1:29" x14ac:dyDescent="0.2">
      <c r="A102" s="38" t="s">
        <v>14</v>
      </c>
      <c r="B102" s="38" t="s">
        <v>1</v>
      </c>
      <c r="C102" s="38" t="s">
        <v>50</v>
      </c>
      <c r="D102" s="38" t="s">
        <v>5</v>
      </c>
      <c r="E102" s="38" t="s">
        <v>103</v>
      </c>
      <c r="F102" s="38" t="s">
        <v>51</v>
      </c>
      <c r="G102" s="38">
        <v>5</v>
      </c>
      <c r="H102" s="38" t="s">
        <v>17</v>
      </c>
      <c r="I102" s="38" t="s">
        <v>23</v>
      </c>
      <c r="J102" s="38">
        <v>1</v>
      </c>
      <c r="K102" s="39">
        <f>AB102/COUNTIFS($B:$B,$B102,$C:$C,$C102,$H:$H,$H102,$I:$I,$I102)</f>
        <v>0.11</v>
      </c>
      <c r="L102" s="40">
        <f t="shared" si="6"/>
        <v>1</v>
      </c>
      <c r="M102" s="41">
        <f t="shared" si="8"/>
        <v>0.11</v>
      </c>
      <c r="N102" s="38"/>
      <c r="AA102" s="137">
        <f>AB102/COUNTIFS($B:$B,$B102,$C:$C,$C102,$H:$H,$H102,$I:$I,$I102)</f>
        <v>0.11</v>
      </c>
      <c r="AB102" s="138">
        <f>VLOOKUP(I102,'Weights and Confidence'!$D$16:$AC$26,3,FALSE)</f>
        <v>0.11</v>
      </c>
      <c r="AC102" s="139">
        <f>VLOOKUP(I102,'Weights and Confidence'!$D$16:$AC$26,4,FALSE)</f>
        <v>1</v>
      </c>
    </row>
    <row r="103" spans="1:29" x14ac:dyDescent="0.2">
      <c r="A103" s="34" t="s">
        <v>14</v>
      </c>
      <c r="B103" s="34" t="s">
        <v>1</v>
      </c>
      <c r="C103" s="34" t="s">
        <v>50</v>
      </c>
      <c r="D103" s="34" t="s">
        <v>5</v>
      </c>
      <c r="E103" s="34" t="s">
        <v>103</v>
      </c>
      <c r="F103" s="34" t="s">
        <v>51</v>
      </c>
      <c r="G103" s="34">
        <v>5</v>
      </c>
      <c r="H103" s="34" t="s">
        <v>18</v>
      </c>
      <c r="I103" s="34" t="s">
        <v>23</v>
      </c>
      <c r="J103" s="34">
        <v>1</v>
      </c>
      <c r="K103" s="35">
        <f>AB103/COUNTIFS($B:$B,$B103,$C:$C,$C103,$H:$H,$H103,$I:$I,$I103)</f>
        <v>0.11</v>
      </c>
      <c r="L103" s="36">
        <f t="shared" si="6"/>
        <v>1</v>
      </c>
      <c r="M103" s="37">
        <f t="shared" si="8"/>
        <v>0.11</v>
      </c>
      <c r="N103" s="34"/>
      <c r="AA103" s="137">
        <f>AB103/COUNTIFS($B:$B,$B103,$C:$C,$C103,$H:$H,$H103,$I:$I,$I103)</f>
        <v>0.11</v>
      </c>
      <c r="AB103" s="138">
        <f>VLOOKUP(I103,'Weights and Confidence'!$D$16:$AC$26,3,FALSE)</f>
        <v>0.11</v>
      </c>
      <c r="AC103" s="139">
        <f>VLOOKUP(I103,'Weights and Confidence'!$D$16:$AC$26,4,FALSE)</f>
        <v>1</v>
      </c>
    </row>
    <row r="104" spans="1:29" x14ac:dyDescent="0.2">
      <c r="A104" s="38" t="s">
        <v>14</v>
      </c>
      <c r="B104" s="38" t="s">
        <v>1</v>
      </c>
      <c r="C104" s="38" t="s">
        <v>50</v>
      </c>
      <c r="D104" s="38" t="s">
        <v>5</v>
      </c>
      <c r="E104" s="38" t="s">
        <v>103</v>
      </c>
      <c r="F104" s="38" t="s">
        <v>51</v>
      </c>
      <c r="G104" s="38">
        <v>6</v>
      </c>
      <c r="H104" s="38" t="s">
        <v>17</v>
      </c>
      <c r="I104" s="38" t="s">
        <v>24</v>
      </c>
      <c r="J104" s="38">
        <v>1</v>
      </c>
      <c r="K104" s="39">
        <f>AB104/COUNTIFS($B:$B,$B104,$C:$C,$C104,$H:$H,$H104,$I:$I,$I104)</f>
        <v>0.15</v>
      </c>
      <c r="L104" s="40">
        <f t="shared" si="6"/>
        <v>1</v>
      </c>
      <c r="M104" s="41">
        <f t="shared" si="8"/>
        <v>0.15</v>
      </c>
      <c r="N104" s="38"/>
      <c r="AA104" s="137">
        <f>AB104/COUNTIFS($B:$B,$B104,$C:$C,$C104,$H:$H,$H104,$I:$I,$I104)</f>
        <v>0.15</v>
      </c>
      <c r="AB104" s="138">
        <f>VLOOKUP(I104,'Weights and Confidence'!$D$16:$AC$26,3,FALSE)</f>
        <v>0.15</v>
      </c>
      <c r="AC104" s="139">
        <f>VLOOKUP(I104,'Weights and Confidence'!$D$16:$AC$26,4,FALSE)</f>
        <v>1</v>
      </c>
    </row>
    <row r="105" spans="1:29" x14ac:dyDescent="0.2">
      <c r="A105" s="34" t="s">
        <v>14</v>
      </c>
      <c r="B105" s="34" t="s">
        <v>1</v>
      </c>
      <c r="C105" s="34" t="s">
        <v>50</v>
      </c>
      <c r="D105" s="34" t="s">
        <v>5</v>
      </c>
      <c r="E105" s="34" t="s">
        <v>103</v>
      </c>
      <c r="F105" s="34" t="s">
        <v>51</v>
      </c>
      <c r="G105" s="34">
        <v>6</v>
      </c>
      <c r="H105" s="34" t="s">
        <v>18</v>
      </c>
      <c r="I105" s="34" t="s">
        <v>24</v>
      </c>
      <c r="J105" s="34">
        <v>1</v>
      </c>
      <c r="K105" s="35">
        <f>AB105/COUNTIFS($B:$B,$B105,$C:$C,$C105,$H:$H,$H105,$I:$I,$I105)</f>
        <v>0.15</v>
      </c>
      <c r="L105" s="36">
        <f t="shared" si="6"/>
        <v>1</v>
      </c>
      <c r="M105" s="37">
        <f t="shared" si="8"/>
        <v>0.15</v>
      </c>
      <c r="N105" s="34"/>
      <c r="AA105" s="137">
        <f>AB105/COUNTIFS($B:$B,$B105,$C:$C,$C105,$H:$H,$H105,$I:$I,$I105)</f>
        <v>0.15</v>
      </c>
      <c r="AB105" s="138">
        <f>VLOOKUP(I105,'Weights and Confidence'!$D$16:$AC$26,3,FALSE)</f>
        <v>0.15</v>
      </c>
      <c r="AC105" s="139">
        <f>VLOOKUP(I105,'Weights and Confidence'!$D$16:$AC$26,4,FALSE)</f>
        <v>1</v>
      </c>
    </row>
    <row r="106" spans="1:29" x14ac:dyDescent="0.2">
      <c r="A106" s="38" t="s">
        <v>14</v>
      </c>
      <c r="B106" s="38" t="s">
        <v>1</v>
      </c>
      <c r="C106" s="38" t="s">
        <v>50</v>
      </c>
      <c r="D106" s="38" t="s">
        <v>5</v>
      </c>
      <c r="E106" s="38" t="s">
        <v>103</v>
      </c>
      <c r="F106" s="38" t="s">
        <v>51</v>
      </c>
      <c r="G106" s="38">
        <v>7</v>
      </c>
      <c r="H106" s="38" t="s">
        <v>17</v>
      </c>
      <c r="I106" s="38" t="s">
        <v>25</v>
      </c>
      <c r="J106" s="38">
        <v>1</v>
      </c>
      <c r="K106" s="39">
        <f>AB106/COUNTIFS($B:$B,$B106,$C:$C,$C106,$H:$H,$H106,$I:$I,$I106)</f>
        <v>0.1</v>
      </c>
      <c r="L106" s="40">
        <f t="shared" si="6"/>
        <v>1</v>
      </c>
      <c r="M106" s="41">
        <f t="shared" si="8"/>
        <v>0.1</v>
      </c>
      <c r="N106" s="38"/>
      <c r="AA106" s="137">
        <f>AB106/COUNTIFS($B:$B,$B106,$C:$C,$C106,$H:$H,$H106,$I:$I,$I106)</f>
        <v>0.1</v>
      </c>
      <c r="AB106" s="138">
        <f>VLOOKUP(I106,'Weights and Confidence'!$D$16:$AC$26,3,FALSE)</f>
        <v>0.1</v>
      </c>
      <c r="AC106" s="139">
        <f>VLOOKUP(I106,'Weights and Confidence'!$D$16:$AC$26,4,FALSE)</f>
        <v>1</v>
      </c>
    </row>
    <row r="107" spans="1:29" x14ac:dyDescent="0.2">
      <c r="A107" s="34" t="s">
        <v>14</v>
      </c>
      <c r="B107" s="34" t="s">
        <v>1</v>
      </c>
      <c r="C107" s="34" t="s">
        <v>50</v>
      </c>
      <c r="D107" s="34" t="s">
        <v>5</v>
      </c>
      <c r="E107" s="34" t="s">
        <v>103</v>
      </c>
      <c r="F107" s="34" t="s">
        <v>51</v>
      </c>
      <c r="G107" s="34">
        <v>7</v>
      </c>
      <c r="H107" s="34" t="s">
        <v>18</v>
      </c>
      <c r="I107" s="34" t="s">
        <v>25</v>
      </c>
      <c r="J107" s="34">
        <v>1</v>
      </c>
      <c r="K107" s="35">
        <f>AB107/COUNTIFS($B:$B,$B107,$C:$C,$C107,$H:$H,$H107,$I:$I,$I107)</f>
        <v>0.1</v>
      </c>
      <c r="L107" s="36">
        <f t="shared" si="6"/>
        <v>1</v>
      </c>
      <c r="M107" s="37">
        <f t="shared" si="8"/>
        <v>0.1</v>
      </c>
      <c r="N107" s="34"/>
      <c r="AA107" s="137">
        <f>AB107/COUNTIFS($B:$B,$B107,$C:$C,$C107,$H:$H,$H107,$I:$I,$I107)</f>
        <v>0.1</v>
      </c>
      <c r="AB107" s="138">
        <f>VLOOKUP(I107,'Weights and Confidence'!$D$16:$AC$26,3,FALSE)</f>
        <v>0.1</v>
      </c>
      <c r="AC107" s="139">
        <f>VLOOKUP(I107,'Weights and Confidence'!$D$16:$AC$26,4,FALSE)</f>
        <v>1</v>
      </c>
    </row>
    <row r="108" spans="1:29" x14ac:dyDescent="0.2">
      <c r="A108" s="38" t="s">
        <v>14</v>
      </c>
      <c r="B108" s="38" t="s">
        <v>1</v>
      </c>
      <c r="C108" s="38" t="s">
        <v>50</v>
      </c>
      <c r="D108" s="38" t="s">
        <v>5</v>
      </c>
      <c r="E108" s="38" t="s">
        <v>103</v>
      </c>
      <c r="F108" s="38" t="s">
        <v>51</v>
      </c>
      <c r="G108" s="38">
        <v>8</v>
      </c>
      <c r="H108" s="38" t="s">
        <v>17</v>
      </c>
      <c r="I108" s="38" t="s">
        <v>26</v>
      </c>
      <c r="J108" s="38">
        <v>1</v>
      </c>
      <c r="K108" s="39">
        <f>AB108/COUNTIFS($B:$B,$B108,$C:$C,$C108,$H:$H,$H108,$I:$I,$I108)</f>
        <v>0.1</v>
      </c>
      <c r="L108" s="40">
        <f t="shared" si="6"/>
        <v>1</v>
      </c>
      <c r="M108" s="41">
        <f t="shared" si="8"/>
        <v>0.1</v>
      </c>
      <c r="N108" s="38"/>
      <c r="AA108" s="137">
        <f>AB108/COUNTIFS($B:$B,$B108,$C:$C,$C108,$H:$H,$H108,$I:$I,$I108)</f>
        <v>0.1</v>
      </c>
      <c r="AB108" s="138">
        <f>VLOOKUP(I108,'Weights and Confidence'!$D$16:$AC$26,3,FALSE)</f>
        <v>0.1</v>
      </c>
      <c r="AC108" s="139">
        <f>VLOOKUP(I108,'Weights and Confidence'!$D$16:$AC$26,4,FALSE)</f>
        <v>1</v>
      </c>
    </row>
    <row r="109" spans="1:29" x14ac:dyDescent="0.2">
      <c r="A109" s="34" t="s">
        <v>14</v>
      </c>
      <c r="B109" s="34" t="s">
        <v>1</v>
      </c>
      <c r="C109" s="34" t="s">
        <v>50</v>
      </c>
      <c r="D109" s="34" t="s">
        <v>5</v>
      </c>
      <c r="E109" s="34" t="s">
        <v>103</v>
      </c>
      <c r="F109" s="34" t="s">
        <v>51</v>
      </c>
      <c r="G109" s="34">
        <v>8</v>
      </c>
      <c r="H109" s="34" t="s">
        <v>18</v>
      </c>
      <c r="I109" s="34" t="s">
        <v>26</v>
      </c>
      <c r="J109" s="34">
        <v>1</v>
      </c>
      <c r="K109" s="35">
        <f>AB109/COUNTIFS($B:$B,$B109,$C:$C,$C109,$H:$H,$H109,$I:$I,$I109)</f>
        <v>0.1</v>
      </c>
      <c r="L109" s="36">
        <f t="shared" si="6"/>
        <v>1</v>
      </c>
      <c r="M109" s="37">
        <f t="shared" si="8"/>
        <v>0.1</v>
      </c>
      <c r="N109" s="34"/>
      <c r="AA109" s="137">
        <f>AB109/COUNTIFS($B:$B,$B109,$C:$C,$C109,$H:$H,$H109,$I:$I,$I109)</f>
        <v>0.1</v>
      </c>
      <c r="AB109" s="138">
        <f>VLOOKUP(I109,'Weights and Confidence'!$D$16:$AC$26,3,FALSE)</f>
        <v>0.1</v>
      </c>
      <c r="AC109" s="139">
        <f>VLOOKUP(I109,'Weights and Confidence'!$D$16:$AC$26,4,FALSE)</f>
        <v>1</v>
      </c>
    </row>
    <row r="110" spans="1:29" x14ac:dyDescent="0.2">
      <c r="A110" s="38" t="s">
        <v>14</v>
      </c>
      <c r="B110" s="38" t="s">
        <v>1</v>
      </c>
      <c r="C110" s="38" t="s">
        <v>50</v>
      </c>
      <c r="D110" s="38" t="s">
        <v>5</v>
      </c>
      <c r="E110" s="38" t="s">
        <v>103</v>
      </c>
      <c r="F110" s="38" t="s">
        <v>51</v>
      </c>
      <c r="G110" s="38">
        <v>9</v>
      </c>
      <c r="H110" s="38" t="s">
        <v>17</v>
      </c>
      <c r="I110" s="38" t="s">
        <v>27</v>
      </c>
      <c r="J110" s="38">
        <v>1</v>
      </c>
      <c r="K110" s="39">
        <f>AB110/COUNTIFS($B:$B,$B110,$C:$C,$C110,$H:$H,$H110,$I:$I,$I110)</f>
        <v>0.05</v>
      </c>
      <c r="L110" s="40">
        <f t="shared" si="6"/>
        <v>0.85</v>
      </c>
      <c r="M110" s="41">
        <f t="shared" si="8"/>
        <v>4.2500000000000003E-2</v>
      </c>
      <c r="N110" s="38"/>
      <c r="AA110" s="137">
        <f>AB110/COUNTIFS($B:$B,$B110,$C:$C,$C110,$H:$H,$H110,$I:$I,$I110)</f>
        <v>0.05</v>
      </c>
      <c r="AB110" s="138">
        <f>VLOOKUP(I110,'Weights and Confidence'!$D$16:$AC$26,3,FALSE)</f>
        <v>0.1</v>
      </c>
      <c r="AC110" s="139">
        <f>VLOOKUP(I110,'Weights and Confidence'!$D$16:$AC$26,4,FALSE)</f>
        <v>0.85</v>
      </c>
    </row>
    <row r="111" spans="1:29" x14ac:dyDescent="0.2">
      <c r="A111" s="34" t="s">
        <v>14</v>
      </c>
      <c r="B111" s="34" t="s">
        <v>1</v>
      </c>
      <c r="C111" s="34" t="s">
        <v>50</v>
      </c>
      <c r="D111" s="34" t="s">
        <v>5</v>
      </c>
      <c r="E111" s="34" t="s">
        <v>103</v>
      </c>
      <c r="F111" s="34" t="s">
        <v>51</v>
      </c>
      <c r="G111" s="34">
        <v>9</v>
      </c>
      <c r="H111" s="34" t="s">
        <v>18</v>
      </c>
      <c r="I111" s="34" t="s">
        <v>27</v>
      </c>
      <c r="J111" s="34">
        <v>1</v>
      </c>
      <c r="K111" s="35">
        <f>AB111/COUNTIFS($B:$B,$B111,$C:$C,$C111,$H:$H,$H111,$I:$I,$I111)</f>
        <v>0.05</v>
      </c>
      <c r="L111" s="36">
        <f t="shared" si="6"/>
        <v>0.85</v>
      </c>
      <c r="M111" s="37">
        <f t="shared" si="8"/>
        <v>4.2500000000000003E-2</v>
      </c>
      <c r="N111" s="34"/>
      <c r="AA111" s="137">
        <f>AB111/COUNTIFS($B:$B,$B111,$C:$C,$C111,$H:$H,$H111,$I:$I,$I111)</f>
        <v>0.05</v>
      </c>
      <c r="AB111" s="138">
        <f>VLOOKUP(I111,'Weights and Confidence'!$D$16:$AC$26,3,FALSE)</f>
        <v>0.1</v>
      </c>
      <c r="AC111" s="139">
        <f>VLOOKUP(I111,'Weights and Confidence'!$D$16:$AC$26,4,FALSE)</f>
        <v>0.85</v>
      </c>
    </row>
    <row r="112" spans="1:29" x14ac:dyDescent="0.2">
      <c r="A112" s="38" t="s">
        <v>14</v>
      </c>
      <c r="B112" s="38" t="s">
        <v>1</v>
      </c>
      <c r="C112" s="38" t="s">
        <v>50</v>
      </c>
      <c r="D112" s="38" t="s">
        <v>5</v>
      </c>
      <c r="E112" s="38" t="s">
        <v>103</v>
      </c>
      <c r="F112" s="38" t="s">
        <v>51</v>
      </c>
      <c r="G112" s="38">
        <v>10</v>
      </c>
      <c r="H112" s="38" t="s">
        <v>17</v>
      </c>
      <c r="I112" s="38" t="s">
        <v>27</v>
      </c>
      <c r="J112" s="38">
        <v>1</v>
      </c>
      <c r="K112" s="39">
        <f>AB112/COUNTIFS($B:$B,$B112,$C:$C,$C112,$H:$H,$H112,$I:$I,$I112)</f>
        <v>0.05</v>
      </c>
      <c r="L112" s="40">
        <f t="shared" si="6"/>
        <v>0.85</v>
      </c>
      <c r="M112" s="41">
        <f t="shared" si="8"/>
        <v>4.2500000000000003E-2</v>
      </c>
      <c r="N112" s="38"/>
      <c r="AA112" s="137">
        <f>AB112/COUNTIFS($B:$B,$B112,$C:$C,$C112,$H:$H,$H112,$I:$I,$I112)</f>
        <v>0.05</v>
      </c>
      <c r="AB112" s="138">
        <f>VLOOKUP(I112,'Weights and Confidence'!$D$16:$AC$26,3,FALSE)</f>
        <v>0.1</v>
      </c>
      <c r="AC112" s="139">
        <f>VLOOKUP(I112,'Weights and Confidence'!$D$16:$AC$26,4,FALSE)</f>
        <v>0.85</v>
      </c>
    </row>
    <row r="113" spans="1:29" x14ac:dyDescent="0.2">
      <c r="A113" s="34" t="s">
        <v>14</v>
      </c>
      <c r="B113" s="34" t="s">
        <v>1</v>
      </c>
      <c r="C113" s="34" t="s">
        <v>50</v>
      </c>
      <c r="D113" s="34" t="s">
        <v>5</v>
      </c>
      <c r="E113" s="34" t="s">
        <v>103</v>
      </c>
      <c r="F113" s="34" t="s">
        <v>51</v>
      </c>
      <c r="G113" s="34">
        <v>10</v>
      </c>
      <c r="H113" s="34" t="s">
        <v>18</v>
      </c>
      <c r="I113" s="34" t="s">
        <v>27</v>
      </c>
      <c r="J113" s="34">
        <v>1</v>
      </c>
      <c r="K113" s="35">
        <f>AB113/COUNTIFS($B:$B,$B113,$C:$C,$C113,$H:$H,$H113,$I:$I,$I113)</f>
        <v>0.05</v>
      </c>
      <c r="L113" s="36">
        <f t="shared" si="6"/>
        <v>0.85</v>
      </c>
      <c r="M113" s="37">
        <f t="shared" si="8"/>
        <v>4.2500000000000003E-2</v>
      </c>
      <c r="N113" s="34"/>
      <c r="AA113" s="137">
        <f>AB113/COUNTIFS($B:$B,$B113,$C:$C,$C113,$H:$H,$H113,$I:$I,$I113)</f>
        <v>0.05</v>
      </c>
      <c r="AB113" s="138">
        <f>VLOOKUP(I113,'Weights and Confidence'!$D$16:$AC$26,3,FALSE)</f>
        <v>0.1</v>
      </c>
      <c r="AC113" s="139">
        <f>VLOOKUP(I113,'Weights and Confidence'!$D$16:$AC$26,4,FALSE)</f>
        <v>0.85</v>
      </c>
    </row>
    <row r="114" spans="1:29" x14ac:dyDescent="0.2">
      <c r="A114" s="38" t="s">
        <v>14</v>
      </c>
      <c r="B114" s="38" t="s">
        <v>1</v>
      </c>
      <c r="C114" s="38" t="s">
        <v>50</v>
      </c>
      <c r="D114" s="38" t="s">
        <v>5</v>
      </c>
      <c r="E114" s="38" t="s">
        <v>103</v>
      </c>
      <c r="F114" s="38" t="s">
        <v>51</v>
      </c>
      <c r="G114" s="38">
        <v>11</v>
      </c>
      <c r="H114" s="38" t="s">
        <v>17</v>
      </c>
      <c r="I114" s="38" t="s">
        <v>28</v>
      </c>
      <c r="J114" s="38">
        <v>1</v>
      </c>
      <c r="K114" s="39">
        <f>AB114/COUNTIFS($B:$B,$B114,$C:$C,$C114,$H:$H,$H114,$I:$I,$I114)</f>
        <v>0.05</v>
      </c>
      <c r="L114" s="40">
        <f t="shared" si="6"/>
        <v>1</v>
      </c>
      <c r="M114" s="41">
        <f t="shared" si="8"/>
        <v>0.05</v>
      </c>
      <c r="N114" s="38"/>
      <c r="AA114" s="137">
        <f>AB114/COUNTIFS($B:$B,$B114,$C:$C,$C114,$H:$H,$H114,$I:$I,$I114)</f>
        <v>0.05</v>
      </c>
      <c r="AB114" s="138">
        <f>VLOOKUP(I114,'Weights and Confidence'!$D$16:$AC$26,3,FALSE)</f>
        <v>0.05</v>
      </c>
      <c r="AC114" s="139">
        <f>VLOOKUP(I114,'Weights and Confidence'!$D$16:$AC$26,4,FALSE)</f>
        <v>1</v>
      </c>
    </row>
    <row r="115" spans="1:29" ht="17" thickBot="1" x14ac:dyDescent="0.25">
      <c r="A115" s="34" t="s">
        <v>14</v>
      </c>
      <c r="B115" s="34" t="s">
        <v>1</v>
      </c>
      <c r="C115" s="34" t="s">
        <v>50</v>
      </c>
      <c r="D115" s="34" t="s">
        <v>5</v>
      </c>
      <c r="E115" s="34" t="s">
        <v>103</v>
      </c>
      <c r="F115" s="34" t="s">
        <v>51</v>
      </c>
      <c r="G115" s="34">
        <v>11</v>
      </c>
      <c r="H115" s="34" t="s">
        <v>18</v>
      </c>
      <c r="I115" s="34" t="s">
        <v>28</v>
      </c>
      <c r="J115" s="34">
        <v>0</v>
      </c>
      <c r="K115" s="35">
        <f>AB115/COUNTIFS($B:$B,$B115,$C:$C,$C115,$H:$H,$H115,$I:$I,$I115)</f>
        <v>0.05</v>
      </c>
      <c r="L115" s="36">
        <f t="shared" si="6"/>
        <v>1</v>
      </c>
      <c r="M115" s="37">
        <f t="shared" si="8"/>
        <v>0</v>
      </c>
      <c r="N115" s="34"/>
      <c r="AA115" s="140">
        <f>AB115/COUNTIFS($B:$B,$B115,$C:$C,$C115,$H:$H,$H115,$I:$I,$I115)</f>
        <v>0.05</v>
      </c>
      <c r="AB115" s="141">
        <f>VLOOKUP(I115,'Weights and Confidence'!$D$16:$AC$26,3,FALSE)</f>
        <v>0.05</v>
      </c>
      <c r="AC115" s="142">
        <f>VLOOKUP(I115,'Weights and Confidence'!$D$16:$AC$26,4,FALSE)</f>
        <v>1</v>
      </c>
    </row>
    <row r="116" spans="1:29" ht="17" thickTop="1" x14ac:dyDescent="0.2">
      <c r="A116" s="42" t="s">
        <v>14</v>
      </c>
      <c r="B116" s="42" t="s">
        <v>1</v>
      </c>
      <c r="C116" s="42" t="s">
        <v>52</v>
      </c>
      <c r="D116" s="42" t="s">
        <v>5</v>
      </c>
      <c r="E116" s="43" t="s">
        <v>105</v>
      </c>
      <c r="F116" s="43" t="s">
        <v>53</v>
      </c>
      <c r="G116" s="42">
        <v>1</v>
      </c>
      <c r="H116" s="42" t="s">
        <v>17</v>
      </c>
      <c r="I116" s="42" t="s">
        <v>19</v>
      </c>
      <c r="J116" s="42">
        <v>1</v>
      </c>
      <c r="K116" s="44">
        <f>AB116/COUNTIFS($B:$B,$B116,$C:$C,$C116,$H:$H,$H116,$I:$I,$I116)</f>
        <v>0.12</v>
      </c>
      <c r="L116" s="45">
        <f t="shared" si="6"/>
        <v>1</v>
      </c>
      <c r="M116" s="46">
        <f t="shared" ref="M116:M137" si="9">J116*K116*L116</f>
        <v>0.12</v>
      </c>
      <c r="N116" s="42"/>
      <c r="AA116" s="137">
        <f>AB116/COUNTIFS($B:$B,$B116,$C:$C,$C116,$H:$H,$H116,$I:$I,$I116)</f>
        <v>0.12</v>
      </c>
      <c r="AB116" s="138">
        <f>VLOOKUP(I116,'Weights and Confidence'!$D$16:$AC$26,3,FALSE)</f>
        <v>0.12</v>
      </c>
      <c r="AC116" s="139">
        <f>VLOOKUP(I116,'Weights and Confidence'!$D$16:$AC$26,4,FALSE)</f>
        <v>1</v>
      </c>
    </row>
    <row r="117" spans="1:29" x14ac:dyDescent="0.2">
      <c r="A117" s="34" t="s">
        <v>14</v>
      </c>
      <c r="B117" s="34" t="s">
        <v>1</v>
      </c>
      <c r="C117" s="34" t="s">
        <v>52</v>
      </c>
      <c r="D117" s="34" t="s">
        <v>5</v>
      </c>
      <c r="E117" s="47" t="s">
        <v>105</v>
      </c>
      <c r="F117" s="34" t="s">
        <v>53</v>
      </c>
      <c r="G117" s="34">
        <v>1</v>
      </c>
      <c r="H117" s="34" t="s">
        <v>18</v>
      </c>
      <c r="I117" s="34" t="s">
        <v>19</v>
      </c>
      <c r="J117" s="34">
        <v>1</v>
      </c>
      <c r="K117" s="35">
        <f>AB117/COUNTIFS($B:$B,$B117,$C:$C,$C117,$H:$H,$H117,$I:$I,$I117)</f>
        <v>0.12</v>
      </c>
      <c r="L117" s="36">
        <f t="shared" si="6"/>
        <v>1</v>
      </c>
      <c r="M117" s="37">
        <f t="shared" si="9"/>
        <v>0.12</v>
      </c>
      <c r="N117" s="34"/>
      <c r="AA117" s="137">
        <f>AB117/COUNTIFS($B:$B,$B117,$C:$C,$C117,$H:$H,$H117,$I:$I,$I117)</f>
        <v>0.12</v>
      </c>
      <c r="AB117" s="138">
        <f>VLOOKUP(I117,'Weights and Confidence'!$D$16:$AC$26,3,FALSE)</f>
        <v>0.12</v>
      </c>
      <c r="AC117" s="139">
        <f>VLOOKUP(I117,'Weights and Confidence'!$D$16:$AC$26,4,FALSE)</f>
        <v>1</v>
      </c>
    </row>
    <row r="118" spans="1:29" x14ac:dyDescent="0.2">
      <c r="A118" s="38" t="s">
        <v>14</v>
      </c>
      <c r="B118" s="38" t="s">
        <v>1</v>
      </c>
      <c r="C118" s="38" t="s">
        <v>52</v>
      </c>
      <c r="D118" s="38" t="s">
        <v>5</v>
      </c>
      <c r="E118" s="48" t="s">
        <v>105</v>
      </c>
      <c r="F118" s="38" t="s">
        <v>53</v>
      </c>
      <c r="G118" s="38">
        <v>2</v>
      </c>
      <c r="H118" s="38" t="s">
        <v>17</v>
      </c>
      <c r="I118" s="38" t="s">
        <v>20</v>
      </c>
      <c r="J118" s="38">
        <v>1</v>
      </c>
      <c r="K118" s="39">
        <f>AB118/COUNTIFS($B:$B,$B118,$C:$C,$C118,$H:$H,$H118,$I:$I,$I118)</f>
        <v>0.08</v>
      </c>
      <c r="L118" s="40">
        <f t="shared" si="6"/>
        <v>0.8</v>
      </c>
      <c r="M118" s="41">
        <f t="shared" si="9"/>
        <v>6.4000000000000001E-2</v>
      </c>
      <c r="N118" s="38"/>
      <c r="AA118" s="137">
        <f>AB118/COUNTIFS($B:$B,$B118,$C:$C,$C118,$H:$H,$H118,$I:$I,$I118)</f>
        <v>0.08</v>
      </c>
      <c r="AB118" s="138">
        <f>VLOOKUP(I118,'Weights and Confidence'!$D$16:$AC$26,3,FALSE)</f>
        <v>0.08</v>
      </c>
      <c r="AC118" s="139">
        <f>VLOOKUP(I118,'Weights and Confidence'!$D$16:$AC$26,4,FALSE)</f>
        <v>0.8</v>
      </c>
    </row>
    <row r="119" spans="1:29" x14ac:dyDescent="0.2">
      <c r="A119" s="34" t="s">
        <v>14</v>
      </c>
      <c r="B119" s="34" t="s">
        <v>1</v>
      </c>
      <c r="C119" s="34" t="s">
        <v>52</v>
      </c>
      <c r="D119" s="34" t="s">
        <v>5</v>
      </c>
      <c r="E119" s="47" t="s">
        <v>105</v>
      </c>
      <c r="F119" s="34" t="s">
        <v>53</v>
      </c>
      <c r="G119" s="34">
        <v>2</v>
      </c>
      <c r="H119" s="34" t="s">
        <v>18</v>
      </c>
      <c r="I119" s="34" t="s">
        <v>20</v>
      </c>
      <c r="J119" s="34">
        <v>1</v>
      </c>
      <c r="K119" s="35">
        <f>AB119/COUNTIFS($B:$B,$B119,$C:$C,$C119,$H:$H,$H119,$I:$I,$I119)</f>
        <v>0.08</v>
      </c>
      <c r="L119" s="36">
        <f t="shared" si="6"/>
        <v>0.8</v>
      </c>
      <c r="M119" s="37">
        <f t="shared" si="9"/>
        <v>6.4000000000000001E-2</v>
      </c>
      <c r="N119" s="34"/>
      <c r="AA119" s="137">
        <f>AB119/COUNTIFS($B:$B,$B119,$C:$C,$C119,$H:$H,$H119,$I:$I,$I119)</f>
        <v>0.08</v>
      </c>
      <c r="AB119" s="138">
        <f>VLOOKUP(I119,'Weights and Confidence'!$D$16:$AC$26,3,FALSE)</f>
        <v>0.08</v>
      </c>
      <c r="AC119" s="139">
        <f>VLOOKUP(I119,'Weights and Confidence'!$D$16:$AC$26,4,FALSE)</f>
        <v>0.8</v>
      </c>
    </row>
    <row r="120" spans="1:29" x14ac:dyDescent="0.2">
      <c r="A120" s="38" t="s">
        <v>14</v>
      </c>
      <c r="B120" s="38" t="s">
        <v>1</v>
      </c>
      <c r="C120" s="38" t="s">
        <v>52</v>
      </c>
      <c r="D120" s="38" t="s">
        <v>5</v>
      </c>
      <c r="E120" s="48" t="s">
        <v>105</v>
      </c>
      <c r="F120" s="38" t="s">
        <v>53</v>
      </c>
      <c r="G120" s="38">
        <v>3</v>
      </c>
      <c r="H120" s="38" t="s">
        <v>17</v>
      </c>
      <c r="I120" s="38" t="s">
        <v>21</v>
      </c>
      <c r="J120" s="38">
        <v>1</v>
      </c>
      <c r="K120" s="39">
        <f>AB120/COUNTIFS($B:$B,$B120,$C:$C,$C120,$H:$H,$H120,$I:$I,$I120)</f>
        <v>0.05</v>
      </c>
      <c r="L120" s="40">
        <f t="shared" si="6"/>
        <v>1</v>
      </c>
      <c r="M120" s="41">
        <f t="shared" si="9"/>
        <v>0.05</v>
      </c>
      <c r="N120" s="38"/>
      <c r="AA120" s="137">
        <f>AB120/COUNTIFS($B:$B,$B120,$C:$C,$C120,$H:$H,$H120,$I:$I,$I120)</f>
        <v>0.05</v>
      </c>
      <c r="AB120" s="138">
        <f>VLOOKUP(I120,'Weights and Confidence'!$D$16:$AC$26,3,FALSE)</f>
        <v>0.05</v>
      </c>
      <c r="AC120" s="139">
        <f>VLOOKUP(I120,'Weights and Confidence'!$D$16:$AC$26,4,FALSE)</f>
        <v>1</v>
      </c>
    </row>
    <row r="121" spans="1:29" x14ac:dyDescent="0.2">
      <c r="A121" s="34" t="s">
        <v>14</v>
      </c>
      <c r="B121" s="34" t="s">
        <v>1</v>
      </c>
      <c r="C121" s="34" t="s">
        <v>52</v>
      </c>
      <c r="D121" s="34" t="s">
        <v>5</v>
      </c>
      <c r="E121" s="47" t="s">
        <v>105</v>
      </c>
      <c r="F121" s="34" t="s">
        <v>53</v>
      </c>
      <c r="G121" s="34">
        <v>3</v>
      </c>
      <c r="H121" s="34" t="s">
        <v>18</v>
      </c>
      <c r="I121" s="34" t="s">
        <v>21</v>
      </c>
      <c r="J121" s="34">
        <v>1</v>
      </c>
      <c r="K121" s="35">
        <f>AB121/COUNTIFS($B:$B,$B121,$C:$C,$C121,$H:$H,$H121,$I:$I,$I121)</f>
        <v>0.05</v>
      </c>
      <c r="L121" s="36">
        <f t="shared" si="6"/>
        <v>1</v>
      </c>
      <c r="M121" s="37">
        <f t="shared" si="9"/>
        <v>0.05</v>
      </c>
      <c r="N121" s="34"/>
      <c r="AA121" s="137">
        <f>AB121/COUNTIFS($B:$B,$B121,$C:$C,$C121,$H:$H,$H121,$I:$I,$I121)</f>
        <v>0.05</v>
      </c>
      <c r="AB121" s="138">
        <f>VLOOKUP(I121,'Weights and Confidence'!$D$16:$AC$26,3,FALSE)</f>
        <v>0.05</v>
      </c>
      <c r="AC121" s="139">
        <f>VLOOKUP(I121,'Weights and Confidence'!$D$16:$AC$26,4,FALSE)</f>
        <v>1</v>
      </c>
    </row>
    <row r="122" spans="1:29" x14ac:dyDescent="0.2">
      <c r="A122" s="38" t="s">
        <v>14</v>
      </c>
      <c r="B122" s="38" t="s">
        <v>1</v>
      </c>
      <c r="C122" s="38" t="s">
        <v>52</v>
      </c>
      <c r="D122" s="38" t="s">
        <v>5</v>
      </c>
      <c r="E122" s="48" t="s">
        <v>105</v>
      </c>
      <c r="F122" s="38" t="s">
        <v>53</v>
      </c>
      <c r="G122" s="38">
        <v>4</v>
      </c>
      <c r="H122" s="38" t="s">
        <v>17</v>
      </c>
      <c r="I122" s="38" t="s">
        <v>22</v>
      </c>
      <c r="J122" s="38">
        <v>1</v>
      </c>
      <c r="K122" s="39">
        <f>AB122/COUNTIFS($B:$B,$B122,$C:$C,$C122,$H:$H,$H122,$I:$I,$I122)</f>
        <v>0.14000000000000001</v>
      </c>
      <c r="L122" s="40">
        <f t="shared" si="6"/>
        <v>1</v>
      </c>
      <c r="M122" s="41">
        <f t="shared" si="9"/>
        <v>0.14000000000000001</v>
      </c>
      <c r="N122" s="38"/>
      <c r="AA122" s="137">
        <f>AB122/COUNTIFS($B:$B,$B122,$C:$C,$C122,$H:$H,$H122,$I:$I,$I122)</f>
        <v>0.14000000000000001</v>
      </c>
      <c r="AB122" s="138">
        <f>VLOOKUP(I122,'Weights and Confidence'!$D$16:$AC$26,3,FALSE)</f>
        <v>0.14000000000000001</v>
      </c>
      <c r="AC122" s="139">
        <f>VLOOKUP(I122,'Weights and Confidence'!$D$16:$AC$26,4,FALSE)</f>
        <v>1</v>
      </c>
    </row>
    <row r="123" spans="1:29" x14ac:dyDescent="0.2">
      <c r="A123" s="34" t="s">
        <v>14</v>
      </c>
      <c r="B123" s="34" t="s">
        <v>1</v>
      </c>
      <c r="C123" s="34" t="s">
        <v>52</v>
      </c>
      <c r="D123" s="34" t="s">
        <v>5</v>
      </c>
      <c r="E123" s="47" t="s">
        <v>105</v>
      </c>
      <c r="F123" s="34" t="s">
        <v>53</v>
      </c>
      <c r="G123" s="34">
        <v>4</v>
      </c>
      <c r="H123" s="34" t="s">
        <v>18</v>
      </c>
      <c r="I123" s="34" t="s">
        <v>22</v>
      </c>
      <c r="J123" s="34">
        <v>1</v>
      </c>
      <c r="K123" s="35">
        <f>AB123/COUNTIFS($B:$B,$B123,$C:$C,$C123,$H:$H,$H123,$I:$I,$I123)</f>
        <v>0.14000000000000001</v>
      </c>
      <c r="L123" s="36">
        <f t="shared" si="6"/>
        <v>1</v>
      </c>
      <c r="M123" s="37">
        <f t="shared" si="9"/>
        <v>0.14000000000000001</v>
      </c>
      <c r="N123" s="34"/>
      <c r="AA123" s="137">
        <f>AB123/COUNTIFS($B:$B,$B123,$C:$C,$C123,$H:$H,$H123,$I:$I,$I123)</f>
        <v>0.14000000000000001</v>
      </c>
      <c r="AB123" s="138">
        <f>VLOOKUP(I123,'Weights and Confidence'!$D$16:$AC$26,3,FALSE)</f>
        <v>0.14000000000000001</v>
      </c>
      <c r="AC123" s="139">
        <f>VLOOKUP(I123,'Weights and Confidence'!$D$16:$AC$26,4,FALSE)</f>
        <v>1</v>
      </c>
    </row>
    <row r="124" spans="1:29" x14ac:dyDescent="0.2">
      <c r="A124" s="38" t="s">
        <v>14</v>
      </c>
      <c r="B124" s="38" t="s">
        <v>1</v>
      </c>
      <c r="C124" s="38" t="s">
        <v>52</v>
      </c>
      <c r="D124" s="38" t="s">
        <v>5</v>
      </c>
      <c r="E124" s="48" t="s">
        <v>105</v>
      </c>
      <c r="F124" s="38" t="s">
        <v>53</v>
      </c>
      <c r="G124" s="38">
        <v>5</v>
      </c>
      <c r="H124" s="38" t="s">
        <v>17</v>
      </c>
      <c r="I124" s="38" t="s">
        <v>23</v>
      </c>
      <c r="J124" s="38">
        <v>1</v>
      </c>
      <c r="K124" s="39">
        <f>AB124/COUNTIFS($B:$B,$B124,$C:$C,$C124,$H:$H,$H124,$I:$I,$I124)</f>
        <v>0.11</v>
      </c>
      <c r="L124" s="40">
        <f t="shared" si="6"/>
        <v>1</v>
      </c>
      <c r="M124" s="41">
        <f t="shared" si="9"/>
        <v>0.11</v>
      </c>
      <c r="N124" s="38"/>
      <c r="AA124" s="137">
        <f>AB124/COUNTIFS($B:$B,$B124,$C:$C,$C124,$H:$H,$H124,$I:$I,$I124)</f>
        <v>0.11</v>
      </c>
      <c r="AB124" s="138">
        <f>VLOOKUP(I124,'Weights and Confidence'!$D$16:$AC$26,3,FALSE)</f>
        <v>0.11</v>
      </c>
      <c r="AC124" s="139">
        <f>VLOOKUP(I124,'Weights and Confidence'!$D$16:$AC$26,4,FALSE)</f>
        <v>1</v>
      </c>
    </row>
    <row r="125" spans="1:29" x14ac:dyDescent="0.2">
      <c r="A125" s="34" t="s">
        <v>14</v>
      </c>
      <c r="B125" s="34" t="s">
        <v>1</v>
      </c>
      <c r="C125" s="34" t="s">
        <v>52</v>
      </c>
      <c r="D125" s="34" t="s">
        <v>5</v>
      </c>
      <c r="E125" s="47" t="s">
        <v>105</v>
      </c>
      <c r="F125" s="34" t="s">
        <v>53</v>
      </c>
      <c r="G125" s="34">
        <v>5</v>
      </c>
      <c r="H125" s="34" t="s">
        <v>18</v>
      </c>
      <c r="I125" s="34" t="s">
        <v>23</v>
      </c>
      <c r="J125" s="34">
        <v>0</v>
      </c>
      <c r="K125" s="35">
        <f>AB125/COUNTIFS($B:$B,$B125,$C:$C,$C125,$H:$H,$H125,$I:$I,$I125)</f>
        <v>0.11</v>
      </c>
      <c r="L125" s="36">
        <f t="shared" si="6"/>
        <v>1</v>
      </c>
      <c r="M125" s="37">
        <f t="shared" si="9"/>
        <v>0</v>
      </c>
      <c r="N125" s="34"/>
      <c r="AA125" s="137">
        <f>AB125/COUNTIFS($B:$B,$B125,$C:$C,$C125,$H:$H,$H125,$I:$I,$I125)</f>
        <v>0.11</v>
      </c>
      <c r="AB125" s="138">
        <f>VLOOKUP(I125,'Weights and Confidence'!$D$16:$AC$26,3,FALSE)</f>
        <v>0.11</v>
      </c>
      <c r="AC125" s="139">
        <f>VLOOKUP(I125,'Weights and Confidence'!$D$16:$AC$26,4,FALSE)</f>
        <v>1</v>
      </c>
    </row>
    <row r="126" spans="1:29" x14ac:dyDescent="0.2">
      <c r="A126" s="38" t="s">
        <v>14</v>
      </c>
      <c r="B126" s="38" t="s">
        <v>1</v>
      </c>
      <c r="C126" s="38" t="s">
        <v>52</v>
      </c>
      <c r="D126" s="38" t="s">
        <v>5</v>
      </c>
      <c r="E126" s="48" t="s">
        <v>105</v>
      </c>
      <c r="F126" s="38" t="s">
        <v>53</v>
      </c>
      <c r="G126" s="38">
        <v>6</v>
      </c>
      <c r="H126" s="38" t="s">
        <v>17</v>
      </c>
      <c r="I126" s="38" t="s">
        <v>24</v>
      </c>
      <c r="J126" s="38">
        <v>1</v>
      </c>
      <c r="K126" s="39">
        <f>AB126/COUNTIFS($B:$B,$B126,$C:$C,$C126,$H:$H,$H126,$I:$I,$I126)</f>
        <v>0.15</v>
      </c>
      <c r="L126" s="40">
        <f t="shared" si="6"/>
        <v>1</v>
      </c>
      <c r="M126" s="41">
        <f t="shared" si="9"/>
        <v>0.15</v>
      </c>
      <c r="N126" s="38"/>
      <c r="AA126" s="137">
        <f>AB126/COUNTIFS($B:$B,$B126,$C:$C,$C126,$H:$H,$H126,$I:$I,$I126)</f>
        <v>0.15</v>
      </c>
      <c r="AB126" s="138">
        <f>VLOOKUP(I126,'Weights and Confidence'!$D$16:$AC$26,3,FALSE)</f>
        <v>0.15</v>
      </c>
      <c r="AC126" s="139">
        <f>VLOOKUP(I126,'Weights and Confidence'!$D$16:$AC$26,4,FALSE)</f>
        <v>1</v>
      </c>
    </row>
    <row r="127" spans="1:29" x14ac:dyDescent="0.2">
      <c r="A127" s="34" t="s">
        <v>14</v>
      </c>
      <c r="B127" s="34" t="s">
        <v>1</v>
      </c>
      <c r="C127" s="34" t="s">
        <v>52</v>
      </c>
      <c r="D127" s="34" t="s">
        <v>5</v>
      </c>
      <c r="E127" s="47" t="s">
        <v>105</v>
      </c>
      <c r="F127" s="34" t="s">
        <v>53</v>
      </c>
      <c r="G127" s="34">
        <v>6</v>
      </c>
      <c r="H127" s="34" t="s">
        <v>18</v>
      </c>
      <c r="I127" s="34" t="s">
        <v>24</v>
      </c>
      <c r="J127" s="34">
        <v>1</v>
      </c>
      <c r="K127" s="35">
        <f>AB127/COUNTIFS($B:$B,$B127,$C:$C,$C127,$H:$H,$H127,$I:$I,$I127)</f>
        <v>0.15</v>
      </c>
      <c r="L127" s="36">
        <f t="shared" si="6"/>
        <v>1</v>
      </c>
      <c r="M127" s="37">
        <f t="shared" si="9"/>
        <v>0.15</v>
      </c>
      <c r="N127" s="34"/>
      <c r="AA127" s="137">
        <f>AB127/COUNTIFS($B:$B,$B127,$C:$C,$C127,$H:$H,$H127,$I:$I,$I127)</f>
        <v>0.15</v>
      </c>
      <c r="AB127" s="138">
        <f>VLOOKUP(I127,'Weights and Confidence'!$D$16:$AC$26,3,FALSE)</f>
        <v>0.15</v>
      </c>
      <c r="AC127" s="139">
        <f>VLOOKUP(I127,'Weights and Confidence'!$D$16:$AC$26,4,FALSE)</f>
        <v>1</v>
      </c>
    </row>
    <row r="128" spans="1:29" x14ac:dyDescent="0.2">
      <c r="A128" s="38" t="s">
        <v>14</v>
      </c>
      <c r="B128" s="38" t="s">
        <v>1</v>
      </c>
      <c r="C128" s="38" t="s">
        <v>52</v>
      </c>
      <c r="D128" s="38" t="s">
        <v>5</v>
      </c>
      <c r="E128" s="48" t="s">
        <v>105</v>
      </c>
      <c r="F128" s="38" t="s">
        <v>53</v>
      </c>
      <c r="G128" s="38">
        <v>7</v>
      </c>
      <c r="H128" s="38" t="s">
        <v>17</v>
      </c>
      <c r="I128" s="38" t="s">
        <v>25</v>
      </c>
      <c r="J128" s="38">
        <v>1</v>
      </c>
      <c r="K128" s="39">
        <f>AB128/COUNTIFS($B:$B,$B128,$C:$C,$C128,$H:$H,$H128,$I:$I,$I128)</f>
        <v>0.1</v>
      </c>
      <c r="L128" s="40">
        <f t="shared" si="6"/>
        <v>1</v>
      </c>
      <c r="M128" s="41">
        <f t="shared" si="9"/>
        <v>0.1</v>
      </c>
      <c r="N128" s="38"/>
      <c r="AA128" s="137">
        <f>AB128/COUNTIFS($B:$B,$B128,$C:$C,$C128,$H:$H,$H128,$I:$I,$I128)</f>
        <v>0.1</v>
      </c>
      <c r="AB128" s="138">
        <f>VLOOKUP(I128,'Weights and Confidence'!$D$16:$AC$26,3,FALSE)</f>
        <v>0.1</v>
      </c>
      <c r="AC128" s="139">
        <f>VLOOKUP(I128,'Weights and Confidence'!$D$16:$AC$26,4,FALSE)</f>
        <v>1</v>
      </c>
    </row>
    <row r="129" spans="1:29" x14ac:dyDescent="0.2">
      <c r="A129" s="34" t="s">
        <v>14</v>
      </c>
      <c r="B129" s="34" t="s">
        <v>1</v>
      </c>
      <c r="C129" s="34" t="s">
        <v>52</v>
      </c>
      <c r="D129" s="34" t="s">
        <v>5</v>
      </c>
      <c r="E129" s="47" t="s">
        <v>105</v>
      </c>
      <c r="F129" s="34" t="s">
        <v>53</v>
      </c>
      <c r="G129" s="34">
        <v>7</v>
      </c>
      <c r="H129" s="34" t="s">
        <v>18</v>
      </c>
      <c r="I129" s="34" t="s">
        <v>25</v>
      </c>
      <c r="J129" s="34">
        <v>1</v>
      </c>
      <c r="K129" s="35">
        <f>AB129/COUNTIFS($B:$B,$B129,$C:$C,$C129,$H:$H,$H129,$I:$I,$I129)</f>
        <v>0.1</v>
      </c>
      <c r="L129" s="36">
        <f t="shared" si="6"/>
        <v>1</v>
      </c>
      <c r="M129" s="37">
        <f t="shared" si="9"/>
        <v>0.1</v>
      </c>
      <c r="N129" s="34"/>
      <c r="AA129" s="137">
        <f>AB129/COUNTIFS($B:$B,$B129,$C:$C,$C129,$H:$H,$H129,$I:$I,$I129)</f>
        <v>0.1</v>
      </c>
      <c r="AB129" s="138">
        <f>VLOOKUP(I129,'Weights and Confidence'!$D$16:$AC$26,3,FALSE)</f>
        <v>0.1</v>
      </c>
      <c r="AC129" s="139">
        <f>VLOOKUP(I129,'Weights and Confidence'!$D$16:$AC$26,4,FALSE)</f>
        <v>1</v>
      </c>
    </row>
    <row r="130" spans="1:29" x14ac:dyDescent="0.2">
      <c r="A130" s="38" t="s">
        <v>14</v>
      </c>
      <c r="B130" s="38" t="s">
        <v>1</v>
      </c>
      <c r="C130" s="38" t="s">
        <v>52</v>
      </c>
      <c r="D130" s="38" t="s">
        <v>5</v>
      </c>
      <c r="E130" s="48" t="s">
        <v>105</v>
      </c>
      <c r="F130" s="38" t="s">
        <v>53</v>
      </c>
      <c r="G130" s="38">
        <v>8</v>
      </c>
      <c r="H130" s="38" t="s">
        <v>17</v>
      </c>
      <c r="I130" s="38" t="s">
        <v>26</v>
      </c>
      <c r="J130" s="38">
        <v>1</v>
      </c>
      <c r="K130" s="39">
        <f>AB130/COUNTIFS($B:$B,$B130,$C:$C,$C130,$H:$H,$H130,$I:$I,$I130)</f>
        <v>0.1</v>
      </c>
      <c r="L130" s="40">
        <f t="shared" si="6"/>
        <v>1</v>
      </c>
      <c r="M130" s="41">
        <f t="shared" si="9"/>
        <v>0.1</v>
      </c>
      <c r="N130" s="38"/>
      <c r="AA130" s="137">
        <f>AB130/COUNTIFS($B:$B,$B130,$C:$C,$C130,$H:$H,$H130,$I:$I,$I130)</f>
        <v>0.1</v>
      </c>
      <c r="AB130" s="138">
        <f>VLOOKUP(I130,'Weights and Confidence'!$D$16:$AC$26,3,FALSE)</f>
        <v>0.1</v>
      </c>
      <c r="AC130" s="139">
        <f>VLOOKUP(I130,'Weights and Confidence'!$D$16:$AC$26,4,FALSE)</f>
        <v>1</v>
      </c>
    </row>
    <row r="131" spans="1:29" x14ac:dyDescent="0.2">
      <c r="A131" s="34" t="s">
        <v>14</v>
      </c>
      <c r="B131" s="34" t="s">
        <v>1</v>
      </c>
      <c r="C131" s="34" t="s">
        <v>52</v>
      </c>
      <c r="D131" s="34" t="s">
        <v>5</v>
      </c>
      <c r="E131" s="47" t="s">
        <v>105</v>
      </c>
      <c r="F131" s="34" t="s">
        <v>53</v>
      </c>
      <c r="G131" s="34">
        <v>8</v>
      </c>
      <c r="H131" s="34" t="s">
        <v>18</v>
      </c>
      <c r="I131" s="34" t="s">
        <v>26</v>
      </c>
      <c r="J131" s="34">
        <v>0</v>
      </c>
      <c r="K131" s="35">
        <f>AB131/COUNTIFS($B:$B,$B131,$C:$C,$C131,$H:$H,$H131,$I:$I,$I131)</f>
        <v>0.1</v>
      </c>
      <c r="L131" s="36">
        <f t="shared" si="6"/>
        <v>1</v>
      </c>
      <c r="M131" s="37">
        <f t="shared" si="9"/>
        <v>0</v>
      </c>
      <c r="N131" s="34"/>
      <c r="AA131" s="137">
        <f>AB131/COUNTIFS($B:$B,$B131,$C:$C,$C131,$H:$H,$H131,$I:$I,$I131)</f>
        <v>0.1</v>
      </c>
      <c r="AB131" s="138">
        <f>VLOOKUP(I131,'Weights and Confidence'!$D$16:$AC$26,3,FALSE)</f>
        <v>0.1</v>
      </c>
      <c r="AC131" s="139">
        <f>VLOOKUP(I131,'Weights and Confidence'!$D$16:$AC$26,4,FALSE)</f>
        <v>1</v>
      </c>
    </row>
    <row r="132" spans="1:29" x14ac:dyDescent="0.2">
      <c r="A132" s="38" t="s">
        <v>14</v>
      </c>
      <c r="B132" s="38" t="s">
        <v>1</v>
      </c>
      <c r="C132" s="38" t="s">
        <v>52</v>
      </c>
      <c r="D132" s="38" t="s">
        <v>5</v>
      </c>
      <c r="E132" s="48" t="s">
        <v>105</v>
      </c>
      <c r="F132" s="38" t="s">
        <v>53</v>
      </c>
      <c r="G132" s="38">
        <v>9</v>
      </c>
      <c r="H132" s="38" t="s">
        <v>17</v>
      </c>
      <c r="I132" s="38" t="s">
        <v>27</v>
      </c>
      <c r="J132" s="38">
        <v>1</v>
      </c>
      <c r="K132" s="39">
        <f>AB132/COUNTIFS($B:$B,$B132,$C:$C,$C132,$H:$H,$H132,$I:$I,$I132)</f>
        <v>0.05</v>
      </c>
      <c r="L132" s="40">
        <f t="shared" si="6"/>
        <v>0.85</v>
      </c>
      <c r="M132" s="41">
        <f t="shared" si="9"/>
        <v>4.2500000000000003E-2</v>
      </c>
      <c r="N132" s="38"/>
      <c r="AA132" s="137">
        <f>AB132/COUNTIFS($B:$B,$B132,$C:$C,$C132,$H:$H,$H132,$I:$I,$I132)</f>
        <v>0.05</v>
      </c>
      <c r="AB132" s="138">
        <f>VLOOKUP(I132,'Weights and Confidence'!$D$16:$AC$26,3,FALSE)</f>
        <v>0.1</v>
      </c>
      <c r="AC132" s="139">
        <f>VLOOKUP(I132,'Weights and Confidence'!$D$16:$AC$26,4,FALSE)</f>
        <v>0.85</v>
      </c>
    </row>
    <row r="133" spans="1:29" x14ac:dyDescent="0.2">
      <c r="A133" s="34" t="s">
        <v>14</v>
      </c>
      <c r="B133" s="34" t="s">
        <v>1</v>
      </c>
      <c r="C133" s="34" t="s">
        <v>52</v>
      </c>
      <c r="D133" s="34" t="s">
        <v>5</v>
      </c>
      <c r="E133" s="47" t="s">
        <v>105</v>
      </c>
      <c r="F133" s="34" t="s">
        <v>53</v>
      </c>
      <c r="G133" s="34">
        <v>9</v>
      </c>
      <c r="H133" s="34" t="s">
        <v>18</v>
      </c>
      <c r="I133" s="34" t="s">
        <v>27</v>
      </c>
      <c r="J133" s="34">
        <v>1</v>
      </c>
      <c r="K133" s="35">
        <f>AB133/COUNTIFS($B:$B,$B133,$C:$C,$C133,$H:$H,$H133,$I:$I,$I133)</f>
        <v>0.05</v>
      </c>
      <c r="L133" s="36">
        <f t="shared" si="6"/>
        <v>0.85</v>
      </c>
      <c r="M133" s="37">
        <f t="shared" si="9"/>
        <v>4.2500000000000003E-2</v>
      </c>
      <c r="N133" s="34"/>
      <c r="AA133" s="137">
        <f>AB133/COUNTIFS($B:$B,$B133,$C:$C,$C133,$H:$H,$H133,$I:$I,$I133)</f>
        <v>0.05</v>
      </c>
      <c r="AB133" s="138">
        <f>VLOOKUP(I133,'Weights and Confidence'!$D$16:$AC$26,3,FALSE)</f>
        <v>0.1</v>
      </c>
      <c r="AC133" s="139">
        <f>VLOOKUP(I133,'Weights and Confidence'!$D$16:$AC$26,4,FALSE)</f>
        <v>0.85</v>
      </c>
    </row>
    <row r="134" spans="1:29" x14ac:dyDescent="0.2">
      <c r="A134" s="38" t="s">
        <v>14</v>
      </c>
      <c r="B134" s="38" t="s">
        <v>1</v>
      </c>
      <c r="C134" s="38" t="s">
        <v>52</v>
      </c>
      <c r="D134" s="38" t="s">
        <v>5</v>
      </c>
      <c r="E134" s="48" t="s">
        <v>105</v>
      </c>
      <c r="F134" s="38" t="s">
        <v>53</v>
      </c>
      <c r="G134" s="38">
        <v>10</v>
      </c>
      <c r="H134" s="38" t="s">
        <v>17</v>
      </c>
      <c r="I134" s="38" t="s">
        <v>27</v>
      </c>
      <c r="J134" s="38">
        <v>1</v>
      </c>
      <c r="K134" s="39">
        <f>AB134/COUNTIFS($B:$B,$B134,$C:$C,$C134,$H:$H,$H134,$I:$I,$I134)</f>
        <v>0.05</v>
      </c>
      <c r="L134" s="40">
        <f t="shared" ref="L134:L197" si="10">AC134</f>
        <v>0.85</v>
      </c>
      <c r="M134" s="41">
        <f t="shared" si="9"/>
        <v>4.2500000000000003E-2</v>
      </c>
      <c r="N134" s="38"/>
      <c r="AA134" s="137">
        <f>AB134/COUNTIFS($B:$B,$B134,$C:$C,$C134,$H:$H,$H134,$I:$I,$I134)</f>
        <v>0.05</v>
      </c>
      <c r="AB134" s="138">
        <f>VLOOKUP(I134,'Weights and Confidence'!$D$16:$AC$26,3,FALSE)</f>
        <v>0.1</v>
      </c>
      <c r="AC134" s="139">
        <f>VLOOKUP(I134,'Weights and Confidence'!$D$16:$AC$26,4,FALSE)</f>
        <v>0.85</v>
      </c>
    </row>
    <row r="135" spans="1:29" x14ac:dyDescent="0.2">
      <c r="A135" s="34" t="s">
        <v>14</v>
      </c>
      <c r="B135" s="34" t="s">
        <v>1</v>
      </c>
      <c r="C135" s="34" t="s">
        <v>52</v>
      </c>
      <c r="D135" s="34" t="s">
        <v>5</v>
      </c>
      <c r="E135" s="47" t="s">
        <v>105</v>
      </c>
      <c r="F135" s="34" t="s">
        <v>53</v>
      </c>
      <c r="G135" s="34">
        <v>10</v>
      </c>
      <c r="H135" s="34" t="s">
        <v>18</v>
      </c>
      <c r="I135" s="34" t="s">
        <v>27</v>
      </c>
      <c r="J135" s="34">
        <v>1</v>
      </c>
      <c r="K135" s="35">
        <f>AB135/COUNTIFS($B:$B,$B135,$C:$C,$C135,$H:$H,$H135,$I:$I,$I135)</f>
        <v>0.05</v>
      </c>
      <c r="L135" s="36">
        <f t="shared" si="10"/>
        <v>0.85</v>
      </c>
      <c r="M135" s="37">
        <f t="shared" si="9"/>
        <v>4.2500000000000003E-2</v>
      </c>
      <c r="N135" s="34"/>
      <c r="AA135" s="137">
        <f>AB135/COUNTIFS($B:$B,$B135,$C:$C,$C135,$H:$H,$H135,$I:$I,$I135)</f>
        <v>0.05</v>
      </c>
      <c r="AB135" s="138">
        <f>VLOOKUP(I135,'Weights and Confidence'!$D$16:$AC$26,3,FALSE)</f>
        <v>0.1</v>
      </c>
      <c r="AC135" s="139">
        <f>VLOOKUP(I135,'Weights and Confidence'!$D$16:$AC$26,4,FALSE)</f>
        <v>0.85</v>
      </c>
    </row>
    <row r="136" spans="1:29" x14ac:dyDescent="0.2">
      <c r="A136" s="38" t="s">
        <v>14</v>
      </c>
      <c r="B136" s="38" t="s">
        <v>1</v>
      </c>
      <c r="C136" s="38" t="s">
        <v>52</v>
      </c>
      <c r="D136" s="38" t="s">
        <v>5</v>
      </c>
      <c r="E136" s="48" t="s">
        <v>105</v>
      </c>
      <c r="F136" s="38" t="s">
        <v>53</v>
      </c>
      <c r="G136" s="38">
        <v>11</v>
      </c>
      <c r="H136" s="38" t="s">
        <v>17</v>
      </c>
      <c r="I136" s="38" t="s">
        <v>28</v>
      </c>
      <c r="J136" s="38">
        <v>1</v>
      </c>
      <c r="K136" s="39">
        <f>AB136/COUNTIFS($B:$B,$B136,$C:$C,$C136,$H:$H,$H136,$I:$I,$I136)</f>
        <v>0.05</v>
      </c>
      <c r="L136" s="40">
        <f t="shared" si="10"/>
        <v>1</v>
      </c>
      <c r="M136" s="41">
        <f t="shared" si="9"/>
        <v>0.05</v>
      </c>
      <c r="N136" s="38"/>
      <c r="AA136" s="137">
        <f>AB136/COUNTIFS($B:$B,$B136,$C:$C,$C136,$H:$H,$H136,$I:$I,$I136)</f>
        <v>0.05</v>
      </c>
      <c r="AB136" s="138">
        <f>VLOOKUP(I136,'Weights and Confidence'!$D$16:$AC$26,3,FALSE)</f>
        <v>0.05</v>
      </c>
      <c r="AC136" s="139">
        <f>VLOOKUP(I136,'Weights and Confidence'!$D$16:$AC$26,4,FALSE)</f>
        <v>1</v>
      </c>
    </row>
    <row r="137" spans="1:29" ht="17" thickBot="1" x14ac:dyDescent="0.25">
      <c r="A137" s="34" t="s">
        <v>14</v>
      </c>
      <c r="B137" s="34" t="s">
        <v>1</v>
      </c>
      <c r="C137" s="34" t="s">
        <v>52</v>
      </c>
      <c r="D137" s="34" t="s">
        <v>5</v>
      </c>
      <c r="E137" s="47" t="s">
        <v>105</v>
      </c>
      <c r="F137" s="34" t="s">
        <v>53</v>
      </c>
      <c r="G137" s="34">
        <v>11</v>
      </c>
      <c r="H137" s="34" t="s">
        <v>18</v>
      </c>
      <c r="I137" s="34" t="s">
        <v>28</v>
      </c>
      <c r="J137" s="34">
        <v>0</v>
      </c>
      <c r="K137" s="35">
        <f>AB137/COUNTIFS($B:$B,$B137,$C:$C,$C137,$H:$H,$H137,$I:$I,$I137)</f>
        <v>0.05</v>
      </c>
      <c r="L137" s="36">
        <f t="shared" si="10"/>
        <v>1</v>
      </c>
      <c r="M137" s="37">
        <f t="shared" si="9"/>
        <v>0</v>
      </c>
      <c r="N137" s="34"/>
      <c r="AA137" s="140">
        <f>AB137/COUNTIFS($B:$B,$B137,$C:$C,$C137,$H:$H,$H137,$I:$I,$I137)</f>
        <v>0.05</v>
      </c>
      <c r="AB137" s="141">
        <f>VLOOKUP(I137,'Weights and Confidence'!$D$16:$AC$26,3,FALSE)</f>
        <v>0.05</v>
      </c>
      <c r="AC137" s="142">
        <f>VLOOKUP(I137,'Weights and Confidence'!$D$16:$AC$26,4,FALSE)</f>
        <v>1</v>
      </c>
    </row>
    <row r="138" spans="1:29" ht="17" thickTop="1" x14ac:dyDescent="0.2">
      <c r="A138" s="42" t="s">
        <v>14</v>
      </c>
      <c r="B138" s="42" t="s">
        <v>1</v>
      </c>
      <c r="C138" s="42" t="s">
        <v>54</v>
      </c>
      <c r="D138" s="42" t="s">
        <v>5</v>
      </c>
      <c r="E138" s="43" t="s">
        <v>106</v>
      </c>
      <c r="F138" s="43" t="s">
        <v>51</v>
      </c>
      <c r="G138" s="42">
        <v>1</v>
      </c>
      <c r="H138" s="42" t="s">
        <v>17</v>
      </c>
      <c r="I138" s="42" t="s">
        <v>19</v>
      </c>
      <c r="J138" s="42">
        <v>0</v>
      </c>
      <c r="K138" s="44">
        <f>AB138/COUNTIFS($B:$B,$B138,$C:$C,$C138,$H:$H,$H138,$I:$I,$I138)</f>
        <v>0.12</v>
      </c>
      <c r="L138" s="45">
        <f t="shared" si="10"/>
        <v>1</v>
      </c>
      <c r="M138" s="46">
        <f t="shared" ref="M138:M159" si="11">J138*K138*L138</f>
        <v>0</v>
      </c>
      <c r="N138" s="42"/>
      <c r="AA138" s="137">
        <f>AB138/COUNTIFS($B:$B,$B138,$C:$C,$C138,$H:$H,$H138,$I:$I,$I138)</f>
        <v>0.12</v>
      </c>
      <c r="AB138" s="138">
        <f>VLOOKUP(I138,'Weights and Confidence'!$D$16:$AC$26,3,FALSE)</f>
        <v>0.12</v>
      </c>
      <c r="AC138" s="139">
        <f>VLOOKUP(I138,'Weights and Confidence'!$D$16:$AC$26,4,FALSE)</f>
        <v>1</v>
      </c>
    </row>
    <row r="139" spans="1:29" ht="19" x14ac:dyDescent="0.2">
      <c r="A139" s="34" t="s">
        <v>14</v>
      </c>
      <c r="B139" s="34" t="s">
        <v>1</v>
      </c>
      <c r="C139" s="34" t="s">
        <v>54</v>
      </c>
      <c r="D139" s="34" t="s">
        <v>5</v>
      </c>
      <c r="E139" s="34" t="s">
        <v>106</v>
      </c>
      <c r="F139" s="34" t="s">
        <v>51</v>
      </c>
      <c r="G139" s="34">
        <v>1</v>
      </c>
      <c r="H139" s="34" t="s">
        <v>18</v>
      </c>
      <c r="I139" s="34" t="s">
        <v>19</v>
      </c>
      <c r="J139" s="34">
        <v>1</v>
      </c>
      <c r="K139" s="35">
        <f>AB139/COUNTIFS($B:$B,$B139,$C:$C,$C139,$H:$H,$H139,$I:$I,$I139)</f>
        <v>0.12</v>
      </c>
      <c r="L139" s="36">
        <f t="shared" si="10"/>
        <v>1</v>
      </c>
      <c r="M139" s="37">
        <f t="shared" si="11"/>
        <v>0.12</v>
      </c>
      <c r="N139" s="34"/>
      <c r="P139" s="19" t="s">
        <v>132</v>
      </c>
      <c r="AA139" s="137">
        <f>AB139/COUNTIFS($B:$B,$B139,$C:$C,$C139,$H:$H,$H139,$I:$I,$I139)</f>
        <v>0.12</v>
      </c>
      <c r="AB139" s="138">
        <f>VLOOKUP(I139,'Weights and Confidence'!$D$16:$AC$26,3,FALSE)</f>
        <v>0.12</v>
      </c>
      <c r="AC139" s="139">
        <f>VLOOKUP(I139,'Weights and Confidence'!$D$16:$AC$26,4,FALSE)</f>
        <v>1</v>
      </c>
    </row>
    <row r="140" spans="1:29" x14ac:dyDescent="0.2">
      <c r="A140" s="38" t="s">
        <v>14</v>
      </c>
      <c r="B140" s="38" t="s">
        <v>1</v>
      </c>
      <c r="C140" s="38" t="s">
        <v>54</v>
      </c>
      <c r="D140" s="38" t="s">
        <v>5</v>
      </c>
      <c r="E140" s="38" t="s">
        <v>106</v>
      </c>
      <c r="F140" s="38" t="s">
        <v>51</v>
      </c>
      <c r="G140" s="38">
        <v>2</v>
      </c>
      <c r="H140" s="38" t="s">
        <v>17</v>
      </c>
      <c r="I140" s="38" t="s">
        <v>20</v>
      </c>
      <c r="J140" s="38">
        <v>-1</v>
      </c>
      <c r="K140" s="39">
        <f>AB140/COUNTIFS($B:$B,$B140,$C:$C,$C140,$H:$H,$H140,$I:$I,$I140)</f>
        <v>0.08</v>
      </c>
      <c r="L140" s="40">
        <f t="shared" si="10"/>
        <v>0.8</v>
      </c>
      <c r="M140" s="41">
        <f t="shared" si="11"/>
        <v>-6.4000000000000001E-2</v>
      </c>
      <c r="N140" s="38"/>
      <c r="AA140" s="137">
        <f>AB140/COUNTIFS($B:$B,$B140,$C:$C,$C140,$H:$H,$H140,$I:$I,$I140)</f>
        <v>0.08</v>
      </c>
      <c r="AB140" s="138">
        <f>VLOOKUP(I140,'Weights and Confidence'!$D$16:$AC$26,3,FALSE)</f>
        <v>0.08</v>
      </c>
      <c r="AC140" s="139">
        <f>VLOOKUP(I140,'Weights and Confidence'!$D$16:$AC$26,4,FALSE)</f>
        <v>0.8</v>
      </c>
    </row>
    <row r="141" spans="1:29" x14ac:dyDescent="0.2">
      <c r="A141" s="34" t="s">
        <v>14</v>
      </c>
      <c r="B141" s="34" t="s">
        <v>1</v>
      </c>
      <c r="C141" s="34" t="s">
        <v>54</v>
      </c>
      <c r="D141" s="34" t="s">
        <v>5</v>
      </c>
      <c r="E141" s="34" t="s">
        <v>106</v>
      </c>
      <c r="F141" s="34" t="s">
        <v>51</v>
      </c>
      <c r="G141" s="34">
        <v>2</v>
      </c>
      <c r="H141" s="34" t="s">
        <v>18</v>
      </c>
      <c r="I141" s="34" t="s">
        <v>20</v>
      </c>
      <c r="J141" s="34">
        <v>1</v>
      </c>
      <c r="K141" s="35">
        <f>AB141/COUNTIFS($B:$B,$B141,$C:$C,$C141,$H:$H,$H141,$I:$I,$I141)</f>
        <v>0.08</v>
      </c>
      <c r="L141" s="36">
        <f t="shared" si="10"/>
        <v>0.8</v>
      </c>
      <c r="M141" s="37">
        <f t="shared" si="11"/>
        <v>6.4000000000000001E-2</v>
      </c>
      <c r="N141" s="34"/>
      <c r="AA141" s="137">
        <f>AB141/COUNTIFS($B:$B,$B141,$C:$C,$C141,$H:$H,$H141,$I:$I,$I141)</f>
        <v>0.08</v>
      </c>
      <c r="AB141" s="138">
        <f>VLOOKUP(I141,'Weights and Confidence'!$D$16:$AC$26,3,FALSE)</f>
        <v>0.08</v>
      </c>
      <c r="AC141" s="139">
        <f>VLOOKUP(I141,'Weights and Confidence'!$D$16:$AC$26,4,FALSE)</f>
        <v>0.8</v>
      </c>
    </row>
    <row r="142" spans="1:29" x14ac:dyDescent="0.2">
      <c r="A142" s="38" t="s">
        <v>14</v>
      </c>
      <c r="B142" s="38" t="s">
        <v>1</v>
      </c>
      <c r="C142" s="38" t="s">
        <v>54</v>
      </c>
      <c r="D142" s="38" t="s">
        <v>5</v>
      </c>
      <c r="E142" s="38" t="s">
        <v>106</v>
      </c>
      <c r="F142" s="38" t="s">
        <v>51</v>
      </c>
      <c r="G142" s="38">
        <v>3</v>
      </c>
      <c r="H142" s="38" t="s">
        <v>17</v>
      </c>
      <c r="I142" s="38" t="s">
        <v>21</v>
      </c>
      <c r="J142" s="38">
        <v>1</v>
      </c>
      <c r="K142" s="39">
        <f>AB142/COUNTIFS($B:$B,$B142,$C:$C,$C142,$H:$H,$H142,$I:$I,$I142)</f>
        <v>0.05</v>
      </c>
      <c r="L142" s="40">
        <f t="shared" si="10"/>
        <v>1</v>
      </c>
      <c r="M142" s="41">
        <f t="shared" si="11"/>
        <v>0.05</v>
      </c>
      <c r="N142" s="38"/>
      <c r="AA142" s="137">
        <f>AB142/COUNTIFS($B:$B,$B142,$C:$C,$C142,$H:$H,$H142,$I:$I,$I142)</f>
        <v>0.05</v>
      </c>
      <c r="AB142" s="138">
        <f>VLOOKUP(I142,'Weights and Confidence'!$D$16:$AC$26,3,FALSE)</f>
        <v>0.05</v>
      </c>
      <c r="AC142" s="139">
        <f>VLOOKUP(I142,'Weights and Confidence'!$D$16:$AC$26,4,FALSE)</f>
        <v>1</v>
      </c>
    </row>
    <row r="143" spans="1:29" x14ac:dyDescent="0.2">
      <c r="A143" s="34" t="s">
        <v>14</v>
      </c>
      <c r="B143" s="34" t="s">
        <v>1</v>
      </c>
      <c r="C143" s="34" t="s">
        <v>54</v>
      </c>
      <c r="D143" s="34" t="s">
        <v>5</v>
      </c>
      <c r="E143" s="34" t="s">
        <v>106</v>
      </c>
      <c r="F143" s="34" t="s">
        <v>51</v>
      </c>
      <c r="G143" s="34">
        <v>3</v>
      </c>
      <c r="H143" s="34" t="s">
        <v>18</v>
      </c>
      <c r="I143" s="34" t="s">
        <v>21</v>
      </c>
      <c r="J143" s="34">
        <v>1</v>
      </c>
      <c r="K143" s="35">
        <f>AB143/COUNTIFS($B:$B,$B143,$C:$C,$C143,$H:$H,$H143,$I:$I,$I143)</f>
        <v>0.05</v>
      </c>
      <c r="L143" s="36">
        <f t="shared" si="10"/>
        <v>1</v>
      </c>
      <c r="M143" s="37">
        <f t="shared" si="11"/>
        <v>0.05</v>
      </c>
      <c r="N143" s="34"/>
      <c r="AA143" s="137">
        <f>AB143/COUNTIFS($B:$B,$B143,$C:$C,$C143,$H:$H,$H143,$I:$I,$I143)</f>
        <v>0.05</v>
      </c>
      <c r="AB143" s="138">
        <f>VLOOKUP(I143,'Weights and Confidence'!$D$16:$AC$26,3,FALSE)</f>
        <v>0.05</v>
      </c>
      <c r="AC143" s="139">
        <f>VLOOKUP(I143,'Weights and Confidence'!$D$16:$AC$26,4,FALSE)</f>
        <v>1</v>
      </c>
    </row>
    <row r="144" spans="1:29" x14ac:dyDescent="0.2">
      <c r="A144" s="38" t="s">
        <v>14</v>
      </c>
      <c r="B144" s="38" t="s">
        <v>1</v>
      </c>
      <c r="C144" s="38" t="s">
        <v>54</v>
      </c>
      <c r="D144" s="38" t="s">
        <v>5</v>
      </c>
      <c r="E144" s="38" t="s">
        <v>106</v>
      </c>
      <c r="F144" s="38" t="s">
        <v>51</v>
      </c>
      <c r="G144" s="38">
        <v>4</v>
      </c>
      <c r="H144" s="38" t="s">
        <v>17</v>
      </c>
      <c r="I144" s="38" t="s">
        <v>22</v>
      </c>
      <c r="J144" s="38">
        <v>-1</v>
      </c>
      <c r="K144" s="39">
        <f>AB144/COUNTIFS($B:$B,$B144,$C:$C,$C144,$H:$H,$H144,$I:$I,$I144)</f>
        <v>0.14000000000000001</v>
      </c>
      <c r="L144" s="40">
        <f t="shared" si="10"/>
        <v>1</v>
      </c>
      <c r="M144" s="41">
        <f t="shared" si="11"/>
        <v>-0.14000000000000001</v>
      </c>
      <c r="N144" s="38"/>
      <c r="AA144" s="137">
        <f>AB144/COUNTIFS($B:$B,$B144,$C:$C,$C144,$H:$H,$H144,$I:$I,$I144)</f>
        <v>0.14000000000000001</v>
      </c>
      <c r="AB144" s="138">
        <f>VLOOKUP(I144,'Weights and Confidence'!$D$16:$AC$26,3,FALSE)</f>
        <v>0.14000000000000001</v>
      </c>
      <c r="AC144" s="139">
        <f>VLOOKUP(I144,'Weights and Confidence'!$D$16:$AC$26,4,FALSE)</f>
        <v>1</v>
      </c>
    </row>
    <row r="145" spans="1:29" x14ac:dyDescent="0.2">
      <c r="A145" s="34" t="s">
        <v>14</v>
      </c>
      <c r="B145" s="34" t="s">
        <v>1</v>
      </c>
      <c r="C145" s="34" t="s">
        <v>54</v>
      </c>
      <c r="D145" s="34" t="s">
        <v>5</v>
      </c>
      <c r="E145" s="34" t="s">
        <v>106</v>
      </c>
      <c r="F145" s="34" t="s">
        <v>51</v>
      </c>
      <c r="G145" s="34">
        <v>4</v>
      </c>
      <c r="H145" s="34" t="s">
        <v>18</v>
      </c>
      <c r="I145" s="34" t="s">
        <v>22</v>
      </c>
      <c r="J145" s="34">
        <v>1</v>
      </c>
      <c r="K145" s="35">
        <f>AB145/COUNTIFS($B:$B,$B145,$C:$C,$C145,$H:$H,$H145,$I:$I,$I145)</f>
        <v>0.14000000000000001</v>
      </c>
      <c r="L145" s="36">
        <f t="shared" si="10"/>
        <v>1</v>
      </c>
      <c r="M145" s="37">
        <f t="shared" si="11"/>
        <v>0.14000000000000001</v>
      </c>
      <c r="N145" s="34"/>
      <c r="AA145" s="137">
        <f>AB145/COUNTIFS($B:$B,$B145,$C:$C,$C145,$H:$H,$H145,$I:$I,$I145)</f>
        <v>0.14000000000000001</v>
      </c>
      <c r="AB145" s="138">
        <f>VLOOKUP(I145,'Weights and Confidence'!$D$16:$AC$26,3,FALSE)</f>
        <v>0.14000000000000001</v>
      </c>
      <c r="AC145" s="139">
        <f>VLOOKUP(I145,'Weights and Confidence'!$D$16:$AC$26,4,FALSE)</f>
        <v>1</v>
      </c>
    </row>
    <row r="146" spans="1:29" x14ac:dyDescent="0.2">
      <c r="A146" s="38" t="s">
        <v>14</v>
      </c>
      <c r="B146" s="38" t="s">
        <v>1</v>
      </c>
      <c r="C146" s="38" t="s">
        <v>54</v>
      </c>
      <c r="D146" s="38" t="s">
        <v>5</v>
      </c>
      <c r="E146" s="38" t="s">
        <v>106</v>
      </c>
      <c r="F146" s="38" t="s">
        <v>51</v>
      </c>
      <c r="G146" s="38">
        <v>5</v>
      </c>
      <c r="H146" s="38" t="s">
        <v>17</v>
      </c>
      <c r="I146" s="38" t="s">
        <v>23</v>
      </c>
      <c r="J146" s="38">
        <v>-1</v>
      </c>
      <c r="K146" s="39">
        <f>AB146/COUNTIFS($B:$B,$B146,$C:$C,$C146,$H:$H,$H146,$I:$I,$I146)</f>
        <v>0.11</v>
      </c>
      <c r="L146" s="40">
        <f t="shared" si="10"/>
        <v>1</v>
      </c>
      <c r="M146" s="41">
        <f t="shared" si="11"/>
        <v>-0.11</v>
      </c>
      <c r="N146" s="38"/>
      <c r="AA146" s="137">
        <f>AB146/COUNTIFS($B:$B,$B146,$C:$C,$C146,$H:$H,$H146,$I:$I,$I146)</f>
        <v>0.11</v>
      </c>
      <c r="AB146" s="138">
        <f>VLOOKUP(I146,'Weights and Confidence'!$D$16:$AC$26,3,FALSE)</f>
        <v>0.11</v>
      </c>
      <c r="AC146" s="139">
        <f>VLOOKUP(I146,'Weights and Confidence'!$D$16:$AC$26,4,FALSE)</f>
        <v>1</v>
      </c>
    </row>
    <row r="147" spans="1:29" x14ac:dyDescent="0.2">
      <c r="A147" s="34" t="s">
        <v>14</v>
      </c>
      <c r="B147" s="34" t="s">
        <v>1</v>
      </c>
      <c r="C147" s="34" t="s">
        <v>54</v>
      </c>
      <c r="D147" s="34" t="s">
        <v>5</v>
      </c>
      <c r="E147" s="34" t="s">
        <v>106</v>
      </c>
      <c r="F147" s="34" t="s">
        <v>51</v>
      </c>
      <c r="G147" s="34">
        <v>5</v>
      </c>
      <c r="H147" s="34" t="s">
        <v>18</v>
      </c>
      <c r="I147" s="34" t="s">
        <v>23</v>
      </c>
      <c r="J147" s="34">
        <v>0</v>
      </c>
      <c r="K147" s="35">
        <f>AB147/COUNTIFS($B:$B,$B147,$C:$C,$C147,$H:$H,$H147,$I:$I,$I147)</f>
        <v>0.11</v>
      </c>
      <c r="L147" s="36">
        <f t="shared" si="10"/>
        <v>1</v>
      </c>
      <c r="M147" s="37">
        <f t="shared" si="11"/>
        <v>0</v>
      </c>
      <c r="N147" s="34"/>
      <c r="AA147" s="137">
        <f>AB147/COUNTIFS($B:$B,$B147,$C:$C,$C147,$H:$H,$H147,$I:$I,$I147)</f>
        <v>0.11</v>
      </c>
      <c r="AB147" s="138">
        <f>VLOOKUP(I147,'Weights and Confidence'!$D$16:$AC$26,3,FALSE)</f>
        <v>0.11</v>
      </c>
      <c r="AC147" s="139">
        <f>VLOOKUP(I147,'Weights and Confidence'!$D$16:$AC$26,4,FALSE)</f>
        <v>1</v>
      </c>
    </row>
    <row r="148" spans="1:29" x14ac:dyDescent="0.2">
      <c r="A148" s="38" t="s">
        <v>14</v>
      </c>
      <c r="B148" s="38" t="s">
        <v>1</v>
      </c>
      <c r="C148" s="38" t="s">
        <v>54</v>
      </c>
      <c r="D148" s="38" t="s">
        <v>5</v>
      </c>
      <c r="E148" s="38" t="s">
        <v>106</v>
      </c>
      <c r="F148" s="38" t="s">
        <v>51</v>
      </c>
      <c r="G148" s="38">
        <v>6</v>
      </c>
      <c r="H148" s="38" t="s">
        <v>17</v>
      </c>
      <c r="I148" s="38" t="s">
        <v>24</v>
      </c>
      <c r="J148" s="38">
        <v>0</v>
      </c>
      <c r="K148" s="39">
        <f>AB148/COUNTIFS($B:$B,$B148,$C:$C,$C148,$H:$H,$H148,$I:$I,$I148)</f>
        <v>0.15</v>
      </c>
      <c r="L148" s="40">
        <f t="shared" si="10"/>
        <v>1</v>
      </c>
      <c r="M148" s="41">
        <f t="shared" si="11"/>
        <v>0</v>
      </c>
      <c r="N148" s="38"/>
      <c r="AA148" s="137">
        <f>AB148/COUNTIFS($B:$B,$B148,$C:$C,$C148,$H:$H,$H148,$I:$I,$I148)</f>
        <v>0.15</v>
      </c>
      <c r="AB148" s="138">
        <f>VLOOKUP(I148,'Weights and Confidence'!$D$16:$AC$26,3,FALSE)</f>
        <v>0.15</v>
      </c>
      <c r="AC148" s="139">
        <f>VLOOKUP(I148,'Weights and Confidence'!$D$16:$AC$26,4,FALSE)</f>
        <v>1</v>
      </c>
    </row>
    <row r="149" spans="1:29" x14ac:dyDescent="0.2">
      <c r="A149" s="34" t="s">
        <v>14</v>
      </c>
      <c r="B149" s="34" t="s">
        <v>1</v>
      </c>
      <c r="C149" s="34" t="s">
        <v>54</v>
      </c>
      <c r="D149" s="34" t="s">
        <v>5</v>
      </c>
      <c r="E149" s="34" t="s">
        <v>106</v>
      </c>
      <c r="F149" s="34" t="s">
        <v>51</v>
      </c>
      <c r="G149" s="34">
        <v>6</v>
      </c>
      <c r="H149" s="34" t="s">
        <v>18</v>
      </c>
      <c r="I149" s="34" t="s">
        <v>24</v>
      </c>
      <c r="J149" s="34">
        <v>0</v>
      </c>
      <c r="K149" s="35">
        <f>AB149/COUNTIFS($B:$B,$B149,$C:$C,$C149,$H:$H,$H149,$I:$I,$I149)</f>
        <v>0.15</v>
      </c>
      <c r="L149" s="36">
        <f t="shared" si="10"/>
        <v>1</v>
      </c>
      <c r="M149" s="37">
        <f t="shared" si="11"/>
        <v>0</v>
      </c>
      <c r="N149" s="34"/>
      <c r="AA149" s="137">
        <f>AB149/COUNTIFS($B:$B,$B149,$C:$C,$C149,$H:$H,$H149,$I:$I,$I149)</f>
        <v>0.15</v>
      </c>
      <c r="AB149" s="138">
        <f>VLOOKUP(I149,'Weights and Confidence'!$D$16:$AC$26,3,FALSE)</f>
        <v>0.15</v>
      </c>
      <c r="AC149" s="139">
        <f>VLOOKUP(I149,'Weights and Confidence'!$D$16:$AC$26,4,FALSE)</f>
        <v>1</v>
      </c>
    </row>
    <row r="150" spans="1:29" x14ac:dyDescent="0.2">
      <c r="A150" s="38" t="s">
        <v>14</v>
      </c>
      <c r="B150" s="38" t="s">
        <v>1</v>
      </c>
      <c r="C150" s="38" t="s">
        <v>54</v>
      </c>
      <c r="D150" s="38" t="s">
        <v>5</v>
      </c>
      <c r="E150" s="38" t="s">
        <v>106</v>
      </c>
      <c r="F150" s="38" t="s">
        <v>51</v>
      </c>
      <c r="G150" s="38">
        <v>7</v>
      </c>
      <c r="H150" s="38" t="s">
        <v>17</v>
      </c>
      <c r="I150" s="38" t="s">
        <v>25</v>
      </c>
      <c r="J150" s="38">
        <v>-1</v>
      </c>
      <c r="K150" s="39">
        <f>AB150/COUNTIFS($B:$B,$B150,$C:$C,$C150,$H:$H,$H150,$I:$I,$I150)</f>
        <v>0.1</v>
      </c>
      <c r="L150" s="40">
        <f t="shared" si="10"/>
        <v>1</v>
      </c>
      <c r="M150" s="41">
        <f t="shared" si="11"/>
        <v>-0.1</v>
      </c>
      <c r="N150" s="38"/>
      <c r="AA150" s="137">
        <f>AB150/COUNTIFS($B:$B,$B150,$C:$C,$C150,$H:$H,$H150,$I:$I,$I150)</f>
        <v>0.1</v>
      </c>
      <c r="AB150" s="138">
        <f>VLOOKUP(I150,'Weights and Confidence'!$D$16:$AC$26,3,FALSE)</f>
        <v>0.1</v>
      </c>
      <c r="AC150" s="139">
        <f>VLOOKUP(I150,'Weights and Confidence'!$D$16:$AC$26,4,FALSE)</f>
        <v>1</v>
      </c>
    </row>
    <row r="151" spans="1:29" x14ac:dyDescent="0.2">
      <c r="A151" s="34" t="s">
        <v>14</v>
      </c>
      <c r="B151" s="34" t="s">
        <v>1</v>
      </c>
      <c r="C151" s="34" t="s">
        <v>54</v>
      </c>
      <c r="D151" s="34" t="s">
        <v>5</v>
      </c>
      <c r="E151" s="34" t="s">
        <v>106</v>
      </c>
      <c r="F151" s="34" t="s">
        <v>51</v>
      </c>
      <c r="G151" s="34">
        <v>7</v>
      </c>
      <c r="H151" s="34" t="s">
        <v>18</v>
      </c>
      <c r="I151" s="34" t="s">
        <v>25</v>
      </c>
      <c r="J151" s="34">
        <v>1</v>
      </c>
      <c r="K151" s="35">
        <f>AB151/COUNTIFS($B:$B,$B151,$C:$C,$C151,$H:$H,$H151,$I:$I,$I151)</f>
        <v>0.1</v>
      </c>
      <c r="L151" s="36">
        <f t="shared" si="10"/>
        <v>1</v>
      </c>
      <c r="M151" s="37">
        <f t="shared" si="11"/>
        <v>0.1</v>
      </c>
      <c r="N151" s="34"/>
      <c r="AA151" s="137">
        <f>AB151/COUNTIFS($B:$B,$B151,$C:$C,$C151,$H:$H,$H151,$I:$I,$I151)</f>
        <v>0.1</v>
      </c>
      <c r="AB151" s="138">
        <f>VLOOKUP(I151,'Weights and Confidence'!$D$16:$AC$26,3,FALSE)</f>
        <v>0.1</v>
      </c>
      <c r="AC151" s="139">
        <f>VLOOKUP(I151,'Weights and Confidence'!$D$16:$AC$26,4,FALSE)</f>
        <v>1</v>
      </c>
    </row>
    <row r="152" spans="1:29" x14ac:dyDescent="0.2">
      <c r="A152" s="38" t="s">
        <v>14</v>
      </c>
      <c r="B152" s="38" t="s">
        <v>1</v>
      </c>
      <c r="C152" s="38" t="s">
        <v>54</v>
      </c>
      <c r="D152" s="38" t="s">
        <v>5</v>
      </c>
      <c r="E152" s="38" t="s">
        <v>106</v>
      </c>
      <c r="F152" s="38" t="s">
        <v>51</v>
      </c>
      <c r="G152" s="38">
        <v>8</v>
      </c>
      <c r="H152" s="38" t="s">
        <v>17</v>
      </c>
      <c r="I152" s="38" t="s">
        <v>26</v>
      </c>
      <c r="J152" s="38">
        <v>-1</v>
      </c>
      <c r="K152" s="39">
        <f>AB152/COUNTIFS($B:$B,$B152,$C:$C,$C152,$H:$H,$H152,$I:$I,$I152)</f>
        <v>0.1</v>
      </c>
      <c r="L152" s="40">
        <f t="shared" si="10"/>
        <v>1</v>
      </c>
      <c r="M152" s="41">
        <f t="shared" si="11"/>
        <v>-0.1</v>
      </c>
      <c r="N152" s="38"/>
      <c r="AA152" s="137">
        <f>AB152/COUNTIFS($B:$B,$B152,$C:$C,$C152,$H:$H,$H152,$I:$I,$I152)</f>
        <v>0.1</v>
      </c>
      <c r="AB152" s="138">
        <f>VLOOKUP(I152,'Weights and Confidence'!$D$16:$AC$26,3,FALSE)</f>
        <v>0.1</v>
      </c>
      <c r="AC152" s="139">
        <f>VLOOKUP(I152,'Weights and Confidence'!$D$16:$AC$26,4,FALSE)</f>
        <v>1</v>
      </c>
    </row>
    <row r="153" spans="1:29" x14ac:dyDescent="0.2">
      <c r="A153" s="34" t="s">
        <v>14</v>
      </c>
      <c r="B153" s="34" t="s">
        <v>1</v>
      </c>
      <c r="C153" s="34" t="s">
        <v>54</v>
      </c>
      <c r="D153" s="34" t="s">
        <v>5</v>
      </c>
      <c r="E153" s="34" t="s">
        <v>106</v>
      </c>
      <c r="F153" s="34" t="s">
        <v>51</v>
      </c>
      <c r="G153" s="34">
        <v>8</v>
      </c>
      <c r="H153" s="34" t="s">
        <v>18</v>
      </c>
      <c r="I153" s="34" t="s">
        <v>26</v>
      </c>
      <c r="J153" s="34">
        <v>0</v>
      </c>
      <c r="K153" s="35">
        <f>AB153/COUNTIFS($B:$B,$B153,$C:$C,$C153,$H:$H,$H153,$I:$I,$I153)</f>
        <v>0.1</v>
      </c>
      <c r="L153" s="36">
        <f t="shared" si="10"/>
        <v>1</v>
      </c>
      <c r="M153" s="37">
        <f t="shared" si="11"/>
        <v>0</v>
      </c>
      <c r="N153" s="34"/>
      <c r="AA153" s="137">
        <f>AB153/COUNTIFS($B:$B,$B153,$C:$C,$C153,$H:$H,$H153,$I:$I,$I153)</f>
        <v>0.1</v>
      </c>
      <c r="AB153" s="138">
        <f>VLOOKUP(I153,'Weights and Confidence'!$D$16:$AC$26,3,FALSE)</f>
        <v>0.1</v>
      </c>
      <c r="AC153" s="139">
        <f>VLOOKUP(I153,'Weights and Confidence'!$D$16:$AC$26,4,FALSE)</f>
        <v>1</v>
      </c>
    </row>
    <row r="154" spans="1:29" x14ac:dyDescent="0.2">
      <c r="A154" s="38" t="s">
        <v>14</v>
      </c>
      <c r="B154" s="38" t="s">
        <v>1</v>
      </c>
      <c r="C154" s="38" t="s">
        <v>54</v>
      </c>
      <c r="D154" s="38" t="s">
        <v>5</v>
      </c>
      <c r="E154" s="38" t="s">
        <v>106</v>
      </c>
      <c r="F154" s="38" t="s">
        <v>51</v>
      </c>
      <c r="G154" s="38">
        <v>9</v>
      </c>
      <c r="H154" s="38" t="s">
        <v>17</v>
      </c>
      <c r="I154" s="38" t="s">
        <v>27</v>
      </c>
      <c r="J154" s="38">
        <v>-1</v>
      </c>
      <c r="K154" s="39">
        <f>AB154/COUNTIFS($B:$B,$B154,$C:$C,$C154,$H:$H,$H154,$I:$I,$I154)</f>
        <v>0.05</v>
      </c>
      <c r="L154" s="40">
        <f t="shared" si="10"/>
        <v>0.85</v>
      </c>
      <c r="M154" s="41">
        <f t="shared" si="11"/>
        <v>-4.2500000000000003E-2</v>
      </c>
      <c r="N154" s="38"/>
      <c r="AA154" s="137">
        <f>AB154/COUNTIFS($B:$B,$B154,$C:$C,$C154,$H:$H,$H154,$I:$I,$I154)</f>
        <v>0.05</v>
      </c>
      <c r="AB154" s="138">
        <f>VLOOKUP(I154,'Weights and Confidence'!$D$16:$AC$26,3,FALSE)</f>
        <v>0.1</v>
      </c>
      <c r="AC154" s="139">
        <f>VLOOKUP(I154,'Weights and Confidence'!$D$16:$AC$26,4,FALSE)</f>
        <v>0.85</v>
      </c>
    </row>
    <row r="155" spans="1:29" x14ac:dyDescent="0.2">
      <c r="A155" s="34" t="s">
        <v>14</v>
      </c>
      <c r="B155" s="34" t="s">
        <v>1</v>
      </c>
      <c r="C155" s="34" t="s">
        <v>54</v>
      </c>
      <c r="D155" s="34" t="s">
        <v>5</v>
      </c>
      <c r="E155" s="34" t="s">
        <v>106</v>
      </c>
      <c r="F155" s="34" t="s">
        <v>51</v>
      </c>
      <c r="G155" s="34">
        <v>9</v>
      </c>
      <c r="H155" s="34" t="s">
        <v>18</v>
      </c>
      <c r="I155" s="34" t="s">
        <v>27</v>
      </c>
      <c r="J155" s="34">
        <v>1</v>
      </c>
      <c r="K155" s="35">
        <f>AB155/COUNTIFS($B:$B,$B155,$C:$C,$C155,$H:$H,$H155,$I:$I,$I155)</f>
        <v>0.05</v>
      </c>
      <c r="L155" s="36">
        <f t="shared" si="10"/>
        <v>0.85</v>
      </c>
      <c r="M155" s="37">
        <f t="shared" si="11"/>
        <v>4.2500000000000003E-2</v>
      </c>
      <c r="N155" s="34"/>
      <c r="AA155" s="137">
        <f>AB155/COUNTIFS($B:$B,$B155,$C:$C,$C155,$H:$H,$H155,$I:$I,$I155)</f>
        <v>0.05</v>
      </c>
      <c r="AB155" s="138">
        <f>VLOOKUP(I155,'Weights and Confidence'!$D$16:$AC$26,3,FALSE)</f>
        <v>0.1</v>
      </c>
      <c r="AC155" s="139">
        <f>VLOOKUP(I155,'Weights and Confidence'!$D$16:$AC$26,4,FALSE)</f>
        <v>0.85</v>
      </c>
    </row>
    <row r="156" spans="1:29" x14ac:dyDescent="0.2">
      <c r="A156" s="38" t="s">
        <v>14</v>
      </c>
      <c r="B156" s="38" t="s">
        <v>1</v>
      </c>
      <c r="C156" s="38" t="s">
        <v>54</v>
      </c>
      <c r="D156" s="38" t="s">
        <v>5</v>
      </c>
      <c r="E156" s="38" t="s">
        <v>106</v>
      </c>
      <c r="F156" s="38" t="s">
        <v>51</v>
      </c>
      <c r="G156" s="38">
        <v>10</v>
      </c>
      <c r="H156" s="38" t="s">
        <v>17</v>
      </c>
      <c r="I156" s="38" t="s">
        <v>27</v>
      </c>
      <c r="J156" s="38">
        <v>0</v>
      </c>
      <c r="K156" s="39">
        <f>AB156/COUNTIFS($B:$B,$B156,$C:$C,$C156,$H:$H,$H156,$I:$I,$I156)</f>
        <v>0.05</v>
      </c>
      <c r="L156" s="40">
        <f t="shared" si="10"/>
        <v>0.85</v>
      </c>
      <c r="M156" s="41">
        <f t="shared" si="11"/>
        <v>0</v>
      </c>
      <c r="N156" s="38"/>
      <c r="AA156" s="137">
        <f>AB156/COUNTIFS($B:$B,$B156,$C:$C,$C156,$H:$H,$H156,$I:$I,$I156)</f>
        <v>0.05</v>
      </c>
      <c r="AB156" s="138">
        <f>VLOOKUP(I156,'Weights and Confidence'!$D$16:$AC$26,3,FALSE)</f>
        <v>0.1</v>
      </c>
      <c r="AC156" s="139">
        <f>VLOOKUP(I156,'Weights and Confidence'!$D$16:$AC$26,4,FALSE)</f>
        <v>0.85</v>
      </c>
    </row>
    <row r="157" spans="1:29" x14ac:dyDescent="0.2">
      <c r="A157" s="34" t="s">
        <v>14</v>
      </c>
      <c r="B157" s="34" t="s">
        <v>1</v>
      </c>
      <c r="C157" s="34" t="s">
        <v>54</v>
      </c>
      <c r="D157" s="34" t="s">
        <v>5</v>
      </c>
      <c r="E157" s="34" t="s">
        <v>106</v>
      </c>
      <c r="F157" s="34" t="s">
        <v>51</v>
      </c>
      <c r="G157" s="34">
        <v>10</v>
      </c>
      <c r="H157" s="34" t="s">
        <v>18</v>
      </c>
      <c r="I157" s="34" t="s">
        <v>27</v>
      </c>
      <c r="J157" s="34">
        <v>0</v>
      </c>
      <c r="K157" s="35">
        <f>AB157/COUNTIFS($B:$B,$B157,$C:$C,$C157,$H:$H,$H157,$I:$I,$I157)</f>
        <v>0.05</v>
      </c>
      <c r="L157" s="36">
        <f t="shared" si="10"/>
        <v>0.85</v>
      </c>
      <c r="M157" s="37">
        <f t="shared" si="11"/>
        <v>0</v>
      </c>
      <c r="N157" s="34"/>
      <c r="AA157" s="137">
        <f>AB157/COUNTIFS($B:$B,$B157,$C:$C,$C157,$H:$H,$H157,$I:$I,$I157)</f>
        <v>0.05</v>
      </c>
      <c r="AB157" s="138">
        <f>VLOOKUP(I157,'Weights and Confidence'!$D$16:$AC$26,3,FALSE)</f>
        <v>0.1</v>
      </c>
      <c r="AC157" s="139">
        <f>VLOOKUP(I157,'Weights and Confidence'!$D$16:$AC$26,4,FALSE)</f>
        <v>0.85</v>
      </c>
    </row>
    <row r="158" spans="1:29" x14ac:dyDescent="0.2">
      <c r="A158" s="38" t="s">
        <v>14</v>
      </c>
      <c r="B158" s="38" t="s">
        <v>1</v>
      </c>
      <c r="C158" s="38" t="s">
        <v>54</v>
      </c>
      <c r="D158" s="38" t="s">
        <v>5</v>
      </c>
      <c r="E158" s="38" t="s">
        <v>106</v>
      </c>
      <c r="F158" s="38" t="s">
        <v>51</v>
      </c>
      <c r="G158" s="38">
        <v>11</v>
      </c>
      <c r="H158" s="38" t="s">
        <v>17</v>
      </c>
      <c r="I158" s="38" t="s">
        <v>28</v>
      </c>
      <c r="J158" s="38">
        <v>-1</v>
      </c>
      <c r="K158" s="39">
        <f>AB158/COUNTIFS($B:$B,$B158,$C:$C,$C158,$H:$H,$H158,$I:$I,$I158)</f>
        <v>0.05</v>
      </c>
      <c r="L158" s="40">
        <f t="shared" si="10"/>
        <v>1</v>
      </c>
      <c r="M158" s="41">
        <f t="shared" si="11"/>
        <v>-0.05</v>
      </c>
      <c r="N158" s="38"/>
      <c r="AA158" s="137">
        <f>AB158/COUNTIFS($B:$B,$B158,$C:$C,$C158,$H:$H,$H158,$I:$I,$I158)</f>
        <v>0.05</v>
      </c>
      <c r="AB158" s="138">
        <f>VLOOKUP(I158,'Weights and Confidence'!$D$16:$AC$26,3,FALSE)</f>
        <v>0.05</v>
      </c>
      <c r="AC158" s="139">
        <f>VLOOKUP(I158,'Weights and Confidence'!$D$16:$AC$26,4,FALSE)</f>
        <v>1</v>
      </c>
    </row>
    <row r="159" spans="1:29" ht="17" thickBot="1" x14ac:dyDescent="0.25">
      <c r="A159" s="34" t="s">
        <v>14</v>
      </c>
      <c r="B159" s="34" t="s">
        <v>1</v>
      </c>
      <c r="C159" s="34" t="s">
        <v>54</v>
      </c>
      <c r="D159" s="34" t="s">
        <v>5</v>
      </c>
      <c r="E159" s="34" t="s">
        <v>106</v>
      </c>
      <c r="F159" s="34" t="s">
        <v>51</v>
      </c>
      <c r="G159" s="34">
        <v>11</v>
      </c>
      <c r="H159" s="34" t="s">
        <v>18</v>
      </c>
      <c r="I159" s="34" t="s">
        <v>28</v>
      </c>
      <c r="J159" s="34">
        <v>-1</v>
      </c>
      <c r="K159" s="35">
        <f>AB159/COUNTIFS($B:$B,$B159,$C:$C,$C159,$H:$H,$H159,$I:$I,$I159)</f>
        <v>0.05</v>
      </c>
      <c r="L159" s="36">
        <f t="shared" si="10"/>
        <v>1</v>
      </c>
      <c r="M159" s="37">
        <f t="shared" si="11"/>
        <v>-0.05</v>
      </c>
      <c r="N159" s="34"/>
      <c r="AA159" s="140">
        <f>AB159/COUNTIFS($B:$B,$B159,$C:$C,$C159,$H:$H,$H159,$I:$I,$I159)</f>
        <v>0.05</v>
      </c>
      <c r="AB159" s="141">
        <f>VLOOKUP(I159,'Weights and Confidence'!$D$16:$AC$26,3,FALSE)</f>
        <v>0.05</v>
      </c>
      <c r="AC159" s="142">
        <f>VLOOKUP(I159,'Weights and Confidence'!$D$16:$AC$26,4,FALSE)</f>
        <v>1</v>
      </c>
    </row>
    <row r="160" spans="1:29" ht="17" thickTop="1" x14ac:dyDescent="0.2">
      <c r="A160" s="42" t="s">
        <v>14</v>
      </c>
      <c r="B160" s="42" t="s">
        <v>1</v>
      </c>
      <c r="C160" s="42" t="s">
        <v>55</v>
      </c>
      <c r="D160" s="42" t="s">
        <v>5</v>
      </c>
      <c r="E160" s="43" t="s">
        <v>107</v>
      </c>
      <c r="F160" s="43" t="s">
        <v>56</v>
      </c>
      <c r="G160" s="42">
        <v>1</v>
      </c>
      <c r="H160" s="42" t="s">
        <v>17</v>
      </c>
      <c r="I160" s="42" t="s">
        <v>19</v>
      </c>
      <c r="J160" s="42">
        <v>1</v>
      </c>
      <c r="K160" s="44">
        <f>AB160/COUNTIFS($B:$B,$B160,$C:$C,$C160,$H:$H,$H160,$I:$I,$I160)</f>
        <v>0.12</v>
      </c>
      <c r="L160" s="45">
        <f t="shared" si="10"/>
        <v>1</v>
      </c>
      <c r="M160" s="46">
        <f t="shared" ref="M160:M181" si="12">J160*K160*L160</f>
        <v>0.12</v>
      </c>
      <c r="N160" s="42"/>
      <c r="AA160" s="137">
        <f>AB160/COUNTIFS($B:$B,$B160,$C:$C,$C160,$H:$H,$H160,$I:$I,$I160)</f>
        <v>0.12</v>
      </c>
      <c r="AB160" s="138">
        <f>VLOOKUP(I160,'Weights and Confidence'!$D$16:$AC$26,3,FALSE)</f>
        <v>0.12</v>
      </c>
      <c r="AC160" s="139">
        <f>VLOOKUP(I160,'Weights and Confidence'!$D$16:$AC$26,4,FALSE)</f>
        <v>1</v>
      </c>
    </row>
    <row r="161" spans="1:29" x14ac:dyDescent="0.2">
      <c r="A161" s="34" t="s">
        <v>14</v>
      </c>
      <c r="B161" s="34" t="s">
        <v>1</v>
      </c>
      <c r="C161" s="34" t="s">
        <v>55</v>
      </c>
      <c r="D161" s="34" t="s">
        <v>5</v>
      </c>
      <c r="E161" s="34" t="s">
        <v>107</v>
      </c>
      <c r="F161" s="34" t="s">
        <v>56</v>
      </c>
      <c r="G161" s="34">
        <v>1</v>
      </c>
      <c r="H161" s="34" t="s">
        <v>18</v>
      </c>
      <c r="I161" s="34" t="s">
        <v>19</v>
      </c>
      <c r="J161" s="34">
        <v>1</v>
      </c>
      <c r="K161" s="35">
        <f>AB161/COUNTIFS($B:$B,$B161,$C:$C,$C161,$H:$H,$H161,$I:$I,$I161)</f>
        <v>0.12</v>
      </c>
      <c r="L161" s="36">
        <f t="shared" si="10"/>
        <v>1</v>
      </c>
      <c r="M161" s="37">
        <f t="shared" si="12"/>
        <v>0.12</v>
      </c>
      <c r="N161" s="34"/>
      <c r="AA161" s="137">
        <f>AB161/COUNTIFS($B:$B,$B161,$C:$C,$C161,$H:$H,$H161,$I:$I,$I161)</f>
        <v>0.12</v>
      </c>
      <c r="AB161" s="138">
        <f>VLOOKUP(I161,'Weights and Confidence'!$D$16:$AC$26,3,FALSE)</f>
        <v>0.12</v>
      </c>
      <c r="AC161" s="139">
        <f>VLOOKUP(I161,'Weights and Confidence'!$D$16:$AC$26,4,FALSE)</f>
        <v>1</v>
      </c>
    </row>
    <row r="162" spans="1:29" x14ac:dyDescent="0.2">
      <c r="A162" s="38" t="s">
        <v>14</v>
      </c>
      <c r="B162" s="38" t="s">
        <v>1</v>
      </c>
      <c r="C162" s="38" t="s">
        <v>55</v>
      </c>
      <c r="D162" s="38" t="s">
        <v>5</v>
      </c>
      <c r="E162" s="38" t="s">
        <v>107</v>
      </c>
      <c r="F162" s="38" t="s">
        <v>56</v>
      </c>
      <c r="G162" s="38">
        <v>2</v>
      </c>
      <c r="H162" s="38" t="s">
        <v>17</v>
      </c>
      <c r="I162" s="38" t="s">
        <v>20</v>
      </c>
      <c r="J162" s="38">
        <v>1</v>
      </c>
      <c r="K162" s="39">
        <f>AB162/COUNTIFS($B:$B,$B162,$C:$C,$C162,$H:$H,$H162,$I:$I,$I162)</f>
        <v>0.08</v>
      </c>
      <c r="L162" s="40">
        <f t="shared" si="10"/>
        <v>0.8</v>
      </c>
      <c r="M162" s="41">
        <f t="shared" si="12"/>
        <v>6.4000000000000001E-2</v>
      </c>
      <c r="N162" s="38"/>
      <c r="AA162" s="137">
        <f>AB162/COUNTIFS($B:$B,$B162,$C:$C,$C162,$H:$H,$H162,$I:$I,$I162)</f>
        <v>0.08</v>
      </c>
      <c r="AB162" s="138">
        <f>VLOOKUP(I162,'Weights and Confidence'!$D$16:$AC$26,3,FALSE)</f>
        <v>0.08</v>
      </c>
      <c r="AC162" s="139">
        <f>VLOOKUP(I162,'Weights and Confidence'!$D$16:$AC$26,4,FALSE)</f>
        <v>0.8</v>
      </c>
    </row>
    <row r="163" spans="1:29" x14ac:dyDescent="0.2">
      <c r="A163" s="34" t="s">
        <v>14</v>
      </c>
      <c r="B163" s="34" t="s">
        <v>1</v>
      </c>
      <c r="C163" s="34" t="s">
        <v>55</v>
      </c>
      <c r="D163" s="34" t="s">
        <v>5</v>
      </c>
      <c r="E163" s="34" t="s">
        <v>107</v>
      </c>
      <c r="F163" s="34" t="s">
        <v>56</v>
      </c>
      <c r="G163" s="34">
        <v>2</v>
      </c>
      <c r="H163" s="34" t="s">
        <v>18</v>
      </c>
      <c r="I163" s="34" t="s">
        <v>20</v>
      </c>
      <c r="J163" s="34">
        <v>1</v>
      </c>
      <c r="K163" s="35">
        <f>AB163/COUNTIFS($B:$B,$B163,$C:$C,$C163,$H:$H,$H163,$I:$I,$I163)</f>
        <v>0.08</v>
      </c>
      <c r="L163" s="36">
        <f t="shared" si="10"/>
        <v>0.8</v>
      </c>
      <c r="M163" s="37">
        <f t="shared" si="12"/>
        <v>6.4000000000000001E-2</v>
      </c>
      <c r="N163" s="34"/>
      <c r="AA163" s="137">
        <f>AB163/COUNTIFS($B:$B,$B163,$C:$C,$C163,$H:$H,$H163,$I:$I,$I163)</f>
        <v>0.08</v>
      </c>
      <c r="AB163" s="138">
        <f>VLOOKUP(I163,'Weights and Confidence'!$D$16:$AC$26,3,FALSE)</f>
        <v>0.08</v>
      </c>
      <c r="AC163" s="139">
        <f>VLOOKUP(I163,'Weights and Confidence'!$D$16:$AC$26,4,FALSE)</f>
        <v>0.8</v>
      </c>
    </row>
    <row r="164" spans="1:29" x14ac:dyDescent="0.2">
      <c r="A164" s="38" t="s">
        <v>14</v>
      </c>
      <c r="B164" s="38" t="s">
        <v>1</v>
      </c>
      <c r="C164" s="38" t="s">
        <v>55</v>
      </c>
      <c r="D164" s="38" t="s">
        <v>5</v>
      </c>
      <c r="E164" s="38" t="s">
        <v>107</v>
      </c>
      <c r="F164" s="38" t="s">
        <v>56</v>
      </c>
      <c r="G164" s="38">
        <v>3</v>
      </c>
      <c r="H164" s="38" t="s">
        <v>17</v>
      </c>
      <c r="I164" s="38" t="s">
        <v>21</v>
      </c>
      <c r="J164" s="38">
        <v>1</v>
      </c>
      <c r="K164" s="39">
        <f>AB164/COUNTIFS($B:$B,$B164,$C:$C,$C164,$H:$H,$H164,$I:$I,$I164)</f>
        <v>0.05</v>
      </c>
      <c r="L164" s="40">
        <f t="shared" si="10"/>
        <v>1</v>
      </c>
      <c r="M164" s="41">
        <f t="shared" si="12"/>
        <v>0.05</v>
      </c>
      <c r="N164" s="38"/>
      <c r="AA164" s="137">
        <f>AB164/COUNTIFS($B:$B,$B164,$C:$C,$C164,$H:$H,$H164,$I:$I,$I164)</f>
        <v>0.05</v>
      </c>
      <c r="AB164" s="138">
        <f>VLOOKUP(I164,'Weights and Confidence'!$D$16:$AC$26,3,FALSE)</f>
        <v>0.05</v>
      </c>
      <c r="AC164" s="139">
        <f>VLOOKUP(I164,'Weights and Confidence'!$D$16:$AC$26,4,FALSE)</f>
        <v>1</v>
      </c>
    </row>
    <row r="165" spans="1:29" x14ac:dyDescent="0.2">
      <c r="A165" s="34" t="s">
        <v>14</v>
      </c>
      <c r="B165" s="34" t="s">
        <v>1</v>
      </c>
      <c r="C165" s="34" t="s">
        <v>55</v>
      </c>
      <c r="D165" s="34" t="s">
        <v>5</v>
      </c>
      <c r="E165" s="34" t="s">
        <v>107</v>
      </c>
      <c r="F165" s="34" t="s">
        <v>56</v>
      </c>
      <c r="G165" s="34">
        <v>3</v>
      </c>
      <c r="H165" s="34" t="s">
        <v>18</v>
      </c>
      <c r="I165" s="34" t="s">
        <v>21</v>
      </c>
      <c r="J165" s="34">
        <v>1</v>
      </c>
      <c r="K165" s="35">
        <f>AB165/COUNTIFS($B:$B,$B165,$C:$C,$C165,$H:$H,$H165,$I:$I,$I165)</f>
        <v>0.05</v>
      </c>
      <c r="L165" s="36">
        <f t="shared" si="10"/>
        <v>1</v>
      </c>
      <c r="M165" s="37">
        <f t="shared" si="12"/>
        <v>0.05</v>
      </c>
      <c r="N165" s="34"/>
      <c r="AA165" s="137">
        <f>AB165/COUNTIFS($B:$B,$B165,$C:$C,$C165,$H:$H,$H165,$I:$I,$I165)</f>
        <v>0.05</v>
      </c>
      <c r="AB165" s="138">
        <f>VLOOKUP(I165,'Weights and Confidence'!$D$16:$AC$26,3,FALSE)</f>
        <v>0.05</v>
      </c>
      <c r="AC165" s="139">
        <f>VLOOKUP(I165,'Weights and Confidence'!$D$16:$AC$26,4,FALSE)</f>
        <v>1</v>
      </c>
    </row>
    <row r="166" spans="1:29" x14ac:dyDescent="0.2">
      <c r="A166" s="38" t="s">
        <v>14</v>
      </c>
      <c r="B166" s="38" t="s">
        <v>1</v>
      </c>
      <c r="C166" s="38" t="s">
        <v>55</v>
      </c>
      <c r="D166" s="38" t="s">
        <v>5</v>
      </c>
      <c r="E166" s="38" t="s">
        <v>107</v>
      </c>
      <c r="F166" s="38" t="s">
        <v>56</v>
      </c>
      <c r="G166" s="38">
        <v>4</v>
      </c>
      <c r="H166" s="38" t="s">
        <v>17</v>
      </c>
      <c r="I166" s="38" t="s">
        <v>22</v>
      </c>
      <c r="J166" s="38">
        <v>1</v>
      </c>
      <c r="K166" s="39">
        <f>AB166/COUNTIFS($B:$B,$B166,$C:$C,$C166,$H:$H,$H166,$I:$I,$I166)</f>
        <v>0.14000000000000001</v>
      </c>
      <c r="L166" s="40">
        <f t="shared" si="10"/>
        <v>1</v>
      </c>
      <c r="M166" s="41">
        <f t="shared" si="12"/>
        <v>0.14000000000000001</v>
      </c>
      <c r="N166" s="38"/>
      <c r="AA166" s="137">
        <f>AB166/COUNTIFS($B:$B,$B166,$C:$C,$C166,$H:$H,$H166,$I:$I,$I166)</f>
        <v>0.14000000000000001</v>
      </c>
      <c r="AB166" s="138">
        <f>VLOOKUP(I166,'Weights and Confidence'!$D$16:$AC$26,3,FALSE)</f>
        <v>0.14000000000000001</v>
      </c>
      <c r="AC166" s="139">
        <f>VLOOKUP(I166,'Weights and Confidence'!$D$16:$AC$26,4,FALSE)</f>
        <v>1</v>
      </c>
    </row>
    <row r="167" spans="1:29" x14ac:dyDescent="0.2">
      <c r="A167" s="34" t="s">
        <v>14</v>
      </c>
      <c r="B167" s="34" t="s">
        <v>1</v>
      </c>
      <c r="C167" s="34" t="s">
        <v>55</v>
      </c>
      <c r="D167" s="34" t="s">
        <v>5</v>
      </c>
      <c r="E167" s="34" t="s">
        <v>107</v>
      </c>
      <c r="F167" s="34" t="s">
        <v>56</v>
      </c>
      <c r="G167" s="34">
        <v>4</v>
      </c>
      <c r="H167" s="34" t="s">
        <v>18</v>
      </c>
      <c r="I167" s="34" t="s">
        <v>22</v>
      </c>
      <c r="J167" s="34">
        <v>1</v>
      </c>
      <c r="K167" s="35">
        <f>AB167/COUNTIFS($B:$B,$B167,$C:$C,$C167,$H:$H,$H167,$I:$I,$I167)</f>
        <v>0.14000000000000001</v>
      </c>
      <c r="L167" s="36">
        <f t="shared" si="10"/>
        <v>1</v>
      </c>
      <c r="M167" s="37">
        <f t="shared" si="12"/>
        <v>0.14000000000000001</v>
      </c>
      <c r="N167" s="34"/>
      <c r="AA167" s="137">
        <f>AB167/COUNTIFS($B:$B,$B167,$C:$C,$C167,$H:$H,$H167,$I:$I,$I167)</f>
        <v>0.14000000000000001</v>
      </c>
      <c r="AB167" s="138">
        <f>VLOOKUP(I167,'Weights and Confidence'!$D$16:$AC$26,3,FALSE)</f>
        <v>0.14000000000000001</v>
      </c>
      <c r="AC167" s="139">
        <f>VLOOKUP(I167,'Weights and Confidence'!$D$16:$AC$26,4,FALSE)</f>
        <v>1</v>
      </c>
    </row>
    <row r="168" spans="1:29" x14ac:dyDescent="0.2">
      <c r="A168" s="38" t="s">
        <v>14</v>
      </c>
      <c r="B168" s="38" t="s">
        <v>1</v>
      </c>
      <c r="C168" s="38" t="s">
        <v>55</v>
      </c>
      <c r="D168" s="38" t="s">
        <v>5</v>
      </c>
      <c r="E168" s="38" t="s">
        <v>107</v>
      </c>
      <c r="F168" s="38" t="s">
        <v>56</v>
      </c>
      <c r="G168" s="38">
        <v>5</v>
      </c>
      <c r="H168" s="38" t="s">
        <v>17</v>
      </c>
      <c r="I168" s="38" t="s">
        <v>23</v>
      </c>
      <c r="J168" s="38">
        <v>1</v>
      </c>
      <c r="K168" s="39">
        <f>AB168/COUNTIFS($B:$B,$B168,$C:$C,$C168,$H:$H,$H168,$I:$I,$I168)</f>
        <v>0.11</v>
      </c>
      <c r="L168" s="40">
        <f t="shared" si="10"/>
        <v>1</v>
      </c>
      <c r="M168" s="41">
        <f t="shared" si="12"/>
        <v>0.11</v>
      </c>
      <c r="N168" s="38"/>
      <c r="AA168" s="137">
        <f>AB168/COUNTIFS($B:$B,$B168,$C:$C,$C168,$H:$H,$H168,$I:$I,$I168)</f>
        <v>0.11</v>
      </c>
      <c r="AB168" s="138">
        <f>VLOOKUP(I168,'Weights and Confidence'!$D$16:$AC$26,3,FALSE)</f>
        <v>0.11</v>
      </c>
      <c r="AC168" s="139">
        <f>VLOOKUP(I168,'Weights and Confidence'!$D$16:$AC$26,4,FALSE)</f>
        <v>1</v>
      </c>
    </row>
    <row r="169" spans="1:29" x14ac:dyDescent="0.2">
      <c r="A169" s="34" t="s">
        <v>14</v>
      </c>
      <c r="B169" s="34" t="s">
        <v>1</v>
      </c>
      <c r="C169" s="34" t="s">
        <v>55</v>
      </c>
      <c r="D169" s="34" t="s">
        <v>5</v>
      </c>
      <c r="E169" s="34" t="s">
        <v>107</v>
      </c>
      <c r="F169" s="34" t="s">
        <v>56</v>
      </c>
      <c r="G169" s="34">
        <v>5</v>
      </c>
      <c r="H169" s="34" t="s">
        <v>18</v>
      </c>
      <c r="I169" s="34" t="s">
        <v>23</v>
      </c>
      <c r="J169" s="34">
        <v>1</v>
      </c>
      <c r="K169" s="35">
        <f>AB169/COUNTIFS($B:$B,$B169,$C:$C,$C169,$H:$H,$H169,$I:$I,$I169)</f>
        <v>0.11</v>
      </c>
      <c r="L169" s="36">
        <f t="shared" si="10"/>
        <v>1</v>
      </c>
      <c r="M169" s="37">
        <f t="shared" si="12"/>
        <v>0.11</v>
      </c>
      <c r="N169" s="34"/>
      <c r="AA169" s="137">
        <f>AB169/COUNTIFS($B:$B,$B169,$C:$C,$C169,$H:$H,$H169,$I:$I,$I169)</f>
        <v>0.11</v>
      </c>
      <c r="AB169" s="138">
        <f>VLOOKUP(I169,'Weights and Confidence'!$D$16:$AC$26,3,FALSE)</f>
        <v>0.11</v>
      </c>
      <c r="AC169" s="139">
        <f>VLOOKUP(I169,'Weights and Confidence'!$D$16:$AC$26,4,FALSE)</f>
        <v>1</v>
      </c>
    </row>
    <row r="170" spans="1:29" x14ac:dyDescent="0.2">
      <c r="A170" s="38" t="s">
        <v>14</v>
      </c>
      <c r="B170" s="38" t="s">
        <v>1</v>
      </c>
      <c r="C170" s="38" t="s">
        <v>55</v>
      </c>
      <c r="D170" s="38" t="s">
        <v>5</v>
      </c>
      <c r="E170" s="38" t="s">
        <v>107</v>
      </c>
      <c r="F170" s="38" t="s">
        <v>56</v>
      </c>
      <c r="G170" s="38">
        <v>6</v>
      </c>
      <c r="H170" s="38" t="s">
        <v>17</v>
      </c>
      <c r="I170" s="38" t="s">
        <v>24</v>
      </c>
      <c r="J170" s="38">
        <v>1</v>
      </c>
      <c r="K170" s="39">
        <f>AB170/COUNTIFS($B:$B,$B170,$C:$C,$C170,$H:$H,$H170,$I:$I,$I170)</f>
        <v>0.15</v>
      </c>
      <c r="L170" s="40">
        <f t="shared" si="10"/>
        <v>1</v>
      </c>
      <c r="M170" s="41">
        <f t="shared" si="12"/>
        <v>0.15</v>
      </c>
      <c r="N170" s="38"/>
      <c r="AA170" s="137">
        <f>AB170/COUNTIFS($B:$B,$B170,$C:$C,$C170,$H:$H,$H170,$I:$I,$I170)</f>
        <v>0.15</v>
      </c>
      <c r="AB170" s="138">
        <f>VLOOKUP(I170,'Weights and Confidence'!$D$16:$AC$26,3,FALSE)</f>
        <v>0.15</v>
      </c>
      <c r="AC170" s="139">
        <f>VLOOKUP(I170,'Weights and Confidence'!$D$16:$AC$26,4,FALSE)</f>
        <v>1</v>
      </c>
    </row>
    <row r="171" spans="1:29" x14ac:dyDescent="0.2">
      <c r="A171" s="34" t="s">
        <v>14</v>
      </c>
      <c r="B171" s="34" t="s">
        <v>1</v>
      </c>
      <c r="C171" s="34" t="s">
        <v>55</v>
      </c>
      <c r="D171" s="34" t="s">
        <v>5</v>
      </c>
      <c r="E171" s="34" t="s">
        <v>107</v>
      </c>
      <c r="F171" s="34" t="s">
        <v>56</v>
      </c>
      <c r="G171" s="34">
        <v>6</v>
      </c>
      <c r="H171" s="34" t="s">
        <v>18</v>
      </c>
      <c r="I171" s="34" t="s">
        <v>24</v>
      </c>
      <c r="J171" s="34">
        <v>1</v>
      </c>
      <c r="K171" s="35">
        <f>AB171/COUNTIFS($B:$B,$B171,$C:$C,$C171,$H:$H,$H171,$I:$I,$I171)</f>
        <v>0.15</v>
      </c>
      <c r="L171" s="36">
        <f t="shared" si="10"/>
        <v>1</v>
      </c>
      <c r="M171" s="37">
        <f t="shared" si="12"/>
        <v>0.15</v>
      </c>
      <c r="N171" s="34"/>
      <c r="AA171" s="137">
        <f>AB171/COUNTIFS($B:$B,$B171,$C:$C,$C171,$H:$H,$H171,$I:$I,$I171)</f>
        <v>0.15</v>
      </c>
      <c r="AB171" s="138">
        <f>VLOOKUP(I171,'Weights and Confidence'!$D$16:$AC$26,3,FALSE)</f>
        <v>0.15</v>
      </c>
      <c r="AC171" s="139">
        <f>VLOOKUP(I171,'Weights and Confidence'!$D$16:$AC$26,4,FALSE)</f>
        <v>1</v>
      </c>
    </row>
    <row r="172" spans="1:29" x14ac:dyDescent="0.2">
      <c r="A172" s="38" t="s">
        <v>14</v>
      </c>
      <c r="B172" s="38" t="s">
        <v>1</v>
      </c>
      <c r="C172" s="38" t="s">
        <v>55</v>
      </c>
      <c r="D172" s="38" t="s">
        <v>5</v>
      </c>
      <c r="E172" s="38" t="s">
        <v>107</v>
      </c>
      <c r="F172" s="38" t="s">
        <v>56</v>
      </c>
      <c r="G172" s="38">
        <v>7</v>
      </c>
      <c r="H172" s="38" t="s">
        <v>17</v>
      </c>
      <c r="I172" s="38" t="s">
        <v>25</v>
      </c>
      <c r="J172" s="38">
        <v>1</v>
      </c>
      <c r="K172" s="39">
        <f>AB172/COUNTIFS($B:$B,$B172,$C:$C,$C172,$H:$H,$H172,$I:$I,$I172)</f>
        <v>0.1</v>
      </c>
      <c r="L172" s="40">
        <f t="shared" si="10"/>
        <v>1</v>
      </c>
      <c r="M172" s="41">
        <f t="shared" si="12"/>
        <v>0.1</v>
      </c>
      <c r="N172" s="38"/>
      <c r="AA172" s="137">
        <f>AB172/COUNTIFS($B:$B,$B172,$C:$C,$C172,$H:$H,$H172,$I:$I,$I172)</f>
        <v>0.1</v>
      </c>
      <c r="AB172" s="138">
        <f>VLOOKUP(I172,'Weights and Confidence'!$D$16:$AC$26,3,FALSE)</f>
        <v>0.1</v>
      </c>
      <c r="AC172" s="139">
        <f>VLOOKUP(I172,'Weights and Confidence'!$D$16:$AC$26,4,FALSE)</f>
        <v>1</v>
      </c>
    </row>
    <row r="173" spans="1:29" x14ac:dyDescent="0.2">
      <c r="A173" s="34" t="s">
        <v>14</v>
      </c>
      <c r="B173" s="34" t="s">
        <v>1</v>
      </c>
      <c r="C173" s="34" t="s">
        <v>55</v>
      </c>
      <c r="D173" s="34" t="s">
        <v>5</v>
      </c>
      <c r="E173" s="34" t="s">
        <v>107</v>
      </c>
      <c r="F173" s="34" t="s">
        <v>56</v>
      </c>
      <c r="G173" s="34">
        <v>7</v>
      </c>
      <c r="H173" s="34" t="s">
        <v>18</v>
      </c>
      <c r="I173" s="34" t="s">
        <v>25</v>
      </c>
      <c r="J173" s="34">
        <v>1</v>
      </c>
      <c r="K173" s="35">
        <f>AB173/COUNTIFS($B:$B,$B173,$C:$C,$C173,$H:$H,$H173,$I:$I,$I173)</f>
        <v>0.1</v>
      </c>
      <c r="L173" s="36">
        <f t="shared" si="10"/>
        <v>1</v>
      </c>
      <c r="M173" s="37">
        <f t="shared" si="12"/>
        <v>0.1</v>
      </c>
      <c r="N173" s="34"/>
      <c r="AA173" s="137">
        <f>AB173/COUNTIFS($B:$B,$B173,$C:$C,$C173,$H:$H,$H173,$I:$I,$I173)</f>
        <v>0.1</v>
      </c>
      <c r="AB173" s="138">
        <f>VLOOKUP(I173,'Weights and Confidence'!$D$16:$AC$26,3,FALSE)</f>
        <v>0.1</v>
      </c>
      <c r="AC173" s="139">
        <f>VLOOKUP(I173,'Weights and Confidence'!$D$16:$AC$26,4,FALSE)</f>
        <v>1</v>
      </c>
    </row>
    <row r="174" spans="1:29" x14ac:dyDescent="0.2">
      <c r="A174" s="38" t="s">
        <v>14</v>
      </c>
      <c r="B174" s="38" t="s">
        <v>1</v>
      </c>
      <c r="C174" s="38" t="s">
        <v>55</v>
      </c>
      <c r="D174" s="38" t="s">
        <v>5</v>
      </c>
      <c r="E174" s="38" t="s">
        <v>107</v>
      </c>
      <c r="F174" s="38" t="s">
        <v>56</v>
      </c>
      <c r="G174" s="38">
        <v>8</v>
      </c>
      <c r="H174" s="38" t="s">
        <v>17</v>
      </c>
      <c r="I174" s="38" t="s">
        <v>26</v>
      </c>
      <c r="J174" s="38">
        <v>1</v>
      </c>
      <c r="K174" s="39">
        <f>AB174/COUNTIFS($B:$B,$B174,$C:$C,$C174,$H:$H,$H174,$I:$I,$I174)</f>
        <v>0.1</v>
      </c>
      <c r="L174" s="40">
        <f t="shared" si="10"/>
        <v>1</v>
      </c>
      <c r="M174" s="41">
        <f t="shared" si="12"/>
        <v>0.1</v>
      </c>
      <c r="N174" s="38"/>
      <c r="AA174" s="137">
        <f>AB174/COUNTIFS($B:$B,$B174,$C:$C,$C174,$H:$H,$H174,$I:$I,$I174)</f>
        <v>0.1</v>
      </c>
      <c r="AB174" s="138">
        <f>VLOOKUP(I174,'Weights and Confidence'!$D$16:$AC$26,3,FALSE)</f>
        <v>0.1</v>
      </c>
      <c r="AC174" s="139">
        <f>VLOOKUP(I174,'Weights and Confidence'!$D$16:$AC$26,4,FALSE)</f>
        <v>1</v>
      </c>
    </row>
    <row r="175" spans="1:29" x14ac:dyDescent="0.2">
      <c r="A175" s="34" t="s">
        <v>14</v>
      </c>
      <c r="B175" s="34" t="s">
        <v>1</v>
      </c>
      <c r="C175" s="34" t="s">
        <v>55</v>
      </c>
      <c r="D175" s="34" t="s">
        <v>5</v>
      </c>
      <c r="E175" s="34" t="s">
        <v>107</v>
      </c>
      <c r="F175" s="34" t="s">
        <v>56</v>
      </c>
      <c r="G175" s="34">
        <v>8</v>
      </c>
      <c r="H175" s="34" t="s">
        <v>18</v>
      </c>
      <c r="I175" s="34" t="s">
        <v>26</v>
      </c>
      <c r="J175" s="34">
        <v>1</v>
      </c>
      <c r="K175" s="35">
        <f>AB175/COUNTIFS($B:$B,$B175,$C:$C,$C175,$H:$H,$H175,$I:$I,$I175)</f>
        <v>0.1</v>
      </c>
      <c r="L175" s="36">
        <f t="shared" si="10"/>
        <v>1</v>
      </c>
      <c r="M175" s="37">
        <f t="shared" si="12"/>
        <v>0.1</v>
      </c>
      <c r="N175" s="34"/>
      <c r="AA175" s="137">
        <f>AB175/COUNTIFS($B:$B,$B175,$C:$C,$C175,$H:$H,$H175,$I:$I,$I175)</f>
        <v>0.1</v>
      </c>
      <c r="AB175" s="138">
        <f>VLOOKUP(I175,'Weights and Confidence'!$D$16:$AC$26,3,FALSE)</f>
        <v>0.1</v>
      </c>
      <c r="AC175" s="139">
        <f>VLOOKUP(I175,'Weights and Confidence'!$D$16:$AC$26,4,FALSE)</f>
        <v>1</v>
      </c>
    </row>
    <row r="176" spans="1:29" x14ac:dyDescent="0.2">
      <c r="A176" s="38" t="s">
        <v>14</v>
      </c>
      <c r="B176" s="38" t="s">
        <v>1</v>
      </c>
      <c r="C176" s="38" t="s">
        <v>55</v>
      </c>
      <c r="D176" s="38" t="s">
        <v>5</v>
      </c>
      <c r="E176" s="38" t="s">
        <v>107</v>
      </c>
      <c r="F176" s="38" t="s">
        <v>56</v>
      </c>
      <c r="G176" s="38">
        <v>9</v>
      </c>
      <c r="H176" s="38" t="s">
        <v>17</v>
      </c>
      <c r="I176" s="38" t="s">
        <v>27</v>
      </c>
      <c r="J176" s="38">
        <v>1</v>
      </c>
      <c r="K176" s="39">
        <f>AB176/COUNTIFS($B:$B,$B176,$C:$C,$C176,$H:$H,$H176,$I:$I,$I176)</f>
        <v>0.05</v>
      </c>
      <c r="L176" s="40">
        <f t="shared" si="10"/>
        <v>0.85</v>
      </c>
      <c r="M176" s="41">
        <f t="shared" si="12"/>
        <v>4.2500000000000003E-2</v>
      </c>
      <c r="N176" s="38"/>
      <c r="AA176" s="137">
        <f>AB176/COUNTIFS($B:$B,$B176,$C:$C,$C176,$H:$H,$H176,$I:$I,$I176)</f>
        <v>0.05</v>
      </c>
      <c r="AB176" s="138">
        <f>VLOOKUP(I176,'Weights and Confidence'!$D$16:$AC$26,3,FALSE)</f>
        <v>0.1</v>
      </c>
      <c r="AC176" s="139">
        <f>VLOOKUP(I176,'Weights and Confidence'!$D$16:$AC$26,4,FALSE)</f>
        <v>0.85</v>
      </c>
    </row>
    <row r="177" spans="1:29" x14ac:dyDescent="0.2">
      <c r="A177" s="34" t="s">
        <v>14</v>
      </c>
      <c r="B177" s="34" t="s">
        <v>1</v>
      </c>
      <c r="C177" s="34" t="s">
        <v>55</v>
      </c>
      <c r="D177" s="34" t="s">
        <v>5</v>
      </c>
      <c r="E177" s="34" t="s">
        <v>107</v>
      </c>
      <c r="F177" s="34" t="s">
        <v>56</v>
      </c>
      <c r="G177" s="34">
        <v>9</v>
      </c>
      <c r="H177" s="34" t="s">
        <v>18</v>
      </c>
      <c r="I177" s="34" t="s">
        <v>27</v>
      </c>
      <c r="J177" s="34">
        <v>1</v>
      </c>
      <c r="K177" s="35">
        <f>AB177/COUNTIFS($B:$B,$B177,$C:$C,$C177,$H:$H,$H177,$I:$I,$I177)</f>
        <v>0.05</v>
      </c>
      <c r="L177" s="36">
        <f t="shared" si="10"/>
        <v>0.85</v>
      </c>
      <c r="M177" s="37">
        <f t="shared" si="12"/>
        <v>4.2500000000000003E-2</v>
      </c>
      <c r="N177" s="34"/>
      <c r="AA177" s="137">
        <f>AB177/COUNTIFS($B:$B,$B177,$C:$C,$C177,$H:$H,$H177,$I:$I,$I177)</f>
        <v>0.05</v>
      </c>
      <c r="AB177" s="138">
        <f>VLOOKUP(I177,'Weights and Confidence'!$D$16:$AC$26,3,FALSE)</f>
        <v>0.1</v>
      </c>
      <c r="AC177" s="139">
        <f>VLOOKUP(I177,'Weights and Confidence'!$D$16:$AC$26,4,FALSE)</f>
        <v>0.85</v>
      </c>
    </row>
    <row r="178" spans="1:29" x14ac:dyDescent="0.2">
      <c r="A178" s="38" t="s">
        <v>14</v>
      </c>
      <c r="B178" s="38" t="s">
        <v>1</v>
      </c>
      <c r="C178" s="38" t="s">
        <v>55</v>
      </c>
      <c r="D178" s="38" t="s">
        <v>5</v>
      </c>
      <c r="E178" s="38" t="s">
        <v>107</v>
      </c>
      <c r="F178" s="38" t="s">
        <v>56</v>
      </c>
      <c r="G178" s="38">
        <v>10</v>
      </c>
      <c r="H178" s="38" t="s">
        <v>17</v>
      </c>
      <c r="I178" s="38" t="s">
        <v>27</v>
      </c>
      <c r="J178" s="38">
        <v>1</v>
      </c>
      <c r="K178" s="39">
        <f>AB178/COUNTIFS($B:$B,$B178,$C:$C,$C178,$H:$H,$H178,$I:$I,$I178)</f>
        <v>0.05</v>
      </c>
      <c r="L178" s="40">
        <f t="shared" si="10"/>
        <v>0.85</v>
      </c>
      <c r="M178" s="41">
        <f t="shared" si="12"/>
        <v>4.2500000000000003E-2</v>
      </c>
      <c r="N178" s="38"/>
      <c r="AA178" s="137">
        <f>AB178/COUNTIFS($B:$B,$B178,$C:$C,$C178,$H:$H,$H178,$I:$I,$I178)</f>
        <v>0.05</v>
      </c>
      <c r="AB178" s="138">
        <f>VLOOKUP(I178,'Weights and Confidence'!$D$16:$AC$26,3,FALSE)</f>
        <v>0.1</v>
      </c>
      <c r="AC178" s="139">
        <f>VLOOKUP(I178,'Weights and Confidence'!$D$16:$AC$26,4,FALSE)</f>
        <v>0.85</v>
      </c>
    </row>
    <row r="179" spans="1:29" x14ac:dyDescent="0.2">
      <c r="A179" s="34" t="s">
        <v>14</v>
      </c>
      <c r="B179" s="34" t="s">
        <v>1</v>
      </c>
      <c r="C179" s="34" t="s">
        <v>55</v>
      </c>
      <c r="D179" s="34" t="s">
        <v>5</v>
      </c>
      <c r="E179" s="34" t="s">
        <v>107</v>
      </c>
      <c r="F179" s="34" t="s">
        <v>56</v>
      </c>
      <c r="G179" s="34">
        <v>10</v>
      </c>
      <c r="H179" s="34" t="s">
        <v>18</v>
      </c>
      <c r="I179" s="34" t="s">
        <v>27</v>
      </c>
      <c r="J179" s="34">
        <v>1</v>
      </c>
      <c r="K179" s="35">
        <f>AB179/COUNTIFS($B:$B,$B179,$C:$C,$C179,$H:$H,$H179,$I:$I,$I179)</f>
        <v>0.05</v>
      </c>
      <c r="L179" s="36">
        <f t="shared" si="10"/>
        <v>0.85</v>
      </c>
      <c r="M179" s="37">
        <f t="shared" si="12"/>
        <v>4.2500000000000003E-2</v>
      </c>
      <c r="N179" s="34"/>
      <c r="AA179" s="137">
        <f>AB179/COUNTIFS($B:$B,$B179,$C:$C,$C179,$H:$H,$H179,$I:$I,$I179)</f>
        <v>0.05</v>
      </c>
      <c r="AB179" s="138">
        <f>VLOOKUP(I179,'Weights and Confidence'!$D$16:$AC$26,3,FALSE)</f>
        <v>0.1</v>
      </c>
      <c r="AC179" s="139">
        <f>VLOOKUP(I179,'Weights and Confidence'!$D$16:$AC$26,4,FALSE)</f>
        <v>0.85</v>
      </c>
    </row>
    <row r="180" spans="1:29" x14ac:dyDescent="0.2">
      <c r="A180" s="38" t="s">
        <v>14</v>
      </c>
      <c r="B180" s="38" t="s">
        <v>1</v>
      </c>
      <c r="C180" s="38" t="s">
        <v>55</v>
      </c>
      <c r="D180" s="38" t="s">
        <v>5</v>
      </c>
      <c r="E180" s="38" t="s">
        <v>107</v>
      </c>
      <c r="F180" s="38" t="s">
        <v>56</v>
      </c>
      <c r="G180" s="38">
        <v>11</v>
      </c>
      <c r="H180" s="38" t="s">
        <v>17</v>
      </c>
      <c r="I180" s="38" t="s">
        <v>28</v>
      </c>
      <c r="J180" s="38">
        <v>1</v>
      </c>
      <c r="K180" s="39">
        <f>AB180/COUNTIFS($B:$B,$B180,$C:$C,$C180,$H:$H,$H180,$I:$I,$I180)</f>
        <v>0.05</v>
      </c>
      <c r="L180" s="40">
        <f t="shared" si="10"/>
        <v>1</v>
      </c>
      <c r="M180" s="41">
        <f t="shared" si="12"/>
        <v>0.05</v>
      </c>
      <c r="N180" s="38"/>
      <c r="AA180" s="137">
        <f>AB180/COUNTIFS($B:$B,$B180,$C:$C,$C180,$H:$H,$H180,$I:$I,$I180)</f>
        <v>0.05</v>
      </c>
      <c r="AB180" s="138">
        <f>VLOOKUP(I180,'Weights and Confidence'!$D$16:$AC$26,3,FALSE)</f>
        <v>0.05</v>
      </c>
      <c r="AC180" s="139">
        <f>VLOOKUP(I180,'Weights and Confidence'!$D$16:$AC$26,4,FALSE)</f>
        <v>1</v>
      </c>
    </row>
    <row r="181" spans="1:29" ht="17" thickBot="1" x14ac:dyDescent="0.25">
      <c r="A181" s="34" t="s">
        <v>14</v>
      </c>
      <c r="B181" s="34" t="s">
        <v>1</v>
      </c>
      <c r="C181" s="34" t="s">
        <v>55</v>
      </c>
      <c r="D181" s="34" t="s">
        <v>5</v>
      </c>
      <c r="E181" s="34" t="s">
        <v>107</v>
      </c>
      <c r="F181" s="34" t="s">
        <v>56</v>
      </c>
      <c r="G181" s="34">
        <v>11</v>
      </c>
      <c r="H181" s="34" t="s">
        <v>18</v>
      </c>
      <c r="I181" s="34" t="s">
        <v>28</v>
      </c>
      <c r="J181" s="34">
        <v>1</v>
      </c>
      <c r="K181" s="35">
        <f>AB181/COUNTIFS($B:$B,$B181,$C:$C,$C181,$H:$H,$H181,$I:$I,$I181)</f>
        <v>0.05</v>
      </c>
      <c r="L181" s="36">
        <f t="shared" si="10"/>
        <v>1</v>
      </c>
      <c r="M181" s="37">
        <f t="shared" si="12"/>
        <v>0.05</v>
      </c>
      <c r="N181" s="34"/>
      <c r="AA181" s="140">
        <f>AB181/COUNTIFS($B:$B,$B181,$C:$C,$C181,$H:$H,$H181,$I:$I,$I181)</f>
        <v>0.05</v>
      </c>
      <c r="AB181" s="141">
        <f>VLOOKUP(I181,'Weights and Confidence'!$D$16:$AC$26,3,FALSE)</f>
        <v>0.05</v>
      </c>
      <c r="AC181" s="142">
        <f>VLOOKUP(I181,'Weights and Confidence'!$D$16:$AC$26,4,FALSE)</f>
        <v>1</v>
      </c>
    </row>
    <row r="182" spans="1:29" ht="17" thickTop="1" x14ac:dyDescent="0.2">
      <c r="A182" s="42" t="s">
        <v>14</v>
      </c>
      <c r="B182" s="42" t="s">
        <v>1</v>
      </c>
      <c r="C182" s="42" t="s">
        <v>57</v>
      </c>
      <c r="D182" s="42" t="s">
        <v>5</v>
      </c>
      <c r="E182" s="42" t="s">
        <v>107</v>
      </c>
      <c r="F182" s="43" t="s">
        <v>58</v>
      </c>
      <c r="G182" s="42">
        <v>1</v>
      </c>
      <c r="H182" s="42" t="s">
        <v>17</v>
      </c>
      <c r="I182" s="42" t="s">
        <v>19</v>
      </c>
      <c r="J182" s="42">
        <v>0</v>
      </c>
      <c r="K182" s="44">
        <f>AB182/COUNTIFS($B:$B,$B182,$C:$C,$C182,$H:$H,$H182,$I:$I,$I182)</f>
        <v>0.12</v>
      </c>
      <c r="L182" s="45">
        <f t="shared" si="10"/>
        <v>1</v>
      </c>
      <c r="M182" s="46">
        <f t="shared" ref="M182:M203" si="13">J182*K182*L182</f>
        <v>0</v>
      </c>
      <c r="N182" s="42"/>
      <c r="AA182" s="137">
        <f>AB182/COUNTIFS($B:$B,$B182,$C:$C,$C182,$H:$H,$H182,$I:$I,$I182)</f>
        <v>0.12</v>
      </c>
      <c r="AB182" s="138">
        <f>VLOOKUP(I182,'Weights and Confidence'!$D$16:$AC$26,3,FALSE)</f>
        <v>0.12</v>
      </c>
      <c r="AC182" s="139">
        <f>VLOOKUP(I182,'Weights and Confidence'!$D$16:$AC$26,4,FALSE)</f>
        <v>1</v>
      </c>
    </row>
    <row r="183" spans="1:29" x14ac:dyDescent="0.2">
      <c r="A183" s="34" t="s">
        <v>14</v>
      </c>
      <c r="B183" s="34" t="s">
        <v>1</v>
      </c>
      <c r="C183" s="34" t="s">
        <v>57</v>
      </c>
      <c r="D183" s="34" t="s">
        <v>5</v>
      </c>
      <c r="E183" s="34" t="s">
        <v>107</v>
      </c>
      <c r="F183" s="34" t="s">
        <v>58</v>
      </c>
      <c r="G183" s="34">
        <v>1</v>
      </c>
      <c r="H183" s="34" t="s">
        <v>18</v>
      </c>
      <c r="I183" s="34" t="s">
        <v>19</v>
      </c>
      <c r="J183" s="34">
        <v>1</v>
      </c>
      <c r="K183" s="35">
        <f>AB183/COUNTIFS($B:$B,$B183,$C:$C,$C183,$H:$H,$H183,$I:$I,$I183)</f>
        <v>0.12</v>
      </c>
      <c r="L183" s="36">
        <f t="shared" si="10"/>
        <v>1</v>
      </c>
      <c r="M183" s="37">
        <f t="shared" si="13"/>
        <v>0.12</v>
      </c>
      <c r="N183" s="34"/>
      <c r="AA183" s="137">
        <f>AB183/COUNTIFS($B:$B,$B183,$C:$C,$C183,$H:$H,$H183,$I:$I,$I183)</f>
        <v>0.12</v>
      </c>
      <c r="AB183" s="138">
        <f>VLOOKUP(I183,'Weights and Confidence'!$D$16:$AC$26,3,FALSE)</f>
        <v>0.12</v>
      </c>
      <c r="AC183" s="139">
        <f>VLOOKUP(I183,'Weights and Confidence'!$D$16:$AC$26,4,FALSE)</f>
        <v>1</v>
      </c>
    </row>
    <row r="184" spans="1:29" x14ac:dyDescent="0.2">
      <c r="A184" s="38" t="s">
        <v>14</v>
      </c>
      <c r="B184" s="38" t="s">
        <v>1</v>
      </c>
      <c r="C184" s="38" t="s">
        <v>57</v>
      </c>
      <c r="D184" s="38" t="s">
        <v>5</v>
      </c>
      <c r="E184" s="38" t="s">
        <v>107</v>
      </c>
      <c r="F184" s="38" t="s">
        <v>58</v>
      </c>
      <c r="G184" s="38">
        <v>2</v>
      </c>
      <c r="H184" s="38" t="s">
        <v>17</v>
      </c>
      <c r="I184" s="38" t="s">
        <v>20</v>
      </c>
      <c r="J184" s="38">
        <v>0</v>
      </c>
      <c r="K184" s="39">
        <f>AB184/COUNTIFS($B:$B,$B184,$C:$C,$C184,$H:$H,$H184,$I:$I,$I184)</f>
        <v>0.08</v>
      </c>
      <c r="L184" s="40">
        <f t="shared" si="10"/>
        <v>0.8</v>
      </c>
      <c r="M184" s="41">
        <f t="shared" si="13"/>
        <v>0</v>
      </c>
      <c r="N184" s="38"/>
      <c r="AA184" s="137">
        <f>AB184/COUNTIFS($B:$B,$B184,$C:$C,$C184,$H:$H,$H184,$I:$I,$I184)</f>
        <v>0.08</v>
      </c>
      <c r="AB184" s="138">
        <f>VLOOKUP(I184,'Weights and Confidence'!$D$16:$AC$26,3,FALSE)</f>
        <v>0.08</v>
      </c>
      <c r="AC184" s="139">
        <f>VLOOKUP(I184,'Weights and Confidence'!$D$16:$AC$26,4,FALSE)</f>
        <v>0.8</v>
      </c>
    </row>
    <row r="185" spans="1:29" x14ac:dyDescent="0.2">
      <c r="A185" s="34" t="s">
        <v>14</v>
      </c>
      <c r="B185" s="34" t="s">
        <v>1</v>
      </c>
      <c r="C185" s="34" t="s">
        <v>57</v>
      </c>
      <c r="D185" s="34" t="s">
        <v>5</v>
      </c>
      <c r="E185" s="34" t="s">
        <v>107</v>
      </c>
      <c r="F185" s="34" t="s">
        <v>58</v>
      </c>
      <c r="G185" s="34">
        <v>2</v>
      </c>
      <c r="H185" s="34" t="s">
        <v>18</v>
      </c>
      <c r="I185" s="34" t="s">
        <v>20</v>
      </c>
      <c r="J185" s="34">
        <v>0</v>
      </c>
      <c r="K185" s="35">
        <f>AB185/COUNTIFS($B:$B,$B185,$C:$C,$C185,$H:$H,$H185,$I:$I,$I185)</f>
        <v>0.08</v>
      </c>
      <c r="L185" s="36">
        <f t="shared" si="10"/>
        <v>0.8</v>
      </c>
      <c r="M185" s="37">
        <f t="shared" si="13"/>
        <v>0</v>
      </c>
      <c r="N185" s="34"/>
      <c r="AA185" s="137">
        <f>AB185/COUNTIFS($B:$B,$B185,$C:$C,$C185,$H:$H,$H185,$I:$I,$I185)</f>
        <v>0.08</v>
      </c>
      <c r="AB185" s="138">
        <f>VLOOKUP(I185,'Weights and Confidence'!$D$16:$AC$26,3,FALSE)</f>
        <v>0.08</v>
      </c>
      <c r="AC185" s="139">
        <f>VLOOKUP(I185,'Weights and Confidence'!$D$16:$AC$26,4,FALSE)</f>
        <v>0.8</v>
      </c>
    </row>
    <row r="186" spans="1:29" x14ac:dyDescent="0.2">
      <c r="A186" s="38" t="s">
        <v>14</v>
      </c>
      <c r="B186" s="38" t="s">
        <v>1</v>
      </c>
      <c r="C186" s="38" t="s">
        <v>57</v>
      </c>
      <c r="D186" s="38" t="s">
        <v>5</v>
      </c>
      <c r="E186" s="38" t="s">
        <v>107</v>
      </c>
      <c r="F186" s="38" t="s">
        <v>58</v>
      </c>
      <c r="G186" s="38">
        <v>3</v>
      </c>
      <c r="H186" s="38" t="s">
        <v>17</v>
      </c>
      <c r="I186" s="38" t="s">
        <v>21</v>
      </c>
      <c r="J186" s="38">
        <v>0</v>
      </c>
      <c r="K186" s="39">
        <f>AB186/COUNTIFS($B:$B,$B186,$C:$C,$C186,$H:$H,$H186,$I:$I,$I186)</f>
        <v>0.05</v>
      </c>
      <c r="L186" s="40">
        <f t="shared" si="10"/>
        <v>1</v>
      </c>
      <c r="M186" s="41">
        <f t="shared" si="13"/>
        <v>0</v>
      </c>
      <c r="N186" s="38"/>
      <c r="AA186" s="137">
        <f>AB186/COUNTIFS($B:$B,$B186,$C:$C,$C186,$H:$H,$H186,$I:$I,$I186)</f>
        <v>0.05</v>
      </c>
      <c r="AB186" s="138">
        <f>VLOOKUP(I186,'Weights and Confidence'!$D$16:$AC$26,3,FALSE)</f>
        <v>0.05</v>
      </c>
      <c r="AC186" s="139">
        <f>VLOOKUP(I186,'Weights and Confidence'!$D$16:$AC$26,4,FALSE)</f>
        <v>1</v>
      </c>
    </row>
    <row r="187" spans="1:29" x14ac:dyDescent="0.2">
      <c r="A187" s="34" t="s">
        <v>14</v>
      </c>
      <c r="B187" s="34" t="s">
        <v>1</v>
      </c>
      <c r="C187" s="34" t="s">
        <v>57</v>
      </c>
      <c r="D187" s="34" t="s">
        <v>5</v>
      </c>
      <c r="E187" s="34" t="s">
        <v>107</v>
      </c>
      <c r="F187" s="34" t="s">
        <v>58</v>
      </c>
      <c r="G187" s="34">
        <v>3</v>
      </c>
      <c r="H187" s="34" t="s">
        <v>18</v>
      </c>
      <c r="I187" s="34" t="s">
        <v>21</v>
      </c>
      <c r="J187" s="34">
        <v>-1</v>
      </c>
      <c r="K187" s="35">
        <f>AB187/COUNTIFS($B:$B,$B187,$C:$C,$C187,$H:$H,$H187,$I:$I,$I187)</f>
        <v>0.05</v>
      </c>
      <c r="L187" s="36">
        <f t="shared" si="10"/>
        <v>1</v>
      </c>
      <c r="M187" s="37">
        <f t="shared" si="13"/>
        <v>-0.05</v>
      </c>
      <c r="N187" s="34"/>
      <c r="AA187" s="137">
        <f>AB187/COUNTIFS($B:$B,$B187,$C:$C,$C187,$H:$H,$H187,$I:$I,$I187)</f>
        <v>0.05</v>
      </c>
      <c r="AB187" s="138">
        <f>VLOOKUP(I187,'Weights and Confidence'!$D$16:$AC$26,3,FALSE)</f>
        <v>0.05</v>
      </c>
      <c r="AC187" s="139">
        <f>VLOOKUP(I187,'Weights and Confidence'!$D$16:$AC$26,4,FALSE)</f>
        <v>1</v>
      </c>
    </row>
    <row r="188" spans="1:29" x14ac:dyDescent="0.2">
      <c r="A188" s="38" t="s">
        <v>14</v>
      </c>
      <c r="B188" s="38" t="s">
        <v>1</v>
      </c>
      <c r="C188" s="38" t="s">
        <v>57</v>
      </c>
      <c r="D188" s="38" t="s">
        <v>5</v>
      </c>
      <c r="E188" s="38" t="s">
        <v>107</v>
      </c>
      <c r="F188" s="38" t="s">
        <v>58</v>
      </c>
      <c r="G188" s="38">
        <v>4</v>
      </c>
      <c r="H188" s="38" t="s">
        <v>17</v>
      </c>
      <c r="I188" s="38" t="s">
        <v>22</v>
      </c>
      <c r="J188" s="38">
        <v>-1</v>
      </c>
      <c r="K188" s="39">
        <f>AB188/COUNTIFS($B:$B,$B188,$C:$C,$C188,$H:$H,$H188,$I:$I,$I188)</f>
        <v>0.14000000000000001</v>
      </c>
      <c r="L188" s="40">
        <f t="shared" si="10"/>
        <v>1</v>
      </c>
      <c r="M188" s="41">
        <f t="shared" si="13"/>
        <v>-0.14000000000000001</v>
      </c>
      <c r="N188" s="38"/>
      <c r="AA188" s="137">
        <f>AB188/COUNTIFS($B:$B,$B188,$C:$C,$C188,$H:$H,$H188,$I:$I,$I188)</f>
        <v>0.14000000000000001</v>
      </c>
      <c r="AB188" s="138">
        <f>VLOOKUP(I188,'Weights and Confidence'!$D$16:$AC$26,3,FALSE)</f>
        <v>0.14000000000000001</v>
      </c>
      <c r="AC188" s="139">
        <f>VLOOKUP(I188,'Weights and Confidence'!$D$16:$AC$26,4,FALSE)</f>
        <v>1</v>
      </c>
    </row>
    <row r="189" spans="1:29" x14ac:dyDescent="0.2">
      <c r="A189" s="34" t="s">
        <v>14</v>
      </c>
      <c r="B189" s="34" t="s">
        <v>1</v>
      </c>
      <c r="C189" s="34" t="s">
        <v>57</v>
      </c>
      <c r="D189" s="34" t="s">
        <v>5</v>
      </c>
      <c r="E189" s="34" t="s">
        <v>107</v>
      </c>
      <c r="F189" s="34" t="s">
        <v>58</v>
      </c>
      <c r="G189" s="34">
        <v>4</v>
      </c>
      <c r="H189" s="34" t="s">
        <v>18</v>
      </c>
      <c r="I189" s="34" t="s">
        <v>22</v>
      </c>
      <c r="J189" s="34">
        <v>-1</v>
      </c>
      <c r="K189" s="35">
        <f>AB189/COUNTIFS($B:$B,$B189,$C:$C,$C189,$H:$H,$H189,$I:$I,$I189)</f>
        <v>0.14000000000000001</v>
      </c>
      <c r="L189" s="36">
        <f t="shared" si="10"/>
        <v>1</v>
      </c>
      <c r="M189" s="37">
        <f t="shared" si="13"/>
        <v>-0.14000000000000001</v>
      </c>
      <c r="N189" s="34"/>
      <c r="AA189" s="137">
        <f>AB189/COUNTIFS($B:$B,$B189,$C:$C,$C189,$H:$H,$H189,$I:$I,$I189)</f>
        <v>0.14000000000000001</v>
      </c>
      <c r="AB189" s="138">
        <f>VLOOKUP(I189,'Weights and Confidence'!$D$16:$AC$26,3,FALSE)</f>
        <v>0.14000000000000001</v>
      </c>
      <c r="AC189" s="139">
        <f>VLOOKUP(I189,'Weights and Confidence'!$D$16:$AC$26,4,FALSE)</f>
        <v>1</v>
      </c>
    </row>
    <row r="190" spans="1:29" x14ac:dyDescent="0.2">
      <c r="A190" s="38" t="s">
        <v>14</v>
      </c>
      <c r="B190" s="38" t="s">
        <v>1</v>
      </c>
      <c r="C190" s="38" t="s">
        <v>57</v>
      </c>
      <c r="D190" s="38" t="s">
        <v>5</v>
      </c>
      <c r="E190" s="38" t="s">
        <v>107</v>
      </c>
      <c r="F190" s="38" t="s">
        <v>58</v>
      </c>
      <c r="G190" s="38">
        <v>5</v>
      </c>
      <c r="H190" s="38" t="s">
        <v>17</v>
      </c>
      <c r="I190" s="38" t="s">
        <v>23</v>
      </c>
      <c r="J190" s="38">
        <v>0</v>
      </c>
      <c r="K190" s="39">
        <f>AB190/COUNTIFS($B:$B,$B190,$C:$C,$C190,$H:$H,$H190,$I:$I,$I190)</f>
        <v>0.11</v>
      </c>
      <c r="L190" s="40">
        <f t="shared" si="10"/>
        <v>1</v>
      </c>
      <c r="M190" s="41">
        <f t="shared" si="13"/>
        <v>0</v>
      </c>
      <c r="N190" s="38"/>
      <c r="AA190" s="137">
        <f>AB190/COUNTIFS($B:$B,$B190,$C:$C,$C190,$H:$H,$H190,$I:$I,$I190)</f>
        <v>0.11</v>
      </c>
      <c r="AB190" s="138">
        <f>VLOOKUP(I190,'Weights and Confidence'!$D$16:$AC$26,3,FALSE)</f>
        <v>0.11</v>
      </c>
      <c r="AC190" s="139">
        <f>VLOOKUP(I190,'Weights and Confidence'!$D$16:$AC$26,4,FALSE)</f>
        <v>1</v>
      </c>
    </row>
    <row r="191" spans="1:29" x14ac:dyDescent="0.2">
      <c r="A191" s="34" t="s">
        <v>14</v>
      </c>
      <c r="B191" s="34" t="s">
        <v>1</v>
      </c>
      <c r="C191" s="34" t="s">
        <v>57</v>
      </c>
      <c r="D191" s="34" t="s">
        <v>5</v>
      </c>
      <c r="E191" s="34" t="s">
        <v>107</v>
      </c>
      <c r="F191" s="34" t="s">
        <v>58</v>
      </c>
      <c r="G191" s="34">
        <v>5</v>
      </c>
      <c r="H191" s="34" t="s">
        <v>18</v>
      </c>
      <c r="I191" s="34" t="s">
        <v>23</v>
      </c>
      <c r="J191" s="34">
        <v>-1</v>
      </c>
      <c r="K191" s="35">
        <f>AB191/COUNTIFS($B:$B,$B191,$C:$C,$C191,$H:$H,$H191,$I:$I,$I191)</f>
        <v>0.11</v>
      </c>
      <c r="L191" s="36">
        <f t="shared" si="10"/>
        <v>1</v>
      </c>
      <c r="M191" s="37">
        <f t="shared" si="13"/>
        <v>-0.11</v>
      </c>
      <c r="N191" s="34"/>
      <c r="AA191" s="137">
        <f>AB191/COUNTIFS($B:$B,$B191,$C:$C,$C191,$H:$H,$H191,$I:$I,$I191)</f>
        <v>0.11</v>
      </c>
      <c r="AB191" s="138">
        <f>VLOOKUP(I191,'Weights and Confidence'!$D$16:$AC$26,3,FALSE)</f>
        <v>0.11</v>
      </c>
      <c r="AC191" s="139">
        <f>VLOOKUP(I191,'Weights and Confidence'!$D$16:$AC$26,4,FALSE)</f>
        <v>1</v>
      </c>
    </row>
    <row r="192" spans="1:29" x14ac:dyDescent="0.2">
      <c r="A192" s="38" t="s">
        <v>14</v>
      </c>
      <c r="B192" s="38" t="s">
        <v>1</v>
      </c>
      <c r="C192" s="38" t="s">
        <v>57</v>
      </c>
      <c r="D192" s="38" t="s">
        <v>5</v>
      </c>
      <c r="E192" s="38" t="s">
        <v>107</v>
      </c>
      <c r="F192" s="38" t="s">
        <v>58</v>
      </c>
      <c r="G192" s="38">
        <v>6</v>
      </c>
      <c r="H192" s="38" t="s">
        <v>17</v>
      </c>
      <c r="I192" s="38" t="s">
        <v>24</v>
      </c>
      <c r="J192" s="38">
        <v>-1</v>
      </c>
      <c r="K192" s="39">
        <f>AB192/COUNTIFS($B:$B,$B192,$C:$C,$C192,$H:$H,$H192,$I:$I,$I192)</f>
        <v>0.15</v>
      </c>
      <c r="L192" s="40">
        <f t="shared" si="10"/>
        <v>1</v>
      </c>
      <c r="M192" s="41">
        <f t="shared" si="13"/>
        <v>-0.15</v>
      </c>
      <c r="N192" s="38"/>
      <c r="AA192" s="137">
        <f>AB192/COUNTIFS($B:$B,$B192,$C:$C,$C192,$H:$H,$H192,$I:$I,$I192)</f>
        <v>0.15</v>
      </c>
      <c r="AB192" s="138">
        <f>VLOOKUP(I192,'Weights and Confidence'!$D$16:$AC$26,3,FALSE)</f>
        <v>0.15</v>
      </c>
      <c r="AC192" s="139">
        <f>VLOOKUP(I192,'Weights and Confidence'!$D$16:$AC$26,4,FALSE)</f>
        <v>1</v>
      </c>
    </row>
    <row r="193" spans="1:29" x14ac:dyDescent="0.2">
      <c r="A193" s="34" t="s">
        <v>14</v>
      </c>
      <c r="B193" s="34" t="s">
        <v>1</v>
      </c>
      <c r="C193" s="34" t="s">
        <v>57</v>
      </c>
      <c r="D193" s="34" t="s">
        <v>5</v>
      </c>
      <c r="E193" s="34" t="s">
        <v>107</v>
      </c>
      <c r="F193" s="34" t="s">
        <v>58</v>
      </c>
      <c r="G193" s="34">
        <v>6</v>
      </c>
      <c r="H193" s="34" t="s">
        <v>18</v>
      </c>
      <c r="I193" s="34" t="s">
        <v>24</v>
      </c>
      <c r="J193" s="34">
        <v>-1</v>
      </c>
      <c r="K193" s="35">
        <f>AB193/COUNTIFS($B:$B,$B193,$C:$C,$C193,$H:$H,$H193,$I:$I,$I193)</f>
        <v>0.15</v>
      </c>
      <c r="L193" s="36">
        <f t="shared" si="10"/>
        <v>1</v>
      </c>
      <c r="M193" s="37">
        <f t="shared" si="13"/>
        <v>-0.15</v>
      </c>
      <c r="N193" s="34"/>
      <c r="AA193" s="137">
        <f>AB193/COUNTIFS($B:$B,$B193,$C:$C,$C193,$H:$H,$H193,$I:$I,$I193)</f>
        <v>0.15</v>
      </c>
      <c r="AB193" s="138">
        <f>VLOOKUP(I193,'Weights and Confidence'!$D$16:$AC$26,3,FALSE)</f>
        <v>0.15</v>
      </c>
      <c r="AC193" s="139">
        <f>VLOOKUP(I193,'Weights and Confidence'!$D$16:$AC$26,4,FALSE)</f>
        <v>1</v>
      </c>
    </row>
    <row r="194" spans="1:29" x14ac:dyDescent="0.2">
      <c r="A194" s="38" t="s">
        <v>14</v>
      </c>
      <c r="B194" s="38" t="s">
        <v>1</v>
      </c>
      <c r="C194" s="38" t="s">
        <v>57</v>
      </c>
      <c r="D194" s="38" t="s">
        <v>5</v>
      </c>
      <c r="E194" s="38" t="s">
        <v>107</v>
      </c>
      <c r="F194" s="38" t="s">
        <v>58</v>
      </c>
      <c r="G194" s="38">
        <v>7</v>
      </c>
      <c r="H194" s="38" t="s">
        <v>17</v>
      </c>
      <c r="I194" s="38" t="s">
        <v>25</v>
      </c>
      <c r="J194" s="38">
        <v>-1</v>
      </c>
      <c r="K194" s="39">
        <f>AB194/COUNTIFS($B:$B,$B194,$C:$C,$C194,$H:$H,$H194,$I:$I,$I194)</f>
        <v>0.1</v>
      </c>
      <c r="L194" s="40">
        <f t="shared" si="10"/>
        <v>1</v>
      </c>
      <c r="M194" s="41">
        <f t="shared" si="13"/>
        <v>-0.1</v>
      </c>
      <c r="N194" s="38"/>
      <c r="AA194" s="137">
        <f>AB194/COUNTIFS($B:$B,$B194,$C:$C,$C194,$H:$H,$H194,$I:$I,$I194)</f>
        <v>0.1</v>
      </c>
      <c r="AB194" s="138">
        <f>VLOOKUP(I194,'Weights and Confidence'!$D$16:$AC$26,3,FALSE)</f>
        <v>0.1</v>
      </c>
      <c r="AC194" s="139">
        <f>VLOOKUP(I194,'Weights and Confidence'!$D$16:$AC$26,4,FALSE)</f>
        <v>1</v>
      </c>
    </row>
    <row r="195" spans="1:29" x14ac:dyDescent="0.2">
      <c r="A195" s="34" t="s">
        <v>14</v>
      </c>
      <c r="B195" s="34" t="s">
        <v>1</v>
      </c>
      <c r="C195" s="34" t="s">
        <v>57</v>
      </c>
      <c r="D195" s="34" t="s">
        <v>5</v>
      </c>
      <c r="E195" s="34" t="s">
        <v>107</v>
      </c>
      <c r="F195" s="34" t="s">
        <v>58</v>
      </c>
      <c r="G195" s="34">
        <v>7</v>
      </c>
      <c r="H195" s="34" t="s">
        <v>18</v>
      </c>
      <c r="I195" s="34" t="s">
        <v>25</v>
      </c>
      <c r="J195" s="34">
        <v>-1</v>
      </c>
      <c r="K195" s="35">
        <f>AB195/COUNTIFS($B:$B,$B195,$C:$C,$C195,$H:$H,$H195,$I:$I,$I195)</f>
        <v>0.1</v>
      </c>
      <c r="L195" s="36">
        <f t="shared" si="10"/>
        <v>1</v>
      </c>
      <c r="M195" s="37">
        <f t="shared" si="13"/>
        <v>-0.1</v>
      </c>
      <c r="N195" s="34"/>
      <c r="AA195" s="137">
        <f>AB195/COUNTIFS($B:$B,$B195,$C:$C,$C195,$H:$H,$H195,$I:$I,$I195)</f>
        <v>0.1</v>
      </c>
      <c r="AB195" s="138">
        <f>VLOOKUP(I195,'Weights and Confidence'!$D$16:$AC$26,3,FALSE)</f>
        <v>0.1</v>
      </c>
      <c r="AC195" s="139">
        <f>VLOOKUP(I195,'Weights and Confidence'!$D$16:$AC$26,4,FALSE)</f>
        <v>1</v>
      </c>
    </row>
    <row r="196" spans="1:29" x14ac:dyDescent="0.2">
      <c r="A196" s="38" t="s">
        <v>14</v>
      </c>
      <c r="B196" s="38" t="s">
        <v>1</v>
      </c>
      <c r="C196" s="38" t="s">
        <v>57</v>
      </c>
      <c r="D196" s="38" t="s">
        <v>5</v>
      </c>
      <c r="E196" s="38" t="s">
        <v>107</v>
      </c>
      <c r="F196" s="38" t="s">
        <v>58</v>
      </c>
      <c r="G196" s="38">
        <v>8</v>
      </c>
      <c r="H196" s="38" t="s">
        <v>17</v>
      </c>
      <c r="I196" s="38" t="s">
        <v>26</v>
      </c>
      <c r="J196" s="38">
        <v>-1</v>
      </c>
      <c r="K196" s="39">
        <f>AB196/COUNTIFS($B:$B,$B196,$C:$C,$C196,$H:$H,$H196,$I:$I,$I196)</f>
        <v>0.1</v>
      </c>
      <c r="L196" s="40">
        <f t="shared" si="10"/>
        <v>1</v>
      </c>
      <c r="M196" s="41">
        <f t="shared" si="13"/>
        <v>-0.1</v>
      </c>
      <c r="N196" s="38"/>
      <c r="AA196" s="137">
        <f>AB196/COUNTIFS($B:$B,$B196,$C:$C,$C196,$H:$H,$H196,$I:$I,$I196)</f>
        <v>0.1</v>
      </c>
      <c r="AB196" s="138">
        <f>VLOOKUP(I196,'Weights and Confidence'!$D$16:$AC$26,3,FALSE)</f>
        <v>0.1</v>
      </c>
      <c r="AC196" s="139">
        <f>VLOOKUP(I196,'Weights and Confidence'!$D$16:$AC$26,4,FALSE)</f>
        <v>1</v>
      </c>
    </row>
    <row r="197" spans="1:29" x14ac:dyDescent="0.2">
      <c r="A197" s="34" t="s">
        <v>14</v>
      </c>
      <c r="B197" s="34" t="s">
        <v>1</v>
      </c>
      <c r="C197" s="34" t="s">
        <v>57</v>
      </c>
      <c r="D197" s="34" t="s">
        <v>5</v>
      </c>
      <c r="E197" s="34" t="s">
        <v>107</v>
      </c>
      <c r="F197" s="34" t="s">
        <v>58</v>
      </c>
      <c r="G197" s="34">
        <v>8</v>
      </c>
      <c r="H197" s="34" t="s">
        <v>18</v>
      </c>
      <c r="I197" s="34" t="s">
        <v>26</v>
      </c>
      <c r="J197" s="34">
        <v>0</v>
      </c>
      <c r="K197" s="35">
        <f>AB197/COUNTIFS($B:$B,$B197,$C:$C,$C197,$H:$H,$H197,$I:$I,$I197)</f>
        <v>0.1</v>
      </c>
      <c r="L197" s="36">
        <f t="shared" si="10"/>
        <v>1</v>
      </c>
      <c r="M197" s="37">
        <f t="shared" si="13"/>
        <v>0</v>
      </c>
      <c r="N197" s="34"/>
      <c r="AA197" s="137">
        <f>AB197/COUNTIFS($B:$B,$B197,$C:$C,$C197,$H:$H,$H197,$I:$I,$I197)</f>
        <v>0.1</v>
      </c>
      <c r="AB197" s="138">
        <f>VLOOKUP(I197,'Weights and Confidence'!$D$16:$AC$26,3,FALSE)</f>
        <v>0.1</v>
      </c>
      <c r="AC197" s="139">
        <f>VLOOKUP(I197,'Weights and Confidence'!$D$16:$AC$26,4,FALSE)</f>
        <v>1</v>
      </c>
    </row>
    <row r="198" spans="1:29" x14ac:dyDescent="0.2">
      <c r="A198" s="38" t="s">
        <v>14</v>
      </c>
      <c r="B198" s="38" t="s">
        <v>1</v>
      </c>
      <c r="C198" s="38" t="s">
        <v>57</v>
      </c>
      <c r="D198" s="38" t="s">
        <v>5</v>
      </c>
      <c r="E198" s="38" t="s">
        <v>107</v>
      </c>
      <c r="F198" s="38" t="s">
        <v>58</v>
      </c>
      <c r="G198" s="38">
        <v>9</v>
      </c>
      <c r="H198" s="38" t="s">
        <v>17</v>
      </c>
      <c r="I198" s="38" t="s">
        <v>27</v>
      </c>
      <c r="J198" s="38">
        <v>0</v>
      </c>
      <c r="K198" s="39">
        <f>AB198/COUNTIFS($B:$B,$B198,$C:$C,$C198,$H:$H,$H198,$I:$I,$I198)</f>
        <v>0.05</v>
      </c>
      <c r="L198" s="40">
        <f t="shared" ref="L198:L261" si="14">AC198</f>
        <v>0.85</v>
      </c>
      <c r="M198" s="41">
        <f t="shared" si="13"/>
        <v>0</v>
      </c>
      <c r="N198" s="38"/>
      <c r="AA198" s="137">
        <f>AB198/COUNTIFS($B:$B,$B198,$C:$C,$C198,$H:$H,$H198,$I:$I,$I198)</f>
        <v>0.05</v>
      </c>
      <c r="AB198" s="138">
        <f>VLOOKUP(I198,'Weights and Confidence'!$D$16:$AC$26,3,FALSE)</f>
        <v>0.1</v>
      </c>
      <c r="AC198" s="139">
        <f>VLOOKUP(I198,'Weights and Confidence'!$D$16:$AC$26,4,FALSE)</f>
        <v>0.85</v>
      </c>
    </row>
    <row r="199" spans="1:29" x14ac:dyDescent="0.2">
      <c r="A199" s="34" t="s">
        <v>14</v>
      </c>
      <c r="B199" s="34" t="s">
        <v>1</v>
      </c>
      <c r="C199" s="34" t="s">
        <v>57</v>
      </c>
      <c r="D199" s="34" t="s">
        <v>5</v>
      </c>
      <c r="E199" s="34" t="s">
        <v>107</v>
      </c>
      <c r="F199" s="34" t="s">
        <v>58</v>
      </c>
      <c r="G199" s="34">
        <v>9</v>
      </c>
      <c r="H199" s="34" t="s">
        <v>18</v>
      </c>
      <c r="I199" s="34" t="s">
        <v>27</v>
      </c>
      <c r="J199" s="34">
        <v>0</v>
      </c>
      <c r="K199" s="35">
        <f>AB199/COUNTIFS($B:$B,$B199,$C:$C,$C199,$H:$H,$H199,$I:$I,$I199)</f>
        <v>0.05</v>
      </c>
      <c r="L199" s="36">
        <f t="shared" si="14"/>
        <v>0.85</v>
      </c>
      <c r="M199" s="37">
        <f t="shared" si="13"/>
        <v>0</v>
      </c>
      <c r="N199" s="34"/>
      <c r="AA199" s="137">
        <f>AB199/COUNTIFS($B:$B,$B199,$C:$C,$C199,$H:$H,$H199,$I:$I,$I199)</f>
        <v>0.05</v>
      </c>
      <c r="AB199" s="138">
        <f>VLOOKUP(I199,'Weights and Confidence'!$D$16:$AC$26,3,FALSE)</f>
        <v>0.1</v>
      </c>
      <c r="AC199" s="139">
        <f>VLOOKUP(I199,'Weights and Confidence'!$D$16:$AC$26,4,FALSE)</f>
        <v>0.85</v>
      </c>
    </row>
    <row r="200" spans="1:29" x14ac:dyDescent="0.2">
      <c r="A200" s="38" t="s">
        <v>14</v>
      </c>
      <c r="B200" s="38" t="s">
        <v>1</v>
      </c>
      <c r="C200" s="38" t="s">
        <v>57</v>
      </c>
      <c r="D200" s="38" t="s">
        <v>5</v>
      </c>
      <c r="E200" s="38" t="s">
        <v>107</v>
      </c>
      <c r="F200" s="38" t="s">
        <v>58</v>
      </c>
      <c r="G200" s="38">
        <v>10</v>
      </c>
      <c r="H200" s="38" t="s">
        <v>17</v>
      </c>
      <c r="I200" s="38" t="s">
        <v>27</v>
      </c>
      <c r="J200" s="38">
        <v>0</v>
      </c>
      <c r="K200" s="39">
        <f>AB200/COUNTIFS($B:$B,$B200,$C:$C,$C200,$H:$H,$H200,$I:$I,$I200)</f>
        <v>0.05</v>
      </c>
      <c r="L200" s="40">
        <f t="shared" si="14"/>
        <v>0.85</v>
      </c>
      <c r="M200" s="41">
        <f t="shared" si="13"/>
        <v>0</v>
      </c>
      <c r="N200" s="38"/>
      <c r="AA200" s="137">
        <f>AB200/COUNTIFS($B:$B,$B200,$C:$C,$C200,$H:$H,$H200,$I:$I,$I200)</f>
        <v>0.05</v>
      </c>
      <c r="AB200" s="138">
        <f>VLOOKUP(I200,'Weights and Confidence'!$D$16:$AC$26,3,FALSE)</f>
        <v>0.1</v>
      </c>
      <c r="AC200" s="139">
        <f>VLOOKUP(I200,'Weights and Confidence'!$D$16:$AC$26,4,FALSE)</f>
        <v>0.85</v>
      </c>
    </row>
    <row r="201" spans="1:29" x14ac:dyDescent="0.2">
      <c r="A201" s="34" t="s">
        <v>14</v>
      </c>
      <c r="B201" s="34" t="s">
        <v>1</v>
      </c>
      <c r="C201" s="34" t="s">
        <v>57</v>
      </c>
      <c r="D201" s="34" t="s">
        <v>5</v>
      </c>
      <c r="E201" s="34" t="s">
        <v>107</v>
      </c>
      <c r="F201" s="34" t="s">
        <v>58</v>
      </c>
      <c r="G201" s="34">
        <v>10</v>
      </c>
      <c r="H201" s="34" t="s">
        <v>18</v>
      </c>
      <c r="I201" s="34" t="s">
        <v>27</v>
      </c>
      <c r="J201" s="34">
        <v>0</v>
      </c>
      <c r="K201" s="35">
        <f>AB201/COUNTIFS($B:$B,$B201,$C:$C,$C201,$H:$H,$H201,$I:$I,$I201)</f>
        <v>0.05</v>
      </c>
      <c r="L201" s="36">
        <f t="shared" si="14"/>
        <v>0.85</v>
      </c>
      <c r="M201" s="37">
        <f t="shared" si="13"/>
        <v>0</v>
      </c>
      <c r="N201" s="34"/>
      <c r="AA201" s="137">
        <f>AB201/COUNTIFS($B:$B,$B201,$C:$C,$C201,$H:$H,$H201,$I:$I,$I201)</f>
        <v>0.05</v>
      </c>
      <c r="AB201" s="138">
        <f>VLOOKUP(I201,'Weights and Confidence'!$D$16:$AC$26,3,FALSE)</f>
        <v>0.1</v>
      </c>
      <c r="AC201" s="139">
        <f>VLOOKUP(I201,'Weights and Confidence'!$D$16:$AC$26,4,FALSE)</f>
        <v>0.85</v>
      </c>
    </row>
    <row r="202" spans="1:29" x14ac:dyDescent="0.2">
      <c r="A202" s="38" t="s">
        <v>14</v>
      </c>
      <c r="B202" s="38" t="s">
        <v>1</v>
      </c>
      <c r="C202" s="38" t="s">
        <v>57</v>
      </c>
      <c r="D202" s="38" t="s">
        <v>5</v>
      </c>
      <c r="E202" s="38" t="s">
        <v>107</v>
      </c>
      <c r="F202" s="38" t="s">
        <v>58</v>
      </c>
      <c r="G202" s="38">
        <v>11</v>
      </c>
      <c r="H202" s="38" t="s">
        <v>17</v>
      </c>
      <c r="I202" s="38" t="s">
        <v>28</v>
      </c>
      <c r="J202" s="38">
        <v>-1</v>
      </c>
      <c r="K202" s="39">
        <f>AB202/COUNTIFS($B:$B,$B202,$C:$C,$C202,$H:$H,$H202,$I:$I,$I202)</f>
        <v>0.05</v>
      </c>
      <c r="L202" s="40">
        <f t="shared" si="14"/>
        <v>1</v>
      </c>
      <c r="M202" s="41">
        <f t="shared" si="13"/>
        <v>-0.05</v>
      </c>
      <c r="N202" s="38"/>
      <c r="AA202" s="137">
        <f>AB202/COUNTIFS($B:$B,$B202,$C:$C,$C202,$H:$H,$H202,$I:$I,$I202)</f>
        <v>0.05</v>
      </c>
      <c r="AB202" s="138">
        <f>VLOOKUP(I202,'Weights and Confidence'!$D$16:$AC$26,3,FALSE)</f>
        <v>0.05</v>
      </c>
      <c r="AC202" s="139">
        <f>VLOOKUP(I202,'Weights and Confidence'!$D$16:$AC$26,4,FALSE)</f>
        <v>1</v>
      </c>
    </row>
    <row r="203" spans="1:29" ht="17" thickBot="1" x14ac:dyDescent="0.25">
      <c r="A203" s="34" t="s">
        <v>14</v>
      </c>
      <c r="B203" s="34" t="s">
        <v>1</v>
      </c>
      <c r="C203" s="34" t="s">
        <v>57</v>
      </c>
      <c r="D203" s="34" t="s">
        <v>5</v>
      </c>
      <c r="E203" s="34" t="s">
        <v>107</v>
      </c>
      <c r="F203" s="34" t="s">
        <v>58</v>
      </c>
      <c r="G203" s="34">
        <v>11</v>
      </c>
      <c r="H203" s="34" t="s">
        <v>18</v>
      </c>
      <c r="I203" s="34" t="s">
        <v>28</v>
      </c>
      <c r="J203" s="34">
        <v>-1</v>
      </c>
      <c r="K203" s="35">
        <f>AB203/COUNTIFS($B:$B,$B203,$C:$C,$C203,$H:$H,$H203,$I:$I,$I203)</f>
        <v>0.05</v>
      </c>
      <c r="L203" s="36">
        <f t="shared" si="14"/>
        <v>1</v>
      </c>
      <c r="M203" s="37">
        <f t="shared" si="13"/>
        <v>-0.05</v>
      </c>
      <c r="N203" s="34"/>
      <c r="AA203" s="140">
        <f>AB203/COUNTIFS($B:$B,$B203,$C:$C,$C203,$H:$H,$H203,$I:$I,$I203)</f>
        <v>0.05</v>
      </c>
      <c r="AB203" s="141">
        <f>VLOOKUP(I203,'Weights and Confidence'!$D$16:$AC$26,3,FALSE)</f>
        <v>0.05</v>
      </c>
      <c r="AC203" s="142">
        <f>VLOOKUP(I203,'Weights and Confidence'!$D$16:$AC$26,4,FALSE)</f>
        <v>1</v>
      </c>
    </row>
    <row r="204" spans="1:29" ht="17" thickTop="1" x14ac:dyDescent="0.2">
      <c r="A204" s="42" t="s">
        <v>14</v>
      </c>
      <c r="B204" s="42" t="s">
        <v>1</v>
      </c>
      <c r="C204" s="42" t="s">
        <v>59</v>
      </c>
      <c r="D204" s="42" t="s">
        <v>5</v>
      </c>
      <c r="E204" s="43" t="s">
        <v>103</v>
      </c>
      <c r="F204" s="43" t="s">
        <v>60</v>
      </c>
      <c r="G204" s="42">
        <v>1</v>
      </c>
      <c r="H204" s="42" t="s">
        <v>17</v>
      </c>
      <c r="I204" s="42" t="s">
        <v>19</v>
      </c>
      <c r="J204" s="42">
        <v>1</v>
      </c>
      <c r="K204" s="44">
        <f>AB204/COUNTIFS($B:$B,$B204,$C:$C,$C204,$H:$H,$H204,$I:$I,$I204)</f>
        <v>0.12</v>
      </c>
      <c r="L204" s="45">
        <f t="shared" si="14"/>
        <v>1</v>
      </c>
      <c r="M204" s="46">
        <f t="shared" ref="M204:M225" si="15">J204*K204*L204</f>
        <v>0.12</v>
      </c>
      <c r="N204" s="42"/>
      <c r="AA204" s="137">
        <f>AB204/COUNTIFS($B:$B,$B204,$C:$C,$C204,$H:$H,$H204,$I:$I,$I204)</f>
        <v>0.12</v>
      </c>
      <c r="AB204" s="138">
        <f>VLOOKUP(I204,'Weights and Confidence'!$D$16:$AC$26,3,FALSE)</f>
        <v>0.12</v>
      </c>
      <c r="AC204" s="139">
        <f>VLOOKUP(I204,'Weights and Confidence'!$D$16:$AC$26,4,FALSE)</f>
        <v>1</v>
      </c>
    </row>
    <row r="205" spans="1:29" x14ac:dyDescent="0.2">
      <c r="A205" s="34" t="s">
        <v>14</v>
      </c>
      <c r="B205" s="34" t="s">
        <v>1</v>
      </c>
      <c r="C205" s="34" t="s">
        <v>59</v>
      </c>
      <c r="D205" s="34" t="s">
        <v>5</v>
      </c>
      <c r="E205" s="34" t="s">
        <v>103</v>
      </c>
      <c r="F205" s="34" t="s">
        <v>60</v>
      </c>
      <c r="G205" s="34">
        <v>1</v>
      </c>
      <c r="H205" s="34" t="s">
        <v>18</v>
      </c>
      <c r="I205" s="34" t="s">
        <v>19</v>
      </c>
      <c r="J205" s="34">
        <v>1</v>
      </c>
      <c r="K205" s="35">
        <f>AB205/COUNTIFS($B:$B,$B205,$C:$C,$C205,$H:$H,$H205,$I:$I,$I205)</f>
        <v>0.12</v>
      </c>
      <c r="L205" s="36">
        <f t="shared" si="14"/>
        <v>1</v>
      </c>
      <c r="M205" s="37">
        <f t="shared" si="15"/>
        <v>0.12</v>
      </c>
      <c r="N205" s="34"/>
      <c r="AA205" s="137">
        <f>AB205/COUNTIFS($B:$B,$B205,$C:$C,$C205,$H:$H,$H205,$I:$I,$I205)</f>
        <v>0.12</v>
      </c>
      <c r="AB205" s="138">
        <f>VLOOKUP(I205,'Weights and Confidence'!$D$16:$AC$26,3,FALSE)</f>
        <v>0.12</v>
      </c>
      <c r="AC205" s="139">
        <f>VLOOKUP(I205,'Weights and Confidence'!$D$16:$AC$26,4,FALSE)</f>
        <v>1</v>
      </c>
    </row>
    <row r="206" spans="1:29" x14ac:dyDescent="0.2">
      <c r="A206" s="38" t="s">
        <v>14</v>
      </c>
      <c r="B206" s="38" t="s">
        <v>1</v>
      </c>
      <c r="C206" s="38" t="s">
        <v>59</v>
      </c>
      <c r="D206" s="38" t="s">
        <v>5</v>
      </c>
      <c r="E206" s="38" t="s">
        <v>103</v>
      </c>
      <c r="F206" s="38" t="s">
        <v>60</v>
      </c>
      <c r="G206" s="38">
        <v>2</v>
      </c>
      <c r="H206" s="38" t="s">
        <v>17</v>
      </c>
      <c r="I206" s="38" t="s">
        <v>20</v>
      </c>
      <c r="J206" s="38">
        <v>1</v>
      </c>
      <c r="K206" s="39">
        <f>AB206/COUNTIFS($B:$B,$B206,$C:$C,$C206,$H:$H,$H206,$I:$I,$I206)</f>
        <v>0.08</v>
      </c>
      <c r="L206" s="40">
        <f t="shared" si="14"/>
        <v>0.8</v>
      </c>
      <c r="M206" s="41">
        <f t="shared" si="15"/>
        <v>6.4000000000000001E-2</v>
      </c>
      <c r="N206" s="38"/>
      <c r="AA206" s="137">
        <f>AB206/COUNTIFS($B:$B,$B206,$C:$C,$C206,$H:$H,$H206,$I:$I,$I206)</f>
        <v>0.08</v>
      </c>
      <c r="AB206" s="138">
        <f>VLOOKUP(I206,'Weights and Confidence'!$D$16:$AC$26,3,FALSE)</f>
        <v>0.08</v>
      </c>
      <c r="AC206" s="139">
        <f>VLOOKUP(I206,'Weights and Confidence'!$D$16:$AC$26,4,FALSE)</f>
        <v>0.8</v>
      </c>
    </row>
    <row r="207" spans="1:29" x14ac:dyDescent="0.2">
      <c r="A207" s="34" t="s">
        <v>14</v>
      </c>
      <c r="B207" s="34" t="s">
        <v>1</v>
      </c>
      <c r="C207" s="34" t="s">
        <v>59</v>
      </c>
      <c r="D207" s="34" t="s">
        <v>5</v>
      </c>
      <c r="E207" s="34" t="s">
        <v>103</v>
      </c>
      <c r="F207" s="34" t="s">
        <v>60</v>
      </c>
      <c r="G207" s="34">
        <v>2</v>
      </c>
      <c r="H207" s="34" t="s">
        <v>18</v>
      </c>
      <c r="I207" s="34" t="s">
        <v>20</v>
      </c>
      <c r="J207" s="34">
        <v>1</v>
      </c>
      <c r="K207" s="35">
        <f>AB207/COUNTIFS($B:$B,$B207,$C:$C,$C207,$H:$H,$H207,$I:$I,$I207)</f>
        <v>0.08</v>
      </c>
      <c r="L207" s="36">
        <f t="shared" si="14"/>
        <v>0.8</v>
      </c>
      <c r="M207" s="37">
        <f t="shared" si="15"/>
        <v>6.4000000000000001E-2</v>
      </c>
      <c r="N207" s="34"/>
      <c r="AA207" s="137">
        <f>AB207/COUNTIFS($B:$B,$B207,$C:$C,$C207,$H:$H,$H207,$I:$I,$I207)</f>
        <v>0.08</v>
      </c>
      <c r="AB207" s="138">
        <f>VLOOKUP(I207,'Weights and Confidence'!$D$16:$AC$26,3,FALSE)</f>
        <v>0.08</v>
      </c>
      <c r="AC207" s="139">
        <f>VLOOKUP(I207,'Weights and Confidence'!$D$16:$AC$26,4,FALSE)</f>
        <v>0.8</v>
      </c>
    </row>
    <row r="208" spans="1:29" x14ac:dyDescent="0.2">
      <c r="A208" s="38" t="s">
        <v>14</v>
      </c>
      <c r="B208" s="38" t="s">
        <v>1</v>
      </c>
      <c r="C208" s="38" t="s">
        <v>59</v>
      </c>
      <c r="D208" s="38" t="s">
        <v>5</v>
      </c>
      <c r="E208" s="38" t="s">
        <v>103</v>
      </c>
      <c r="F208" s="38" t="s">
        <v>60</v>
      </c>
      <c r="G208" s="38">
        <v>3</v>
      </c>
      <c r="H208" s="38" t="s">
        <v>17</v>
      </c>
      <c r="I208" s="38" t="s">
        <v>21</v>
      </c>
      <c r="J208" s="38">
        <v>1</v>
      </c>
      <c r="K208" s="39">
        <f>AB208/COUNTIFS($B:$B,$B208,$C:$C,$C208,$H:$H,$H208,$I:$I,$I208)</f>
        <v>0.05</v>
      </c>
      <c r="L208" s="40">
        <f t="shared" si="14"/>
        <v>1</v>
      </c>
      <c r="M208" s="41">
        <f t="shared" si="15"/>
        <v>0.05</v>
      </c>
      <c r="N208" s="38"/>
      <c r="AA208" s="137">
        <f>AB208/COUNTIFS($B:$B,$B208,$C:$C,$C208,$H:$H,$H208,$I:$I,$I208)</f>
        <v>0.05</v>
      </c>
      <c r="AB208" s="138">
        <f>VLOOKUP(I208,'Weights and Confidence'!$D$16:$AC$26,3,FALSE)</f>
        <v>0.05</v>
      </c>
      <c r="AC208" s="139">
        <f>VLOOKUP(I208,'Weights and Confidence'!$D$16:$AC$26,4,FALSE)</f>
        <v>1</v>
      </c>
    </row>
    <row r="209" spans="1:29" x14ac:dyDescent="0.2">
      <c r="A209" s="34" t="s">
        <v>14</v>
      </c>
      <c r="B209" s="34" t="s">
        <v>1</v>
      </c>
      <c r="C209" s="34" t="s">
        <v>59</v>
      </c>
      <c r="D209" s="34" t="s">
        <v>5</v>
      </c>
      <c r="E209" s="34" t="s">
        <v>103</v>
      </c>
      <c r="F209" s="34" t="s">
        <v>60</v>
      </c>
      <c r="G209" s="34">
        <v>3</v>
      </c>
      <c r="H209" s="34" t="s">
        <v>18</v>
      </c>
      <c r="I209" s="34" t="s">
        <v>21</v>
      </c>
      <c r="J209" s="34">
        <v>1</v>
      </c>
      <c r="K209" s="35">
        <f>AB209/COUNTIFS($B:$B,$B209,$C:$C,$C209,$H:$H,$H209,$I:$I,$I209)</f>
        <v>0.05</v>
      </c>
      <c r="L209" s="36">
        <f t="shared" si="14"/>
        <v>1</v>
      </c>
      <c r="M209" s="37">
        <f t="shared" si="15"/>
        <v>0.05</v>
      </c>
      <c r="N209" s="34"/>
      <c r="AA209" s="137">
        <f>AB209/COUNTIFS($B:$B,$B209,$C:$C,$C209,$H:$H,$H209,$I:$I,$I209)</f>
        <v>0.05</v>
      </c>
      <c r="AB209" s="138">
        <f>VLOOKUP(I209,'Weights and Confidence'!$D$16:$AC$26,3,FALSE)</f>
        <v>0.05</v>
      </c>
      <c r="AC209" s="139">
        <f>VLOOKUP(I209,'Weights and Confidence'!$D$16:$AC$26,4,FALSE)</f>
        <v>1</v>
      </c>
    </row>
    <row r="210" spans="1:29" x14ac:dyDescent="0.2">
      <c r="A210" s="38" t="s">
        <v>14</v>
      </c>
      <c r="B210" s="38" t="s">
        <v>1</v>
      </c>
      <c r="C210" s="38" t="s">
        <v>59</v>
      </c>
      <c r="D210" s="38" t="s">
        <v>5</v>
      </c>
      <c r="E210" s="38" t="s">
        <v>103</v>
      </c>
      <c r="F210" s="38" t="s">
        <v>60</v>
      </c>
      <c r="G210" s="38">
        <v>4</v>
      </c>
      <c r="H210" s="38" t="s">
        <v>17</v>
      </c>
      <c r="I210" s="38" t="s">
        <v>22</v>
      </c>
      <c r="J210" s="38">
        <v>1</v>
      </c>
      <c r="K210" s="39">
        <f>AB210/COUNTIFS($B:$B,$B210,$C:$C,$C210,$H:$H,$H210,$I:$I,$I210)</f>
        <v>0.14000000000000001</v>
      </c>
      <c r="L210" s="40">
        <f t="shared" si="14"/>
        <v>1</v>
      </c>
      <c r="M210" s="41">
        <f t="shared" si="15"/>
        <v>0.14000000000000001</v>
      </c>
      <c r="N210" s="38"/>
      <c r="AA210" s="137">
        <f>AB210/COUNTIFS($B:$B,$B210,$C:$C,$C210,$H:$H,$H210,$I:$I,$I210)</f>
        <v>0.14000000000000001</v>
      </c>
      <c r="AB210" s="138">
        <f>VLOOKUP(I210,'Weights and Confidence'!$D$16:$AC$26,3,FALSE)</f>
        <v>0.14000000000000001</v>
      </c>
      <c r="AC210" s="139">
        <f>VLOOKUP(I210,'Weights and Confidence'!$D$16:$AC$26,4,FALSE)</f>
        <v>1</v>
      </c>
    </row>
    <row r="211" spans="1:29" x14ac:dyDescent="0.2">
      <c r="A211" s="34" t="s">
        <v>14</v>
      </c>
      <c r="B211" s="34" t="s">
        <v>1</v>
      </c>
      <c r="C211" s="34" t="s">
        <v>59</v>
      </c>
      <c r="D211" s="34" t="s">
        <v>5</v>
      </c>
      <c r="E211" s="34" t="s">
        <v>103</v>
      </c>
      <c r="F211" s="34" t="s">
        <v>60</v>
      </c>
      <c r="G211" s="34">
        <v>4</v>
      </c>
      <c r="H211" s="34" t="s">
        <v>18</v>
      </c>
      <c r="I211" s="34" t="s">
        <v>22</v>
      </c>
      <c r="J211" s="34">
        <v>1</v>
      </c>
      <c r="K211" s="35">
        <f>AB211/COUNTIFS($B:$B,$B211,$C:$C,$C211,$H:$H,$H211,$I:$I,$I211)</f>
        <v>0.14000000000000001</v>
      </c>
      <c r="L211" s="36">
        <f t="shared" si="14"/>
        <v>1</v>
      </c>
      <c r="M211" s="37">
        <f t="shared" si="15"/>
        <v>0.14000000000000001</v>
      </c>
      <c r="N211" s="34"/>
      <c r="AA211" s="137">
        <f>AB211/COUNTIFS($B:$B,$B211,$C:$C,$C211,$H:$H,$H211,$I:$I,$I211)</f>
        <v>0.14000000000000001</v>
      </c>
      <c r="AB211" s="138">
        <f>VLOOKUP(I211,'Weights and Confidence'!$D$16:$AC$26,3,FALSE)</f>
        <v>0.14000000000000001</v>
      </c>
      <c r="AC211" s="139">
        <f>VLOOKUP(I211,'Weights and Confidence'!$D$16:$AC$26,4,FALSE)</f>
        <v>1</v>
      </c>
    </row>
    <row r="212" spans="1:29" x14ac:dyDescent="0.2">
      <c r="A212" s="38" t="s">
        <v>14</v>
      </c>
      <c r="B212" s="38" t="s">
        <v>1</v>
      </c>
      <c r="C212" s="38" t="s">
        <v>59</v>
      </c>
      <c r="D212" s="38" t="s">
        <v>5</v>
      </c>
      <c r="E212" s="38" t="s">
        <v>103</v>
      </c>
      <c r="F212" s="38" t="s">
        <v>60</v>
      </c>
      <c r="G212" s="38">
        <v>5</v>
      </c>
      <c r="H212" s="38" t="s">
        <v>17</v>
      </c>
      <c r="I212" s="38" t="s">
        <v>23</v>
      </c>
      <c r="J212" s="38">
        <v>1</v>
      </c>
      <c r="K212" s="39">
        <f>AB212/COUNTIFS($B:$B,$B212,$C:$C,$C212,$H:$H,$H212,$I:$I,$I212)</f>
        <v>0.11</v>
      </c>
      <c r="L212" s="40">
        <f t="shared" si="14"/>
        <v>1</v>
      </c>
      <c r="M212" s="41">
        <f t="shared" si="15"/>
        <v>0.11</v>
      </c>
      <c r="N212" s="38"/>
      <c r="AA212" s="137">
        <f>AB212/COUNTIFS($B:$B,$B212,$C:$C,$C212,$H:$H,$H212,$I:$I,$I212)</f>
        <v>0.11</v>
      </c>
      <c r="AB212" s="138">
        <f>VLOOKUP(I212,'Weights and Confidence'!$D$16:$AC$26,3,FALSE)</f>
        <v>0.11</v>
      </c>
      <c r="AC212" s="139">
        <f>VLOOKUP(I212,'Weights and Confidence'!$D$16:$AC$26,4,FALSE)</f>
        <v>1</v>
      </c>
    </row>
    <row r="213" spans="1:29" x14ac:dyDescent="0.2">
      <c r="A213" s="34" t="s">
        <v>14</v>
      </c>
      <c r="B213" s="34" t="s">
        <v>1</v>
      </c>
      <c r="C213" s="34" t="s">
        <v>59</v>
      </c>
      <c r="D213" s="34" t="s">
        <v>5</v>
      </c>
      <c r="E213" s="34" t="s">
        <v>103</v>
      </c>
      <c r="F213" s="34" t="s">
        <v>60</v>
      </c>
      <c r="G213" s="34">
        <v>5</v>
      </c>
      <c r="H213" s="34" t="s">
        <v>18</v>
      </c>
      <c r="I213" s="34" t="s">
        <v>23</v>
      </c>
      <c r="J213" s="34">
        <v>1</v>
      </c>
      <c r="K213" s="35">
        <f>AB213/COUNTIFS($B:$B,$B213,$C:$C,$C213,$H:$H,$H213,$I:$I,$I213)</f>
        <v>0.11</v>
      </c>
      <c r="L213" s="36">
        <f t="shared" si="14"/>
        <v>1</v>
      </c>
      <c r="M213" s="37">
        <f t="shared" si="15"/>
        <v>0.11</v>
      </c>
      <c r="N213" s="34"/>
      <c r="AA213" s="137">
        <f>AB213/COUNTIFS($B:$B,$B213,$C:$C,$C213,$H:$H,$H213,$I:$I,$I213)</f>
        <v>0.11</v>
      </c>
      <c r="AB213" s="138">
        <f>VLOOKUP(I213,'Weights and Confidence'!$D$16:$AC$26,3,FALSE)</f>
        <v>0.11</v>
      </c>
      <c r="AC213" s="139">
        <f>VLOOKUP(I213,'Weights and Confidence'!$D$16:$AC$26,4,FALSE)</f>
        <v>1</v>
      </c>
    </row>
    <row r="214" spans="1:29" x14ac:dyDescent="0.2">
      <c r="A214" s="38" t="s">
        <v>14</v>
      </c>
      <c r="B214" s="38" t="s">
        <v>1</v>
      </c>
      <c r="C214" s="38" t="s">
        <v>59</v>
      </c>
      <c r="D214" s="38" t="s">
        <v>5</v>
      </c>
      <c r="E214" s="38" t="s">
        <v>103</v>
      </c>
      <c r="F214" s="38" t="s">
        <v>60</v>
      </c>
      <c r="G214" s="38">
        <v>6</v>
      </c>
      <c r="H214" s="38" t="s">
        <v>17</v>
      </c>
      <c r="I214" s="38" t="s">
        <v>24</v>
      </c>
      <c r="J214" s="38">
        <v>1</v>
      </c>
      <c r="K214" s="39">
        <f>AB214/COUNTIFS($B:$B,$B214,$C:$C,$C214,$H:$H,$H214,$I:$I,$I214)</f>
        <v>0.15</v>
      </c>
      <c r="L214" s="40">
        <f t="shared" si="14"/>
        <v>1</v>
      </c>
      <c r="M214" s="41">
        <f t="shared" si="15"/>
        <v>0.15</v>
      </c>
      <c r="N214" s="38"/>
      <c r="AA214" s="137">
        <f>AB214/COUNTIFS($B:$B,$B214,$C:$C,$C214,$H:$H,$H214,$I:$I,$I214)</f>
        <v>0.15</v>
      </c>
      <c r="AB214" s="138">
        <f>VLOOKUP(I214,'Weights and Confidence'!$D$16:$AC$26,3,FALSE)</f>
        <v>0.15</v>
      </c>
      <c r="AC214" s="139">
        <f>VLOOKUP(I214,'Weights and Confidence'!$D$16:$AC$26,4,FALSE)</f>
        <v>1</v>
      </c>
    </row>
    <row r="215" spans="1:29" x14ac:dyDescent="0.2">
      <c r="A215" s="34" t="s">
        <v>14</v>
      </c>
      <c r="B215" s="34" t="s">
        <v>1</v>
      </c>
      <c r="C215" s="34" t="s">
        <v>59</v>
      </c>
      <c r="D215" s="34" t="s">
        <v>5</v>
      </c>
      <c r="E215" s="34" t="s">
        <v>103</v>
      </c>
      <c r="F215" s="34" t="s">
        <v>60</v>
      </c>
      <c r="G215" s="34">
        <v>6</v>
      </c>
      <c r="H215" s="34" t="s">
        <v>18</v>
      </c>
      <c r="I215" s="34" t="s">
        <v>24</v>
      </c>
      <c r="J215" s="34">
        <v>1</v>
      </c>
      <c r="K215" s="35">
        <f>AB215/COUNTIFS($B:$B,$B215,$C:$C,$C215,$H:$H,$H215,$I:$I,$I215)</f>
        <v>0.15</v>
      </c>
      <c r="L215" s="36">
        <f t="shared" si="14"/>
        <v>1</v>
      </c>
      <c r="M215" s="37">
        <f t="shared" si="15"/>
        <v>0.15</v>
      </c>
      <c r="N215" s="34"/>
      <c r="AA215" s="137">
        <f>AB215/COUNTIFS($B:$B,$B215,$C:$C,$C215,$H:$H,$H215,$I:$I,$I215)</f>
        <v>0.15</v>
      </c>
      <c r="AB215" s="138">
        <f>VLOOKUP(I215,'Weights and Confidence'!$D$16:$AC$26,3,FALSE)</f>
        <v>0.15</v>
      </c>
      <c r="AC215" s="139">
        <f>VLOOKUP(I215,'Weights and Confidence'!$D$16:$AC$26,4,FALSE)</f>
        <v>1</v>
      </c>
    </row>
    <row r="216" spans="1:29" x14ac:dyDescent="0.2">
      <c r="A216" s="38" t="s">
        <v>14</v>
      </c>
      <c r="B216" s="38" t="s">
        <v>1</v>
      </c>
      <c r="C216" s="38" t="s">
        <v>59</v>
      </c>
      <c r="D216" s="38" t="s">
        <v>5</v>
      </c>
      <c r="E216" s="38" t="s">
        <v>103</v>
      </c>
      <c r="F216" s="38" t="s">
        <v>60</v>
      </c>
      <c r="G216" s="38">
        <v>7</v>
      </c>
      <c r="H216" s="38" t="s">
        <v>17</v>
      </c>
      <c r="I216" s="38" t="s">
        <v>25</v>
      </c>
      <c r="J216" s="38">
        <v>1</v>
      </c>
      <c r="K216" s="39">
        <f>AB216/COUNTIFS($B:$B,$B216,$C:$C,$C216,$H:$H,$H216,$I:$I,$I216)</f>
        <v>0.1</v>
      </c>
      <c r="L216" s="40">
        <f t="shared" si="14"/>
        <v>1</v>
      </c>
      <c r="M216" s="41">
        <f t="shared" si="15"/>
        <v>0.1</v>
      </c>
      <c r="N216" s="38"/>
      <c r="AA216" s="137">
        <f>AB216/COUNTIFS($B:$B,$B216,$C:$C,$C216,$H:$H,$H216,$I:$I,$I216)</f>
        <v>0.1</v>
      </c>
      <c r="AB216" s="138">
        <f>VLOOKUP(I216,'Weights and Confidence'!$D$16:$AC$26,3,FALSE)</f>
        <v>0.1</v>
      </c>
      <c r="AC216" s="139">
        <f>VLOOKUP(I216,'Weights and Confidence'!$D$16:$AC$26,4,FALSE)</f>
        <v>1</v>
      </c>
    </row>
    <row r="217" spans="1:29" x14ac:dyDescent="0.2">
      <c r="A217" s="34" t="s">
        <v>14</v>
      </c>
      <c r="B217" s="34" t="s">
        <v>1</v>
      </c>
      <c r="C217" s="34" t="s">
        <v>59</v>
      </c>
      <c r="D217" s="34" t="s">
        <v>5</v>
      </c>
      <c r="E217" s="34" t="s">
        <v>103</v>
      </c>
      <c r="F217" s="34" t="s">
        <v>60</v>
      </c>
      <c r="G217" s="34">
        <v>7</v>
      </c>
      <c r="H217" s="34" t="s">
        <v>18</v>
      </c>
      <c r="I217" s="34" t="s">
        <v>25</v>
      </c>
      <c r="J217" s="34">
        <v>1</v>
      </c>
      <c r="K217" s="35">
        <f>AB217/COUNTIFS($B:$B,$B217,$C:$C,$C217,$H:$H,$H217,$I:$I,$I217)</f>
        <v>0.1</v>
      </c>
      <c r="L217" s="36">
        <f t="shared" si="14"/>
        <v>1</v>
      </c>
      <c r="M217" s="37">
        <f t="shared" si="15"/>
        <v>0.1</v>
      </c>
      <c r="N217" s="34"/>
      <c r="AA217" s="137">
        <f>AB217/COUNTIFS($B:$B,$B217,$C:$C,$C217,$H:$H,$H217,$I:$I,$I217)</f>
        <v>0.1</v>
      </c>
      <c r="AB217" s="138">
        <f>VLOOKUP(I217,'Weights and Confidence'!$D$16:$AC$26,3,FALSE)</f>
        <v>0.1</v>
      </c>
      <c r="AC217" s="139">
        <f>VLOOKUP(I217,'Weights and Confidence'!$D$16:$AC$26,4,FALSE)</f>
        <v>1</v>
      </c>
    </row>
    <row r="218" spans="1:29" x14ac:dyDescent="0.2">
      <c r="A218" s="38" t="s">
        <v>14</v>
      </c>
      <c r="B218" s="38" t="s">
        <v>1</v>
      </c>
      <c r="C218" s="38" t="s">
        <v>59</v>
      </c>
      <c r="D218" s="38" t="s">
        <v>5</v>
      </c>
      <c r="E218" s="38" t="s">
        <v>103</v>
      </c>
      <c r="F218" s="38" t="s">
        <v>60</v>
      </c>
      <c r="G218" s="38">
        <v>8</v>
      </c>
      <c r="H218" s="38" t="s">
        <v>17</v>
      </c>
      <c r="I218" s="38" t="s">
        <v>26</v>
      </c>
      <c r="J218" s="38">
        <v>1</v>
      </c>
      <c r="K218" s="39">
        <f>AB218/COUNTIFS($B:$B,$B218,$C:$C,$C218,$H:$H,$H218,$I:$I,$I218)</f>
        <v>0.1</v>
      </c>
      <c r="L218" s="40">
        <f t="shared" si="14"/>
        <v>1</v>
      </c>
      <c r="M218" s="41">
        <f t="shared" si="15"/>
        <v>0.1</v>
      </c>
      <c r="N218" s="38"/>
      <c r="AA218" s="137">
        <f>AB218/COUNTIFS($B:$B,$B218,$C:$C,$C218,$H:$H,$H218,$I:$I,$I218)</f>
        <v>0.1</v>
      </c>
      <c r="AB218" s="138">
        <f>VLOOKUP(I218,'Weights and Confidence'!$D$16:$AC$26,3,FALSE)</f>
        <v>0.1</v>
      </c>
      <c r="AC218" s="139">
        <f>VLOOKUP(I218,'Weights and Confidence'!$D$16:$AC$26,4,FALSE)</f>
        <v>1</v>
      </c>
    </row>
    <row r="219" spans="1:29" x14ac:dyDescent="0.2">
      <c r="A219" s="34" t="s">
        <v>14</v>
      </c>
      <c r="B219" s="34" t="s">
        <v>1</v>
      </c>
      <c r="C219" s="34" t="s">
        <v>59</v>
      </c>
      <c r="D219" s="34" t="s">
        <v>5</v>
      </c>
      <c r="E219" s="34" t="s">
        <v>103</v>
      </c>
      <c r="F219" s="34" t="s">
        <v>60</v>
      </c>
      <c r="G219" s="34">
        <v>8</v>
      </c>
      <c r="H219" s="34" t="s">
        <v>18</v>
      </c>
      <c r="I219" s="34" t="s">
        <v>26</v>
      </c>
      <c r="J219" s="34">
        <v>1</v>
      </c>
      <c r="K219" s="35">
        <f>AB219/COUNTIFS($B:$B,$B219,$C:$C,$C219,$H:$H,$H219,$I:$I,$I219)</f>
        <v>0.1</v>
      </c>
      <c r="L219" s="36">
        <f t="shared" si="14"/>
        <v>1</v>
      </c>
      <c r="M219" s="37">
        <f t="shared" si="15"/>
        <v>0.1</v>
      </c>
      <c r="N219" s="34"/>
      <c r="AA219" s="137">
        <f>AB219/COUNTIFS($B:$B,$B219,$C:$C,$C219,$H:$H,$H219,$I:$I,$I219)</f>
        <v>0.1</v>
      </c>
      <c r="AB219" s="138">
        <f>VLOOKUP(I219,'Weights and Confidence'!$D$16:$AC$26,3,FALSE)</f>
        <v>0.1</v>
      </c>
      <c r="AC219" s="139">
        <f>VLOOKUP(I219,'Weights and Confidence'!$D$16:$AC$26,4,FALSE)</f>
        <v>1</v>
      </c>
    </row>
    <row r="220" spans="1:29" x14ac:dyDescent="0.2">
      <c r="A220" s="38" t="s">
        <v>14</v>
      </c>
      <c r="B220" s="38" t="s">
        <v>1</v>
      </c>
      <c r="C220" s="38" t="s">
        <v>59</v>
      </c>
      <c r="D220" s="38" t="s">
        <v>5</v>
      </c>
      <c r="E220" s="38" t="s">
        <v>103</v>
      </c>
      <c r="F220" s="38" t="s">
        <v>60</v>
      </c>
      <c r="G220" s="38">
        <v>9</v>
      </c>
      <c r="H220" s="38" t="s">
        <v>17</v>
      </c>
      <c r="I220" s="38" t="s">
        <v>27</v>
      </c>
      <c r="J220" s="38">
        <v>1</v>
      </c>
      <c r="K220" s="39">
        <f>AB220/COUNTIFS($B:$B,$B220,$C:$C,$C220,$H:$H,$H220,$I:$I,$I220)</f>
        <v>0.05</v>
      </c>
      <c r="L220" s="40">
        <f t="shared" si="14"/>
        <v>0.85</v>
      </c>
      <c r="M220" s="41">
        <f t="shared" si="15"/>
        <v>4.2500000000000003E-2</v>
      </c>
      <c r="N220" s="38"/>
      <c r="AA220" s="137">
        <f>AB220/COUNTIFS($B:$B,$B220,$C:$C,$C220,$H:$H,$H220,$I:$I,$I220)</f>
        <v>0.05</v>
      </c>
      <c r="AB220" s="138">
        <f>VLOOKUP(I220,'Weights and Confidence'!$D$16:$AC$26,3,FALSE)</f>
        <v>0.1</v>
      </c>
      <c r="AC220" s="139">
        <f>VLOOKUP(I220,'Weights and Confidence'!$D$16:$AC$26,4,FALSE)</f>
        <v>0.85</v>
      </c>
    </row>
    <row r="221" spans="1:29" x14ac:dyDescent="0.2">
      <c r="A221" s="34" t="s">
        <v>14</v>
      </c>
      <c r="B221" s="34" t="s">
        <v>1</v>
      </c>
      <c r="C221" s="34" t="s">
        <v>59</v>
      </c>
      <c r="D221" s="34" t="s">
        <v>5</v>
      </c>
      <c r="E221" s="34" t="s">
        <v>103</v>
      </c>
      <c r="F221" s="34" t="s">
        <v>60</v>
      </c>
      <c r="G221" s="34">
        <v>9</v>
      </c>
      <c r="H221" s="34" t="s">
        <v>18</v>
      </c>
      <c r="I221" s="34" t="s">
        <v>27</v>
      </c>
      <c r="J221" s="34">
        <v>1</v>
      </c>
      <c r="K221" s="35">
        <f>AB221/COUNTIFS($B:$B,$B221,$C:$C,$C221,$H:$H,$H221,$I:$I,$I221)</f>
        <v>0.05</v>
      </c>
      <c r="L221" s="36">
        <f t="shared" si="14"/>
        <v>0.85</v>
      </c>
      <c r="M221" s="37">
        <f t="shared" si="15"/>
        <v>4.2500000000000003E-2</v>
      </c>
      <c r="N221" s="34"/>
      <c r="AA221" s="137">
        <f>AB221/COUNTIFS($B:$B,$B221,$C:$C,$C221,$H:$H,$H221,$I:$I,$I221)</f>
        <v>0.05</v>
      </c>
      <c r="AB221" s="138">
        <f>VLOOKUP(I221,'Weights and Confidence'!$D$16:$AC$26,3,FALSE)</f>
        <v>0.1</v>
      </c>
      <c r="AC221" s="139">
        <f>VLOOKUP(I221,'Weights and Confidence'!$D$16:$AC$26,4,FALSE)</f>
        <v>0.85</v>
      </c>
    </row>
    <row r="222" spans="1:29" x14ac:dyDescent="0.2">
      <c r="A222" s="38" t="s">
        <v>14</v>
      </c>
      <c r="B222" s="38" t="s">
        <v>1</v>
      </c>
      <c r="C222" s="38" t="s">
        <v>59</v>
      </c>
      <c r="D222" s="38" t="s">
        <v>5</v>
      </c>
      <c r="E222" s="38" t="s">
        <v>103</v>
      </c>
      <c r="F222" s="38" t="s">
        <v>60</v>
      </c>
      <c r="G222" s="38">
        <v>10</v>
      </c>
      <c r="H222" s="38" t="s">
        <v>17</v>
      </c>
      <c r="I222" s="38" t="s">
        <v>27</v>
      </c>
      <c r="J222" s="38">
        <v>1</v>
      </c>
      <c r="K222" s="39">
        <f>AB222/COUNTIFS($B:$B,$B222,$C:$C,$C222,$H:$H,$H222,$I:$I,$I222)</f>
        <v>0.05</v>
      </c>
      <c r="L222" s="40">
        <f t="shared" si="14"/>
        <v>0.85</v>
      </c>
      <c r="M222" s="41">
        <f t="shared" si="15"/>
        <v>4.2500000000000003E-2</v>
      </c>
      <c r="N222" s="38"/>
      <c r="AA222" s="137">
        <f>AB222/COUNTIFS($B:$B,$B222,$C:$C,$C222,$H:$H,$H222,$I:$I,$I222)</f>
        <v>0.05</v>
      </c>
      <c r="AB222" s="138">
        <f>VLOOKUP(I222,'Weights and Confidence'!$D$16:$AC$26,3,FALSE)</f>
        <v>0.1</v>
      </c>
      <c r="AC222" s="139">
        <f>VLOOKUP(I222,'Weights and Confidence'!$D$16:$AC$26,4,FALSE)</f>
        <v>0.85</v>
      </c>
    </row>
    <row r="223" spans="1:29" x14ac:dyDescent="0.2">
      <c r="A223" s="34" t="s">
        <v>14</v>
      </c>
      <c r="B223" s="34" t="s">
        <v>1</v>
      </c>
      <c r="C223" s="34" t="s">
        <v>59</v>
      </c>
      <c r="D223" s="34" t="s">
        <v>5</v>
      </c>
      <c r="E223" s="34" t="s">
        <v>103</v>
      </c>
      <c r="F223" s="34" t="s">
        <v>60</v>
      </c>
      <c r="G223" s="34">
        <v>10</v>
      </c>
      <c r="H223" s="34" t="s">
        <v>18</v>
      </c>
      <c r="I223" s="34" t="s">
        <v>27</v>
      </c>
      <c r="J223" s="34">
        <v>1</v>
      </c>
      <c r="K223" s="35">
        <f>AB223/COUNTIFS($B:$B,$B223,$C:$C,$C223,$H:$H,$H223,$I:$I,$I223)</f>
        <v>0.05</v>
      </c>
      <c r="L223" s="36">
        <f t="shared" si="14"/>
        <v>0.85</v>
      </c>
      <c r="M223" s="37">
        <f t="shared" si="15"/>
        <v>4.2500000000000003E-2</v>
      </c>
      <c r="N223" s="34"/>
      <c r="AA223" s="137">
        <f>AB223/COUNTIFS($B:$B,$B223,$C:$C,$C223,$H:$H,$H223,$I:$I,$I223)</f>
        <v>0.05</v>
      </c>
      <c r="AB223" s="138">
        <f>VLOOKUP(I223,'Weights and Confidence'!$D$16:$AC$26,3,FALSE)</f>
        <v>0.1</v>
      </c>
      <c r="AC223" s="139">
        <f>VLOOKUP(I223,'Weights and Confidence'!$D$16:$AC$26,4,FALSE)</f>
        <v>0.85</v>
      </c>
    </row>
    <row r="224" spans="1:29" x14ac:dyDescent="0.2">
      <c r="A224" s="38" t="s">
        <v>14</v>
      </c>
      <c r="B224" s="38" t="s">
        <v>1</v>
      </c>
      <c r="C224" s="38" t="s">
        <v>59</v>
      </c>
      <c r="D224" s="38" t="s">
        <v>5</v>
      </c>
      <c r="E224" s="38" t="s">
        <v>103</v>
      </c>
      <c r="F224" s="38" t="s">
        <v>60</v>
      </c>
      <c r="G224" s="38">
        <v>11</v>
      </c>
      <c r="H224" s="38" t="s">
        <v>17</v>
      </c>
      <c r="I224" s="38" t="s">
        <v>28</v>
      </c>
      <c r="J224" s="38">
        <v>1</v>
      </c>
      <c r="K224" s="39">
        <f>AB224/COUNTIFS($B:$B,$B224,$C:$C,$C224,$H:$H,$H224,$I:$I,$I224)</f>
        <v>0.05</v>
      </c>
      <c r="L224" s="40">
        <f t="shared" si="14"/>
        <v>1</v>
      </c>
      <c r="M224" s="41">
        <f t="shared" si="15"/>
        <v>0.05</v>
      </c>
      <c r="N224" s="38"/>
      <c r="AA224" s="137">
        <f>AB224/COUNTIFS($B:$B,$B224,$C:$C,$C224,$H:$H,$H224,$I:$I,$I224)</f>
        <v>0.05</v>
      </c>
      <c r="AB224" s="138">
        <f>VLOOKUP(I224,'Weights and Confidence'!$D$16:$AC$26,3,FALSE)</f>
        <v>0.05</v>
      </c>
      <c r="AC224" s="139">
        <f>VLOOKUP(I224,'Weights and Confidence'!$D$16:$AC$26,4,FALSE)</f>
        <v>1</v>
      </c>
    </row>
    <row r="225" spans="1:29" ht="17" thickBot="1" x14ac:dyDescent="0.25">
      <c r="A225" s="34" t="s">
        <v>14</v>
      </c>
      <c r="B225" s="34" t="s">
        <v>1</v>
      </c>
      <c r="C225" s="34" t="s">
        <v>59</v>
      </c>
      <c r="D225" s="34" t="s">
        <v>5</v>
      </c>
      <c r="E225" s="34" t="s">
        <v>103</v>
      </c>
      <c r="F225" s="34" t="s">
        <v>60</v>
      </c>
      <c r="G225" s="34">
        <v>11</v>
      </c>
      <c r="H225" s="34" t="s">
        <v>18</v>
      </c>
      <c r="I225" s="34" t="s">
        <v>28</v>
      </c>
      <c r="J225" s="34">
        <v>1</v>
      </c>
      <c r="K225" s="35">
        <f>AB225/COUNTIFS($B:$B,$B225,$C:$C,$C225,$H:$H,$H225,$I:$I,$I225)</f>
        <v>0.05</v>
      </c>
      <c r="L225" s="36">
        <f t="shared" si="14"/>
        <v>1</v>
      </c>
      <c r="M225" s="37">
        <f t="shared" si="15"/>
        <v>0.05</v>
      </c>
      <c r="N225" s="34"/>
      <c r="AA225" s="140">
        <f>AB225/COUNTIFS($B:$B,$B225,$C:$C,$C225,$H:$H,$H225,$I:$I,$I225)</f>
        <v>0.05</v>
      </c>
      <c r="AB225" s="141">
        <f>VLOOKUP(I225,'Weights and Confidence'!$D$16:$AC$26,3,FALSE)</f>
        <v>0.05</v>
      </c>
      <c r="AC225" s="142">
        <f>VLOOKUP(I225,'Weights and Confidence'!$D$16:$AC$26,4,FALSE)</f>
        <v>1</v>
      </c>
    </row>
    <row r="226" spans="1:29" ht="17" thickTop="1" x14ac:dyDescent="0.2">
      <c r="A226" s="42" t="s">
        <v>14</v>
      </c>
      <c r="B226" s="42" t="s">
        <v>1</v>
      </c>
      <c r="C226" s="42" t="s">
        <v>61</v>
      </c>
      <c r="D226" s="42" t="s">
        <v>5</v>
      </c>
      <c r="E226" s="43" t="s">
        <v>108</v>
      </c>
      <c r="F226" s="43" t="s">
        <v>62</v>
      </c>
      <c r="G226" s="42">
        <v>1</v>
      </c>
      <c r="H226" s="42" t="s">
        <v>17</v>
      </c>
      <c r="I226" s="42" t="s">
        <v>19</v>
      </c>
      <c r="J226" s="42">
        <v>0</v>
      </c>
      <c r="K226" s="44">
        <f>AB226/COUNTIFS($B:$B,$B226,$C:$C,$C226,$H:$H,$H226,$I:$I,$I226)</f>
        <v>0.12</v>
      </c>
      <c r="L226" s="45">
        <f t="shared" si="14"/>
        <v>1</v>
      </c>
      <c r="M226" s="46">
        <f t="shared" ref="M226:M247" si="16">J226*K226*L226</f>
        <v>0</v>
      </c>
      <c r="N226" s="42"/>
      <c r="AA226" s="137">
        <f>AB226/COUNTIFS($B:$B,$B226,$C:$C,$C226,$H:$H,$H226,$I:$I,$I226)</f>
        <v>0.12</v>
      </c>
      <c r="AB226" s="138">
        <f>VLOOKUP(I226,'Weights and Confidence'!$D$16:$AC$26,3,FALSE)</f>
        <v>0.12</v>
      </c>
      <c r="AC226" s="139">
        <f>VLOOKUP(I226,'Weights and Confidence'!$D$16:$AC$26,4,FALSE)</f>
        <v>1</v>
      </c>
    </row>
    <row r="227" spans="1:29" x14ac:dyDescent="0.2">
      <c r="A227" s="34" t="s">
        <v>14</v>
      </c>
      <c r="B227" s="34" t="s">
        <v>1</v>
      </c>
      <c r="C227" s="34" t="s">
        <v>61</v>
      </c>
      <c r="D227" s="34" t="s">
        <v>5</v>
      </c>
      <c r="E227" s="34" t="s">
        <v>108</v>
      </c>
      <c r="F227" s="34" t="s">
        <v>62</v>
      </c>
      <c r="G227" s="34">
        <v>1</v>
      </c>
      <c r="H227" s="34" t="s">
        <v>18</v>
      </c>
      <c r="I227" s="34" t="s">
        <v>19</v>
      </c>
      <c r="J227" s="34">
        <v>0</v>
      </c>
      <c r="K227" s="35">
        <f>AB227/COUNTIFS($B:$B,$B227,$C:$C,$C227,$H:$H,$H227,$I:$I,$I227)</f>
        <v>0.12</v>
      </c>
      <c r="L227" s="36">
        <f t="shared" si="14"/>
        <v>1</v>
      </c>
      <c r="M227" s="37">
        <f t="shared" si="16"/>
        <v>0</v>
      </c>
      <c r="N227" s="34"/>
      <c r="AA227" s="137">
        <f>AB227/COUNTIFS($B:$B,$B227,$C:$C,$C227,$H:$H,$H227,$I:$I,$I227)</f>
        <v>0.12</v>
      </c>
      <c r="AB227" s="138">
        <f>VLOOKUP(I227,'Weights and Confidence'!$D$16:$AC$26,3,FALSE)</f>
        <v>0.12</v>
      </c>
      <c r="AC227" s="139">
        <f>VLOOKUP(I227,'Weights and Confidence'!$D$16:$AC$26,4,FALSE)</f>
        <v>1</v>
      </c>
    </row>
    <row r="228" spans="1:29" x14ac:dyDescent="0.2">
      <c r="A228" s="38" t="s">
        <v>14</v>
      </c>
      <c r="B228" s="38" t="s">
        <v>1</v>
      </c>
      <c r="C228" s="38" t="s">
        <v>61</v>
      </c>
      <c r="D228" s="38" t="s">
        <v>5</v>
      </c>
      <c r="E228" s="38" t="s">
        <v>108</v>
      </c>
      <c r="F228" s="38" t="s">
        <v>62</v>
      </c>
      <c r="G228" s="38">
        <v>2</v>
      </c>
      <c r="H228" s="38" t="s">
        <v>17</v>
      </c>
      <c r="I228" s="38" t="s">
        <v>20</v>
      </c>
      <c r="J228" s="38">
        <v>0</v>
      </c>
      <c r="K228" s="39">
        <f>AB228/COUNTIFS($B:$B,$B228,$C:$C,$C228,$H:$H,$H228,$I:$I,$I228)</f>
        <v>0.08</v>
      </c>
      <c r="L228" s="40">
        <f t="shared" si="14"/>
        <v>0.8</v>
      </c>
      <c r="M228" s="41">
        <f t="shared" si="16"/>
        <v>0</v>
      </c>
      <c r="N228" s="38"/>
      <c r="AA228" s="137">
        <f>AB228/COUNTIFS($B:$B,$B228,$C:$C,$C228,$H:$H,$H228,$I:$I,$I228)</f>
        <v>0.08</v>
      </c>
      <c r="AB228" s="138">
        <f>VLOOKUP(I228,'Weights and Confidence'!$D$16:$AC$26,3,FALSE)</f>
        <v>0.08</v>
      </c>
      <c r="AC228" s="139">
        <f>VLOOKUP(I228,'Weights and Confidence'!$D$16:$AC$26,4,FALSE)</f>
        <v>0.8</v>
      </c>
    </row>
    <row r="229" spans="1:29" x14ac:dyDescent="0.2">
      <c r="A229" s="34" t="s">
        <v>14</v>
      </c>
      <c r="B229" s="34" t="s">
        <v>1</v>
      </c>
      <c r="C229" s="34" t="s">
        <v>61</v>
      </c>
      <c r="D229" s="34" t="s">
        <v>5</v>
      </c>
      <c r="E229" s="34" t="s">
        <v>108</v>
      </c>
      <c r="F229" s="34" t="s">
        <v>62</v>
      </c>
      <c r="G229" s="34">
        <v>2</v>
      </c>
      <c r="H229" s="34" t="s">
        <v>18</v>
      </c>
      <c r="I229" s="34" t="s">
        <v>20</v>
      </c>
      <c r="J229" s="34">
        <v>0</v>
      </c>
      <c r="K229" s="35">
        <f>AB229/COUNTIFS($B:$B,$B229,$C:$C,$C229,$H:$H,$H229,$I:$I,$I229)</f>
        <v>0.08</v>
      </c>
      <c r="L229" s="36">
        <f t="shared" si="14"/>
        <v>0.8</v>
      </c>
      <c r="M229" s="37">
        <f t="shared" si="16"/>
        <v>0</v>
      </c>
      <c r="N229" s="34"/>
      <c r="AA229" s="137">
        <f>AB229/COUNTIFS($B:$B,$B229,$C:$C,$C229,$H:$H,$H229,$I:$I,$I229)</f>
        <v>0.08</v>
      </c>
      <c r="AB229" s="138">
        <f>VLOOKUP(I229,'Weights and Confidence'!$D$16:$AC$26,3,FALSE)</f>
        <v>0.08</v>
      </c>
      <c r="AC229" s="139">
        <f>VLOOKUP(I229,'Weights and Confidence'!$D$16:$AC$26,4,FALSE)</f>
        <v>0.8</v>
      </c>
    </row>
    <row r="230" spans="1:29" x14ac:dyDescent="0.2">
      <c r="A230" s="38" t="s">
        <v>14</v>
      </c>
      <c r="B230" s="38" t="s">
        <v>1</v>
      </c>
      <c r="C230" s="38" t="s">
        <v>61</v>
      </c>
      <c r="D230" s="38" t="s">
        <v>5</v>
      </c>
      <c r="E230" s="38" t="s">
        <v>108</v>
      </c>
      <c r="F230" s="38" t="s">
        <v>62</v>
      </c>
      <c r="G230" s="38">
        <v>3</v>
      </c>
      <c r="H230" s="38" t="s">
        <v>17</v>
      </c>
      <c r="I230" s="38" t="s">
        <v>21</v>
      </c>
      <c r="J230" s="38">
        <v>0</v>
      </c>
      <c r="K230" s="39">
        <f>AB230/COUNTIFS($B:$B,$B230,$C:$C,$C230,$H:$H,$H230,$I:$I,$I230)</f>
        <v>0.05</v>
      </c>
      <c r="L230" s="40">
        <f t="shared" si="14"/>
        <v>1</v>
      </c>
      <c r="M230" s="41">
        <f t="shared" si="16"/>
        <v>0</v>
      </c>
      <c r="N230" s="38"/>
      <c r="AA230" s="137">
        <f>AB230/COUNTIFS($B:$B,$B230,$C:$C,$C230,$H:$H,$H230,$I:$I,$I230)</f>
        <v>0.05</v>
      </c>
      <c r="AB230" s="138">
        <f>VLOOKUP(I230,'Weights and Confidence'!$D$16:$AC$26,3,FALSE)</f>
        <v>0.05</v>
      </c>
      <c r="AC230" s="139">
        <f>VLOOKUP(I230,'Weights and Confidence'!$D$16:$AC$26,4,FALSE)</f>
        <v>1</v>
      </c>
    </row>
    <row r="231" spans="1:29" x14ac:dyDescent="0.2">
      <c r="A231" s="34" t="s">
        <v>14</v>
      </c>
      <c r="B231" s="34" t="s">
        <v>1</v>
      </c>
      <c r="C231" s="34" t="s">
        <v>61</v>
      </c>
      <c r="D231" s="34" t="s">
        <v>5</v>
      </c>
      <c r="E231" s="34" t="s">
        <v>108</v>
      </c>
      <c r="F231" s="34" t="s">
        <v>62</v>
      </c>
      <c r="G231" s="34">
        <v>3</v>
      </c>
      <c r="H231" s="34" t="s">
        <v>18</v>
      </c>
      <c r="I231" s="34" t="s">
        <v>21</v>
      </c>
      <c r="J231" s="34">
        <v>0</v>
      </c>
      <c r="K231" s="35">
        <f>AB231/COUNTIFS($B:$B,$B231,$C:$C,$C231,$H:$H,$H231,$I:$I,$I231)</f>
        <v>0.05</v>
      </c>
      <c r="L231" s="36">
        <f t="shared" si="14"/>
        <v>1</v>
      </c>
      <c r="M231" s="37">
        <f t="shared" si="16"/>
        <v>0</v>
      </c>
      <c r="N231" s="34"/>
      <c r="AA231" s="137">
        <f>AB231/COUNTIFS($B:$B,$B231,$C:$C,$C231,$H:$H,$H231,$I:$I,$I231)</f>
        <v>0.05</v>
      </c>
      <c r="AB231" s="138">
        <f>VLOOKUP(I231,'Weights and Confidence'!$D$16:$AC$26,3,FALSE)</f>
        <v>0.05</v>
      </c>
      <c r="AC231" s="139">
        <f>VLOOKUP(I231,'Weights and Confidence'!$D$16:$AC$26,4,FALSE)</f>
        <v>1</v>
      </c>
    </row>
    <row r="232" spans="1:29" x14ac:dyDescent="0.2">
      <c r="A232" s="38" t="s">
        <v>14</v>
      </c>
      <c r="B232" s="38" t="s">
        <v>1</v>
      </c>
      <c r="C232" s="38" t="s">
        <v>61</v>
      </c>
      <c r="D232" s="38" t="s">
        <v>5</v>
      </c>
      <c r="E232" s="38" t="s">
        <v>108</v>
      </c>
      <c r="F232" s="38" t="s">
        <v>62</v>
      </c>
      <c r="G232" s="38">
        <v>4</v>
      </c>
      <c r="H232" s="38" t="s">
        <v>17</v>
      </c>
      <c r="I232" s="38" t="s">
        <v>22</v>
      </c>
      <c r="J232" s="38">
        <v>1</v>
      </c>
      <c r="K232" s="39">
        <f>AB232/COUNTIFS($B:$B,$B232,$C:$C,$C232,$H:$H,$H232,$I:$I,$I232)</f>
        <v>0.14000000000000001</v>
      </c>
      <c r="L232" s="40">
        <f t="shared" si="14"/>
        <v>1</v>
      </c>
      <c r="M232" s="41">
        <f t="shared" si="16"/>
        <v>0.14000000000000001</v>
      </c>
      <c r="N232" s="38"/>
      <c r="AA232" s="137">
        <f>AB232/COUNTIFS($B:$B,$B232,$C:$C,$C232,$H:$H,$H232,$I:$I,$I232)</f>
        <v>0.14000000000000001</v>
      </c>
      <c r="AB232" s="138">
        <f>VLOOKUP(I232,'Weights and Confidence'!$D$16:$AC$26,3,FALSE)</f>
        <v>0.14000000000000001</v>
      </c>
      <c r="AC232" s="139">
        <f>VLOOKUP(I232,'Weights and Confidence'!$D$16:$AC$26,4,FALSE)</f>
        <v>1</v>
      </c>
    </row>
    <row r="233" spans="1:29" x14ac:dyDescent="0.2">
      <c r="A233" s="34" t="s">
        <v>14</v>
      </c>
      <c r="B233" s="34" t="s">
        <v>1</v>
      </c>
      <c r="C233" s="34" t="s">
        <v>61</v>
      </c>
      <c r="D233" s="34" t="s">
        <v>5</v>
      </c>
      <c r="E233" s="34" t="s">
        <v>108</v>
      </c>
      <c r="F233" s="34" t="s">
        <v>62</v>
      </c>
      <c r="G233" s="34">
        <v>4</v>
      </c>
      <c r="H233" s="34" t="s">
        <v>18</v>
      </c>
      <c r="I233" s="34" t="s">
        <v>22</v>
      </c>
      <c r="J233" s="34">
        <v>-1</v>
      </c>
      <c r="K233" s="35">
        <f>AB233/COUNTIFS($B:$B,$B233,$C:$C,$C233,$H:$H,$H233,$I:$I,$I233)</f>
        <v>0.14000000000000001</v>
      </c>
      <c r="L233" s="36">
        <f t="shared" si="14"/>
        <v>1</v>
      </c>
      <c r="M233" s="37">
        <f t="shared" si="16"/>
        <v>-0.14000000000000001</v>
      </c>
      <c r="N233" s="34"/>
      <c r="AA233" s="137">
        <f>AB233/COUNTIFS($B:$B,$B233,$C:$C,$C233,$H:$H,$H233,$I:$I,$I233)</f>
        <v>0.14000000000000001</v>
      </c>
      <c r="AB233" s="138">
        <f>VLOOKUP(I233,'Weights and Confidence'!$D$16:$AC$26,3,FALSE)</f>
        <v>0.14000000000000001</v>
      </c>
      <c r="AC233" s="139">
        <f>VLOOKUP(I233,'Weights and Confidence'!$D$16:$AC$26,4,FALSE)</f>
        <v>1</v>
      </c>
    </row>
    <row r="234" spans="1:29" x14ac:dyDescent="0.2">
      <c r="A234" s="38" t="s">
        <v>14</v>
      </c>
      <c r="B234" s="38" t="s">
        <v>1</v>
      </c>
      <c r="C234" s="38" t="s">
        <v>61</v>
      </c>
      <c r="D234" s="38" t="s">
        <v>5</v>
      </c>
      <c r="E234" s="38" t="s">
        <v>108</v>
      </c>
      <c r="F234" s="38" t="s">
        <v>62</v>
      </c>
      <c r="G234" s="38">
        <v>5</v>
      </c>
      <c r="H234" s="38" t="s">
        <v>17</v>
      </c>
      <c r="I234" s="38" t="s">
        <v>23</v>
      </c>
      <c r="J234" s="38">
        <v>1</v>
      </c>
      <c r="K234" s="39">
        <f>AB234/COUNTIFS($B:$B,$B234,$C:$C,$C234,$H:$H,$H234,$I:$I,$I234)</f>
        <v>0.11</v>
      </c>
      <c r="L234" s="40">
        <f t="shared" si="14"/>
        <v>1</v>
      </c>
      <c r="M234" s="41">
        <f t="shared" si="16"/>
        <v>0.11</v>
      </c>
      <c r="N234" s="38"/>
      <c r="AA234" s="137">
        <f>AB234/COUNTIFS($B:$B,$B234,$C:$C,$C234,$H:$H,$H234,$I:$I,$I234)</f>
        <v>0.11</v>
      </c>
      <c r="AB234" s="138">
        <f>VLOOKUP(I234,'Weights and Confidence'!$D$16:$AC$26,3,FALSE)</f>
        <v>0.11</v>
      </c>
      <c r="AC234" s="139">
        <f>VLOOKUP(I234,'Weights and Confidence'!$D$16:$AC$26,4,FALSE)</f>
        <v>1</v>
      </c>
    </row>
    <row r="235" spans="1:29" x14ac:dyDescent="0.2">
      <c r="A235" s="34" t="s">
        <v>14</v>
      </c>
      <c r="B235" s="34" t="s">
        <v>1</v>
      </c>
      <c r="C235" s="34" t="s">
        <v>61</v>
      </c>
      <c r="D235" s="34" t="s">
        <v>5</v>
      </c>
      <c r="E235" s="34" t="s">
        <v>108</v>
      </c>
      <c r="F235" s="34" t="s">
        <v>62</v>
      </c>
      <c r="G235" s="34">
        <v>5</v>
      </c>
      <c r="H235" s="34" t="s">
        <v>18</v>
      </c>
      <c r="I235" s="34" t="s">
        <v>23</v>
      </c>
      <c r="J235" s="34">
        <v>0</v>
      </c>
      <c r="K235" s="35">
        <f>AB235/COUNTIFS($B:$B,$B235,$C:$C,$C235,$H:$H,$H235,$I:$I,$I235)</f>
        <v>0.11</v>
      </c>
      <c r="L235" s="36">
        <f t="shared" si="14"/>
        <v>1</v>
      </c>
      <c r="M235" s="37">
        <f t="shared" si="16"/>
        <v>0</v>
      </c>
      <c r="N235" s="34"/>
      <c r="AA235" s="137">
        <f>AB235/COUNTIFS($B:$B,$B235,$C:$C,$C235,$H:$H,$H235,$I:$I,$I235)</f>
        <v>0.11</v>
      </c>
      <c r="AB235" s="138">
        <f>VLOOKUP(I235,'Weights and Confidence'!$D$16:$AC$26,3,FALSE)</f>
        <v>0.11</v>
      </c>
      <c r="AC235" s="139">
        <f>VLOOKUP(I235,'Weights and Confidence'!$D$16:$AC$26,4,FALSE)</f>
        <v>1</v>
      </c>
    </row>
    <row r="236" spans="1:29" x14ac:dyDescent="0.2">
      <c r="A236" s="38" t="s">
        <v>14</v>
      </c>
      <c r="B236" s="38" t="s">
        <v>1</v>
      </c>
      <c r="C236" s="38" t="s">
        <v>61</v>
      </c>
      <c r="D236" s="38" t="s">
        <v>5</v>
      </c>
      <c r="E236" s="38" t="s">
        <v>108</v>
      </c>
      <c r="F236" s="38" t="s">
        <v>62</v>
      </c>
      <c r="G236" s="38">
        <v>6</v>
      </c>
      <c r="H236" s="38" t="s">
        <v>17</v>
      </c>
      <c r="I236" s="38" t="s">
        <v>24</v>
      </c>
      <c r="J236" s="38">
        <v>1</v>
      </c>
      <c r="K236" s="39">
        <f>AB236/COUNTIFS($B:$B,$B236,$C:$C,$C236,$H:$H,$H236,$I:$I,$I236)</f>
        <v>0.15</v>
      </c>
      <c r="L236" s="40">
        <f t="shared" si="14"/>
        <v>1</v>
      </c>
      <c r="M236" s="41">
        <f t="shared" si="16"/>
        <v>0.15</v>
      </c>
      <c r="N236" s="38"/>
      <c r="AA236" s="137">
        <f>AB236/COUNTIFS($B:$B,$B236,$C:$C,$C236,$H:$H,$H236,$I:$I,$I236)</f>
        <v>0.15</v>
      </c>
      <c r="AB236" s="138">
        <f>VLOOKUP(I236,'Weights and Confidence'!$D$16:$AC$26,3,FALSE)</f>
        <v>0.15</v>
      </c>
      <c r="AC236" s="139">
        <f>VLOOKUP(I236,'Weights and Confidence'!$D$16:$AC$26,4,FALSE)</f>
        <v>1</v>
      </c>
    </row>
    <row r="237" spans="1:29" x14ac:dyDescent="0.2">
      <c r="A237" s="34" t="s">
        <v>14</v>
      </c>
      <c r="B237" s="34" t="s">
        <v>1</v>
      </c>
      <c r="C237" s="34" t="s">
        <v>61</v>
      </c>
      <c r="D237" s="34" t="s">
        <v>5</v>
      </c>
      <c r="E237" s="34" t="s">
        <v>108</v>
      </c>
      <c r="F237" s="34" t="s">
        <v>62</v>
      </c>
      <c r="G237" s="34">
        <v>6</v>
      </c>
      <c r="H237" s="34" t="s">
        <v>18</v>
      </c>
      <c r="I237" s="34" t="s">
        <v>24</v>
      </c>
      <c r="J237" s="34">
        <v>0</v>
      </c>
      <c r="K237" s="35">
        <f>AB237/COUNTIFS($B:$B,$B237,$C:$C,$C237,$H:$H,$H237,$I:$I,$I237)</f>
        <v>0.15</v>
      </c>
      <c r="L237" s="36">
        <f t="shared" si="14"/>
        <v>1</v>
      </c>
      <c r="M237" s="37">
        <f t="shared" si="16"/>
        <v>0</v>
      </c>
      <c r="N237" s="34"/>
      <c r="AA237" s="137">
        <f>AB237/COUNTIFS($B:$B,$B237,$C:$C,$C237,$H:$H,$H237,$I:$I,$I237)</f>
        <v>0.15</v>
      </c>
      <c r="AB237" s="138">
        <f>VLOOKUP(I237,'Weights and Confidence'!$D$16:$AC$26,3,FALSE)</f>
        <v>0.15</v>
      </c>
      <c r="AC237" s="139">
        <f>VLOOKUP(I237,'Weights and Confidence'!$D$16:$AC$26,4,FALSE)</f>
        <v>1</v>
      </c>
    </row>
    <row r="238" spans="1:29" x14ac:dyDescent="0.2">
      <c r="A238" s="38" t="s">
        <v>14</v>
      </c>
      <c r="B238" s="38" t="s">
        <v>1</v>
      </c>
      <c r="C238" s="38" t="s">
        <v>61</v>
      </c>
      <c r="D238" s="38" t="s">
        <v>5</v>
      </c>
      <c r="E238" s="38" t="s">
        <v>108</v>
      </c>
      <c r="F238" s="38" t="s">
        <v>62</v>
      </c>
      <c r="G238" s="38">
        <v>7</v>
      </c>
      <c r="H238" s="38" t="s">
        <v>17</v>
      </c>
      <c r="I238" s="38" t="s">
        <v>25</v>
      </c>
      <c r="J238" s="38">
        <v>-1</v>
      </c>
      <c r="K238" s="39">
        <f>AB238/COUNTIFS($B:$B,$B238,$C:$C,$C238,$H:$H,$H238,$I:$I,$I238)</f>
        <v>0.1</v>
      </c>
      <c r="L238" s="40">
        <f t="shared" si="14"/>
        <v>1</v>
      </c>
      <c r="M238" s="41">
        <f t="shared" si="16"/>
        <v>-0.1</v>
      </c>
      <c r="N238" s="38"/>
      <c r="AA238" s="137">
        <f>AB238/COUNTIFS($B:$B,$B238,$C:$C,$C238,$H:$H,$H238,$I:$I,$I238)</f>
        <v>0.1</v>
      </c>
      <c r="AB238" s="138">
        <f>VLOOKUP(I238,'Weights and Confidence'!$D$16:$AC$26,3,FALSE)</f>
        <v>0.1</v>
      </c>
      <c r="AC238" s="139">
        <f>VLOOKUP(I238,'Weights and Confidence'!$D$16:$AC$26,4,FALSE)</f>
        <v>1</v>
      </c>
    </row>
    <row r="239" spans="1:29" x14ac:dyDescent="0.2">
      <c r="A239" s="34" t="s">
        <v>14</v>
      </c>
      <c r="B239" s="34" t="s">
        <v>1</v>
      </c>
      <c r="C239" s="34" t="s">
        <v>61</v>
      </c>
      <c r="D239" s="34" t="s">
        <v>5</v>
      </c>
      <c r="E239" s="34" t="s">
        <v>108</v>
      </c>
      <c r="F239" s="34" t="s">
        <v>62</v>
      </c>
      <c r="G239" s="34">
        <v>7</v>
      </c>
      <c r="H239" s="34" t="s">
        <v>18</v>
      </c>
      <c r="I239" s="34" t="s">
        <v>25</v>
      </c>
      <c r="J239" s="34">
        <v>0</v>
      </c>
      <c r="K239" s="35">
        <f>AB239/COUNTIFS($B:$B,$B239,$C:$C,$C239,$H:$H,$H239,$I:$I,$I239)</f>
        <v>0.1</v>
      </c>
      <c r="L239" s="36">
        <f t="shared" si="14"/>
        <v>1</v>
      </c>
      <c r="M239" s="37">
        <f t="shared" si="16"/>
        <v>0</v>
      </c>
      <c r="N239" s="34"/>
      <c r="AA239" s="137">
        <f>AB239/COUNTIFS($B:$B,$B239,$C:$C,$C239,$H:$H,$H239,$I:$I,$I239)</f>
        <v>0.1</v>
      </c>
      <c r="AB239" s="138">
        <f>VLOOKUP(I239,'Weights and Confidence'!$D$16:$AC$26,3,FALSE)</f>
        <v>0.1</v>
      </c>
      <c r="AC239" s="139">
        <f>VLOOKUP(I239,'Weights and Confidence'!$D$16:$AC$26,4,FALSE)</f>
        <v>1</v>
      </c>
    </row>
    <row r="240" spans="1:29" x14ac:dyDescent="0.2">
      <c r="A240" s="38" t="s">
        <v>14</v>
      </c>
      <c r="B240" s="38" t="s">
        <v>1</v>
      </c>
      <c r="C240" s="38" t="s">
        <v>61</v>
      </c>
      <c r="D240" s="38" t="s">
        <v>5</v>
      </c>
      <c r="E240" s="38" t="s">
        <v>108</v>
      </c>
      <c r="F240" s="38" t="s">
        <v>62</v>
      </c>
      <c r="G240" s="38">
        <v>8</v>
      </c>
      <c r="H240" s="38" t="s">
        <v>17</v>
      </c>
      <c r="I240" s="38" t="s">
        <v>26</v>
      </c>
      <c r="J240" s="38">
        <v>-1</v>
      </c>
      <c r="K240" s="39">
        <f>AB240/COUNTIFS($B:$B,$B240,$C:$C,$C240,$H:$H,$H240,$I:$I,$I240)</f>
        <v>0.1</v>
      </c>
      <c r="L240" s="40">
        <f t="shared" si="14"/>
        <v>1</v>
      </c>
      <c r="M240" s="41">
        <f t="shared" si="16"/>
        <v>-0.1</v>
      </c>
      <c r="N240" s="38"/>
      <c r="AA240" s="137">
        <f>AB240/COUNTIFS($B:$B,$B240,$C:$C,$C240,$H:$H,$H240,$I:$I,$I240)</f>
        <v>0.1</v>
      </c>
      <c r="AB240" s="138">
        <f>VLOOKUP(I240,'Weights and Confidence'!$D$16:$AC$26,3,FALSE)</f>
        <v>0.1</v>
      </c>
      <c r="AC240" s="139">
        <f>VLOOKUP(I240,'Weights and Confidence'!$D$16:$AC$26,4,FALSE)</f>
        <v>1</v>
      </c>
    </row>
    <row r="241" spans="1:29" x14ac:dyDescent="0.2">
      <c r="A241" s="34" t="s">
        <v>14</v>
      </c>
      <c r="B241" s="34" t="s">
        <v>1</v>
      </c>
      <c r="C241" s="34" t="s">
        <v>61</v>
      </c>
      <c r="D241" s="34" t="s">
        <v>5</v>
      </c>
      <c r="E241" s="34" t="s">
        <v>108</v>
      </c>
      <c r="F241" s="34" t="s">
        <v>62</v>
      </c>
      <c r="G241" s="34">
        <v>8</v>
      </c>
      <c r="H241" s="34" t="s">
        <v>18</v>
      </c>
      <c r="I241" s="34" t="s">
        <v>26</v>
      </c>
      <c r="J241" s="34">
        <v>-1</v>
      </c>
      <c r="K241" s="35">
        <f>AB241/COUNTIFS($B:$B,$B241,$C:$C,$C241,$H:$H,$H241,$I:$I,$I241)</f>
        <v>0.1</v>
      </c>
      <c r="L241" s="36">
        <f t="shared" si="14"/>
        <v>1</v>
      </c>
      <c r="M241" s="37">
        <f t="shared" si="16"/>
        <v>-0.1</v>
      </c>
      <c r="N241" s="34"/>
      <c r="AA241" s="137">
        <f>AB241/COUNTIFS($B:$B,$B241,$C:$C,$C241,$H:$H,$H241,$I:$I,$I241)</f>
        <v>0.1</v>
      </c>
      <c r="AB241" s="138">
        <f>VLOOKUP(I241,'Weights and Confidence'!$D$16:$AC$26,3,FALSE)</f>
        <v>0.1</v>
      </c>
      <c r="AC241" s="139">
        <f>VLOOKUP(I241,'Weights and Confidence'!$D$16:$AC$26,4,FALSE)</f>
        <v>1</v>
      </c>
    </row>
    <row r="242" spans="1:29" x14ac:dyDescent="0.2">
      <c r="A242" s="38" t="s">
        <v>14</v>
      </c>
      <c r="B242" s="38" t="s">
        <v>1</v>
      </c>
      <c r="C242" s="38" t="s">
        <v>61</v>
      </c>
      <c r="D242" s="38" t="s">
        <v>5</v>
      </c>
      <c r="E242" s="38" t="s">
        <v>108</v>
      </c>
      <c r="F242" s="38" t="s">
        <v>62</v>
      </c>
      <c r="G242" s="38">
        <v>9</v>
      </c>
      <c r="H242" s="38" t="s">
        <v>17</v>
      </c>
      <c r="I242" s="38" t="s">
        <v>27</v>
      </c>
      <c r="J242" s="38">
        <v>-1</v>
      </c>
      <c r="K242" s="39">
        <f>AB242/COUNTIFS($B:$B,$B242,$C:$C,$C242,$H:$H,$H242,$I:$I,$I242)</f>
        <v>0.05</v>
      </c>
      <c r="L242" s="40">
        <f t="shared" si="14"/>
        <v>0.85</v>
      </c>
      <c r="M242" s="41">
        <f t="shared" si="16"/>
        <v>-4.2500000000000003E-2</v>
      </c>
      <c r="N242" s="38"/>
      <c r="AA242" s="137">
        <f>AB242/COUNTIFS($B:$B,$B242,$C:$C,$C242,$H:$H,$H242,$I:$I,$I242)</f>
        <v>0.05</v>
      </c>
      <c r="AB242" s="138">
        <f>VLOOKUP(I242,'Weights and Confidence'!$D$16:$AC$26,3,FALSE)</f>
        <v>0.1</v>
      </c>
      <c r="AC242" s="139">
        <f>VLOOKUP(I242,'Weights and Confidence'!$D$16:$AC$26,4,FALSE)</f>
        <v>0.85</v>
      </c>
    </row>
    <row r="243" spans="1:29" x14ac:dyDescent="0.2">
      <c r="A243" s="34" t="s">
        <v>14</v>
      </c>
      <c r="B243" s="34" t="s">
        <v>1</v>
      </c>
      <c r="C243" s="34" t="s">
        <v>61</v>
      </c>
      <c r="D243" s="34" t="s">
        <v>5</v>
      </c>
      <c r="E243" s="34" t="s">
        <v>108</v>
      </c>
      <c r="F243" s="34" t="s">
        <v>62</v>
      </c>
      <c r="G243" s="34">
        <v>9</v>
      </c>
      <c r="H243" s="34" t="s">
        <v>18</v>
      </c>
      <c r="I243" s="34" t="s">
        <v>27</v>
      </c>
      <c r="J243" s="34">
        <v>-1</v>
      </c>
      <c r="K243" s="35">
        <f>AB243/COUNTIFS($B:$B,$B243,$C:$C,$C243,$H:$H,$H243,$I:$I,$I243)</f>
        <v>0.05</v>
      </c>
      <c r="L243" s="36">
        <f t="shared" si="14"/>
        <v>0.85</v>
      </c>
      <c r="M243" s="37">
        <f t="shared" si="16"/>
        <v>-4.2500000000000003E-2</v>
      </c>
      <c r="N243" s="34"/>
      <c r="AA243" s="137">
        <f>AB243/COUNTIFS($B:$B,$B243,$C:$C,$C243,$H:$H,$H243,$I:$I,$I243)</f>
        <v>0.05</v>
      </c>
      <c r="AB243" s="138">
        <f>VLOOKUP(I243,'Weights and Confidence'!$D$16:$AC$26,3,FALSE)</f>
        <v>0.1</v>
      </c>
      <c r="AC243" s="139">
        <f>VLOOKUP(I243,'Weights and Confidence'!$D$16:$AC$26,4,FALSE)</f>
        <v>0.85</v>
      </c>
    </row>
    <row r="244" spans="1:29" x14ac:dyDescent="0.2">
      <c r="A244" s="38" t="s">
        <v>14</v>
      </c>
      <c r="B244" s="38" t="s">
        <v>1</v>
      </c>
      <c r="C244" s="38" t="s">
        <v>61</v>
      </c>
      <c r="D244" s="38" t="s">
        <v>5</v>
      </c>
      <c r="E244" s="38" t="s">
        <v>108</v>
      </c>
      <c r="F244" s="38" t="s">
        <v>62</v>
      </c>
      <c r="G244" s="38">
        <v>10</v>
      </c>
      <c r="H244" s="38" t="s">
        <v>17</v>
      </c>
      <c r="I244" s="38" t="s">
        <v>27</v>
      </c>
      <c r="J244" s="38">
        <v>0</v>
      </c>
      <c r="K244" s="39">
        <f>AB244/COUNTIFS($B:$B,$B244,$C:$C,$C244,$H:$H,$H244,$I:$I,$I244)</f>
        <v>0.05</v>
      </c>
      <c r="L244" s="40">
        <f t="shared" si="14"/>
        <v>0.85</v>
      </c>
      <c r="M244" s="41">
        <f t="shared" si="16"/>
        <v>0</v>
      </c>
      <c r="N244" s="38"/>
      <c r="AA244" s="137">
        <f>AB244/COUNTIFS($B:$B,$B244,$C:$C,$C244,$H:$H,$H244,$I:$I,$I244)</f>
        <v>0.05</v>
      </c>
      <c r="AB244" s="138">
        <f>VLOOKUP(I244,'Weights and Confidence'!$D$16:$AC$26,3,FALSE)</f>
        <v>0.1</v>
      </c>
      <c r="AC244" s="139">
        <f>VLOOKUP(I244,'Weights and Confidence'!$D$16:$AC$26,4,FALSE)</f>
        <v>0.85</v>
      </c>
    </row>
    <row r="245" spans="1:29" x14ac:dyDescent="0.2">
      <c r="A245" s="34" t="s">
        <v>14</v>
      </c>
      <c r="B245" s="34" t="s">
        <v>1</v>
      </c>
      <c r="C245" s="34" t="s">
        <v>61</v>
      </c>
      <c r="D245" s="34" t="s">
        <v>5</v>
      </c>
      <c r="E245" s="34" t="s">
        <v>108</v>
      </c>
      <c r="F245" s="34" t="s">
        <v>62</v>
      </c>
      <c r="G245" s="34">
        <v>10</v>
      </c>
      <c r="H245" s="34" t="s">
        <v>18</v>
      </c>
      <c r="I245" s="34" t="s">
        <v>27</v>
      </c>
      <c r="J245" s="34">
        <v>0</v>
      </c>
      <c r="K245" s="35">
        <f>AB245/COUNTIFS($B:$B,$B245,$C:$C,$C245,$H:$H,$H245,$I:$I,$I245)</f>
        <v>0.05</v>
      </c>
      <c r="L245" s="36">
        <f t="shared" si="14"/>
        <v>0.85</v>
      </c>
      <c r="M245" s="37">
        <f t="shared" si="16"/>
        <v>0</v>
      </c>
      <c r="N245" s="34"/>
      <c r="AA245" s="137">
        <f>AB245/COUNTIFS($B:$B,$B245,$C:$C,$C245,$H:$H,$H245,$I:$I,$I245)</f>
        <v>0.05</v>
      </c>
      <c r="AB245" s="138">
        <f>VLOOKUP(I245,'Weights and Confidence'!$D$16:$AC$26,3,FALSE)</f>
        <v>0.1</v>
      </c>
      <c r="AC245" s="139">
        <f>VLOOKUP(I245,'Weights and Confidence'!$D$16:$AC$26,4,FALSE)</f>
        <v>0.85</v>
      </c>
    </row>
    <row r="246" spans="1:29" x14ac:dyDescent="0.2">
      <c r="A246" s="38" t="s">
        <v>14</v>
      </c>
      <c r="B246" s="38" t="s">
        <v>1</v>
      </c>
      <c r="C246" s="38" t="s">
        <v>61</v>
      </c>
      <c r="D246" s="38" t="s">
        <v>5</v>
      </c>
      <c r="E246" s="38" t="s">
        <v>108</v>
      </c>
      <c r="F246" s="38" t="s">
        <v>62</v>
      </c>
      <c r="G246" s="38">
        <v>11</v>
      </c>
      <c r="H246" s="38" t="s">
        <v>17</v>
      </c>
      <c r="I246" s="38" t="s">
        <v>28</v>
      </c>
      <c r="J246" s="38">
        <v>0</v>
      </c>
      <c r="K246" s="39">
        <f>AB246/COUNTIFS($B:$B,$B246,$C:$C,$C246,$H:$H,$H246,$I:$I,$I246)</f>
        <v>0.05</v>
      </c>
      <c r="L246" s="40">
        <f t="shared" si="14"/>
        <v>1</v>
      </c>
      <c r="M246" s="41">
        <f t="shared" si="16"/>
        <v>0</v>
      </c>
      <c r="N246" s="38"/>
      <c r="AA246" s="137">
        <f>AB246/COUNTIFS($B:$B,$B246,$C:$C,$C246,$H:$H,$H246,$I:$I,$I246)</f>
        <v>0.05</v>
      </c>
      <c r="AB246" s="138">
        <f>VLOOKUP(I246,'Weights and Confidence'!$D$16:$AC$26,3,FALSE)</f>
        <v>0.05</v>
      </c>
      <c r="AC246" s="139">
        <f>VLOOKUP(I246,'Weights and Confidence'!$D$16:$AC$26,4,FALSE)</f>
        <v>1</v>
      </c>
    </row>
    <row r="247" spans="1:29" ht="17" thickBot="1" x14ac:dyDescent="0.25">
      <c r="A247" s="34" t="s">
        <v>14</v>
      </c>
      <c r="B247" s="34" t="s">
        <v>1</v>
      </c>
      <c r="C247" s="34" t="s">
        <v>61</v>
      </c>
      <c r="D247" s="34" t="s">
        <v>5</v>
      </c>
      <c r="E247" s="34" t="s">
        <v>108</v>
      </c>
      <c r="F247" s="34" t="s">
        <v>62</v>
      </c>
      <c r="G247" s="34">
        <v>11</v>
      </c>
      <c r="H247" s="34" t="s">
        <v>18</v>
      </c>
      <c r="I247" s="34" t="s">
        <v>28</v>
      </c>
      <c r="J247" s="34">
        <v>-1</v>
      </c>
      <c r="K247" s="35">
        <f>AB247/COUNTIFS($B:$B,$B247,$C:$C,$C247,$H:$H,$H247,$I:$I,$I247)</f>
        <v>0.05</v>
      </c>
      <c r="L247" s="36">
        <f t="shared" si="14"/>
        <v>1</v>
      </c>
      <c r="M247" s="37">
        <f t="shared" si="16"/>
        <v>-0.05</v>
      </c>
      <c r="N247" s="34"/>
      <c r="AA247" s="140">
        <f>AB247/COUNTIFS($B:$B,$B247,$C:$C,$C247,$H:$H,$H247,$I:$I,$I247)</f>
        <v>0.05</v>
      </c>
      <c r="AB247" s="141">
        <f>VLOOKUP(I247,'Weights and Confidence'!$D$16:$AC$26,3,FALSE)</f>
        <v>0.05</v>
      </c>
      <c r="AC247" s="142">
        <f>VLOOKUP(I247,'Weights and Confidence'!$D$16:$AC$26,4,FALSE)</f>
        <v>1</v>
      </c>
    </row>
    <row r="248" spans="1:29" ht="17" thickTop="1" x14ac:dyDescent="0.2">
      <c r="A248" s="42" t="s">
        <v>14</v>
      </c>
      <c r="B248" s="42" t="s">
        <v>1</v>
      </c>
      <c r="C248" s="42" t="s">
        <v>63</v>
      </c>
      <c r="D248" s="42" t="s">
        <v>65</v>
      </c>
      <c r="E248" s="42"/>
      <c r="F248" s="43" t="s">
        <v>64</v>
      </c>
      <c r="G248" s="42">
        <v>1</v>
      </c>
      <c r="H248" s="42" t="s">
        <v>17</v>
      </c>
      <c r="I248" s="42" t="s">
        <v>19</v>
      </c>
      <c r="J248" s="42">
        <v>0</v>
      </c>
      <c r="K248" s="44">
        <f>AB248/COUNTIFS($B:$B,$B248,$C:$C,$C248,$H:$H,$H248,$I:$I,$I248)</f>
        <v>0.12</v>
      </c>
      <c r="L248" s="45">
        <f t="shared" si="14"/>
        <v>1</v>
      </c>
      <c r="M248" s="46">
        <f t="shared" ref="M248:M269" si="17">J248*K248*L248</f>
        <v>0</v>
      </c>
      <c r="N248" s="42"/>
      <c r="AA248" s="137">
        <f>AB248/COUNTIFS($B:$B,$B248,$C:$C,$C248,$H:$H,$H248,$I:$I,$I248)</f>
        <v>0.12</v>
      </c>
      <c r="AB248" s="138">
        <f>VLOOKUP(I248,'Weights and Confidence'!$D$16:$AC$26,3,FALSE)</f>
        <v>0.12</v>
      </c>
      <c r="AC248" s="139">
        <f>VLOOKUP(I248,'Weights and Confidence'!$D$16:$AC$26,4,FALSE)</f>
        <v>1</v>
      </c>
    </row>
    <row r="249" spans="1:29" x14ac:dyDescent="0.2">
      <c r="A249" s="34" t="s">
        <v>14</v>
      </c>
      <c r="B249" s="34" t="s">
        <v>1</v>
      </c>
      <c r="C249" s="34" t="s">
        <v>63</v>
      </c>
      <c r="D249" s="34" t="s">
        <v>65</v>
      </c>
      <c r="E249" s="34"/>
      <c r="F249" s="34" t="s">
        <v>64</v>
      </c>
      <c r="G249" s="34">
        <v>1</v>
      </c>
      <c r="H249" s="34" t="s">
        <v>18</v>
      </c>
      <c r="I249" s="34" t="s">
        <v>19</v>
      </c>
      <c r="J249" s="34"/>
      <c r="K249" s="35">
        <f>AB249/COUNTIFS($B:$B,$B249,$C:$C,$C249,$H:$H,$H249,$I:$I,$I249)</f>
        <v>0.12</v>
      </c>
      <c r="L249" s="36">
        <f t="shared" si="14"/>
        <v>1</v>
      </c>
      <c r="M249" s="37">
        <f t="shared" si="17"/>
        <v>0</v>
      </c>
      <c r="N249" s="34"/>
      <c r="AA249" s="137">
        <f>AB249/COUNTIFS($B:$B,$B249,$C:$C,$C249,$H:$H,$H249,$I:$I,$I249)</f>
        <v>0.12</v>
      </c>
      <c r="AB249" s="138">
        <f>VLOOKUP(I249,'Weights and Confidence'!$D$16:$AC$26,3,FALSE)</f>
        <v>0.12</v>
      </c>
      <c r="AC249" s="139">
        <f>VLOOKUP(I249,'Weights and Confidence'!$D$16:$AC$26,4,FALSE)</f>
        <v>1</v>
      </c>
    </row>
    <row r="250" spans="1:29" x14ac:dyDescent="0.2">
      <c r="A250" s="38" t="s">
        <v>14</v>
      </c>
      <c r="B250" s="38" t="s">
        <v>1</v>
      </c>
      <c r="C250" s="38" t="s">
        <v>63</v>
      </c>
      <c r="D250" s="38" t="s">
        <v>65</v>
      </c>
      <c r="E250" s="38"/>
      <c r="F250" s="38" t="s">
        <v>64</v>
      </c>
      <c r="G250" s="38">
        <v>2</v>
      </c>
      <c r="H250" s="38" t="s">
        <v>17</v>
      </c>
      <c r="I250" s="38" t="s">
        <v>20</v>
      </c>
      <c r="J250" s="38"/>
      <c r="K250" s="39">
        <f>AB250/COUNTIFS($B:$B,$B250,$C:$C,$C250,$H:$H,$H250,$I:$I,$I250)</f>
        <v>0.08</v>
      </c>
      <c r="L250" s="40">
        <f t="shared" si="14"/>
        <v>0.8</v>
      </c>
      <c r="M250" s="41">
        <f t="shared" si="17"/>
        <v>0</v>
      </c>
      <c r="N250" s="38"/>
      <c r="AA250" s="137">
        <f>AB250/COUNTIFS($B:$B,$B250,$C:$C,$C250,$H:$H,$H250,$I:$I,$I250)</f>
        <v>0.08</v>
      </c>
      <c r="AB250" s="138">
        <f>VLOOKUP(I250,'Weights and Confidence'!$D$16:$AC$26,3,FALSE)</f>
        <v>0.08</v>
      </c>
      <c r="AC250" s="139">
        <f>VLOOKUP(I250,'Weights and Confidence'!$D$16:$AC$26,4,FALSE)</f>
        <v>0.8</v>
      </c>
    </row>
    <row r="251" spans="1:29" x14ac:dyDescent="0.2">
      <c r="A251" s="34" t="s">
        <v>14</v>
      </c>
      <c r="B251" s="34" t="s">
        <v>1</v>
      </c>
      <c r="C251" s="34" t="s">
        <v>63</v>
      </c>
      <c r="D251" s="34" t="s">
        <v>65</v>
      </c>
      <c r="E251" s="34"/>
      <c r="F251" s="34" t="s">
        <v>64</v>
      </c>
      <c r="G251" s="34">
        <v>2</v>
      </c>
      <c r="H251" s="34" t="s">
        <v>18</v>
      </c>
      <c r="I251" s="34" t="s">
        <v>20</v>
      </c>
      <c r="J251" s="34"/>
      <c r="K251" s="35">
        <f>AB251/COUNTIFS($B:$B,$B251,$C:$C,$C251,$H:$H,$H251,$I:$I,$I251)</f>
        <v>0.08</v>
      </c>
      <c r="L251" s="36">
        <f t="shared" si="14"/>
        <v>0.8</v>
      </c>
      <c r="M251" s="37">
        <f t="shared" si="17"/>
        <v>0</v>
      </c>
      <c r="N251" s="34"/>
      <c r="AA251" s="137">
        <f>AB251/COUNTIFS($B:$B,$B251,$C:$C,$C251,$H:$H,$H251,$I:$I,$I251)</f>
        <v>0.08</v>
      </c>
      <c r="AB251" s="138">
        <f>VLOOKUP(I251,'Weights and Confidence'!$D$16:$AC$26,3,FALSE)</f>
        <v>0.08</v>
      </c>
      <c r="AC251" s="139">
        <f>VLOOKUP(I251,'Weights and Confidence'!$D$16:$AC$26,4,FALSE)</f>
        <v>0.8</v>
      </c>
    </row>
    <row r="252" spans="1:29" x14ac:dyDescent="0.2">
      <c r="A252" s="38" t="s">
        <v>14</v>
      </c>
      <c r="B252" s="38" t="s">
        <v>1</v>
      </c>
      <c r="C252" s="38" t="s">
        <v>63</v>
      </c>
      <c r="D252" s="38" t="s">
        <v>65</v>
      </c>
      <c r="E252" s="38"/>
      <c r="F252" s="38" t="s">
        <v>64</v>
      </c>
      <c r="G252" s="38">
        <v>3</v>
      </c>
      <c r="H252" s="38" t="s">
        <v>17</v>
      </c>
      <c r="I252" s="38" t="s">
        <v>21</v>
      </c>
      <c r="J252" s="38">
        <v>1</v>
      </c>
      <c r="K252" s="39">
        <f>AB252/COUNTIFS($B:$B,$B252,$C:$C,$C252,$H:$H,$H252,$I:$I,$I252)</f>
        <v>0.05</v>
      </c>
      <c r="L252" s="40">
        <f t="shared" si="14"/>
        <v>1</v>
      </c>
      <c r="M252" s="41">
        <f t="shared" si="17"/>
        <v>0.05</v>
      </c>
      <c r="N252" s="38"/>
      <c r="AA252" s="137">
        <f>AB252/COUNTIFS($B:$B,$B252,$C:$C,$C252,$H:$H,$H252,$I:$I,$I252)</f>
        <v>0.05</v>
      </c>
      <c r="AB252" s="138">
        <f>VLOOKUP(I252,'Weights and Confidence'!$D$16:$AC$26,3,FALSE)</f>
        <v>0.05</v>
      </c>
      <c r="AC252" s="139">
        <f>VLOOKUP(I252,'Weights and Confidence'!$D$16:$AC$26,4,FALSE)</f>
        <v>1</v>
      </c>
    </row>
    <row r="253" spans="1:29" x14ac:dyDescent="0.2">
      <c r="A253" s="34" t="s">
        <v>14</v>
      </c>
      <c r="B253" s="34" t="s">
        <v>1</v>
      </c>
      <c r="C253" s="34" t="s">
        <v>63</v>
      </c>
      <c r="D253" s="34" t="s">
        <v>65</v>
      </c>
      <c r="E253" s="34"/>
      <c r="F253" s="34" t="s">
        <v>64</v>
      </c>
      <c r="G253" s="34">
        <v>3</v>
      </c>
      <c r="H253" s="34" t="s">
        <v>18</v>
      </c>
      <c r="I253" s="34" t="s">
        <v>21</v>
      </c>
      <c r="J253" s="34"/>
      <c r="K253" s="35">
        <f>AB253/COUNTIFS($B:$B,$B253,$C:$C,$C253,$H:$H,$H253,$I:$I,$I253)</f>
        <v>0.05</v>
      </c>
      <c r="L253" s="36">
        <f t="shared" si="14"/>
        <v>1</v>
      </c>
      <c r="M253" s="37">
        <f t="shared" si="17"/>
        <v>0</v>
      </c>
      <c r="N253" s="34"/>
      <c r="AA253" s="137">
        <f>AB253/COUNTIFS($B:$B,$B253,$C:$C,$C253,$H:$H,$H253,$I:$I,$I253)</f>
        <v>0.05</v>
      </c>
      <c r="AB253" s="138">
        <f>VLOOKUP(I253,'Weights and Confidence'!$D$16:$AC$26,3,FALSE)</f>
        <v>0.05</v>
      </c>
      <c r="AC253" s="139">
        <f>VLOOKUP(I253,'Weights and Confidence'!$D$16:$AC$26,4,FALSE)</f>
        <v>1</v>
      </c>
    </row>
    <row r="254" spans="1:29" x14ac:dyDescent="0.2">
      <c r="A254" s="38" t="s">
        <v>14</v>
      </c>
      <c r="B254" s="38" t="s">
        <v>1</v>
      </c>
      <c r="C254" s="38" t="s">
        <v>63</v>
      </c>
      <c r="D254" s="38" t="s">
        <v>65</v>
      </c>
      <c r="E254" s="38"/>
      <c r="F254" s="38" t="s">
        <v>64</v>
      </c>
      <c r="G254" s="38">
        <v>4</v>
      </c>
      <c r="H254" s="38" t="s">
        <v>17</v>
      </c>
      <c r="I254" s="38" t="s">
        <v>22</v>
      </c>
      <c r="J254" s="38">
        <v>-1</v>
      </c>
      <c r="K254" s="39">
        <f>AB254/COUNTIFS($B:$B,$B254,$C:$C,$C254,$H:$H,$H254,$I:$I,$I254)</f>
        <v>0.14000000000000001</v>
      </c>
      <c r="L254" s="40">
        <f t="shared" si="14"/>
        <v>1</v>
      </c>
      <c r="M254" s="41">
        <f t="shared" si="17"/>
        <v>-0.14000000000000001</v>
      </c>
      <c r="N254" s="38"/>
      <c r="AA254" s="137">
        <f>AB254/COUNTIFS($B:$B,$B254,$C:$C,$C254,$H:$H,$H254,$I:$I,$I254)</f>
        <v>0.14000000000000001</v>
      </c>
      <c r="AB254" s="138">
        <f>VLOOKUP(I254,'Weights and Confidence'!$D$16:$AC$26,3,FALSE)</f>
        <v>0.14000000000000001</v>
      </c>
      <c r="AC254" s="139">
        <f>VLOOKUP(I254,'Weights and Confidence'!$D$16:$AC$26,4,FALSE)</f>
        <v>1</v>
      </c>
    </row>
    <row r="255" spans="1:29" x14ac:dyDescent="0.2">
      <c r="A255" s="34" t="s">
        <v>14</v>
      </c>
      <c r="B255" s="34" t="s">
        <v>1</v>
      </c>
      <c r="C255" s="34" t="s">
        <v>63</v>
      </c>
      <c r="D255" s="34" t="s">
        <v>65</v>
      </c>
      <c r="E255" s="34"/>
      <c r="F255" s="34" t="s">
        <v>64</v>
      </c>
      <c r="G255" s="34">
        <v>4</v>
      </c>
      <c r="H255" s="34" t="s">
        <v>18</v>
      </c>
      <c r="I255" s="34" t="s">
        <v>22</v>
      </c>
      <c r="J255" s="34">
        <v>-1</v>
      </c>
      <c r="K255" s="35">
        <f>AB255/COUNTIFS($B:$B,$B255,$C:$C,$C255,$H:$H,$H255,$I:$I,$I255)</f>
        <v>0.14000000000000001</v>
      </c>
      <c r="L255" s="36">
        <f t="shared" si="14"/>
        <v>1</v>
      </c>
      <c r="M255" s="37">
        <f t="shared" si="17"/>
        <v>-0.14000000000000001</v>
      </c>
      <c r="N255" s="34"/>
      <c r="AA255" s="137">
        <f>AB255/COUNTIFS($B:$B,$B255,$C:$C,$C255,$H:$H,$H255,$I:$I,$I255)</f>
        <v>0.14000000000000001</v>
      </c>
      <c r="AB255" s="138">
        <f>VLOOKUP(I255,'Weights and Confidence'!$D$16:$AC$26,3,FALSE)</f>
        <v>0.14000000000000001</v>
      </c>
      <c r="AC255" s="139">
        <f>VLOOKUP(I255,'Weights and Confidence'!$D$16:$AC$26,4,FALSE)</f>
        <v>1</v>
      </c>
    </row>
    <row r="256" spans="1:29" x14ac:dyDescent="0.2">
      <c r="A256" s="38" t="s">
        <v>14</v>
      </c>
      <c r="B256" s="38" t="s">
        <v>1</v>
      </c>
      <c r="C256" s="38" t="s">
        <v>63</v>
      </c>
      <c r="D256" s="38" t="s">
        <v>65</v>
      </c>
      <c r="E256" s="38"/>
      <c r="F256" s="38" t="s">
        <v>64</v>
      </c>
      <c r="G256" s="38">
        <v>5</v>
      </c>
      <c r="H256" s="38" t="s">
        <v>17</v>
      </c>
      <c r="I256" s="38" t="s">
        <v>23</v>
      </c>
      <c r="J256" s="38">
        <v>-1</v>
      </c>
      <c r="K256" s="39">
        <f>AB256/COUNTIFS($B:$B,$B256,$C:$C,$C256,$H:$H,$H256,$I:$I,$I256)</f>
        <v>0.11</v>
      </c>
      <c r="L256" s="40">
        <f t="shared" si="14"/>
        <v>1</v>
      </c>
      <c r="M256" s="41">
        <f t="shared" si="17"/>
        <v>-0.11</v>
      </c>
      <c r="N256" s="38"/>
      <c r="AA256" s="137">
        <f>AB256/COUNTIFS($B:$B,$B256,$C:$C,$C256,$H:$H,$H256,$I:$I,$I256)</f>
        <v>0.11</v>
      </c>
      <c r="AB256" s="138">
        <f>VLOOKUP(I256,'Weights and Confidence'!$D$16:$AC$26,3,FALSE)</f>
        <v>0.11</v>
      </c>
      <c r="AC256" s="139">
        <f>VLOOKUP(I256,'Weights and Confidence'!$D$16:$AC$26,4,FALSE)</f>
        <v>1</v>
      </c>
    </row>
    <row r="257" spans="1:29" x14ac:dyDescent="0.2">
      <c r="A257" s="34" t="s">
        <v>14</v>
      </c>
      <c r="B257" s="34" t="s">
        <v>1</v>
      </c>
      <c r="C257" s="34" t="s">
        <v>63</v>
      </c>
      <c r="D257" s="34" t="s">
        <v>65</v>
      </c>
      <c r="E257" s="34"/>
      <c r="F257" s="34" t="s">
        <v>64</v>
      </c>
      <c r="G257" s="34">
        <v>5</v>
      </c>
      <c r="H257" s="34" t="s">
        <v>18</v>
      </c>
      <c r="I257" s="34" t="s">
        <v>23</v>
      </c>
      <c r="J257" s="34">
        <v>-1</v>
      </c>
      <c r="K257" s="35">
        <f>AB257/COUNTIFS($B:$B,$B257,$C:$C,$C257,$H:$H,$H257,$I:$I,$I257)</f>
        <v>0.11</v>
      </c>
      <c r="L257" s="36">
        <f t="shared" si="14"/>
        <v>1</v>
      </c>
      <c r="M257" s="37">
        <f t="shared" si="17"/>
        <v>-0.11</v>
      </c>
      <c r="N257" s="34"/>
      <c r="AA257" s="137">
        <f>AB257/COUNTIFS($B:$B,$B257,$C:$C,$C257,$H:$H,$H257,$I:$I,$I257)</f>
        <v>0.11</v>
      </c>
      <c r="AB257" s="138">
        <f>VLOOKUP(I257,'Weights and Confidence'!$D$16:$AC$26,3,FALSE)</f>
        <v>0.11</v>
      </c>
      <c r="AC257" s="139">
        <f>VLOOKUP(I257,'Weights and Confidence'!$D$16:$AC$26,4,FALSE)</f>
        <v>1</v>
      </c>
    </row>
    <row r="258" spans="1:29" x14ac:dyDescent="0.2">
      <c r="A258" s="38" t="s">
        <v>14</v>
      </c>
      <c r="B258" s="38" t="s">
        <v>1</v>
      </c>
      <c r="C258" s="38" t="s">
        <v>63</v>
      </c>
      <c r="D258" s="38" t="s">
        <v>65</v>
      </c>
      <c r="E258" s="38"/>
      <c r="F258" s="38" t="s">
        <v>64</v>
      </c>
      <c r="G258" s="38">
        <v>6</v>
      </c>
      <c r="H258" s="38" t="s">
        <v>17</v>
      </c>
      <c r="I258" s="38" t="s">
        <v>24</v>
      </c>
      <c r="J258" s="38">
        <v>0</v>
      </c>
      <c r="K258" s="39">
        <f>AB258/COUNTIFS($B:$B,$B258,$C:$C,$C258,$H:$H,$H258,$I:$I,$I258)</f>
        <v>0.15</v>
      </c>
      <c r="L258" s="40">
        <f t="shared" si="14"/>
        <v>1</v>
      </c>
      <c r="M258" s="41">
        <f t="shared" si="17"/>
        <v>0</v>
      </c>
      <c r="N258" s="38"/>
      <c r="AA258" s="137">
        <f>AB258/COUNTIFS($B:$B,$B258,$C:$C,$C258,$H:$H,$H258,$I:$I,$I258)</f>
        <v>0.15</v>
      </c>
      <c r="AB258" s="138">
        <f>VLOOKUP(I258,'Weights and Confidence'!$D$16:$AC$26,3,FALSE)</f>
        <v>0.15</v>
      </c>
      <c r="AC258" s="139">
        <f>VLOOKUP(I258,'Weights and Confidence'!$D$16:$AC$26,4,FALSE)</f>
        <v>1</v>
      </c>
    </row>
    <row r="259" spans="1:29" x14ac:dyDescent="0.2">
      <c r="A259" s="34" t="s">
        <v>14</v>
      </c>
      <c r="B259" s="34" t="s">
        <v>1</v>
      </c>
      <c r="C259" s="34" t="s">
        <v>63</v>
      </c>
      <c r="D259" s="34" t="s">
        <v>65</v>
      </c>
      <c r="E259" s="34"/>
      <c r="F259" s="34" t="s">
        <v>64</v>
      </c>
      <c r="G259" s="34">
        <v>6</v>
      </c>
      <c r="H259" s="34" t="s">
        <v>18</v>
      </c>
      <c r="I259" s="34" t="s">
        <v>24</v>
      </c>
      <c r="J259" s="34">
        <v>-1</v>
      </c>
      <c r="K259" s="35">
        <f>AB259/COUNTIFS($B:$B,$B259,$C:$C,$C259,$H:$H,$H259,$I:$I,$I259)</f>
        <v>0.15</v>
      </c>
      <c r="L259" s="36">
        <f t="shared" si="14"/>
        <v>1</v>
      </c>
      <c r="M259" s="37">
        <f t="shared" si="17"/>
        <v>-0.15</v>
      </c>
      <c r="N259" s="34"/>
      <c r="AA259" s="137">
        <f>AB259/COUNTIFS($B:$B,$B259,$C:$C,$C259,$H:$H,$H259,$I:$I,$I259)</f>
        <v>0.15</v>
      </c>
      <c r="AB259" s="138">
        <f>VLOOKUP(I259,'Weights and Confidence'!$D$16:$AC$26,3,FALSE)</f>
        <v>0.15</v>
      </c>
      <c r="AC259" s="139">
        <f>VLOOKUP(I259,'Weights and Confidence'!$D$16:$AC$26,4,FALSE)</f>
        <v>1</v>
      </c>
    </row>
    <row r="260" spans="1:29" x14ac:dyDescent="0.2">
      <c r="A260" s="38" t="s">
        <v>14</v>
      </c>
      <c r="B260" s="38" t="s">
        <v>1</v>
      </c>
      <c r="C260" s="38" t="s">
        <v>63</v>
      </c>
      <c r="D260" s="38" t="s">
        <v>65</v>
      </c>
      <c r="E260" s="38"/>
      <c r="F260" s="38" t="s">
        <v>64</v>
      </c>
      <c r="G260" s="38">
        <v>7</v>
      </c>
      <c r="H260" s="38" t="s">
        <v>17</v>
      </c>
      <c r="I260" s="38" t="s">
        <v>25</v>
      </c>
      <c r="J260" s="38">
        <v>0</v>
      </c>
      <c r="K260" s="39">
        <f>AB260/COUNTIFS($B:$B,$B260,$C:$C,$C260,$H:$H,$H260,$I:$I,$I260)</f>
        <v>0.1</v>
      </c>
      <c r="L260" s="40">
        <f t="shared" si="14"/>
        <v>1</v>
      </c>
      <c r="M260" s="41">
        <f t="shared" si="17"/>
        <v>0</v>
      </c>
      <c r="N260" s="38"/>
      <c r="AA260" s="137">
        <f>AB260/COUNTIFS($B:$B,$B260,$C:$C,$C260,$H:$H,$H260,$I:$I,$I260)</f>
        <v>0.1</v>
      </c>
      <c r="AB260" s="138">
        <f>VLOOKUP(I260,'Weights and Confidence'!$D$16:$AC$26,3,FALSE)</f>
        <v>0.1</v>
      </c>
      <c r="AC260" s="139">
        <f>VLOOKUP(I260,'Weights and Confidence'!$D$16:$AC$26,4,FALSE)</f>
        <v>1</v>
      </c>
    </row>
    <row r="261" spans="1:29" x14ac:dyDescent="0.2">
      <c r="A261" s="34" t="s">
        <v>14</v>
      </c>
      <c r="B261" s="34" t="s">
        <v>1</v>
      </c>
      <c r="C261" s="34" t="s">
        <v>63</v>
      </c>
      <c r="D261" s="34" t="s">
        <v>65</v>
      </c>
      <c r="E261" s="34"/>
      <c r="F261" s="34" t="s">
        <v>64</v>
      </c>
      <c r="G261" s="34">
        <v>7</v>
      </c>
      <c r="H261" s="34" t="s">
        <v>18</v>
      </c>
      <c r="I261" s="34" t="s">
        <v>25</v>
      </c>
      <c r="J261" s="34">
        <v>-1</v>
      </c>
      <c r="K261" s="35">
        <f>AB261/COUNTIFS($B:$B,$B261,$C:$C,$C261,$H:$H,$H261,$I:$I,$I261)</f>
        <v>0.1</v>
      </c>
      <c r="L261" s="36">
        <f t="shared" si="14"/>
        <v>1</v>
      </c>
      <c r="M261" s="37">
        <f t="shared" si="17"/>
        <v>-0.1</v>
      </c>
      <c r="N261" s="34"/>
      <c r="AA261" s="137">
        <f>AB261/COUNTIFS($B:$B,$B261,$C:$C,$C261,$H:$H,$H261,$I:$I,$I261)</f>
        <v>0.1</v>
      </c>
      <c r="AB261" s="138">
        <f>VLOOKUP(I261,'Weights and Confidence'!$D$16:$AC$26,3,FALSE)</f>
        <v>0.1</v>
      </c>
      <c r="AC261" s="139">
        <f>VLOOKUP(I261,'Weights and Confidence'!$D$16:$AC$26,4,FALSE)</f>
        <v>1</v>
      </c>
    </row>
    <row r="262" spans="1:29" x14ac:dyDescent="0.2">
      <c r="A262" s="38" t="s">
        <v>14</v>
      </c>
      <c r="B262" s="38" t="s">
        <v>1</v>
      </c>
      <c r="C262" s="38" t="s">
        <v>63</v>
      </c>
      <c r="D262" s="38" t="s">
        <v>65</v>
      </c>
      <c r="E262" s="38"/>
      <c r="F262" s="38" t="s">
        <v>64</v>
      </c>
      <c r="G262" s="38">
        <v>8</v>
      </c>
      <c r="H262" s="38" t="s">
        <v>17</v>
      </c>
      <c r="I262" s="38" t="s">
        <v>26</v>
      </c>
      <c r="J262" s="38">
        <v>0</v>
      </c>
      <c r="K262" s="39">
        <f>AB262/COUNTIFS($B:$B,$B262,$C:$C,$C262,$H:$H,$H262,$I:$I,$I262)</f>
        <v>0.1</v>
      </c>
      <c r="L262" s="40">
        <f t="shared" ref="L262:L325" si="18">AC262</f>
        <v>1</v>
      </c>
      <c r="M262" s="41">
        <f t="shared" si="17"/>
        <v>0</v>
      </c>
      <c r="N262" s="38"/>
      <c r="AA262" s="137">
        <f>AB262/COUNTIFS($B:$B,$B262,$C:$C,$C262,$H:$H,$H262,$I:$I,$I262)</f>
        <v>0.1</v>
      </c>
      <c r="AB262" s="138">
        <f>VLOOKUP(I262,'Weights and Confidence'!$D$16:$AC$26,3,FALSE)</f>
        <v>0.1</v>
      </c>
      <c r="AC262" s="139">
        <f>VLOOKUP(I262,'Weights and Confidence'!$D$16:$AC$26,4,FALSE)</f>
        <v>1</v>
      </c>
    </row>
    <row r="263" spans="1:29" x14ac:dyDescent="0.2">
      <c r="A263" s="34" t="s">
        <v>14</v>
      </c>
      <c r="B263" s="34" t="s">
        <v>1</v>
      </c>
      <c r="C263" s="34" t="s">
        <v>63</v>
      </c>
      <c r="D263" s="34" t="s">
        <v>65</v>
      </c>
      <c r="E263" s="34"/>
      <c r="F263" s="34" t="s">
        <v>64</v>
      </c>
      <c r="G263" s="34">
        <v>8</v>
      </c>
      <c r="H263" s="34" t="s">
        <v>18</v>
      </c>
      <c r="I263" s="34" t="s">
        <v>26</v>
      </c>
      <c r="J263" s="34">
        <v>-1</v>
      </c>
      <c r="K263" s="35">
        <f>AB263/COUNTIFS($B:$B,$B263,$C:$C,$C263,$H:$H,$H263,$I:$I,$I263)</f>
        <v>0.1</v>
      </c>
      <c r="L263" s="36">
        <f t="shared" si="18"/>
        <v>1</v>
      </c>
      <c r="M263" s="37">
        <f t="shared" si="17"/>
        <v>-0.1</v>
      </c>
      <c r="N263" s="34"/>
      <c r="AA263" s="137">
        <f>AB263/COUNTIFS($B:$B,$B263,$C:$C,$C263,$H:$H,$H263,$I:$I,$I263)</f>
        <v>0.1</v>
      </c>
      <c r="AB263" s="138">
        <f>VLOOKUP(I263,'Weights and Confidence'!$D$16:$AC$26,3,FALSE)</f>
        <v>0.1</v>
      </c>
      <c r="AC263" s="139">
        <f>VLOOKUP(I263,'Weights and Confidence'!$D$16:$AC$26,4,FALSE)</f>
        <v>1</v>
      </c>
    </row>
    <row r="264" spans="1:29" x14ac:dyDescent="0.2">
      <c r="A264" s="38" t="s">
        <v>14</v>
      </c>
      <c r="B264" s="38" t="s">
        <v>1</v>
      </c>
      <c r="C264" s="38" t="s">
        <v>63</v>
      </c>
      <c r="D264" s="38" t="s">
        <v>65</v>
      </c>
      <c r="E264" s="38"/>
      <c r="F264" s="38" t="s">
        <v>64</v>
      </c>
      <c r="G264" s="38">
        <v>9</v>
      </c>
      <c r="H264" s="38" t="s">
        <v>17</v>
      </c>
      <c r="I264" s="38" t="s">
        <v>27</v>
      </c>
      <c r="J264" s="38">
        <v>-1</v>
      </c>
      <c r="K264" s="39">
        <f>AB264/COUNTIFS($B:$B,$B264,$C:$C,$C264,$H:$H,$H264,$I:$I,$I264)</f>
        <v>0.05</v>
      </c>
      <c r="L264" s="40">
        <f t="shared" si="18"/>
        <v>0.85</v>
      </c>
      <c r="M264" s="41">
        <f t="shared" si="17"/>
        <v>-4.2500000000000003E-2</v>
      </c>
      <c r="N264" s="38"/>
      <c r="AA264" s="137">
        <f>AB264/COUNTIFS($B:$B,$B264,$C:$C,$C264,$H:$H,$H264,$I:$I,$I264)</f>
        <v>0.05</v>
      </c>
      <c r="AB264" s="138">
        <f>VLOOKUP(I264,'Weights and Confidence'!$D$16:$AC$26,3,FALSE)</f>
        <v>0.1</v>
      </c>
      <c r="AC264" s="139">
        <f>VLOOKUP(I264,'Weights and Confidence'!$D$16:$AC$26,4,FALSE)</f>
        <v>0.85</v>
      </c>
    </row>
    <row r="265" spans="1:29" x14ac:dyDescent="0.2">
      <c r="A265" s="34" t="s">
        <v>14</v>
      </c>
      <c r="B265" s="34" t="s">
        <v>1</v>
      </c>
      <c r="C265" s="34" t="s">
        <v>63</v>
      </c>
      <c r="D265" s="34" t="s">
        <v>65</v>
      </c>
      <c r="E265" s="34"/>
      <c r="F265" s="34" t="s">
        <v>64</v>
      </c>
      <c r="G265" s="34">
        <v>9</v>
      </c>
      <c r="H265" s="34" t="s">
        <v>18</v>
      </c>
      <c r="I265" s="34" t="s">
        <v>27</v>
      </c>
      <c r="J265" s="34">
        <v>-1</v>
      </c>
      <c r="K265" s="35">
        <f>AB265/COUNTIFS($B:$B,$B265,$C:$C,$C265,$H:$H,$H265,$I:$I,$I265)</f>
        <v>0.05</v>
      </c>
      <c r="L265" s="36">
        <f t="shared" si="18"/>
        <v>0.85</v>
      </c>
      <c r="M265" s="37">
        <f t="shared" si="17"/>
        <v>-4.2500000000000003E-2</v>
      </c>
      <c r="N265" s="34"/>
      <c r="AA265" s="137">
        <f>AB265/COUNTIFS($B:$B,$B265,$C:$C,$C265,$H:$H,$H265,$I:$I,$I265)</f>
        <v>0.05</v>
      </c>
      <c r="AB265" s="138">
        <f>VLOOKUP(I265,'Weights and Confidence'!$D$16:$AC$26,3,FALSE)</f>
        <v>0.1</v>
      </c>
      <c r="AC265" s="139">
        <f>VLOOKUP(I265,'Weights and Confidence'!$D$16:$AC$26,4,FALSE)</f>
        <v>0.85</v>
      </c>
    </row>
    <row r="266" spans="1:29" x14ac:dyDescent="0.2">
      <c r="A266" s="38" t="s">
        <v>14</v>
      </c>
      <c r="B266" s="38" t="s">
        <v>1</v>
      </c>
      <c r="C266" s="38" t="s">
        <v>63</v>
      </c>
      <c r="D266" s="38" t="s">
        <v>65</v>
      </c>
      <c r="E266" s="38"/>
      <c r="F266" s="38" t="s">
        <v>64</v>
      </c>
      <c r="G266" s="38">
        <v>10</v>
      </c>
      <c r="H266" s="38" t="s">
        <v>17</v>
      </c>
      <c r="I266" s="38" t="s">
        <v>27</v>
      </c>
      <c r="J266" s="38">
        <v>0</v>
      </c>
      <c r="K266" s="39">
        <f>AB266/COUNTIFS($B:$B,$B266,$C:$C,$C266,$H:$H,$H266,$I:$I,$I266)</f>
        <v>0.05</v>
      </c>
      <c r="L266" s="40">
        <f t="shared" si="18"/>
        <v>0.85</v>
      </c>
      <c r="M266" s="41">
        <f t="shared" si="17"/>
        <v>0</v>
      </c>
      <c r="N266" s="38"/>
      <c r="AA266" s="137">
        <f>AB266/COUNTIFS($B:$B,$B266,$C:$C,$C266,$H:$H,$H266,$I:$I,$I266)</f>
        <v>0.05</v>
      </c>
      <c r="AB266" s="138">
        <f>VLOOKUP(I266,'Weights and Confidence'!$D$16:$AC$26,3,FALSE)</f>
        <v>0.1</v>
      </c>
      <c r="AC266" s="139">
        <f>VLOOKUP(I266,'Weights and Confidence'!$D$16:$AC$26,4,FALSE)</f>
        <v>0.85</v>
      </c>
    </row>
    <row r="267" spans="1:29" x14ac:dyDescent="0.2">
      <c r="A267" s="34" t="s">
        <v>14</v>
      </c>
      <c r="B267" s="34" t="s">
        <v>1</v>
      </c>
      <c r="C267" s="34" t="s">
        <v>63</v>
      </c>
      <c r="D267" s="34" t="s">
        <v>65</v>
      </c>
      <c r="E267" s="34"/>
      <c r="F267" s="34" t="s">
        <v>64</v>
      </c>
      <c r="G267" s="34">
        <v>10</v>
      </c>
      <c r="H267" s="34" t="s">
        <v>18</v>
      </c>
      <c r="I267" s="34" t="s">
        <v>27</v>
      </c>
      <c r="J267" s="34">
        <v>0</v>
      </c>
      <c r="K267" s="35">
        <f>AB267/COUNTIFS($B:$B,$B267,$C:$C,$C267,$H:$H,$H267,$I:$I,$I267)</f>
        <v>0.05</v>
      </c>
      <c r="L267" s="36">
        <f t="shared" si="18"/>
        <v>0.85</v>
      </c>
      <c r="M267" s="37">
        <f t="shared" si="17"/>
        <v>0</v>
      </c>
      <c r="N267" s="34"/>
      <c r="AA267" s="137">
        <f>AB267/COUNTIFS($B:$B,$B267,$C:$C,$C267,$H:$H,$H267,$I:$I,$I267)</f>
        <v>0.05</v>
      </c>
      <c r="AB267" s="138">
        <f>VLOOKUP(I267,'Weights and Confidence'!$D$16:$AC$26,3,FALSE)</f>
        <v>0.1</v>
      </c>
      <c r="AC267" s="139">
        <f>VLOOKUP(I267,'Weights and Confidence'!$D$16:$AC$26,4,FALSE)</f>
        <v>0.85</v>
      </c>
    </row>
    <row r="268" spans="1:29" x14ac:dyDescent="0.2">
      <c r="A268" s="38" t="s">
        <v>14</v>
      </c>
      <c r="B268" s="38" t="s">
        <v>1</v>
      </c>
      <c r="C268" s="38" t="s">
        <v>63</v>
      </c>
      <c r="D268" s="38" t="s">
        <v>65</v>
      </c>
      <c r="E268" s="38"/>
      <c r="F268" s="38" t="s">
        <v>64</v>
      </c>
      <c r="G268" s="38">
        <v>11</v>
      </c>
      <c r="H268" s="38" t="s">
        <v>17</v>
      </c>
      <c r="I268" s="38" t="s">
        <v>28</v>
      </c>
      <c r="J268" s="38">
        <v>-1</v>
      </c>
      <c r="K268" s="39">
        <f>AB268/COUNTIFS($B:$B,$B268,$C:$C,$C268,$H:$H,$H268,$I:$I,$I268)</f>
        <v>0.05</v>
      </c>
      <c r="L268" s="40">
        <f t="shared" si="18"/>
        <v>1</v>
      </c>
      <c r="M268" s="41">
        <f t="shared" si="17"/>
        <v>-0.05</v>
      </c>
      <c r="N268" s="38"/>
      <c r="AA268" s="137">
        <f>AB268/COUNTIFS($B:$B,$B268,$C:$C,$C268,$H:$H,$H268,$I:$I,$I268)</f>
        <v>0.05</v>
      </c>
      <c r="AB268" s="138">
        <f>VLOOKUP(I268,'Weights and Confidence'!$D$16:$AC$26,3,FALSE)</f>
        <v>0.05</v>
      </c>
      <c r="AC268" s="139">
        <f>VLOOKUP(I268,'Weights and Confidence'!$D$16:$AC$26,4,FALSE)</f>
        <v>1</v>
      </c>
    </row>
    <row r="269" spans="1:29" ht="17" thickBot="1" x14ac:dyDescent="0.25">
      <c r="A269" s="34" t="s">
        <v>14</v>
      </c>
      <c r="B269" s="34" t="s">
        <v>1</v>
      </c>
      <c r="C269" s="34" t="s">
        <v>63</v>
      </c>
      <c r="D269" s="34" t="s">
        <v>65</v>
      </c>
      <c r="E269" s="34"/>
      <c r="F269" s="34" t="s">
        <v>64</v>
      </c>
      <c r="G269" s="34">
        <v>11</v>
      </c>
      <c r="H269" s="34" t="s">
        <v>18</v>
      </c>
      <c r="I269" s="34" t="s">
        <v>28</v>
      </c>
      <c r="J269" s="34">
        <v>-1</v>
      </c>
      <c r="K269" s="35">
        <f>AB269/COUNTIFS($B:$B,$B269,$C:$C,$C269,$H:$H,$H269,$I:$I,$I269)</f>
        <v>0.05</v>
      </c>
      <c r="L269" s="36">
        <f t="shared" si="18"/>
        <v>1</v>
      </c>
      <c r="M269" s="37">
        <f t="shared" si="17"/>
        <v>-0.05</v>
      </c>
      <c r="N269" s="34"/>
      <c r="AA269" s="140">
        <f>AB269/COUNTIFS($B:$B,$B269,$C:$C,$C269,$H:$H,$H269,$I:$I,$I269)</f>
        <v>0.05</v>
      </c>
      <c r="AB269" s="141">
        <f>VLOOKUP(I269,'Weights and Confidence'!$D$16:$AC$26,3,FALSE)</f>
        <v>0.05</v>
      </c>
      <c r="AC269" s="142">
        <f>VLOOKUP(I269,'Weights and Confidence'!$D$16:$AC$26,4,FALSE)</f>
        <v>1</v>
      </c>
    </row>
    <row r="270" spans="1:29" ht="17" thickTop="1" x14ac:dyDescent="0.2">
      <c r="A270" s="42" t="s">
        <v>14</v>
      </c>
      <c r="B270" s="42" t="s">
        <v>1</v>
      </c>
      <c r="C270" s="42" t="s">
        <v>66</v>
      </c>
      <c r="D270" s="42" t="s">
        <v>65</v>
      </c>
      <c r="E270" s="42"/>
      <c r="F270" s="43" t="s">
        <v>67</v>
      </c>
      <c r="G270" s="42">
        <v>1</v>
      </c>
      <c r="H270" s="42" t="s">
        <v>17</v>
      </c>
      <c r="I270" s="42" t="s">
        <v>19</v>
      </c>
      <c r="J270" s="42">
        <v>1</v>
      </c>
      <c r="K270" s="44">
        <f>AB270/COUNTIFS($B:$B,$B270,$C:$C,$C270,$H:$H,$H270,$I:$I,$I270)</f>
        <v>0.12</v>
      </c>
      <c r="L270" s="45">
        <f t="shared" si="18"/>
        <v>1</v>
      </c>
      <c r="M270" s="46">
        <f t="shared" ref="M270:M291" si="19">J270*K270*L270</f>
        <v>0.12</v>
      </c>
      <c r="N270" s="42"/>
      <c r="AA270" s="137">
        <f>AB270/COUNTIFS($B:$B,$B270,$C:$C,$C270,$H:$H,$H270,$I:$I,$I270)</f>
        <v>0.12</v>
      </c>
      <c r="AB270" s="138">
        <f>VLOOKUP(I270,'Weights and Confidence'!$D$16:$AC$26,3,FALSE)</f>
        <v>0.12</v>
      </c>
      <c r="AC270" s="139">
        <f>VLOOKUP(I270,'Weights and Confidence'!$D$16:$AC$26,4,FALSE)</f>
        <v>1</v>
      </c>
    </row>
    <row r="271" spans="1:29" x14ac:dyDescent="0.2">
      <c r="A271" s="34" t="s">
        <v>14</v>
      </c>
      <c r="B271" s="34" t="s">
        <v>1</v>
      </c>
      <c r="C271" s="34" t="s">
        <v>66</v>
      </c>
      <c r="D271" s="34" t="s">
        <v>65</v>
      </c>
      <c r="E271" s="34"/>
      <c r="F271" s="34" t="s">
        <v>67</v>
      </c>
      <c r="G271" s="34">
        <v>1</v>
      </c>
      <c r="H271" s="34" t="s">
        <v>18</v>
      </c>
      <c r="I271" s="34" t="s">
        <v>19</v>
      </c>
      <c r="J271" s="34">
        <v>0</v>
      </c>
      <c r="K271" s="35">
        <f>AB271/COUNTIFS($B:$B,$B271,$C:$C,$C271,$H:$H,$H271,$I:$I,$I271)</f>
        <v>0.12</v>
      </c>
      <c r="L271" s="36">
        <f t="shared" si="18"/>
        <v>1</v>
      </c>
      <c r="M271" s="37">
        <f t="shared" si="19"/>
        <v>0</v>
      </c>
      <c r="N271" s="34"/>
      <c r="AA271" s="137">
        <f>AB271/COUNTIFS($B:$B,$B271,$C:$C,$C271,$H:$H,$H271,$I:$I,$I271)</f>
        <v>0.12</v>
      </c>
      <c r="AB271" s="138">
        <f>VLOOKUP(I271,'Weights and Confidence'!$D$16:$AC$26,3,FALSE)</f>
        <v>0.12</v>
      </c>
      <c r="AC271" s="139">
        <f>VLOOKUP(I271,'Weights and Confidence'!$D$16:$AC$26,4,FALSE)</f>
        <v>1</v>
      </c>
    </row>
    <row r="272" spans="1:29" x14ac:dyDescent="0.2">
      <c r="A272" s="38" t="s">
        <v>14</v>
      </c>
      <c r="B272" s="38" t="s">
        <v>1</v>
      </c>
      <c r="C272" s="38" t="s">
        <v>66</v>
      </c>
      <c r="D272" s="38" t="s">
        <v>65</v>
      </c>
      <c r="E272" s="38"/>
      <c r="F272" s="38" t="s">
        <v>67</v>
      </c>
      <c r="G272" s="38">
        <v>2</v>
      </c>
      <c r="H272" s="38" t="s">
        <v>17</v>
      </c>
      <c r="I272" s="38" t="s">
        <v>20</v>
      </c>
      <c r="J272" s="38"/>
      <c r="K272" s="39">
        <f>AB272/COUNTIFS($B:$B,$B272,$C:$C,$C272,$H:$H,$H272,$I:$I,$I272)</f>
        <v>0.08</v>
      </c>
      <c r="L272" s="40">
        <f t="shared" si="18"/>
        <v>0.8</v>
      </c>
      <c r="M272" s="41">
        <f t="shared" si="19"/>
        <v>0</v>
      </c>
      <c r="N272" s="38"/>
      <c r="AA272" s="137">
        <f>AB272/COUNTIFS($B:$B,$B272,$C:$C,$C272,$H:$H,$H272,$I:$I,$I272)</f>
        <v>0.08</v>
      </c>
      <c r="AB272" s="138">
        <f>VLOOKUP(I272,'Weights and Confidence'!$D$16:$AC$26,3,FALSE)</f>
        <v>0.08</v>
      </c>
      <c r="AC272" s="139">
        <f>VLOOKUP(I272,'Weights and Confidence'!$D$16:$AC$26,4,FALSE)</f>
        <v>0.8</v>
      </c>
    </row>
    <row r="273" spans="1:29" x14ac:dyDescent="0.2">
      <c r="A273" s="34" t="s">
        <v>14</v>
      </c>
      <c r="B273" s="34" t="s">
        <v>1</v>
      </c>
      <c r="C273" s="34" t="s">
        <v>66</v>
      </c>
      <c r="D273" s="34" t="s">
        <v>65</v>
      </c>
      <c r="E273" s="34"/>
      <c r="F273" s="34" t="s">
        <v>67</v>
      </c>
      <c r="G273" s="34">
        <v>2</v>
      </c>
      <c r="H273" s="34" t="s">
        <v>18</v>
      </c>
      <c r="I273" s="34" t="s">
        <v>20</v>
      </c>
      <c r="J273" s="34">
        <v>0</v>
      </c>
      <c r="K273" s="35">
        <f>AB273/COUNTIFS($B:$B,$B273,$C:$C,$C273,$H:$H,$H273,$I:$I,$I273)</f>
        <v>0.08</v>
      </c>
      <c r="L273" s="36">
        <f t="shared" si="18"/>
        <v>0.8</v>
      </c>
      <c r="M273" s="37">
        <f t="shared" si="19"/>
        <v>0</v>
      </c>
      <c r="N273" s="34"/>
      <c r="AA273" s="137">
        <f>AB273/COUNTIFS($B:$B,$B273,$C:$C,$C273,$H:$H,$H273,$I:$I,$I273)</f>
        <v>0.08</v>
      </c>
      <c r="AB273" s="138">
        <f>VLOOKUP(I273,'Weights and Confidence'!$D$16:$AC$26,3,FALSE)</f>
        <v>0.08</v>
      </c>
      <c r="AC273" s="139">
        <f>VLOOKUP(I273,'Weights and Confidence'!$D$16:$AC$26,4,FALSE)</f>
        <v>0.8</v>
      </c>
    </row>
    <row r="274" spans="1:29" x14ac:dyDescent="0.2">
      <c r="A274" s="38" t="s">
        <v>14</v>
      </c>
      <c r="B274" s="38" t="s">
        <v>1</v>
      </c>
      <c r="C274" s="38" t="s">
        <v>66</v>
      </c>
      <c r="D274" s="38" t="s">
        <v>65</v>
      </c>
      <c r="E274" s="38"/>
      <c r="F274" s="38" t="s">
        <v>67</v>
      </c>
      <c r="G274" s="38">
        <v>3</v>
      </c>
      <c r="H274" s="38" t="s">
        <v>17</v>
      </c>
      <c r="I274" s="38" t="s">
        <v>21</v>
      </c>
      <c r="J274" s="38">
        <v>1</v>
      </c>
      <c r="K274" s="39">
        <f>AB274/COUNTIFS($B:$B,$B274,$C:$C,$C274,$H:$H,$H274,$I:$I,$I274)</f>
        <v>0.05</v>
      </c>
      <c r="L274" s="40">
        <f t="shared" si="18"/>
        <v>1</v>
      </c>
      <c r="M274" s="41">
        <f t="shared" si="19"/>
        <v>0.05</v>
      </c>
      <c r="N274" s="38"/>
      <c r="AA274" s="137">
        <f>AB274/COUNTIFS($B:$B,$B274,$C:$C,$C274,$H:$H,$H274,$I:$I,$I274)</f>
        <v>0.05</v>
      </c>
      <c r="AB274" s="138">
        <f>VLOOKUP(I274,'Weights and Confidence'!$D$16:$AC$26,3,FALSE)</f>
        <v>0.05</v>
      </c>
      <c r="AC274" s="139">
        <f>VLOOKUP(I274,'Weights and Confidence'!$D$16:$AC$26,4,FALSE)</f>
        <v>1</v>
      </c>
    </row>
    <row r="275" spans="1:29" x14ac:dyDescent="0.2">
      <c r="A275" s="34" t="s">
        <v>14</v>
      </c>
      <c r="B275" s="34" t="s">
        <v>1</v>
      </c>
      <c r="C275" s="34" t="s">
        <v>66</v>
      </c>
      <c r="D275" s="34" t="s">
        <v>65</v>
      </c>
      <c r="E275" s="34"/>
      <c r="F275" s="34" t="s">
        <v>67</v>
      </c>
      <c r="G275" s="34">
        <v>3</v>
      </c>
      <c r="H275" s="34" t="s">
        <v>18</v>
      </c>
      <c r="I275" s="34" t="s">
        <v>21</v>
      </c>
      <c r="J275" s="34">
        <v>1</v>
      </c>
      <c r="K275" s="35">
        <f>AB275/COUNTIFS($B:$B,$B275,$C:$C,$C275,$H:$H,$H275,$I:$I,$I275)</f>
        <v>0.05</v>
      </c>
      <c r="L275" s="36">
        <f t="shared" si="18"/>
        <v>1</v>
      </c>
      <c r="M275" s="37">
        <f t="shared" si="19"/>
        <v>0.05</v>
      </c>
      <c r="N275" s="34"/>
      <c r="AA275" s="137">
        <f>AB275/COUNTIFS($B:$B,$B275,$C:$C,$C275,$H:$H,$H275,$I:$I,$I275)</f>
        <v>0.05</v>
      </c>
      <c r="AB275" s="138">
        <f>VLOOKUP(I275,'Weights and Confidence'!$D$16:$AC$26,3,FALSE)</f>
        <v>0.05</v>
      </c>
      <c r="AC275" s="139">
        <f>VLOOKUP(I275,'Weights and Confidence'!$D$16:$AC$26,4,FALSE)</f>
        <v>1</v>
      </c>
    </row>
    <row r="276" spans="1:29" x14ac:dyDescent="0.2">
      <c r="A276" s="38" t="s">
        <v>14</v>
      </c>
      <c r="B276" s="38" t="s">
        <v>1</v>
      </c>
      <c r="C276" s="38" t="s">
        <v>66</v>
      </c>
      <c r="D276" s="38" t="s">
        <v>65</v>
      </c>
      <c r="E276" s="38"/>
      <c r="F276" s="38" t="s">
        <v>67</v>
      </c>
      <c r="G276" s="38">
        <v>4</v>
      </c>
      <c r="H276" s="38" t="s">
        <v>17</v>
      </c>
      <c r="I276" s="38" t="s">
        <v>22</v>
      </c>
      <c r="J276" s="38">
        <v>1</v>
      </c>
      <c r="K276" s="39">
        <f>AB276/COUNTIFS($B:$B,$B276,$C:$C,$C276,$H:$H,$H276,$I:$I,$I276)</f>
        <v>0.14000000000000001</v>
      </c>
      <c r="L276" s="40">
        <f t="shared" si="18"/>
        <v>1</v>
      </c>
      <c r="M276" s="41">
        <f t="shared" si="19"/>
        <v>0.14000000000000001</v>
      </c>
      <c r="N276" s="38"/>
      <c r="AA276" s="137">
        <f>AB276/COUNTIFS($B:$B,$B276,$C:$C,$C276,$H:$H,$H276,$I:$I,$I276)</f>
        <v>0.14000000000000001</v>
      </c>
      <c r="AB276" s="138">
        <f>VLOOKUP(I276,'Weights and Confidence'!$D$16:$AC$26,3,FALSE)</f>
        <v>0.14000000000000001</v>
      </c>
      <c r="AC276" s="139">
        <f>VLOOKUP(I276,'Weights and Confidence'!$D$16:$AC$26,4,FALSE)</f>
        <v>1</v>
      </c>
    </row>
    <row r="277" spans="1:29" x14ac:dyDescent="0.2">
      <c r="A277" s="34" t="s">
        <v>14</v>
      </c>
      <c r="B277" s="34" t="s">
        <v>1</v>
      </c>
      <c r="C277" s="34" t="s">
        <v>66</v>
      </c>
      <c r="D277" s="34" t="s">
        <v>65</v>
      </c>
      <c r="E277" s="34"/>
      <c r="F277" s="34" t="s">
        <v>67</v>
      </c>
      <c r="G277" s="34">
        <v>4</v>
      </c>
      <c r="H277" s="34" t="s">
        <v>18</v>
      </c>
      <c r="I277" s="34" t="s">
        <v>22</v>
      </c>
      <c r="J277" s="34">
        <v>-1</v>
      </c>
      <c r="K277" s="35">
        <f>AB277/COUNTIFS($B:$B,$B277,$C:$C,$C277,$H:$H,$H277,$I:$I,$I277)</f>
        <v>0.14000000000000001</v>
      </c>
      <c r="L277" s="36">
        <f t="shared" si="18"/>
        <v>1</v>
      </c>
      <c r="M277" s="37">
        <f t="shared" si="19"/>
        <v>-0.14000000000000001</v>
      </c>
      <c r="N277" s="34"/>
      <c r="AA277" s="137">
        <f>AB277/COUNTIFS($B:$B,$B277,$C:$C,$C277,$H:$H,$H277,$I:$I,$I277)</f>
        <v>0.14000000000000001</v>
      </c>
      <c r="AB277" s="138">
        <f>VLOOKUP(I277,'Weights and Confidence'!$D$16:$AC$26,3,FALSE)</f>
        <v>0.14000000000000001</v>
      </c>
      <c r="AC277" s="139">
        <f>VLOOKUP(I277,'Weights and Confidence'!$D$16:$AC$26,4,FALSE)</f>
        <v>1</v>
      </c>
    </row>
    <row r="278" spans="1:29" x14ac:dyDescent="0.2">
      <c r="A278" s="38" t="s">
        <v>14</v>
      </c>
      <c r="B278" s="38" t="s">
        <v>1</v>
      </c>
      <c r="C278" s="38" t="s">
        <v>66</v>
      </c>
      <c r="D278" s="38" t="s">
        <v>65</v>
      </c>
      <c r="E278" s="38"/>
      <c r="F278" s="38" t="s">
        <v>67</v>
      </c>
      <c r="G278" s="38">
        <v>5</v>
      </c>
      <c r="H278" s="38" t="s">
        <v>17</v>
      </c>
      <c r="I278" s="38" t="s">
        <v>23</v>
      </c>
      <c r="J278" s="38">
        <v>1</v>
      </c>
      <c r="K278" s="39">
        <f>AB278/COUNTIFS($B:$B,$B278,$C:$C,$C278,$H:$H,$H278,$I:$I,$I278)</f>
        <v>0.11</v>
      </c>
      <c r="L278" s="40">
        <f t="shared" si="18"/>
        <v>1</v>
      </c>
      <c r="M278" s="41">
        <f t="shared" si="19"/>
        <v>0.11</v>
      </c>
      <c r="N278" s="38"/>
      <c r="AA278" s="137">
        <f>AB278/COUNTIFS($B:$B,$B278,$C:$C,$C278,$H:$H,$H278,$I:$I,$I278)</f>
        <v>0.11</v>
      </c>
      <c r="AB278" s="138">
        <f>VLOOKUP(I278,'Weights and Confidence'!$D$16:$AC$26,3,FALSE)</f>
        <v>0.11</v>
      </c>
      <c r="AC278" s="139">
        <f>VLOOKUP(I278,'Weights and Confidence'!$D$16:$AC$26,4,FALSE)</f>
        <v>1</v>
      </c>
    </row>
    <row r="279" spans="1:29" x14ac:dyDescent="0.2">
      <c r="A279" s="34" t="s">
        <v>14</v>
      </c>
      <c r="B279" s="34" t="s">
        <v>1</v>
      </c>
      <c r="C279" s="34" t="s">
        <v>66</v>
      </c>
      <c r="D279" s="34" t="s">
        <v>65</v>
      </c>
      <c r="E279" s="34"/>
      <c r="F279" s="34" t="s">
        <v>67</v>
      </c>
      <c r="G279" s="34">
        <v>5</v>
      </c>
      <c r="H279" s="34" t="s">
        <v>18</v>
      </c>
      <c r="I279" s="34" t="s">
        <v>23</v>
      </c>
      <c r="J279" s="34">
        <v>0</v>
      </c>
      <c r="K279" s="35">
        <f>AB279/COUNTIFS($B:$B,$B279,$C:$C,$C279,$H:$H,$H279,$I:$I,$I279)</f>
        <v>0.11</v>
      </c>
      <c r="L279" s="36">
        <f t="shared" si="18"/>
        <v>1</v>
      </c>
      <c r="M279" s="37">
        <f t="shared" si="19"/>
        <v>0</v>
      </c>
      <c r="N279" s="34"/>
      <c r="AA279" s="137">
        <f>AB279/COUNTIFS($B:$B,$B279,$C:$C,$C279,$H:$H,$H279,$I:$I,$I279)</f>
        <v>0.11</v>
      </c>
      <c r="AB279" s="138">
        <f>VLOOKUP(I279,'Weights and Confidence'!$D$16:$AC$26,3,FALSE)</f>
        <v>0.11</v>
      </c>
      <c r="AC279" s="139">
        <f>VLOOKUP(I279,'Weights and Confidence'!$D$16:$AC$26,4,FALSE)</f>
        <v>1</v>
      </c>
    </row>
    <row r="280" spans="1:29" x14ac:dyDescent="0.2">
      <c r="A280" s="38" t="s">
        <v>14</v>
      </c>
      <c r="B280" s="38" t="s">
        <v>1</v>
      </c>
      <c r="C280" s="38" t="s">
        <v>66</v>
      </c>
      <c r="D280" s="38" t="s">
        <v>65</v>
      </c>
      <c r="E280" s="38"/>
      <c r="F280" s="38" t="s">
        <v>67</v>
      </c>
      <c r="G280" s="38">
        <v>6</v>
      </c>
      <c r="H280" s="38" t="s">
        <v>17</v>
      </c>
      <c r="I280" s="38" t="s">
        <v>24</v>
      </c>
      <c r="J280" s="38">
        <v>0</v>
      </c>
      <c r="K280" s="39">
        <f>AB280/COUNTIFS($B:$B,$B280,$C:$C,$C280,$H:$H,$H280,$I:$I,$I280)</f>
        <v>0.15</v>
      </c>
      <c r="L280" s="40">
        <f t="shared" si="18"/>
        <v>1</v>
      </c>
      <c r="M280" s="41">
        <f t="shared" si="19"/>
        <v>0</v>
      </c>
      <c r="N280" s="38"/>
      <c r="AA280" s="137">
        <f>AB280/COUNTIFS($B:$B,$B280,$C:$C,$C280,$H:$H,$H280,$I:$I,$I280)</f>
        <v>0.15</v>
      </c>
      <c r="AB280" s="138">
        <f>VLOOKUP(I280,'Weights and Confidence'!$D$16:$AC$26,3,FALSE)</f>
        <v>0.15</v>
      </c>
      <c r="AC280" s="139">
        <f>VLOOKUP(I280,'Weights and Confidence'!$D$16:$AC$26,4,FALSE)</f>
        <v>1</v>
      </c>
    </row>
    <row r="281" spans="1:29" x14ac:dyDescent="0.2">
      <c r="A281" s="34" t="s">
        <v>14</v>
      </c>
      <c r="B281" s="34" t="s">
        <v>1</v>
      </c>
      <c r="C281" s="34" t="s">
        <v>66</v>
      </c>
      <c r="D281" s="34" t="s">
        <v>65</v>
      </c>
      <c r="E281" s="34"/>
      <c r="F281" s="34" t="s">
        <v>67</v>
      </c>
      <c r="G281" s="34">
        <v>6</v>
      </c>
      <c r="H281" s="34" t="s">
        <v>18</v>
      </c>
      <c r="I281" s="34" t="s">
        <v>24</v>
      </c>
      <c r="J281" s="34">
        <v>0</v>
      </c>
      <c r="K281" s="35">
        <f>AB281/COUNTIFS($B:$B,$B281,$C:$C,$C281,$H:$H,$H281,$I:$I,$I281)</f>
        <v>0.15</v>
      </c>
      <c r="L281" s="36">
        <f t="shared" si="18"/>
        <v>1</v>
      </c>
      <c r="M281" s="37">
        <f t="shared" si="19"/>
        <v>0</v>
      </c>
      <c r="N281" s="34"/>
      <c r="AA281" s="137">
        <f>AB281/COUNTIFS($B:$B,$B281,$C:$C,$C281,$H:$H,$H281,$I:$I,$I281)</f>
        <v>0.15</v>
      </c>
      <c r="AB281" s="138">
        <f>VLOOKUP(I281,'Weights and Confidence'!$D$16:$AC$26,3,FALSE)</f>
        <v>0.15</v>
      </c>
      <c r="AC281" s="139">
        <f>VLOOKUP(I281,'Weights and Confidence'!$D$16:$AC$26,4,FALSE)</f>
        <v>1</v>
      </c>
    </row>
    <row r="282" spans="1:29" x14ac:dyDescent="0.2">
      <c r="A282" s="38" t="s">
        <v>14</v>
      </c>
      <c r="B282" s="38" t="s">
        <v>1</v>
      </c>
      <c r="C282" s="38" t="s">
        <v>66</v>
      </c>
      <c r="D282" s="38" t="s">
        <v>65</v>
      </c>
      <c r="E282" s="38"/>
      <c r="F282" s="38" t="s">
        <v>67</v>
      </c>
      <c r="G282" s="38">
        <v>7</v>
      </c>
      <c r="H282" s="38" t="s">
        <v>17</v>
      </c>
      <c r="I282" s="38" t="s">
        <v>25</v>
      </c>
      <c r="J282" s="38">
        <v>1</v>
      </c>
      <c r="K282" s="39">
        <f>AB282/COUNTIFS($B:$B,$B282,$C:$C,$C282,$H:$H,$H282,$I:$I,$I282)</f>
        <v>0.1</v>
      </c>
      <c r="L282" s="40">
        <f t="shared" si="18"/>
        <v>1</v>
      </c>
      <c r="M282" s="41">
        <f t="shared" si="19"/>
        <v>0.1</v>
      </c>
      <c r="N282" s="38"/>
      <c r="AA282" s="137">
        <f>AB282/COUNTIFS($B:$B,$B282,$C:$C,$C282,$H:$H,$H282,$I:$I,$I282)</f>
        <v>0.1</v>
      </c>
      <c r="AB282" s="138">
        <f>VLOOKUP(I282,'Weights and Confidence'!$D$16:$AC$26,3,FALSE)</f>
        <v>0.1</v>
      </c>
      <c r="AC282" s="139">
        <f>VLOOKUP(I282,'Weights and Confidence'!$D$16:$AC$26,4,FALSE)</f>
        <v>1</v>
      </c>
    </row>
    <row r="283" spans="1:29" x14ac:dyDescent="0.2">
      <c r="A283" s="34" t="s">
        <v>14</v>
      </c>
      <c r="B283" s="34" t="s">
        <v>1</v>
      </c>
      <c r="C283" s="34" t="s">
        <v>66</v>
      </c>
      <c r="D283" s="34" t="s">
        <v>65</v>
      </c>
      <c r="E283" s="34"/>
      <c r="F283" s="34" t="s">
        <v>67</v>
      </c>
      <c r="G283" s="34">
        <v>7</v>
      </c>
      <c r="H283" s="34" t="s">
        <v>18</v>
      </c>
      <c r="I283" s="34" t="s">
        <v>25</v>
      </c>
      <c r="J283" s="34">
        <v>0</v>
      </c>
      <c r="K283" s="35">
        <f>AB283/COUNTIFS($B:$B,$B283,$C:$C,$C283,$H:$H,$H283,$I:$I,$I283)</f>
        <v>0.1</v>
      </c>
      <c r="L283" s="36">
        <f t="shared" si="18"/>
        <v>1</v>
      </c>
      <c r="M283" s="37">
        <f t="shared" si="19"/>
        <v>0</v>
      </c>
      <c r="N283" s="34"/>
      <c r="AA283" s="137">
        <f>AB283/COUNTIFS($B:$B,$B283,$C:$C,$C283,$H:$H,$H283,$I:$I,$I283)</f>
        <v>0.1</v>
      </c>
      <c r="AB283" s="138">
        <f>VLOOKUP(I283,'Weights and Confidence'!$D$16:$AC$26,3,FALSE)</f>
        <v>0.1</v>
      </c>
      <c r="AC283" s="139">
        <f>VLOOKUP(I283,'Weights and Confidence'!$D$16:$AC$26,4,FALSE)</f>
        <v>1</v>
      </c>
    </row>
    <row r="284" spans="1:29" x14ac:dyDescent="0.2">
      <c r="A284" s="38" t="s">
        <v>14</v>
      </c>
      <c r="B284" s="38" t="s">
        <v>1</v>
      </c>
      <c r="C284" s="38" t="s">
        <v>66</v>
      </c>
      <c r="D284" s="38" t="s">
        <v>65</v>
      </c>
      <c r="E284" s="38"/>
      <c r="F284" s="38" t="s">
        <v>67</v>
      </c>
      <c r="G284" s="38">
        <v>8</v>
      </c>
      <c r="H284" s="38" t="s">
        <v>17</v>
      </c>
      <c r="I284" s="38" t="s">
        <v>26</v>
      </c>
      <c r="J284" s="38">
        <v>0</v>
      </c>
      <c r="K284" s="39">
        <f>AB284/COUNTIFS($B:$B,$B284,$C:$C,$C284,$H:$H,$H284,$I:$I,$I284)</f>
        <v>0.1</v>
      </c>
      <c r="L284" s="40">
        <f t="shared" si="18"/>
        <v>1</v>
      </c>
      <c r="M284" s="41">
        <f t="shared" si="19"/>
        <v>0</v>
      </c>
      <c r="N284" s="38"/>
      <c r="AA284" s="137">
        <f>AB284/COUNTIFS($B:$B,$B284,$C:$C,$C284,$H:$H,$H284,$I:$I,$I284)</f>
        <v>0.1</v>
      </c>
      <c r="AB284" s="138">
        <f>VLOOKUP(I284,'Weights and Confidence'!$D$16:$AC$26,3,FALSE)</f>
        <v>0.1</v>
      </c>
      <c r="AC284" s="139">
        <f>VLOOKUP(I284,'Weights and Confidence'!$D$16:$AC$26,4,FALSE)</f>
        <v>1</v>
      </c>
    </row>
    <row r="285" spans="1:29" x14ac:dyDescent="0.2">
      <c r="A285" s="34" t="s">
        <v>14</v>
      </c>
      <c r="B285" s="34" t="s">
        <v>1</v>
      </c>
      <c r="C285" s="34" t="s">
        <v>66</v>
      </c>
      <c r="D285" s="34" t="s">
        <v>65</v>
      </c>
      <c r="E285" s="34"/>
      <c r="F285" s="34" t="s">
        <v>67</v>
      </c>
      <c r="G285" s="34">
        <v>8</v>
      </c>
      <c r="H285" s="34" t="s">
        <v>18</v>
      </c>
      <c r="I285" s="34" t="s">
        <v>26</v>
      </c>
      <c r="J285" s="34">
        <v>0</v>
      </c>
      <c r="K285" s="35">
        <f>AB285/COUNTIFS($B:$B,$B285,$C:$C,$C285,$H:$H,$H285,$I:$I,$I285)</f>
        <v>0.1</v>
      </c>
      <c r="L285" s="36">
        <f t="shared" si="18"/>
        <v>1</v>
      </c>
      <c r="M285" s="37">
        <f t="shared" si="19"/>
        <v>0</v>
      </c>
      <c r="N285" s="34"/>
      <c r="AA285" s="137">
        <f>AB285/COUNTIFS($B:$B,$B285,$C:$C,$C285,$H:$H,$H285,$I:$I,$I285)</f>
        <v>0.1</v>
      </c>
      <c r="AB285" s="138">
        <f>VLOOKUP(I285,'Weights and Confidence'!$D$16:$AC$26,3,FALSE)</f>
        <v>0.1</v>
      </c>
      <c r="AC285" s="139">
        <f>VLOOKUP(I285,'Weights and Confidence'!$D$16:$AC$26,4,FALSE)</f>
        <v>1</v>
      </c>
    </row>
    <row r="286" spans="1:29" x14ac:dyDescent="0.2">
      <c r="A286" s="38" t="s">
        <v>14</v>
      </c>
      <c r="B286" s="38" t="s">
        <v>1</v>
      </c>
      <c r="C286" s="38" t="s">
        <v>66</v>
      </c>
      <c r="D286" s="38" t="s">
        <v>65</v>
      </c>
      <c r="E286" s="38"/>
      <c r="F286" s="38" t="s">
        <v>67</v>
      </c>
      <c r="G286" s="38">
        <v>9</v>
      </c>
      <c r="H286" s="38" t="s">
        <v>17</v>
      </c>
      <c r="I286" s="38" t="s">
        <v>27</v>
      </c>
      <c r="J286" s="38">
        <v>0</v>
      </c>
      <c r="K286" s="39">
        <f>AB286/COUNTIFS($B:$B,$B286,$C:$C,$C286,$H:$H,$H286,$I:$I,$I286)</f>
        <v>0.05</v>
      </c>
      <c r="L286" s="40">
        <f t="shared" si="18"/>
        <v>0.85</v>
      </c>
      <c r="M286" s="41">
        <f t="shared" si="19"/>
        <v>0</v>
      </c>
      <c r="N286" s="38"/>
      <c r="AA286" s="137">
        <f>AB286/COUNTIFS($B:$B,$B286,$C:$C,$C286,$H:$H,$H286,$I:$I,$I286)</f>
        <v>0.05</v>
      </c>
      <c r="AB286" s="138">
        <f>VLOOKUP(I286,'Weights and Confidence'!$D$16:$AC$26,3,FALSE)</f>
        <v>0.1</v>
      </c>
      <c r="AC286" s="139">
        <f>VLOOKUP(I286,'Weights and Confidence'!$D$16:$AC$26,4,FALSE)</f>
        <v>0.85</v>
      </c>
    </row>
    <row r="287" spans="1:29" x14ac:dyDescent="0.2">
      <c r="A287" s="34" t="s">
        <v>14</v>
      </c>
      <c r="B287" s="34" t="s">
        <v>1</v>
      </c>
      <c r="C287" s="34" t="s">
        <v>66</v>
      </c>
      <c r="D287" s="34" t="s">
        <v>65</v>
      </c>
      <c r="E287" s="34"/>
      <c r="F287" s="34" t="s">
        <v>67</v>
      </c>
      <c r="G287" s="34">
        <v>9</v>
      </c>
      <c r="H287" s="34" t="s">
        <v>18</v>
      </c>
      <c r="I287" s="34" t="s">
        <v>27</v>
      </c>
      <c r="J287" s="34">
        <v>1</v>
      </c>
      <c r="K287" s="35">
        <f>AB287/COUNTIFS($B:$B,$B287,$C:$C,$C287,$H:$H,$H287,$I:$I,$I287)</f>
        <v>0.05</v>
      </c>
      <c r="L287" s="36">
        <f t="shared" si="18"/>
        <v>0.85</v>
      </c>
      <c r="M287" s="37">
        <f t="shared" si="19"/>
        <v>4.2500000000000003E-2</v>
      </c>
      <c r="N287" s="34"/>
      <c r="AA287" s="137">
        <f>AB287/COUNTIFS($B:$B,$B287,$C:$C,$C287,$H:$H,$H287,$I:$I,$I287)</f>
        <v>0.05</v>
      </c>
      <c r="AB287" s="138">
        <f>VLOOKUP(I287,'Weights and Confidence'!$D$16:$AC$26,3,FALSE)</f>
        <v>0.1</v>
      </c>
      <c r="AC287" s="139">
        <f>VLOOKUP(I287,'Weights and Confidence'!$D$16:$AC$26,4,FALSE)</f>
        <v>0.85</v>
      </c>
    </row>
    <row r="288" spans="1:29" x14ac:dyDescent="0.2">
      <c r="A288" s="38" t="s">
        <v>14</v>
      </c>
      <c r="B288" s="38" t="s">
        <v>1</v>
      </c>
      <c r="C288" s="38" t="s">
        <v>66</v>
      </c>
      <c r="D288" s="38" t="s">
        <v>65</v>
      </c>
      <c r="E288" s="38"/>
      <c r="F288" s="38" t="s">
        <v>67</v>
      </c>
      <c r="G288" s="38">
        <v>10</v>
      </c>
      <c r="H288" s="38" t="s">
        <v>17</v>
      </c>
      <c r="I288" s="38" t="s">
        <v>27</v>
      </c>
      <c r="J288" s="38">
        <v>0</v>
      </c>
      <c r="K288" s="39">
        <f>AB288/COUNTIFS($B:$B,$B288,$C:$C,$C288,$H:$H,$H288,$I:$I,$I288)</f>
        <v>0.05</v>
      </c>
      <c r="L288" s="40">
        <f t="shared" si="18"/>
        <v>0.85</v>
      </c>
      <c r="M288" s="41">
        <f t="shared" si="19"/>
        <v>0</v>
      </c>
      <c r="N288" s="38"/>
      <c r="AA288" s="137">
        <f>AB288/COUNTIFS($B:$B,$B288,$C:$C,$C288,$H:$H,$H288,$I:$I,$I288)</f>
        <v>0.05</v>
      </c>
      <c r="AB288" s="138">
        <f>VLOOKUP(I288,'Weights and Confidence'!$D$16:$AC$26,3,FALSE)</f>
        <v>0.1</v>
      </c>
      <c r="AC288" s="139">
        <f>VLOOKUP(I288,'Weights and Confidence'!$D$16:$AC$26,4,FALSE)</f>
        <v>0.85</v>
      </c>
    </row>
    <row r="289" spans="1:29" x14ac:dyDescent="0.2">
      <c r="A289" s="34" t="s">
        <v>14</v>
      </c>
      <c r="B289" s="34" t="s">
        <v>1</v>
      </c>
      <c r="C289" s="34" t="s">
        <v>66</v>
      </c>
      <c r="D289" s="34" t="s">
        <v>65</v>
      </c>
      <c r="E289" s="34"/>
      <c r="F289" s="34" t="s">
        <v>67</v>
      </c>
      <c r="G289" s="34">
        <v>10</v>
      </c>
      <c r="H289" s="34" t="s">
        <v>18</v>
      </c>
      <c r="I289" s="34" t="s">
        <v>27</v>
      </c>
      <c r="J289" s="34">
        <v>1</v>
      </c>
      <c r="K289" s="35">
        <f>AB289/COUNTIFS($B:$B,$B289,$C:$C,$C289,$H:$H,$H289,$I:$I,$I289)</f>
        <v>0.05</v>
      </c>
      <c r="L289" s="36">
        <f t="shared" si="18"/>
        <v>0.85</v>
      </c>
      <c r="M289" s="37">
        <f t="shared" si="19"/>
        <v>4.2500000000000003E-2</v>
      </c>
      <c r="N289" s="34"/>
      <c r="AA289" s="137">
        <f>AB289/COUNTIFS($B:$B,$B289,$C:$C,$C289,$H:$H,$H289,$I:$I,$I289)</f>
        <v>0.05</v>
      </c>
      <c r="AB289" s="138">
        <f>VLOOKUP(I289,'Weights and Confidence'!$D$16:$AC$26,3,FALSE)</f>
        <v>0.1</v>
      </c>
      <c r="AC289" s="139">
        <f>VLOOKUP(I289,'Weights and Confidence'!$D$16:$AC$26,4,FALSE)</f>
        <v>0.85</v>
      </c>
    </row>
    <row r="290" spans="1:29" x14ac:dyDescent="0.2">
      <c r="A290" s="38" t="s">
        <v>14</v>
      </c>
      <c r="B290" s="38" t="s">
        <v>1</v>
      </c>
      <c r="C290" s="38" t="s">
        <v>66</v>
      </c>
      <c r="D290" s="38" t="s">
        <v>65</v>
      </c>
      <c r="E290" s="38"/>
      <c r="F290" s="38" t="s">
        <v>67</v>
      </c>
      <c r="G290" s="38">
        <v>11</v>
      </c>
      <c r="H290" s="38" t="s">
        <v>17</v>
      </c>
      <c r="I290" s="38" t="s">
        <v>28</v>
      </c>
      <c r="J290" s="38">
        <v>1</v>
      </c>
      <c r="K290" s="39">
        <f>AB290/COUNTIFS($B:$B,$B290,$C:$C,$C290,$H:$H,$H290,$I:$I,$I290)</f>
        <v>0.05</v>
      </c>
      <c r="L290" s="40">
        <f t="shared" si="18"/>
        <v>1</v>
      </c>
      <c r="M290" s="41">
        <f t="shared" si="19"/>
        <v>0.05</v>
      </c>
      <c r="N290" s="38"/>
      <c r="AA290" s="137">
        <f>AB290/COUNTIFS($B:$B,$B290,$C:$C,$C290,$H:$H,$H290,$I:$I,$I290)</f>
        <v>0.05</v>
      </c>
      <c r="AB290" s="138">
        <f>VLOOKUP(I290,'Weights and Confidence'!$D$16:$AC$26,3,FALSE)</f>
        <v>0.05</v>
      </c>
      <c r="AC290" s="139">
        <f>VLOOKUP(I290,'Weights and Confidence'!$D$16:$AC$26,4,FALSE)</f>
        <v>1</v>
      </c>
    </row>
    <row r="291" spans="1:29" ht="17" thickBot="1" x14ac:dyDescent="0.25">
      <c r="A291" s="34" t="s">
        <v>14</v>
      </c>
      <c r="B291" s="34" t="s">
        <v>1</v>
      </c>
      <c r="C291" s="34" t="s">
        <v>66</v>
      </c>
      <c r="D291" s="34" t="s">
        <v>65</v>
      </c>
      <c r="E291" s="34"/>
      <c r="F291" s="34" t="s">
        <v>67</v>
      </c>
      <c r="G291" s="34">
        <v>11</v>
      </c>
      <c r="H291" s="34" t="s">
        <v>18</v>
      </c>
      <c r="I291" s="34" t="s">
        <v>28</v>
      </c>
      <c r="J291" s="34">
        <v>-1</v>
      </c>
      <c r="K291" s="35">
        <f>AB291/COUNTIFS($B:$B,$B291,$C:$C,$C291,$H:$H,$H291,$I:$I,$I291)</f>
        <v>0.05</v>
      </c>
      <c r="L291" s="36">
        <f t="shared" si="18"/>
        <v>1</v>
      </c>
      <c r="M291" s="37">
        <f t="shared" si="19"/>
        <v>-0.05</v>
      </c>
      <c r="N291" s="34"/>
      <c r="AA291" s="140">
        <f>AB291/COUNTIFS($B:$B,$B291,$C:$C,$C291,$H:$H,$H291,$I:$I,$I291)</f>
        <v>0.05</v>
      </c>
      <c r="AB291" s="141">
        <f>VLOOKUP(I291,'Weights and Confidence'!$D$16:$AC$26,3,FALSE)</f>
        <v>0.05</v>
      </c>
      <c r="AC291" s="142">
        <f>VLOOKUP(I291,'Weights and Confidence'!$D$16:$AC$26,4,FALSE)</f>
        <v>1</v>
      </c>
    </row>
    <row r="292" spans="1:29" ht="17" thickTop="1" x14ac:dyDescent="0.2">
      <c r="A292" s="42" t="s">
        <v>14</v>
      </c>
      <c r="B292" s="42" t="s">
        <v>1</v>
      </c>
      <c r="C292" s="42" t="s">
        <v>68</v>
      </c>
      <c r="D292" s="42" t="s">
        <v>65</v>
      </c>
      <c r="E292" s="42"/>
      <c r="F292" s="43" t="s">
        <v>69</v>
      </c>
      <c r="G292" s="42">
        <v>1</v>
      </c>
      <c r="H292" s="42" t="s">
        <v>17</v>
      </c>
      <c r="I292" s="42" t="s">
        <v>19</v>
      </c>
      <c r="J292" s="42">
        <v>-1</v>
      </c>
      <c r="K292" s="44">
        <f>AB292/COUNTIFS($B:$B,$B292,$C:$C,$C292,$H:$H,$H292,$I:$I,$I292)</f>
        <v>0.12</v>
      </c>
      <c r="L292" s="45">
        <f t="shared" si="18"/>
        <v>1</v>
      </c>
      <c r="M292" s="46">
        <f t="shared" ref="M292:M313" si="20">J292*K292*L292</f>
        <v>-0.12</v>
      </c>
      <c r="N292" s="42"/>
      <c r="AA292" s="137">
        <f>AB292/COUNTIFS($B:$B,$B292,$C:$C,$C292,$H:$H,$H292,$I:$I,$I292)</f>
        <v>0.12</v>
      </c>
      <c r="AB292" s="138">
        <f>VLOOKUP(I292,'Weights and Confidence'!$D$16:$AC$26,3,FALSE)</f>
        <v>0.12</v>
      </c>
      <c r="AC292" s="139">
        <f>VLOOKUP(I292,'Weights and Confidence'!$D$16:$AC$26,4,FALSE)</f>
        <v>1</v>
      </c>
    </row>
    <row r="293" spans="1:29" x14ac:dyDescent="0.2">
      <c r="A293" s="34" t="s">
        <v>14</v>
      </c>
      <c r="B293" s="34" t="s">
        <v>1</v>
      </c>
      <c r="C293" s="34" t="s">
        <v>68</v>
      </c>
      <c r="D293" s="34" t="s">
        <v>65</v>
      </c>
      <c r="E293" s="34"/>
      <c r="F293" s="34" t="s">
        <v>69</v>
      </c>
      <c r="G293" s="34">
        <v>1</v>
      </c>
      <c r="H293" s="34" t="s">
        <v>18</v>
      </c>
      <c r="I293" s="34" t="s">
        <v>19</v>
      </c>
      <c r="J293" s="34"/>
      <c r="K293" s="35">
        <f>AB293/COUNTIFS($B:$B,$B293,$C:$C,$C293,$H:$H,$H293,$I:$I,$I293)</f>
        <v>0.12</v>
      </c>
      <c r="L293" s="36">
        <f t="shared" si="18"/>
        <v>1</v>
      </c>
      <c r="M293" s="37">
        <f t="shared" si="20"/>
        <v>0</v>
      </c>
      <c r="N293" s="34"/>
      <c r="AA293" s="137">
        <f>AB293/COUNTIFS($B:$B,$B293,$C:$C,$C293,$H:$H,$H293,$I:$I,$I293)</f>
        <v>0.12</v>
      </c>
      <c r="AB293" s="138">
        <f>VLOOKUP(I293,'Weights and Confidence'!$D$16:$AC$26,3,FALSE)</f>
        <v>0.12</v>
      </c>
      <c r="AC293" s="139">
        <f>VLOOKUP(I293,'Weights and Confidence'!$D$16:$AC$26,4,FALSE)</f>
        <v>1</v>
      </c>
    </row>
    <row r="294" spans="1:29" x14ac:dyDescent="0.2">
      <c r="A294" s="38" t="s">
        <v>14</v>
      </c>
      <c r="B294" s="38" t="s">
        <v>1</v>
      </c>
      <c r="C294" s="38" t="s">
        <v>68</v>
      </c>
      <c r="D294" s="38" t="s">
        <v>65</v>
      </c>
      <c r="E294" s="38"/>
      <c r="F294" s="38" t="s">
        <v>69</v>
      </c>
      <c r="G294" s="38">
        <v>2</v>
      </c>
      <c r="H294" s="38" t="s">
        <v>17</v>
      </c>
      <c r="I294" s="38" t="s">
        <v>20</v>
      </c>
      <c r="J294" s="38"/>
      <c r="K294" s="39">
        <f>AB294/COUNTIFS($B:$B,$B294,$C:$C,$C294,$H:$H,$H294,$I:$I,$I294)</f>
        <v>0.08</v>
      </c>
      <c r="L294" s="40">
        <f t="shared" si="18"/>
        <v>0.8</v>
      </c>
      <c r="M294" s="41">
        <f t="shared" si="20"/>
        <v>0</v>
      </c>
      <c r="N294" s="38"/>
      <c r="AA294" s="137">
        <f>AB294/COUNTIFS($B:$B,$B294,$C:$C,$C294,$H:$H,$H294,$I:$I,$I294)</f>
        <v>0.08</v>
      </c>
      <c r="AB294" s="138">
        <f>VLOOKUP(I294,'Weights and Confidence'!$D$16:$AC$26,3,FALSE)</f>
        <v>0.08</v>
      </c>
      <c r="AC294" s="139">
        <f>VLOOKUP(I294,'Weights and Confidence'!$D$16:$AC$26,4,FALSE)</f>
        <v>0.8</v>
      </c>
    </row>
    <row r="295" spans="1:29" x14ac:dyDescent="0.2">
      <c r="A295" s="34" t="s">
        <v>14</v>
      </c>
      <c r="B295" s="34" t="s">
        <v>1</v>
      </c>
      <c r="C295" s="34" t="s">
        <v>68</v>
      </c>
      <c r="D295" s="34" t="s">
        <v>65</v>
      </c>
      <c r="E295" s="34"/>
      <c r="F295" s="34" t="s">
        <v>69</v>
      </c>
      <c r="G295" s="34">
        <v>2</v>
      </c>
      <c r="H295" s="34" t="s">
        <v>18</v>
      </c>
      <c r="I295" s="34" t="s">
        <v>20</v>
      </c>
      <c r="J295" s="34"/>
      <c r="K295" s="35">
        <f>AB295/COUNTIFS($B:$B,$B295,$C:$C,$C295,$H:$H,$H295,$I:$I,$I295)</f>
        <v>0.08</v>
      </c>
      <c r="L295" s="36">
        <f t="shared" si="18"/>
        <v>0.8</v>
      </c>
      <c r="M295" s="37">
        <f t="shared" si="20"/>
        <v>0</v>
      </c>
      <c r="N295" s="34"/>
      <c r="AA295" s="137">
        <f>AB295/COUNTIFS($B:$B,$B295,$C:$C,$C295,$H:$H,$H295,$I:$I,$I295)</f>
        <v>0.08</v>
      </c>
      <c r="AB295" s="138">
        <f>VLOOKUP(I295,'Weights and Confidence'!$D$16:$AC$26,3,FALSE)</f>
        <v>0.08</v>
      </c>
      <c r="AC295" s="139">
        <f>VLOOKUP(I295,'Weights and Confidence'!$D$16:$AC$26,4,FALSE)</f>
        <v>0.8</v>
      </c>
    </row>
    <row r="296" spans="1:29" x14ac:dyDescent="0.2">
      <c r="A296" s="38" t="s">
        <v>14</v>
      </c>
      <c r="B296" s="38" t="s">
        <v>1</v>
      </c>
      <c r="C296" s="38" t="s">
        <v>68</v>
      </c>
      <c r="D296" s="38" t="s">
        <v>65</v>
      </c>
      <c r="E296" s="38"/>
      <c r="F296" s="38" t="s">
        <v>69</v>
      </c>
      <c r="G296" s="38">
        <v>3</v>
      </c>
      <c r="H296" s="38" t="s">
        <v>17</v>
      </c>
      <c r="I296" s="38" t="s">
        <v>21</v>
      </c>
      <c r="J296" s="38">
        <v>0</v>
      </c>
      <c r="K296" s="39">
        <f>AB296/COUNTIFS($B:$B,$B296,$C:$C,$C296,$H:$H,$H296,$I:$I,$I296)</f>
        <v>0.05</v>
      </c>
      <c r="L296" s="40">
        <f t="shared" si="18"/>
        <v>1</v>
      </c>
      <c r="M296" s="41">
        <f t="shared" si="20"/>
        <v>0</v>
      </c>
      <c r="N296" s="38"/>
      <c r="AA296" s="137">
        <f>AB296/COUNTIFS($B:$B,$B296,$C:$C,$C296,$H:$H,$H296,$I:$I,$I296)</f>
        <v>0.05</v>
      </c>
      <c r="AB296" s="138">
        <f>VLOOKUP(I296,'Weights and Confidence'!$D$16:$AC$26,3,FALSE)</f>
        <v>0.05</v>
      </c>
      <c r="AC296" s="139">
        <f>VLOOKUP(I296,'Weights and Confidence'!$D$16:$AC$26,4,FALSE)</f>
        <v>1</v>
      </c>
    </row>
    <row r="297" spans="1:29" x14ac:dyDescent="0.2">
      <c r="A297" s="34" t="s">
        <v>14</v>
      </c>
      <c r="B297" s="34" t="s">
        <v>1</v>
      </c>
      <c r="C297" s="34" t="s">
        <v>68</v>
      </c>
      <c r="D297" s="34" t="s">
        <v>65</v>
      </c>
      <c r="E297" s="34"/>
      <c r="F297" s="34" t="s">
        <v>69</v>
      </c>
      <c r="G297" s="34">
        <v>3</v>
      </c>
      <c r="H297" s="34" t="s">
        <v>18</v>
      </c>
      <c r="I297" s="34" t="s">
        <v>21</v>
      </c>
      <c r="J297" s="34"/>
      <c r="K297" s="35">
        <f>AB297/COUNTIFS($B:$B,$B297,$C:$C,$C297,$H:$H,$H297,$I:$I,$I297)</f>
        <v>0.05</v>
      </c>
      <c r="L297" s="36">
        <f t="shared" si="18"/>
        <v>1</v>
      </c>
      <c r="M297" s="37">
        <f t="shared" si="20"/>
        <v>0</v>
      </c>
      <c r="N297" s="34"/>
      <c r="AA297" s="137">
        <f>AB297/COUNTIFS($B:$B,$B297,$C:$C,$C297,$H:$H,$H297,$I:$I,$I297)</f>
        <v>0.05</v>
      </c>
      <c r="AB297" s="138">
        <f>VLOOKUP(I297,'Weights and Confidence'!$D$16:$AC$26,3,FALSE)</f>
        <v>0.05</v>
      </c>
      <c r="AC297" s="139">
        <f>VLOOKUP(I297,'Weights and Confidence'!$D$16:$AC$26,4,FALSE)</f>
        <v>1</v>
      </c>
    </row>
    <row r="298" spans="1:29" x14ac:dyDescent="0.2">
      <c r="A298" s="38" t="s">
        <v>14</v>
      </c>
      <c r="B298" s="38" t="s">
        <v>1</v>
      </c>
      <c r="C298" s="38" t="s">
        <v>68</v>
      </c>
      <c r="D298" s="38" t="s">
        <v>65</v>
      </c>
      <c r="E298" s="38"/>
      <c r="F298" s="38" t="s">
        <v>69</v>
      </c>
      <c r="G298" s="38">
        <v>4</v>
      </c>
      <c r="H298" s="38" t="s">
        <v>17</v>
      </c>
      <c r="I298" s="38" t="s">
        <v>22</v>
      </c>
      <c r="J298" s="38">
        <v>-1</v>
      </c>
      <c r="K298" s="39">
        <f>AB298/COUNTIFS($B:$B,$B298,$C:$C,$C298,$H:$H,$H298,$I:$I,$I298)</f>
        <v>0.14000000000000001</v>
      </c>
      <c r="L298" s="40">
        <f t="shared" si="18"/>
        <v>1</v>
      </c>
      <c r="M298" s="41">
        <f t="shared" si="20"/>
        <v>-0.14000000000000001</v>
      </c>
      <c r="N298" s="38"/>
      <c r="AA298" s="137">
        <f>AB298/COUNTIFS($B:$B,$B298,$C:$C,$C298,$H:$H,$H298,$I:$I,$I298)</f>
        <v>0.14000000000000001</v>
      </c>
      <c r="AB298" s="138">
        <f>VLOOKUP(I298,'Weights and Confidence'!$D$16:$AC$26,3,FALSE)</f>
        <v>0.14000000000000001</v>
      </c>
      <c r="AC298" s="139">
        <f>VLOOKUP(I298,'Weights and Confidence'!$D$16:$AC$26,4,FALSE)</f>
        <v>1</v>
      </c>
    </row>
    <row r="299" spans="1:29" x14ac:dyDescent="0.2">
      <c r="A299" s="34" t="s">
        <v>14</v>
      </c>
      <c r="B299" s="34" t="s">
        <v>1</v>
      </c>
      <c r="C299" s="34" t="s">
        <v>68</v>
      </c>
      <c r="D299" s="34" t="s">
        <v>65</v>
      </c>
      <c r="E299" s="34"/>
      <c r="F299" s="34" t="s">
        <v>69</v>
      </c>
      <c r="G299" s="34">
        <v>4</v>
      </c>
      <c r="H299" s="34" t="s">
        <v>18</v>
      </c>
      <c r="I299" s="34" t="s">
        <v>22</v>
      </c>
      <c r="J299" s="34">
        <v>-1</v>
      </c>
      <c r="K299" s="35">
        <f>AB299/COUNTIFS($B:$B,$B299,$C:$C,$C299,$H:$H,$H299,$I:$I,$I299)</f>
        <v>0.14000000000000001</v>
      </c>
      <c r="L299" s="36">
        <f t="shared" si="18"/>
        <v>1</v>
      </c>
      <c r="M299" s="37">
        <f t="shared" si="20"/>
        <v>-0.14000000000000001</v>
      </c>
      <c r="N299" s="34"/>
      <c r="AA299" s="137">
        <f>AB299/COUNTIFS($B:$B,$B299,$C:$C,$C299,$H:$H,$H299,$I:$I,$I299)</f>
        <v>0.14000000000000001</v>
      </c>
      <c r="AB299" s="138">
        <f>VLOOKUP(I299,'Weights and Confidence'!$D$16:$AC$26,3,FALSE)</f>
        <v>0.14000000000000001</v>
      </c>
      <c r="AC299" s="139">
        <f>VLOOKUP(I299,'Weights and Confidence'!$D$16:$AC$26,4,FALSE)</f>
        <v>1</v>
      </c>
    </row>
    <row r="300" spans="1:29" x14ac:dyDescent="0.2">
      <c r="A300" s="38" t="s">
        <v>14</v>
      </c>
      <c r="B300" s="38" t="s">
        <v>1</v>
      </c>
      <c r="C300" s="38" t="s">
        <v>68</v>
      </c>
      <c r="D300" s="38" t="s">
        <v>65</v>
      </c>
      <c r="E300" s="38"/>
      <c r="F300" s="38" t="s">
        <v>69</v>
      </c>
      <c r="G300" s="38">
        <v>5</v>
      </c>
      <c r="H300" s="38" t="s">
        <v>17</v>
      </c>
      <c r="I300" s="38" t="s">
        <v>23</v>
      </c>
      <c r="J300" s="38">
        <v>-1</v>
      </c>
      <c r="K300" s="39">
        <f>AB300/COUNTIFS($B:$B,$B300,$C:$C,$C300,$H:$H,$H300,$I:$I,$I300)</f>
        <v>0.11</v>
      </c>
      <c r="L300" s="40">
        <f t="shared" si="18"/>
        <v>1</v>
      </c>
      <c r="M300" s="41">
        <f t="shared" si="20"/>
        <v>-0.11</v>
      </c>
      <c r="N300" s="38"/>
      <c r="AA300" s="137">
        <f>AB300/COUNTIFS($B:$B,$B300,$C:$C,$C300,$H:$H,$H300,$I:$I,$I300)</f>
        <v>0.11</v>
      </c>
      <c r="AB300" s="138">
        <f>VLOOKUP(I300,'Weights and Confidence'!$D$16:$AC$26,3,FALSE)</f>
        <v>0.11</v>
      </c>
      <c r="AC300" s="139">
        <f>VLOOKUP(I300,'Weights and Confidence'!$D$16:$AC$26,4,FALSE)</f>
        <v>1</v>
      </c>
    </row>
    <row r="301" spans="1:29" x14ac:dyDescent="0.2">
      <c r="A301" s="34" t="s">
        <v>14</v>
      </c>
      <c r="B301" s="34" t="s">
        <v>1</v>
      </c>
      <c r="C301" s="34" t="s">
        <v>68</v>
      </c>
      <c r="D301" s="34" t="s">
        <v>65</v>
      </c>
      <c r="E301" s="34"/>
      <c r="F301" s="34" t="s">
        <v>69</v>
      </c>
      <c r="G301" s="34">
        <v>5</v>
      </c>
      <c r="H301" s="34" t="s">
        <v>18</v>
      </c>
      <c r="I301" s="34" t="s">
        <v>23</v>
      </c>
      <c r="J301" s="34">
        <v>-1</v>
      </c>
      <c r="K301" s="35">
        <f>AB301/COUNTIFS($B:$B,$B301,$C:$C,$C301,$H:$H,$H301,$I:$I,$I301)</f>
        <v>0.11</v>
      </c>
      <c r="L301" s="36">
        <f t="shared" si="18"/>
        <v>1</v>
      </c>
      <c r="M301" s="37">
        <f t="shared" si="20"/>
        <v>-0.11</v>
      </c>
      <c r="N301" s="34"/>
      <c r="AA301" s="137">
        <f>AB301/COUNTIFS($B:$B,$B301,$C:$C,$C301,$H:$H,$H301,$I:$I,$I301)</f>
        <v>0.11</v>
      </c>
      <c r="AB301" s="138">
        <f>VLOOKUP(I301,'Weights and Confidence'!$D$16:$AC$26,3,FALSE)</f>
        <v>0.11</v>
      </c>
      <c r="AC301" s="139">
        <f>VLOOKUP(I301,'Weights and Confidence'!$D$16:$AC$26,4,FALSE)</f>
        <v>1</v>
      </c>
    </row>
    <row r="302" spans="1:29" x14ac:dyDescent="0.2">
      <c r="A302" s="38" t="s">
        <v>14</v>
      </c>
      <c r="B302" s="38" t="s">
        <v>1</v>
      </c>
      <c r="C302" s="38" t="s">
        <v>68</v>
      </c>
      <c r="D302" s="38" t="s">
        <v>65</v>
      </c>
      <c r="E302" s="38"/>
      <c r="F302" s="38" t="s">
        <v>69</v>
      </c>
      <c r="G302" s="38">
        <v>6</v>
      </c>
      <c r="H302" s="38" t="s">
        <v>17</v>
      </c>
      <c r="I302" s="38" t="s">
        <v>24</v>
      </c>
      <c r="J302" s="38">
        <v>-1</v>
      </c>
      <c r="K302" s="39">
        <f>AB302/COUNTIFS($B:$B,$B302,$C:$C,$C302,$H:$H,$H302,$I:$I,$I302)</f>
        <v>0.15</v>
      </c>
      <c r="L302" s="40">
        <f t="shared" si="18"/>
        <v>1</v>
      </c>
      <c r="M302" s="41">
        <f t="shared" si="20"/>
        <v>-0.15</v>
      </c>
      <c r="N302" s="38"/>
      <c r="AA302" s="137">
        <f>AB302/COUNTIFS($B:$B,$B302,$C:$C,$C302,$H:$H,$H302,$I:$I,$I302)</f>
        <v>0.15</v>
      </c>
      <c r="AB302" s="138">
        <f>VLOOKUP(I302,'Weights and Confidence'!$D$16:$AC$26,3,FALSE)</f>
        <v>0.15</v>
      </c>
      <c r="AC302" s="139">
        <f>VLOOKUP(I302,'Weights and Confidence'!$D$16:$AC$26,4,FALSE)</f>
        <v>1</v>
      </c>
    </row>
    <row r="303" spans="1:29" x14ac:dyDescent="0.2">
      <c r="A303" s="34" t="s">
        <v>14</v>
      </c>
      <c r="B303" s="34" t="s">
        <v>1</v>
      </c>
      <c r="C303" s="34" t="s">
        <v>68</v>
      </c>
      <c r="D303" s="34" t="s">
        <v>65</v>
      </c>
      <c r="E303" s="34"/>
      <c r="F303" s="34" t="s">
        <v>69</v>
      </c>
      <c r="G303" s="34">
        <v>6</v>
      </c>
      <c r="H303" s="34" t="s">
        <v>18</v>
      </c>
      <c r="I303" s="34" t="s">
        <v>24</v>
      </c>
      <c r="J303" s="34">
        <v>-1</v>
      </c>
      <c r="K303" s="35">
        <f>AB303/COUNTIFS($B:$B,$B303,$C:$C,$C303,$H:$H,$H303,$I:$I,$I303)</f>
        <v>0.15</v>
      </c>
      <c r="L303" s="36">
        <f t="shared" si="18"/>
        <v>1</v>
      </c>
      <c r="M303" s="37">
        <f t="shared" si="20"/>
        <v>-0.15</v>
      </c>
      <c r="N303" s="34"/>
      <c r="AA303" s="137">
        <f>AB303/COUNTIFS($B:$B,$B303,$C:$C,$C303,$H:$H,$H303,$I:$I,$I303)</f>
        <v>0.15</v>
      </c>
      <c r="AB303" s="138">
        <f>VLOOKUP(I303,'Weights and Confidence'!$D$16:$AC$26,3,FALSE)</f>
        <v>0.15</v>
      </c>
      <c r="AC303" s="139">
        <f>VLOOKUP(I303,'Weights and Confidence'!$D$16:$AC$26,4,FALSE)</f>
        <v>1</v>
      </c>
    </row>
    <row r="304" spans="1:29" x14ac:dyDescent="0.2">
      <c r="A304" s="38" t="s">
        <v>14</v>
      </c>
      <c r="B304" s="38" t="s">
        <v>1</v>
      </c>
      <c r="C304" s="38" t="s">
        <v>68</v>
      </c>
      <c r="D304" s="38" t="s">
        <v>65</v>
      </c>
      <c r="E304" s="38"/>
      <c r="F304" s="38" t="s">
        <v>69</v>
      </c>
      <c r="G304" s="38">
        <v>7</v>
      </c>
      <c r="H304" s="38" t="s">
        <v>17</v>
      </c>
      <c r="I304" s="38" t="s">
        <v>25</v>
      </c>
      <c r="J304" s="38">
        <v>0</v>
      </c>
      <c r="K304" s="39">
        <f>AB304/COUNTIFS($B:$B,$B304,$C:$C,$C304,$H:$H,$H304,$I:$I,$I304)</f>
        <v>0.1</v>
      </c>
      <c r="L304" s="40">
        <f t="shared" si="18"/>
        <v>1</v>
      </c>
      <c r="M304" s="41">
        <f t="shared" si="20"/>
        <v>0</v>
      </c>
      <c r="N304" s="38"/>
      <c r="AA304" s="137">
        <f>AB304/COUNTIFS($B:$B,$B304,$C:$C,$C304,$H:$H,$H304,$I:$I,$I304)</f>
        <v>0.1</v>
      </c>
      <c r="AB304" s="138">
        <f>VLOOKUP(I304,'Weights and Confidence'!$D$16:$AC$26,3,FALSE)</f>
        <v>0.1</v>
      </c>
      <c r="AC304" s="139">
        <f>VLOOKUP(I304,'Weights and Confidence'!$D$16:$AC$26,4,FALSE)</f>
        <v>1</v>
      </c>
    </row>
    <row r="305" spans="1:29" x14ac:dyDescent="0.2">
      <c r="A305" s="34" t="s">
        <v>14</v>
      </c>
      <c r="B305" s="34" t="s">
        <v>1</v>
      </c>
      <c r="C305" s="34" t="s">
        <v>68</v>
      </c>
      <c r="D305" s="34" t="s">
        <v>65</v>
      </c>
      <c r="E305" s="34"/>
      <c r="F305" s="34" t="s">
        <v>69</v>
      </c>
      <c r="G305" s="34">
        <v>7</v>
      </c>
      <c r="H305" s="34" t="s">
        <v>18</v>
      </c>
      <c r="I305" s="34" t="s">
        <v>25</v>
      </c>
      <c r="J305" s="34">
        <v>-1</v>
      </c>
      <c r="K305" s="35">
        <f>AB305/COUNTIFS($B:$B,$B305,$C:$C,$C305,$H:$H,$H305,$I:$I,$I305)</f>
        <v>0.1</v>
      </c>
      <c r="L305" s="36">
        <f t="shared" si="18"/>
        <v>1</v>
      </c>
      <c r="M305" s="37">
        <f t="shared" si="20"/>
        <v>-0.1</v>
      </c>
      <c r="N305" s="34"/>
      <c r="AA305" s="137">
        <f>AB305/COUNTIFS($B:$B,$B305,$C:$C,$C305,$H:$H,$H305,$I:$I,$I305)</f>
        <v>0.1</v>
      </c>
      <c r="AB305" s="138">
        <f>VLOOKUP(I305,'Weights and Confidence'!$D$16:$AC$26,3,FALSE)</f>
        <v>0.1</v>
      </c>
      <c r="AC305" s="139">
        <f>VLOOKUP(I305,'Weights and Confidence'!$D$16:$AC$26,4,FALSE)</f>
        <v>1</v>
      </c>
    </row>
    <row r="306" spans="1:29" x14ac:dyDescent="0.2">
      <c r="A306" s="38" t="s">
        <v>14</v>
      </c>
      <c r="B306" s="38" t="s">
        <v>1</v>
      </c>
      <c r="C306" s="38" t="s">
        <v>68</v>
      </c>
      <c r="D306" s="38" t="s">
        <v>65</v>
      </c>
      <c r="E306" s="38"/>
      <c r="F306" s="38" t="s">
        <v>69</v>
      </c>
      <c r="G306" s="38">
        <v>8</v>
      </c>
      <c r="H306" s="38" t="s">
        <v>17</v>
      </c>
      <c r="I306" s="38" t="s">
        <v>26</v>
      </c>
      <c r="J306" s="38">
        <v>0</v>
      </c>
      <c r="K306" s="39">
        <f>AB306/COUNTIFS($B:$B,$B306,$C:$C,$C306,$H:$H,$H306,$I:$I,$I306)</f>
        <v>0.1</v>
      </c>
      <c r="L306" s="40">
        <f t="shared" si="18"/>
        <v>1</v>
      </c>
      <c r="M306" s="41">
        <f t="shared" si="20"/>
        <v>0</v>
      </c>
      <c r="N306" s="38"/>
      <c r="AA306" s="137">
        <f>AB306/COUNTIFS($B:$B,$B306,$C:$C,$C306,$H:$H,$H306,$I:$I,$I306)</f>
        <v>0.1</v>
      </c>
      <c r="AB306" s="138">
        <f>VLOOKUP(I306,'Weights and Confidence'!$D$16:$AC$26,3,FALSE)</f>
        <v>0.1</v>
      </c>
      <c r="AC306" s="139">
        <f>VLOOKUP(I306,'Weights and Confidence'!$D$16:$AC$26,4,FALSE)</f>
        <v>1</v>
      </c>
    </row>
    <row r="307" spans="1:29" x14ac:dyDescent="0.2">
      <c r="A307" s="34" t="s">
        <v>14</v>
      </c>
      <c r="B307" s="34" t="s">
        <v>1</v>
      </c>
      <c r="C307" s="34" t="s">
        <v>68</v>
      </c>
      <c r="D307" s="34" t="s">
        <v>65</v>
      </c>
      <c r="E307" s="34"/>
      <c r="F307" s="34" t="s">
        <v>69</v>
      </c>
      <c r="G307" s="34">
        <v>8</v>
      </c>
      <c r="H307" s="34" t="s">
        <v>18</v>
      </c>
      <c r="I307" s="34" t="s">
        <v>26</v>
      </c>
      <c r="J307" s="34">
        <v>-1</v>
      </c>
      <c r="K307" s="35">
        <f>AB307/COUNTIFS($B:$B,$B307,$C:$C,$C307,$H:$H,$H307,$I:$I,$I307)</f>
        <v>0.1</v>
      </c>
      <c r="L307" s="36">
        <f t="shared" si="18"/>
        <v>1</v>
      </c>
      <c r="M307" s="37">
        <f t="shared" si="20"/>
        <v>-0.1</v>
      </c>
      <c r="N307" s="34"/>
      <c r="AA307" s="137">
        <f>AB307/COUNTIFS($B:$B,$B307,$C:$C,$C307,$H:$H,$H307,$I:$I,$I307)</f>
        <v>0.1</v>
      </c>
      <c r="AB307" s="138">
        <f>VLOOKUP(I307,'Weights and Confidence'!$D$16:$AC$26,3,FALSE)</f>
        <v>0.1</v>
      </c>
      <c r="AC307" s="139">
        <f>VLOOKUP(I307,'Weights and Confidence'!$D$16:$AC$26,4,FALSE)</f>
        <v>1</v>
      </c>
    </row>
    <row r="308" spans="1:29" x14ac:dyDescent="0.2">
      <c r="A308" s="38" t="s">
        <v>14</v>
      </c>
      <c r="B308" s="38" t="s">
        <v>1</v>
      </c>
      <c r="C308" s="38" t="s">
        <v>68</v>
      </c>
      <c r="D308" s="38" t="s">
        <v>65</v>
      </c>
      <c r="E308" s="38"/>
      <c r="F308" s="38" t="s">
        <v>69</v>
      </c>
      <c r="G308" s="38">
        <v>9</v>
      </c>
      <c r="H308" s="38" t="s">
        <v>17</v>
      </c>
      <c r="I308" s="38" t="s">
        <v>27</v>
      </c>
      <c r="J308" s="38">
        <v>0</v>
      </c>
      <c r="K308" s="39">
        <f>AB308/COUNTIFS($B:$B,$B308,$C:$C,$C308,$H:$H,$H308,$I:$I,$I308)</f>
        <v>0.05</v>
      </c>
      <c r="L308" s="40">
        <f t="shared" si="18"/>
        <v>0.85</v>
      </c>
      <c r="M308" s="41">
        <f t="shared" si="20"/>
        <v>0</v>
      </c>
      <c r="N308" s="38"/>
      <c r="AA308" s="137">
        <f>AB308/COUNTIFS($B:$B,$B308,$C:$C,$C308,$H:$H,$H308,$I:$I,$I308)</f>
        <v>0.05</v>
      </c>
      <c r="AB308" s="138">
        <f>VLOOKUP(I308,'Weights and Confidence'!$D$16:$AC$26,3,FALSE)</f>
        <v>0.1</v>
      </c>
      <c r="AC308" s="139">
        <f>VLOOKUP(I308,'Weights and Confidence'!$D$16:$AC$26,4,FALSE)</f>
        <v>0.85</v>
      </c>
    </row>
    <row r="309" spans="1:29" x14ac:dyDescent="0.2">
      <c r="A309" s="34" t="s">
        <v>14</v>
      </c>
      <c r="B309" s="34" t="s">
        <v>1</v>
      </c>
      <c r="C309" s="34" t="s">
        <v>68</v>
      </c>
      <c r="D309" s="34" t="s">
        <v>65</v>
      </c>
      <c r="E309" s="34"/>
      <c r="F309" s="34" t="s">
        <v>69</v>
      </c>
      <c r="G309" s="34">
        <v>9</v>
      </c>
      <c r="H309" s="34" t="s">
        <v>18</v>
      </c>
      <c r="I309" s="34" t="s">
        <v>27</v>
      </c>
      <c r="J309" s="34">
        <v>-1</v>
      </c>
      <c r="K309" s="35">
        <f>AB309/COUNTIFS($B:$B,$B309,$C:$C,$C309,$H:$H,$H309,$I:$I,$I309)</f>
        <v>0.05</v>
      </c>
      <c r="L309" s="36">
        <f t="shared" si="18"/>
        <v>0.85</v>
      </c>
      <c r="M309" s="37">
        <f t="shared" si="20"/>
        <v>-4.2500000000000003E-2</v>
      </c>
      <c r="N309" s="34"/>
      <c r="AA309" s="137">
        <f>AB309/COUNTIFS($B:$B,$B309,$C:$C,$C309,$H:$H,$H309,$I:$I,$I309)</f>
        <v>0.05</v>
      </c>
      <c r="AB309" s="138">
        <f>VLOOKUP(I309,'Weights and Confidence'!$D$16:$AC$26,3,FALSE)</f>
        <v>0.1</v>
      </c>
      <c r="AC309" s="139">
        <f>VLOOKUP(I309,'Weights and Confidence'!$D$16:$AC$26,4,FALSE)</f>
        <v>0.85</v>
      </c>
    </row>
    <row r="310" spans="1:29" x14ac:dyDescent="0.2">
      <c r="A310" s="38" t="s">
        <v>14</v>
      </c>
      <c r="B310" s="38" t="s">
        <v>1</v>
      </c>
      <c r="C310" s="38" t="s">
        <v>68</v>
      </c>
      <c r="D310" s="38" t="s">
        <v>65</v>
      </c>
      <c r="E310" s="38"/>
      <c r="F310" s="38" t="s">
        <v>69</v>
      </c>
      <c r="G310" s="38">
        <v>10</v>
      </c>
      <c r="H310" s="38" t="s">
        <v>17</v>
      </c>
      <c r="I310" s="38" t="s">
        <v>27</v>
      </c>
      <c r="J310" s="38">
        <v>0</v>
      </c>
      <c r="K310" s="39">
        <f>AB310/COUNTIFS($B:$B,$B310,$C:$C,$C310,$H:$H,$H310,$I:$I,$I310)</f>
        <v>0.05</v>
      </c>
      <c r="L310" s="40">
        <f t="shared" si="18"/>
        <v>0.85</v>
      </c>
      <c r="M310" s="41">
        <f t="shared" si="20"/>
        <v>0</v>
      </c>
      <c r="N310" s="38"/>
      <c r="AA310" s="137">
        <f>AB310/COUNTIFS($B:$B,$B310,$C:$C,$C310,$H:$H,$H310,$I:$I,$I310)</f>
        <v>0.05</v>
      </c>
      <c r="AB310" s="138">
        <f>VLOOKUP(I310,'Weights and Confidence'!$D$16:$AC$26,3,FALSE)</f>
        <v>0.1</v>
      </c>
      <c r="AC310" s="139">
        <f>VLOOKUP(I310,'Weights and Confidence'!$D$16:$AC$26,4,FALSE)</f>
        <v>0.85</v>
      </c>
    </row>
    <row r="311" spans="1:29" x14ac:dyDescent="0.2">
      <c r="A311" s="34" t="s">
        <v>14</v>
      </c>
      <c r="B311" s="34" t="s">
        <v>1</v>
      </c>
      <c r="C311" s="34" t="s">
        <v>68</v>
      </c>
      <c r="D311" s="34" t="s">
        <v>65</v>
      </c>
      <c r="E311" s="34"/>
      <c r="F311" s="34" t="s">
        <v>69</v>
      </c>
      <c r="G311" s="34">
        <v>10</v>
      </c>
      <c r="H311" s="34" t="s">
        <v>18</v>
      </c>
      <c r="I311" s="34" t="s">
        <v>27</v>
      </c>
      <c r="J311" s="34">
        <v>-1</v>
      </c>
      <c r="K311" s="35">
        <f>AB311/COUNTIFS($B:$B,$B311,$C:$C,$C311,$H:$H,$H311,$I:$I,$I311)</f>
        <v>0.05</v>
      </c>
      <c r="L311" s="36">
        <f t="shared" si="18"/>
        <v>0.85</v>
      </c>
      <c r="M311" s="37">
        <f t="shared" si="20"/>
        <v>-4.2500000000000003E-2</v>
      </c>
      <c r="N311" s="34"/>
      <c r="AA311" s="137">
        <f>AB311/COUNTIFS($B:$B,$B311,$C:$C,$C311,$H:$H,$H311,$I:$I,$I311)</f>
        <v>0.05</v>
      </c>
      <c r="AB311" s="138">
        <f>VLOOKUP(I311,'Weights and Confidence'!$D$16:$AC$26,3,FALSE)</f>
        <v>0.1</v>
      </c>
      <c r="AC311" s="139">
        <f>VLOOKUP(I311,'Weights and Confidence'!$D$16:$AC$26,4,FALSE)</f>
        <v>0.85</v>
      </c>
    </row>
    <row r="312" spans="1:29" x14ac:dyDescent="0.2">
      <c r="A312" s="38" t="s">
        <v>14</v>
      </c>
      <c r="B312" s="38" t="s">
        <v>1</v>
      </c>
      <c r="C312" s="38" t="s">
        <v>68</v>
      </c>
      <c r="D312" s="38" t="s">
        <v>65</v>
      </c>
      <c r="E312" s="38"/>
      <c r="F312" s="38" t="s">
        <v>69</v>
      </c>
      <c r="G312" s="38">
        <v>11</v>
      </c>
      <c r="H312" s="38" t="s">
        <v>17</v>
      </c>
      <c r="I312" s="38" t="s">
        <v>28</v>
      </c>
      <c r="J312" s="38">
        <v>0</v>
      </c>
      <c r="K312" s="39">
        <f>AB312/COUNTIFS($B:$B,$B312,$C:$C,$C312,$H:$H,$H312,$I:$I,$I312)</f>
        <v>0.05</v>
      </c>
      <c r="L312" s="40">
        <f t="shared" si="18"/>
        <v>1</v>
      </c>
      <c r="M312" s="41">
        <f t="shared" si="20"/>
        <v>0</v>
      </c>
      <c r="N312" s="38"/>
      <c r="AA312" s="137">
        <f>AB312/COUNTIFS($B:$B,$B312,$C:$C,$C312,$H:$H,$H312,$I:$I,$I312)</f>
        <v>0.05</v>
      </c>
      <c r="AB312" s="138">
        <f>VLOOKUP(I312,'Weights and Confidence'!$D$16:$AC$26,3,FALSE)</f>
        <v>0.05</v>
      </c>
      <c r="AC312" s="139">
        <f>VLOOKUP(I312,'Weights and Confidence'!$D$16:$AC$26,4,FALSE)</f>
        <v>1</v>
      </c>
    </row>
    <row r="313" spans="1:29" ht="17" thickBot="1" x14ac:dyDescent="0.25">
      <c r="A313" s="34" t="s">
        <v>14</v>
      </c>
      <c r="B313" s="34" t="s">
        <v>1</v>
      </c>
      <c r="C313" s="34" t="s">
        <v>68</v>
      </c>
      <c r="D313" s="34" t="s">
        <v>65</v>
      </c>
      <c r="E313" s="34"/>
      <c r="F313" s="34" t="s">
        <v>69</v>
      </c>
      <c r="G313" s="34">
        <v>11</v>
      </c>
      <c r="H313" s="34" t="s">
        <v>18</v>
      </c>
      <c r="I313" s="34" t="s">
        <v>28</v>
      </c>
      <c r="J313" s="34">
        <v>-1</v>
      </c>
      <c r="K313" s="35">
        <f>AB313/COUNTIFS($B:$B,$B313,$C:$C,$C313,$H:$H,$H313,$I:$I,$I313)</f>
        <v>0.05</v>
      </c>
      <c r="L313" s="36">
        <f t="shared" si="18"/>
        <v>1</v>
      </c>
      <c r="M313" s="37">
        <f t="shared" si="20"/>
        <v>-0.05</v>
      </c>
      <c r="N313" s="34"/>
      <c r="AA313" s="140">
        <f>AB313/COUNTIFS($B:$B,$B313,$C:$C,$C313,$H:$H,$H313,$I:$I,$I313)</f>
        <v>0.05</v>
      </c>
      <c r="AB313" s="141">
        <f>VLOOKUP(I313,'Weights and Confidence'!$D$16:$AC$26,3,FALSE)</f>
        <v>0.05</v>
      </c>
      <c r="AC313" s="142">
        <f>VLOOKUP(I313,'Weights and Confidence'!$D$16:$AC$26,4,FALSE)</f>
        <v>1</v>
      </c>
    </row>
    <row r="314" spans="1:29" ht="17" thickTop="1" x14ac:dyDescent="0.2">
      <c r="A314" s="42" t="s">
        <v>14</v>
      </c>
      <c r="B314" s="42" t="s">
        <v>1</v>
      </c>
      <c r="C314" s="42" t="s">
        <v>70</v>
      </c>
      <c r="D314" s="42" t="s">
        <v>65</v>
      </c>
      <c r="E314" s="42"/>
      <c r="F314" s="43" t="s">
        <v>71</v>
      </c>
      <c r="G314" s="42">
        <v>1</v>
      </c>
      <c r="H314" s="42" t="s">
        <v>17</v>
      </c>
      <c r="I314" s="42" t="s">
        <v>19</v>
      </c>
      <c r="J314" s="42">
        <v>0</v>
      </c>
      <c r="K314" s="44">
        <f>AB314/COUNTIFS($B:$B,$B314,$C:$C,$C314,$H:$H,$H314,$I:$I,$I314)</f>
        <v>0.12</v>
      </c>
      <c r="L314" s="45">
        <f t="shared" si="18"/>
        <v>1</v>
      </c>
      <c r="M314" s="46">
        <f t="shared" ref="M314:M335" si="21">J314*K314*L314</f>
        <v>0</v>
      </c>
      <c r="N314" s="42"/>
      <c r="AA314" s="137">
        <f>AB314/COUNTIFS($B:$B,$B314,$C:$C,$C314,$H:$H,$H314,$I:$I,$I314)</f>
        <v>0.12</v>
      </c>
      <c r="AB314" s="138">
        <f>VLOOKUP(I314,'Weights and Confidence'!$D$16:$AC$26,3,FALSE)</f>
        <v>0.12</v>
      </c>
      <c r="AC314" s="139">
        <f>VLOOKUP(I314,'Weights and Confidence'!$D$16:$AC$26,4,FALSE)</f>
        <v>1</v>
      </c>
    </row>
    <row r="315" spans="1:29" x14ac:dyDescent="0.2">
      <c r="A315" s="34" t="s">
        <v>14</v>
      </c>
      <c r="B315" s="34" t="s">
        <v>1</v>
      </c>
      <c r="C315" s="34" t="s">
        <v>70</v>
      </c>
      <c r="D315" s="34" t="s">
        <v>65</v>
      </c>
      <c r="E315" s="34"/>
      <c r="F315" s="34" t="s">
        <v>71</v>
      </c>
      <c r="G315" s="34">
        <v>1</v>
      </c>
      <c r="H315" s="34" t="s">
        <v>18</v>
      </c>
      <c r="I315" s="34" t="s">
        <v>19</v>
      </c>
      <c r="J315" s="34">
        <v>1</v>
      </c>
      <c r="K315" s="35">
        <f>AB315/COUNTIFS($B:$B,$B315,$C:$C,$C315,$H:$H,$H315,$I:$I,$I315)</f>
        <v>0.12</v>
      </c>
      <c r="L315" s="36">
        <f t="shared" si="18"/>
        <v>1</v>
      </c>
      <c r="M315" s="37">
        <f t="shared" si="21"/>
        <v>0.12</v>
      </c>
      <c r="N315" s="34"/>
      <c r="AA315" s="137">
        <f>AB315/COUNTIFS($B:$B,$B315,$C:$C,$C315,$H:$H,$H315,$I:$I,$I315)</f>
        <v>0.12</v>
      </c>
      <c r="AB315" s="138">
        <f>VLOOKUP(I315,'Weights and Confidence'!$D$16:$AC$26,3,FALSE)</f>
        <v>0.12</v>
      </c>
      <c r="AC315" s="139">
        <f>VLOOKUP(I315,'Weights and Confidence'!$D$16:$AC$26,4,FALSE)</f>
        <v>1</v>
      </c>
    </row>
    <row r="316" spans="1:29" x14ac:dyDescent="0.2">
      <c r="A316" s="38" t="s">
        <v>14</v>
      </c>
      <c r="B316" s="38" t="s">
        <v>1</v>
      </c>
      <c r="C316" s="38" t="s">
        <v>70</v>
      </c>
      <c r="D316" s="38" t="s">
        <v>65</v>
      </c>
      <c r="E316" s="38"/>
      <c r="F316" s="38" t="s">
        <v>71</v>
      </c>
      <c r="G316" s="38">
        <v>2</v>
      </c>
      <c r="H316" s="38" t="s">
        <v>17</v>
      </c>
      <c r="I316" s="38" t="s">
        <v>20</v>
      </c>
      <c r="J316" s="38"/>
      <c r="K316" s="39">
        <f>AB316/COUNTIFS($B:$B,$B316,$C:$C,$C316,$H:$H,$H316,$I:$I,$I316)</f>
        <v>0.08</v>
      </c>
      <c r="L316" s="40">
        <f t="shared" si="18"/>
        <v>0.8</v>
      </c>
      <c r="M316" s="41">
        <f t="shared" si="21"/>
        <v>0</v>
      </c>
      <c r="N316" s="38"/>
      <c r="AA316" s="137">
        <f>AB316/COUNTIFS($B:$B,$B316,$C:$C,$C316,$H:$H,$H316,$I:$I,$I316)</f>
        <v>0.08</v>
      </c>
      <c r="AB316" s="138">
        <f>VLOOKUP(I316,'Weights and Confidence'!$D$16:$AC$26,3,FALSE)</f>
        <v>0.08</v>
      </c>
      <c r="AC316" s="139">
        <f>VLOOKUP(I316,'Weights and Confidence'!$D$16:$AC$26,4,FALSE)</f>
        <v>0.8</v>
      </c>
    </row>
    <row r="317" spans="1:29" x14ac:dyDescent="0.2">
      <c r="A317" s="34" t="s">
        <v>14</v>
      </c>
      <c r="B317" s="34" t="s">
        <v>1</v>
      </c>
      <c r="C317" s="34" t="s">
        <v>70</v>
      </c>
      <c r="D317" s="34" t="s">
        <v>65</v>
      </c>
      <c r="E317" s="34"/>
      <c r="F317" s="34" t="s">
        <v>71</v>
      </c>
      <c r="G317" s="34">
        <v>2</v>
      </c>
      <c r="H317" s="34" t="s">
        <v>18</v>
      </c>
      <c r="I317" s="34" t="s">
        <v>20</v>
      </c>
      <c r="J317" s="34">
        <v>1</v>
      </c>
      <c r="K317" s="35">
        <f>AB317/COUNTIFS($B:$B,$B317,$C:$C,$C317,$H:$H,$H317,$I:$I,$I317)</f>
        <v>0.08</v>
      </c>
      <c r="L317" s="36">
        <f t="shared" si="18"/>
        <v>0.8</v>
      </c>
      <c r="M317" s="37">
        <f t="shared" si="21"/>
        <v>6.4000000000000001E-2</v>
      </c>
      <c r="N317" s="34"/>
      <c r="AA317" s="137">
        <f>AB317/COUNTIFS($B:$B,$B317,$C:$C,$C317,$H:$H,$H317,$I:$I,$I317)</f>
        <v>0.08</v>
      </c>
      <c r="AB317" s="138">
        <f>VLOOKUP(I317,'Weights and Confidence'!$D$16:$AC$26,3,FALSE)</f>
        <v>0.08</v>
      </c>
      <c r="AC317" s="139">
        <f>VLOOKUP(I317,'Weights and Confidence'!$D$16:$AC$26,4,FALSE)</f>
        <v>0.8</v>
      </c>
    </row>
    <row r="318" spans="1:29" x14ac:dyDescent="0.2">
      <c r="A318" s="38" t="s">
        <v>14</v>
      </c>
      <c r="B318" s="38" t="s">
        <v>1</v>
      </c>
      <c r="C318" s="38" t="s">
        <v>70</v>
      </c>
      <c r="D318" s="38" t="s">
        <v>65</v>
      </c>
      <c r="E318" s="38"/>
      <c r="F318" s="38" t="s">
        <v>71</v>
      </c>
      <c r="G318" s="38">
        <v>3</v>
      </c>
      <c r="H318" s="38" t="s">
        <v>17</v>
      </c>
      <c r="I318" s="38" t="s">
        <v>21</v>
      </c>
      <c r="J318" s="38">
        <v>1</v>
      </c>
      <c r="K318" s="39">
        <f>AB318/COUNTIFS($B:$B,$B318,$C:$C,$C318,$H:$H,$H318,$I:$I,$I318)</f>
        <v>0.05</v>
      </c>
      <c r="L318" s="40">
        <f t="shared" si="18"/>
        <v>1</v>
      </c>
      <c r="M318" s="41">
        <f t="shared" si="21"/>
        <v>0.05</v>
      </c>
      <c r="N318" s="38"/>
      <c r="AA318" s="137">
        <f>AB318/COUNTIFS($B:$B,$B318,$C:$C,$C318,$H:$H,$H318,$I:$I,$I318)</f>
        <v>0.05</v>
      </c>
      <c r="AB318" s="138">
        <f>VLOOKUP(I318,'Weights and Confidence'!$D$16:$AC$26,3,FALSE)</f>
        <v>0.05</v>
      </c>
      <c r="AC318" s="139">
        <f>VLOOKUP(I318,'Weights and Confidence'!$D$16:$AC$26,4,FALSE)</f>
        <v>1</v>
      </c>
    </row>
    <row r="319" spans="1:29" x14ac:dyDescent="0.2">
      <c r="A319" s="34" t="s">
        <v>14</v>
      </c>
      <c r="B319" s="34" t="s">
        <v>1</v>
      </c>
      <c r="C319" s="34" t="s">
        <v>70</v>
      </c>
      <c r="D319" s="34" t="s">
        <v>65</v>
      </c>
      <c r="E319" s="34"/>
      <c r="F319" s="34" t="s">
        <v>71</v>
      </c>
      <c r="G319" s="34">
        <v>3</v>
      </c>
      <c r="H319" s="34" t="s">
        <v>18</v>
      </c>
      <c r="I319" s="34" t="s">
        <v>21</v>
      </c>
      <c r="J319" s="34">
        <v>1</v>
      </c>
      <c r="K319" s="35">
        <f>AB319/COUNTIFS($B:$B,$B319,$C:$C,$C319,$H:$H,$H319,$I:$I,$I319)</f>
        <v>0.05</v>
      </c>
      <c r="L319" s="36">
        <f t="shared" si="18"/>
        <v>1</v>
      </c>
      <c r="M319" s="37">
        <f t="shared" si="21"/>
        <v>0.05</v>
      </c>
      <c r="N319" s="34"/>
      <c r="AA319" s="137">
        <f>AB319/COUNTIFS($B:$B,$B319,$C:$C,$C319,$H:$H,$H319,$I:$I,$I319)</f>
        <v>0.05</v>
      </c>
      <c r="AB319" s="138">
        <f>VLOOKUP(I319,'Weights and Confidence'!$D$16:$AC$26,3,FALSE)</f>
        <v>0.05</v>
      </c>
      <c r="AC319" s="139">
        <f>VLOOKUP(I319,'Weights and Confidence'!$D$16:$AC$26,4,FALSE)</f>
        <v>1</v>
      </c>
    </row>
    <row r="320" spans="1:29" x14ac:dyDescent="0.2">
      <c r="A320" s="38" t="s">
        <v>14</v>
      </c>
      <c r="B320" s="38" t="s">
        <v>1</v>
      </c>
      <c r="C320" s="38" t="s">
        <v>70</v>
      </c>
      <c r="D320" s="38" t="s">
        <v>65</v>
      </c>
      <c r="E320" s="38"/>
      <c r="F320" s="38" t="s">
        <v>71</v>
      </c>
      <c r="G320" s="38">
        <v>4</v>
      </c>
      <c r="H320" s="38" t="s">
        <v>17</v>
      </c>
      <c r="I320" s="38" t="s">
        <v>22</v>
      </c>
      <c r="J320" s="38">
        <v>0</v>
      </c>
      <c r="K320" s="39">
        <f>AB320/COUNTIFS($B:$B,$B320,$C:$C,$C320,$H:$H,$H320,$I:$I,$I320)</f>
        <v>0.14000000000000001</v>
      </c>
      <c r="L320" s="40">
        <f t="shared" si="18"/>
        <v>1</v>
      </c>
      <c r="M320" s="41">
        <f t="shared" si="21"/>
        <v>0</v>
      </c>
      <c r="N320" s="38"/>
      <c r="AA320" s="137">
        <f>AB320/COUNTIFS($B:$B,$B320,$C:$C,$C320,$H:$H,$H320,$I:$I,$I320)</f>
        <v>0.14000000000000001</v>
      </c>
      <c r="AB320" s="138">
        <f>VLOOKUP(I320,'Weights and Confidence'!$D$16:$AC$26,3,FALSE)</f>
        <v>0.14000000000000001</v>
      </c>
      <c r="AC320" s="139">
        <f>VLOOKUP(I320,'Weights and Confidence'!$D$16:$AC$26,4,FALSE)</f>
        <v>1</v>
      </c>
    </row>
    <row r="321" spans="1:29" x14ac:dyDescent="0.2">
      <c r="A321" s="34" t="s">
        <v>14</v>
      </c>
      <c r="B321" s="34" t="s">
        <v>1</v>
      </c>
      <c r="C321" s="34" t="s">
        <v>70</v>
      </c>
      <c r="D321" s="34" t="s">
        <v>65</v>
      </c>
      <c r="E321" s="34"/>
      <c r="F321" s="34" t="s">
        <v>71</v>
      </c>
      <c r="G321" s="34">
        <v>4</v>
      </c>
      <c r="H321" s="34" t="s">
        <v>18</v>
      </c>
      <c r="I321" s="34" t="s">
        <v>22</v>
      </c>
      <c r="J321" s="34">
        <v>1</v>
      </c>
      <c r="K321" s="35">
        <f>AB321/COUNTIFS($B:$B,$B321,$C:$C,$C321,$H:$H,$H321,$I:$I,$I321)</f>
        <v>0.14000000000000001</v>
      </c>
      <c r="L321" s="36">
        <f t="shared" si="18"/>
        <v>1</v>
      </c>
      <c r="M321" s="37">
        <f t="shared" si="21"/>
        <v>0.14000000000000001</v>
      </c>
      <c r="N321" s="34"/>
      <c r="AA321" s="137">
        <f>AB321/COUNTIFS($B:$B,$B321,$C:$C,$C321,$H:$H,$H321,$I:$I,$I321)</f>
        <v>0.14000000000000001</v>
      </c>
      <c r="AB321" s="138">
        <f>VLOOKUP(I321,'Weights and Confidence'!$D$16:$AC$26,3,FALSE)</f>
        <v>0.14000000000000001</v>
      </c>
      <c r="AC321" s="139">
        <f>VLOOKUP(I321,'Weights and Confidence'!$D$16:$AC$26,4,FALSE)</f>
        <v>1</v>
      </c>
    </row>
    <row r="322" spans="1:29" x14ac:dyDescent="0.2">
      <c r="A322" s="38" t="s">
        <v>14</v>
      </c>
      <c r="B322" s="38" t="s">
        <v>1</v>
      </c>
      <c r="C322" s="38" t="s">
        <v>70</v>
      </c>
      <c r="D322" s="38" t="s">
        <v>65</v>
      </c>
      <c r="E322" s="38"/>
      <c r="F322" s="38" t="s">
        <v>71</v>
      </c>
      <c r="G322" s="38">
        <v>5</v>
      </c>
      <c r="H322" s="38" t="s">
        <v>17</v>
      </c>
      <c r="I322" s="38" t="s">
        <v>23</v>
      </c>
      <c r="J322" s="38">
        <v>0</v>
      </c>
      <c r="K322" s="39">
        <f>AB322/COUNTIFS($B:$B,$B322,$C:$C,$C322,$H:$H,$H322,$I:$I,$I322)</f>
        <v>0.11</v>
      </c>
      <c r="L322" s="40">
        <f t="shared" si="18"/>
        <v>1</v>
      </c>
      <c r="M322" s="41">
        <f t="shared" si="21"/>
        <v>0</v>
      </c>
      <c r="N322" s="38"/>
      <c r="AA322" s="137">
        <f>AB322/COUNTIFS($B:$B,$B322,$C:$C,$C322,$H:$H,$H322,$I:$I,$I322)</f>
        <v>0.11</v>
      </c>
      <c r="AB322" s="138">
        <f>VLOOKUP(I322,'Weights and Confidence'!$D$16:$AC$26,3,FALSE)</f>
        <v>0.11</v>
      </c>
      <c r="AC322" s="139">
        <f>VLOOKUP(I322,'Weights and Confidence'!$D$16:$AC$26,4,FALSE)</f>
        <v>1</v>
      </c>
    </row>
    <row r="323" spans="1:29" x14ac:dyDescent="0.2">
      <c r="A323" s="34" t="s">
        <v>14</v>
      </c>
      <c r="B323" s="34" t="s">
        <v>1</v>
      </c>
      <c r="C323" s="34" t="s">
        <v>70</v>
      </c>
      <c r="D323" s="34" t="s">
        <v>65</v>
      </c>
      <c r="E323" s="34"/>
      <c r="F323" s="34" t="s">
        <v>71</v>
      </c>
      <c r="G323" s="34">
        <v>5</v>
      </c>
      <c r="H323" s="34" t="s">
        <v>18</v>
      </c>
      <c r="I323" s="34" t="s">
        <v>23</v>
      </c>
      <c r="J323" s="34">
        <v>1</v>
      </c>
      <c r="K323" s="35">
        <f>AB323/COUNTIFS($B:$B,$B323,$C:$C,$C323,$H:$H,$H323,$I:$I,$I323)</f>
        <v>0.11</v>
      </c>
      <c r="L323" s="36">
        <f t="shared" si="18"/>
        <v>1</v>
      </c>
      <c r="M323" s="37">
        <f t="shared" si="21"/>
        <v>0.11</v>
      </c>
      <c r="N323" s="34"/>
      <c r="AA323" s="137">
        <f>AB323/COUNTIFS($B:$B,$B323,$C:$C,$C323,$H:$H,$H323,$I:$I,$I323)</f>
        <v>0.11</v>
      </c>
      <c r="AB323" s="138">
        <f>VLOOKUP(I323,'Weights and Confidence'!$D$16:$AC$26,3,FALSE)</f>
        <v>0.11</v>
      </c>
      <c r="AC323" s="139">
        <f>VLOOKUP(I323,'Weights and Confidence'!$D$16:$AC$26,4,FALSE)</f>
        <v>1</v>
      </c>
    </row>
    <row r="324" spans="1:29" x14ac:dyDescent="0.2">
      <c r="A324" s="38" t="s">
        <v>14</v>
      </c>
      <c r="B324" s="38" t="s">
        <v>1</v>
      </c>
      <c r="C324" s="38" t="s">
        <v>70</v>
      </c>
      <c r="D324" s="38" t="s">
        <v>65</v>
      </c>
      <c r="E324" s="38"/>
      <c r="F324" s="38" t="s">
        <v>71</v>
      </c>
      <c r="G324" s="38">
        <v>6</v>
      </c>
      <c r="H324" s="38" t="s">
        <v>17</v>
      </c>
      <c r="I324" s="38" t="s">
        <v>24</v>
      </c>
      <c r="J324" s="38">
        <v>0</v>
      </c>
      <c r="K324" s="39">
        <f>AB324/COUNTIFS($B:$B,$B324,$C:$C,$C324,$H:$H,$H324,$I:$I,$I324)</f>
        <v>0.15</v>
      </c>
      <c r="L324" s="40">
        <f t="shared" si="18"/>
        <v>1</v>
      </c>
      <c r="M324" s="41">
        <f t="shared" si="21"/>
        <v>0</v>
      </c>
      <c r="N324" s="38"/>
      <c r="AA324" s="137">
        <f>AB324/COUNTIFS($B:$B,$B324,$C:$C,$C324,$H:$H,$H324,$I:$I,$I324)</f>
        <v>0.15</v>
      </c>
      <c r="AB324" s="138">
        <f>VLOOKUP(I324,'Weights and Confidence'!$D$16:$AC$26,3,FALSE)</f>
        <v>0.15</v>
      </c>
      <c r="AC324" s="139">
        <f>VLOOKUP(I324,'Weights and Confidence'!$D$16:$AC$26,4,FALSE)</f>
        <v>1</v>
      </c>
    </row>
    <row r="325" spans="1:29" x14ac:dyDescent="0.2">
      <c r="A325" s="34" t="s">
        <v>14</v>
      </c>
      <c r="B325" s="34" t="s">
        <v>1</v>
      </c>
      <c r="C325" s="34" t="s">
        <v>70</v>
      </c>
      <c r="D325" s="34" t="s">
        <v>65</v>
      </c>
      <c r="E325" s="34"/>
      <c r="F325" s="34" t="s">
        <v>71</v>
      </c>
      <c r="G325" s="34">
        <v>6</v>
      </c>
      <c r="H325" s="34" t="s">
        <v>18</v>
      </c>
      <c r="I325" s="34" t="s">
        <v>24</v>
      </c>
      <c r="J325" s="34">
        <v>1</v>
      </c>
      <c r="K325" s="35">
        <f>AB325/COUNTIFS($B:$B,$B325,$C:$C,$C325,$H:$H,$H325,$I:$I,$I325)</f>
        <v>0.15</v>
      </c>
      <c r="L325" s="36">
        <f t="shared" si="18"/>
        <v>1</v>
      </c>
      <c r="M325" s="37">
        <f t="shared" si="21"/>
        <v>0.15</v>
      </c>
      <c r="N325" s="34"/>
      <c r="AA325" s="137">
        <f>AB325/COUNTIFS($B:$B,$B325,$C:$C,$C325,$H:$H,$H325,$I:$I,$I325)</f>
        <v>0.15</v>
      </c>
      <c r="AB325" s="138">
        <f>VLOOKUP(I325,'Weights and Confidence'!$D$16:$AC$26,3,FALSE)</f>
        <v>0.15</v>
      </c>
      <c r="AC325" s="139">
        <f>VLOOKUP(I325,'Weights and Confidence'!$D$16:$AC$26,4,FALSE)</f>
        <v>1</v>
      </c>
    </row>
    <row r="326" spans="1:29" x14ac:dyDescent="0.2">
      <c r="A326" s="38" t="s">
        <v>14</v>
      </c>
      <c r="B326" s="38" t="s">
        <v>1</v>
      </c>
      <c r="C326" s="38" t="s">
        <v>70</v>
      </c>
      <c r="D326" s="38" t="s">
        <v>65</v>
      </c>
      <c r="E326" s="38"/>
      <c r="F326" s="38" t="s">
        <v>71</v>
      </c>
      <c r="G326" s="38">
        <v>7</v>
      </c>
      <c r="H326" s="38" t="s">
        <v>17</v>
      </c>
      <c r="I326" s="38" t="s">
        <v>25</v>
      </c>
      <c r="J326" s="38">
        <v>1</v>
      </c>
      <c r="K326" s="39">
        <f>AB326/COUNTIFS($B:$B,$B326,$C:$C,$C326,$H:$H,$H326,$I:$I,$I326)</f>
        <v>0.1</v>
      </c>
      <c r="L326" s="40">
        <f t="shared" ref="L326:L389" si="22">AC326</f>
        <v>1</v>
      </c>
      <c r="M326" s="41">
        <f t="shared" si="21"/>
        <v>0.1</v>
      </c>
      <c r="N326" s="38"/>
      <c r="AA326" s="137">
        <f>AB326/COUNTIFS($B:$B,$B326,$C:$C,$C326,$H:$H,$H326,$I:$I,$I326)</f>
        <v>0.1</v>
      </c>
      <c r="AB326" s="138">
        <f>VLOOKUP(I326,'Weights and Confidence'!$D$16:$AC$26,3,FALSE)</f>
        <v>0.1</v>
      </c>
      <c r="AC326" s="139">
        <f>VLOOKUP(I326,'Weights and Confidence'!$D$16:$AC$26,4,FALSE)</f>
        <v>1</v>
      </c>
    </row>
    <row r="327" spans="1:29" x14ac:dyDescent="0.2">
      <c r="A327" s="34" t="s">
        <v>14</v>
      </c>
      <c r="B327" s="34" t="s">
        <v>1</v>
      </c>
      <c r="C327" s="34" t="s">
        <v>70</v>
      </c>
      <c r="D327" s="34" t="s">
        <v>65</v>
      </c>
      <c r="E327" s="34"/>
      <c r="F327" s="34" t="s">
        <v>71</v>
      </c>
      <c r="G327" s="34">
        <v>7</v>
      </c>
      <c r="H327" s="34" t="s">
        <v>18</v>
      </c>
      <c r="I327" s="34" t="s">
        <v>25</v>
      </c>
      <c r="J327" s="34">
        <v>0</v>
      </c>
      <c r="K327" s="35">
        <f>AB327/COUNTIFS($B:$B,$B327,$C:$C,$C327,$H:$H,$H327,$I:$I,$I327)</f>
        <v>0.1</v>
      </c>
      <c r="L327" s="36">
        <f t="shared" si="22"/>
        <v>1</v>
      </c>
      <c r="M327" s="37">
        <f t="shared" si="21"/>
        <v>0</v>
      </c>
      <c r="N327" s="34"/>
      <c r="AA327" s="137">
        <f>AB327/COUNTIFS($B:$B,$B327,$C:$C,$C327,$H:$H,$H327,$I:$I,$I327)</f>
        <v>0.1</v>
      </c>
      <c r="AB327" s="138">
        <f>VLOOKUP(I327,'Weights and Confidence'!$D$16:$AC$26,3,FALSE)</f>
        <v>0.1</v>
      </c>
      <c r="AC327" s="139">
        <f>VLOOKUP(I327,'Weights and Confidence'!$D$16:$AC$26,4,FALSE)</f>
        <v>1</v>
      </c>
    </row>
    <row r="328" spans="1:29" x14ac:dyDescent="0.2">
      <c r="A328" s="38" t="s">
        <v>14</v>
      </c>
      <c r="B328" s="38" t="s">
        <v>1</v>
      </c>
      <c r="C328" s="38" t="s">
        <v>70</v>
      </c>
      <c r="D328" s="38" t="s">
        <v>65</v>
      </c>
      <c r="E328" s="38"/>
      <c r="F328" s="38" t="s">
        <v>71</v>
      </c>
      <c r="G328" s="38">
        <v>8</v>
      </c>
      <c r="H328" s="38" t="s">
        <v>17</v>
      </c>
      <c r="I328" s="38" t="s">
        <v>26</v>
      </c>
      <c r="J328" s="38">
        <v>1</v>
      </c>
      <c r="K328" s="39">
        <f>AB328/COUNTIFS($B:$B,$B328,$C:$C,$C328,$H:$H,$H328,$I:$I,$I328)</f>
        <v>0.1</v>
      </c>
      <c r="L328" s="40">
        <f t="shared" si="22"/>
        <v>1</v>
      </c>
      <c r="M328" s="41">
        <f t="shared" si="21"/>
        <v>0.1</v>
      </c>
      <c r="N328" s="38"/>
      <c r="AA328" s="137">
        <f>AB328/COUNTIFS($B:$B,$B328,$C:$C,$C328,$H:$H,$H328,$I:$I,$I328)</f>
        <v>0.1</v>
      </c>
      <c r="AB328" s="138">
        <f>VLOOKUP(I328,'Weights and Confidence'!$D$16:$AC$26,3,FALSE)</f>
        <v>0.1</v>
      </c>
      <c r="AC328" s="139">
        <f>VLOOKUP(I328,'Weights and Confidence'!$D$16:$AC$26,4,FALSE)</f>
        <v>1</v>
      </c>
    </row>
    <row r="329" spans="1:29" x14ac:dyDescent="0.2">
      <c r="A329" s="34" t="s">
        <v>14</v>
      </c>
      <c r="B329" s="34" t="s">
        <v>1</v>
      </c>
      <c r="C329" s="34" t="s">
        <v>70</v>
      </c>
      <c r="D329" s="34" t="s">
        <v>65</v>
      </c>
      <c r="E329" s="34"/>
      <c r="F329" s="34" t="s">
        <v>71</v>
      </c>
      <c r="G329" s="34">
        <v>8</v>
      </c>
      <c r="H329" s="34" t="s">
        <v>18</v>
      </c>
      <c r="I329" s="34" t="s">
        <v>26</v>
      </c>
      <c r="J329" s="34">
        <v>0</v>
      </c>
      <c r="K329" s="35">
        <f>AB329/COUNTIFS($B:$B,$B329,$C:$C,$C329,$H:$H,$H329,$I:$I,$I329)</f>
        <v>0.1</v>
      </c>
      <c r="L329" s="36">
        <f t="shared" si="22"/>
        <v>1</v>
      </c>
      <c r="M329" s="37">
        <f t="shared" si="21"/>
        <v>0</v>
      </c>
      <c r="N329" s="34"/>
      <c r="AA329" s="137">
        <f>AB329/COUNTIFS($B:$B,$B329,$C:$C,$C329,$H:$H,$H329,$I:$I,$I329)</f>
        <v>0.1</v>
      </c>
      <c r="AB329" s="138">
        <f>VLOOKUP(I329,'Weights and Confidence'!$D$16:$AC$26,3,FALSE)</f>
        <v>0.1</v>
      </c>
      <c r="AC329" s="139">
        <f>VLOOKUP(I329,'Weights and Confidence'!$D$16:$AC$26,4,FALSE)</f>
        <v>1</v>
      </c>
    </row>
    <row r="330" spans="1:29" x14ac:dyDescent="0.2">
      <c r="A330" s="38" t="s">
        <v>14</v>
      </c>
      <c r="B330" s="38" t="s">
        <v>1</v>
      </c>
      <c r="C330" s="38" t="s">
        <v>70</v>
      </c>
      <c r="D330" s="38" t="s">
        <v>65</v>
      </c>
      <c r="E330" s="38"/>
      <c r="F330" s="38" t="s">
        <v>71</v>
      </c>
      <c r="G330" s="38">
        <v>9</v>
      </c>
      <c r="H330" s="38" t="s">
        <v>17</v>
      </c>
      <c r="I330" s="38" t="s">
        <v>27</v>
      </c>
      <c r="J330" s="38">
        <v>1</v>
      </c>
      <c r="K330" s="39">
        <f>AB330/COUNTIFS($B:$B,$B330,$C:$C,$C330,$H:$H,$H330,$I:$I,$I330)</f>
        <v>0.05</v>
      </c>
      <c r="L330" s="40">
        <f t="shared" si="22"/>
        <v>0.85</v>
      </c>
      <c r="M330" s="41">
        <f t="shared" si="21"/>
        <v>4.2500000000000003E-2</v>
      </c>
      <c r="N330" s="38"/>
      <c r="AA330" s="137">
        <f>AB330/COUNTIFS($B:$B,$B330,$C:$C,$C330,$H:$H,$H330,$I:$I,$I330)</f>
        <v>0.05</v>
      </c>
      <c r="AB330" s="138">
        <f>VLOOKUP(I330,'Weights and Confidence'!$D$16:$AC$26,3,FALSE)</f>
        <v>0.1</v>
      </c>
      <c r="AC330" s="139">
        <f>VLOOKUP(I330,'Weights and Confidence'!$D$16:$AC$26,4,FALSE)</f>
        <v>0.85</v>
      </c>
    </row>
    <row r="331" spans="1:29" x14ac:dyDescent="0.2">
      <c r="A331" s="34" t="s">
        <v>14</v>
      </c>
      <c r="B331" s="34" t="s">
        <v>1</v>
      </c>
      <c r="C331" s="34" t="s">
        <v>70</v>
      </c>
      <c r="D331" s="34" t="s">
        <v>65</v>
      </c>
      <c r="E331" s="34"/>
      <c r="F331" s="34" t="s">
        <v>71</v>
      </c>
      <c r="G331" s="34">
        <v>9</v>
      </c>
      <c r="H331" s="34" t="s">
        <v>18</v>
      </c>
      <c r="I331" s="34" t="s">
        <v>27</v>
      </c>
      <c r="J331" s="34">
        <v>1</v>
      </c>
      <c r="K331" s="35">
        <f>AB331/COUNTIFS($B:$B,$B331,$C:$C,$C331,$H:$H,$H331,$I:$I,$I331)</f>
        <v>0.05</v>
      </c>
      <c r="L331" s="36">
        <f t="shared" si="22"/>
        <v>0.85</v>
      </c>
      <c r="M331" s="37">
        <f t="shared" si="21"/>
        <v>4.2500000000000003E-2</v>
      </c>
      <c r="N331" s="34"/>
      <c r="AA331" s="137">
        <f>AB331/COUNTIFS($B:$B,$B331,$C:$C,$C331,$H:$H,$H331,$I:$I,$I331)</f>
        <v>0.05</v>
      </c>
      <c r="AB331" s="138">
        <f>VLOOKUP(I331,'Weights and Confidence'!$D$16:$AC$26,3,FALSE)</f>
        <v>0.1</v>
      </c>
      <c r="AC331" s="139">
        <f>VLOOKUP(I331,'Weights and Confidence'!$D$16:$AC$26,4,FALSE)</f>
        <v>0.85</v>
      </c>
    </row>
    <row r="332" spans="1:29" x14ac:dyDescent="0.2">
      <c r="A332" s="38" t="s">
        <v>14</v>
      </c>
      <c r="B332" s="38" t="s">
        <v>1</v>
      </c>
      <c r="C332" s="38" t="s">
        <v>70</v>
      </c>
      <c r="D332" s="38" t="s">
        <v>65</v>
      </c>
      <c r="E332" s="38"/>
      <c r="F332" s="38" t="s">
        <v>71</v>
      </c>
      <c r="G332" s="38">
        <v>10</v>
      </c>
      <c r="H332" s="38" t="s">
        <v>17</v>
      </c>
      <c r="I332" s="38" t="s">
        <v>27</v>
      </c>
      <c r="J332" s="38">
        <v>1</v>
      </c>
      <c r="K332" s="39">
        <f>AB332/COUNTIFS($B:$B,$B332,$C:$C,$C332,$H:$H,$H332,$I:$I,$I332)</f>
        <v>0.05</v>
      </c>
      <c r="L332" s="40">
        <f t="shared" si="22"/>
        <v>0.85</v>
      </c>
      <c r="M332" s="41">
        <f t="shared" si="21"/>
        <v>4.2500000000000003E-2</v>
      </c>
      <c r="N332" s="38"/>
      <c r="AA332" s="137">
        <f>AB332/COUNTIFS($B:$B,$B332,$C:$C,$C332,$H:$H,$H332,$I:$I,$I332)</f>
        <v>0.05</v>
      </c>
      <c r="AB332" s="138">
        <f>VLOOKUP(I332,'Weights and Confidence'!$D$16:$AC$26,3,FALSE)</f>
        <v>0.1</v>
      </c>
      <c r="AC332" s="139">
        <f>VLOOKUP(I332,'Weights and Confidence'!$D$16:$AC$26,4,FALSE)</f>
        <v>0.85</v>
      </c>
    </row>
    <row r="333" spans="1:29" x14ac:dyDescent="0.2">
      <c r="A333" s="34" t="s">
        <v>14</v>
      </c>
      <c r="B333" s="34" t="s">
        <v>1</v>
      </c>
      <c r="C333" s="34" t="s">
        <v>70</v>
      </c>
      <c r="D333" s="34" t="s">
        <v>65</v>
      </c>
      <c r="E333" s="34"/>
      <c r="F333" s="34" t="s">
        <v>71</v>
      </c>
      <c r="G333" s="34">
        <v>10</v>
      </c>
      <c r="H333" s="34" t="s">
        <v>18</v>
      </c>
      <c r="I333" s="34" t="s">
        <v>27</v>
      </c>
      <c r="J333" s="34">
        <v>1</v>
      </c>
      <c r="K333" s="35">
        <f>AB333/COUNTIFS($B:$B,$B333,$C:$C,$C333,$H:$H,$H333,$I:$I,$I333)</f>
        <v>0.05</v>
      </c>
      <c r="L333" s="36">
        <f t="shared" si="22"/>
        <v>0.85</v>
      </c>
      <c r="M333" s="37">
        <f t="shared" si="21"/>
        <v>4.2500000000000003E-2</v>
      </c>
      <c r="N333" s="34"/>
      <c r="AA333" s="137">
        <f>AB333/COUNTIFS($B:$B,$B333,$C:$C,$C333,$H:$H,$H333,$I:$I,$I333)</f>
        <v>0.05</v>
      </c>
      <c r="AB333" s="138">
        <f>VLOOKUP(I333,'Weights and Confidence'!$D$16:$AC$26,3,FALSE)</f>
        <v>0.1</v>
      </c>
      <c r="AC333" s="139">
        <f>VLOOKUP(I333,'Weights and Confidence'!$D$16:$AC$26,4,FALSE)</f>
        <v>0.85</v>
      </c>
    </row>
    <row r="334" spans="1:29" x14ac:dyDescent="0.2">
      <c r="A334" s="38" t="s">
        <v>14</v>
      </c>
      <c r="B334" s="38" t="s">
        <v>1</v>
      </c>
      <c r="C334" s="38" t="s">
        <v>70</v>
      </c>
      <c r="D334" s="38" t="s">
        <v>65</v>
      </c>
      <c r="E334" s="38"/>
      <c r="F334" s="38" t="s">
        <v>71</v>
      </c>
      <c r="G334" s="38">
        <v>11</v>
      </c>
      <c r="H334" s="38" t="s">
        <v>17</v>
      </c>
      <c r="I334" s="38" t="s">
        <v>28</v>
      </c>
      <c r="J334" s="38">
        <v>0</v>
      </c>
      <c r="K334" s="39">
        <f>AB334/COUNTIFS($B:$B,$B334,$C:$C,$C334,$H:$H,$H334,$I:$I,$I334)</f>
        <v>0.05</v>
      </c>
      <c r="L334" s="40">
        <f t="shared" si="22"/>
        <v>1</v>
      </c>
      <c r="M334" s="41">
        <f t="shared" si="21"/>
        <v>0</v>
      </c>
      <c r="N334" s="38"/>
      <c r="AA334" s="137">
        <f>AB334/COUNTIFS($B:$B,$B334,$C:$C,$C334,$H:$H,$H334,$I:$I,$I334)</f>
        <v>0.05</v>
      </c>
      <c r="AB334" s="138">
        <f>VLOOKUP(I334,'Weights and Confidence'!$D$16:$AC$26,3,FALSE)</f>
        <v>0.05</v>
      </c>
      <c r="AC334" s="139">
        <f>VLOOKUP(I334,'Weights and Confidence'!$D$16:$AC$26,4,FALSE)</f>
        <v>1</v>
      </c>
    </row>
    <row r="335" spans="1:29" ht="17" thickBot="1" x14ac:dyDescent="0.25">
      <c r="A335" s="34" t="s">
        <v>14</v>
      </c>
      <c r="B335" s="34" t="s">
        <v>1</v>
      </c>
      <c r="C335" s="34" t="s">
        <v>70</v>
      </c>
      <c r="D335" s="34" t="s">
        <v>65</v>
      </c>
      <c r="E335" s="34"/>
      <c r="F335" s="34" t="s">
        <v>71</v>
      </c>
      <c r="G335" s="34">
        <v>11</v>
      </c>
      <c r="H335" s="34" t="s">
        <v>18</v>
      </c>
      <c r="I335" s="34" t="s">
        <v>28</v>
      </c>
      <c r="J335" s="34">
        <v>-1</v>
      </c>
      <c r="K335" s="35">
        <f>AB335/COUNTIFS($B:$B,$B335,$C:$C,$C335,$H:$H,$H335,$I:$I,$I335)</f>
        <v>0.05</v>
      </c>
      <c r="L335" s="36">
        <f t="shared" si="22"/>
        <v>1</v>
      </c>
      <c r="M335" s="37">
        <f t="shared" si="21"/>
        <v>-0.05</v>
      </c>
      <c r="N335" s="34"/>
      <c r="AA335" s="140">
        <f>AB335/COUNTIFS($B:$B,$B335,$C:$C,$C335,$H:$H,$H335,$I:$I,$I335)</f>
        <v>0.05</v>
      </c>
      <c r="AB335" s="141">
        <f>VLOOKUP(I335,'Weights and Confidence'!$D$16:$AC$26,3,FALSE)</f>
        <v>0.05</v>
      </c>
      <c r="AC335" s="142">
        <f>VLOOKUP(I335,'Weights and Confidence'!$D$16:$AC$26,4,FALSE)</f>
        <v>1</v>
      </c>
    </row>
    <row r="336" spans="1:29" ht="17" thickTop="1" x14ac:dyDescent="0.2">
      <c r="A336" s="42" t="s">
        <v>14</v>
      </c>
      <c r="B336" s="42" t="s">
        <v>1</v>
      </c>
      <c r="C336" s="42" t="s">
        <v>72</v>
      </c>
      <c r="D336" s="42" t="s">
        <v>65</v>
      </c>
      <c r="E336" s="42"/>
      <c r="F336" s="43" t="s">
        <v>73</v>
      </c>
      <c r="G336" s="42">
        <v>1</v>
      </c>
      <c r="H336" s="42" t="s">
        <v>17</v>
      </c>
      <c r="I336" s="42" t="s">
        <v>19</v>
      </c>
      <c r="J336" s="42">
        <v>1</v>
      </c>
      <c r="K336" s="44">
        <f>AB336/COUNTIFS($B:$B,$B336,$C:$C,$C336,$H:$H,$H336,$I:$I,$I336)</f>
        <v>0.12</v>
      </c>
      <c r="L336" s="45">
        <f t="shared" si="22"/>
        <v>1</v>
      </c>
      <c r="M336" s="46">
        <f t="shared" ref="M336:M357" si="23">J336*K336*L336</f>
        <v>0.12</v>
      </c>
      <c r="N336" s="42"/>
      <c r="AA336" s="137">
        <f>AB336/COUNTIFS($B:$B,$B336,$C:$C,$C336,$H:$H,$H336,$I:$I,$I336)</f>
        <v>0.12</v>
      </c>
      <c r="AB336" s="138">
        <f>VLOOKUP(I336,'Weights and Confidence'!$D$16:$AC$26,3,FALSE)</f>
        <v>0.12</v>
      </c>
      <c r="AC336" s="139">
        <f>VLOOKUP(I336,'Weights and Confidence'!$D$16:$AC$26,4,FALSE)</f>
        <v>1</v>
      </c>
    </row>
    <row r="337" spans="1:29" x14ac:dyDescent="0.2">
      <c r="A337" s="34" t="s">
        <v>14</v>
      </c>
      <c r="B337" s="34" t="s">
        <v>1</v>
      </c>
      <c r="C337" s="34" t="s">
        <v>72</v>
      </c>
      <c r="D337" s="34" t="s">
        <v>65</v>
      </c>
      <c r="E337" s="34"/>
      <c r="F337" s="34" t="s">
        <v>73</v>
      </c>
      <c r="G337" s="34">
        <v>1</v>
      </c>
      <c r="H337" s="34" t="s">
        <v>18</v>
      </c>
      <c r="I337" s="34" t="s">
        <v>19</v>
      </c>
      <c r="J337" s="34">
        <v>1</v>
      </c>
      <c r="K337" s="35">
        <f>AB337/COUNTIFS($B:$B,$B337,$C:$C,$C337,$H:$H,$H337,$I:$I,$I337)</f>
        <v>0.12</v>
      </c>
      <c r="L337" s="36">
        <f t="shared" si="22"/>
        <v>1</v>
      </c>
      <c r="M337" s="37">
        <f t="shared" si="23"/>
        <v>0.12</v>
      </c>
      <c r="N337" s="34"/>
      <c r="AA337" s="137">
        <f>AB337/COUNTIFS($B:$B,$B337,$C:$C,$C337,$H:$H,$H337,$I:$I,$I337)</f>
        <v>0.12</v>
      </c>
      <c r="AB337" s="138">
        <f>VLOOKUP(I337,'Weights and Confidence'!$D$16:$AC$26,3,FALSE)</f>
        <v>0.12</v>
      </c>
      <c r="AC337" s="139">
        <f>VLOOKUP(I337,'Weights and Confidence'!$D$16:$AC$26,4,FALSE)</f>
        <v>1</v>
      </c>
    </row>
    <row r="338" spans="1:29" x14ac:dyDescent="0.2">
      <c r="A338" s="38" t="s">
        <v>14</v>
      </c>
      <c r="B338" s="38" t="s">
        <v>1</v>
      </c>
      <c r="C338" s="38" t="s">
        <v>72</v>
      </c>
      <c r="D338" s="38" t="s">
        <v>65</v>
      </c>
      <c r="E338" s="38"/>
      <c r="F338" s="38" t="s">
        <v>73</v>
      </c>
      <c r="G338" s="38">
        <v>2</v>
      </c>
      <c r="H338" s="38" t="s">
        <v>17</v>
      </c>
      <c r="I338" s="38" t="s">
        <v>20</v>
      </c>
      <c r="J338" s="38"/>
      <c r="K338" s="39">
        <f>AB338/COUNTIFS($B:$B,$B338,$C:$C,$C338,$H:$H,$H338,$I:$I,$I338)</f>
        <v>0.08</v>
      </c>
      <c r="L338" s="40">
        <f t="shared" si="22"/>
        <v>0.8</v>
      </c>
      <c r="M338" s="41">
        <f t="shared" si="23"/>
        <v>0</v>
      </c>
      <c r="N338" s="38"/>
      <c r="AA338" s="137">
        <f>AB338/COUNTIFS($B:$B,$B338,$C:$C,$C338,$H:$H,$H338,$I:$I,$I338)</f>
        <v>0.08</v>
      </c>
      <c r="AB338" s="138">
        <f>VLOOKUP(I338,'Weights and Confidence'!$D$16:$AC$26,3,FALSE)</f>
        <v>0.08</v>
      </c>
      <c r="AC338" s="139">
        <f>VLOOKUP(I338,'Weights and Confidence'!$D$16:$AC$26,4,FALSE)</f>
        <v>0.8</v>
      </c>
    </row>
    <row r="339" spans="1:29" x14ac:dyDescent="0.2">
      <c r="A339" s="34" t="s">
        <v>14</v>
      </c>
      <c r="B339" s="34" t="s">
        <v>1</v>
      </c>
      <c r="C339" s="34" t="s">
        <v>72</v>
      </c>
      <c r="D339" s="34" t="s">
        <v>65</v>
      </c>
      <c r="E339" s="34"/>
      <c r="F339" s="34" t="s">
        <v>73</v>
      </c>
      <c r="G339" s="34">
        <v>2</v>
      </c>
      <c r="H339" s="34" t="s">
        <v>18</v>
      </c>
      <c r="I339" s="34" t="s">
        <v>20</v>
      </c>
      <c r="J339" s="34">
        <v>1</v>
      </c>
      <c r="K339" s="35">
        <f>AB339/COUNTIFS($B:$B,$B339,$C:$C,$C339,$H:$H,$H339,$I:$I,$I339)</f>
        <v>0.08</v>
      </c>
      <c r="L339" s="36">
        <f t="shared" si="22"/>
        <v>0.8</v>
      </c>
      <c r="M339" s="37">
        <f t="shared" si="23"/>
        <v>6.4000000000000001E-2</v>
      </c>
      <c r="N339" s="34"/>
      <c r="AA339" s="137">
        <f>AB339/COUNTIFS($B:$B,$B339,$C:$C,$C339,$H:$H,$H339,$I:$I,$I339)</f>
        <v>0.08</v>
      </c>
      <c r="AB339" s="138">
        <f>VLOOKUP(I339,'Weights and Confidence'!$D$16:$AC$26,3,FALSE)</f>
        <v>0.08</v>
      </c>
      <c r="AC339" s="139">
        <f>VLOOKUP(I339,'Weights and Confidence'!$D$16:$AC$26,4,FALSE)</f>
        <v>0.8</v>
      </c>
    </row>
    <row r="340" spans="1:29" x14ac:dyDescent="0.2">
      <c r="A340" s="38" t="s">
        <v>14</v>
      </c>
      <c r="B340" s="38" t="s">
        <v>1</v>
      </c>
      <c r="C340" s="38" t="s">
        <v>72</v>
      </c>
      <c r="D340" s="38" t="s">
        <v>65</v>
      </c>
      <c r="E340" s="38"/>
      <c r="F340" s="38" t="s">
        <v>73</v>
      </c>
      <c r="G340" s="38">
        <v>3</v>
      </c>
      <c r="H340" s="38" t="s">
        <v>17</v>
      </c>
      <c r="I340" s="38" t="s">
        <v>21</v>
      </c>
      <c r="J340" s="38">
        <v>1</v>
      </c>
      <c r="K340" s="39">
        <f>AB340/COUNTIFS($B:$B,$B340,$C:$C,$C340,$H:$H,$H340,$I:$I,$I340)</f>
        <v>0.05</v>
      </c>
      <c r="L340" s="40">
        <f t="shared" si="22"/>
        <v>1</v>
      </c>
      <c r="M340" s="41">
        <f t="shared" si="23"/>
        <v>0.05</v>
      </c>
      <c r="N340" s="38"/>
      <c r="AA340" s="137">
        <f>AB340/COUNTIFS($B:$B,$B340,$C:$C,$C340,$H:$H,$H340,$I:$I,$I340)</f>
        <v>0.05</v>
      </c>
      <c r="AB340" s="138">
        <f>VLOOKUP(I340,'Weights and Confidence'!$D$16:$AC$26,3,FALSE)</f>
        <v>0.05</v>
      </c>
      <c r="AC340" s="139">
        <f>VLOOKUP(I340,'Weights and Confidence'!$D$16:$AC$26,4,FALSE)</f>
        <v>1</v>
      </c>
    </row>
    <row r="341" spans="1:29" x14ac:dyDescent="0.2">
      <c r="A341" s="34" t="s">
        <v>14</v>
      </c>
      <c r="B341" s="34" t="s">
        <v>1</v>
      </c>
      <c r="C341" s="34" t="s">
        <v>72</v>
      </c>
      <c r="D341" s="34" t="s">
        <v>65</v>
      </c>
      <c r="E341" s="34"/>
      <c r="F341" s="34" t="s">
        <v>73</v>
      </c>
      <c r="G341" s="34">
        <v>3</v>
      </c>
      <c r="H341" s="34" t="s">
        <v>18</v>
      </c>
      <c r="I341" s="34" t="s">
        <v>21</v>
      </c>
      <c r="J341" s="34">
        <v>0</v>
      </c>
      <c r="K341" s="35">
        <f>AB341/COUNTIFS($B:$B,$B341,$C:$C,$C341,$H:$H,$H341,$I:$I,$I341)</f>
        <v>0.05</v>
      </c>
      <c r="L341" s="36">
        <f t="shared" si="22"/>
        <v>1</v>
      </c>
      <c r="M341" s="37">
        <f t="shared" si="23"/>
        <v>0</v>
      </c>
      <c r="N341" s="34"/>
      <c r="AA341" s="137">
        <f>AB341/COUNTIFS($B:$B,$B341,$C:$C,$C341,$H:$H,$H341,$I:$I,$I341)</f>
        <v>0.05</v>
      </c>
      <c r="AB341" s="138">
        <f>VLOOKUP(I341,'Weights and Confidence'!$D$16:$AC$26,3,FALSE)</f>
        <v>0.05</v>
      </c>
      <c r="AC341" s="139">
        <f>VLOOKUP(I341,'Weights and Confidence'!$D$16:$AC$26,4,FALSE)</f>
        <v>1</v>
      </c>
    </row>
    <row r="342" spans="1:29" x14ac:dyDescent="0.2">
      <c r="A342" s="38" t="s">
        <v>14</v>
      </c>
      <c r="B342" s="38" t="s">
        <v>1</v>
      </c>
      <c r="C342" s="38" t="s">
        <v>72</v>
      </c>
      <c r="D342" s="38" t="s">
        <v>65</v>
      </c>
      <c r="E342" s="38"/>
      <c r="F342" s="38" t="s">
        <v>73</v>
      </c>
      <c r="G342" s="38">
        <v>4</v>
      </c>
      <c r="H342" s="38" t="s">
        <v>17</v>
      </c>
      <c r="I342" s="38" t="s">
        <v>22</v>
      </c>
      <c r="J342" s="38">
        <v>-1</v>
      </c>
      <c r="K342" s="39">
        <f>AB342/COUNTIFS($B:$B,$B342,$C:$C,$C342,$H:$H,$H342,$I:$I,$I342)</f>
        <v>0.14000000000000001</v>
      </c>
      <c r="L342" s="40">
        <f t="shared" si="22"/>
        <v>1</v>
      </c>
      <c r="M342" s="41">
        <f t="shared" si="23"/>
        <v>-0.14000000000000001</v>
      </c>
      <c r="N342" s="38"/>
      <c r="AA342" s="137">
        <f>AB342/COUNTIFS($B:$B,$B342,$C:$C,$C342,$H:$H,$H342,$I:$I,$I342)</f>
        <v>0.14000000000000001</v>
      </c>
      <c r="AB342" s="138">
        <f>VLOOKUP(I342,'Weights and Confidence'!$D$16:$AC$26,3,FALSE)</f>
        <v>0.14000000000000001</v>
      </c>
      <c r="AC342" s="139">
        <f>VLOOKUP(I342,'Weights and Confidence'!$D$16:$AC$26,4,FALSE)</f>
        <v>1</v>
      </c>
    </row>
    <row r="343" spans="1:29" x14ac:dyDescent="0.2">
      <c r="A343" s="34" t="s">
        <v>14</v>
      </c>
      <c r="B343" s="34" t="s">
        <v>1</v>
      </c>
      <c r="C343" s="34" t="s">
        <v>72</v>
      </c>
      <c r="D343" s="34" t="s">
        <v>65</v>
      </c>
      <c r="E343" s="34"/>
      <c r="F343" s="34" t="s">
        <v>73</v>
      </c>
      <c r="G343" s="34">
        <v>4</v>
      </c>
      <c r="H343" s="34" t="s">
        <v>18</v>
      </c>
      <c r="I343" s="34" t="s">
        <v>22</v>
      </c>
      <c r="J343" s="34">
        <v>0</v>
      </c>
      <c r="K343" s="35">
        <f>AB343/COUNTIFS($B:$B,$B343,$C:$C,$C343,$H:$H,$H343,$I:$I,$I343)</f>
        <v>0.14000000000000001</v>
      </c>
      <c r="L343" s="36">
        <f t="shared" si="22"/>
        <v>1</v>
      </c>
      <c r="M343" s="37">
        <f t="shared" si="23"/>
        <v>0</v>
      </c>
      <c r="N343" s="34"/>
      <c r="AA343" s="137">
        <f>AB343/COUNTIFS($B:$B,$B343,$C:$C,$C343,$H:$H,$H343,$I:$I,$I343)</f>
        <v>0.14000000000000001</v>
      </c>
      <c r="AB343" s="138">
        <f>VLOOKUP(I343,'Weights and Confidence'!$D$16:$AC$26,3,FALSE)</f>
        <v>0.14000000000000001</v>
      </c>
      <c r="AC343" s="139">
        <f>VLOOKUP(I343,'Weights and Confidence'!$D$16:$AC$26,4,FALSE)</f>
        <v>1</v>
      </c>
    </row>
    <row r="344" spans="1:29" x14ac:dyDescent="0.2">
      <c r="A344" s="38" t="s">
        <v>14</v>
      </c>
      <c r="B344" s="38" t="s">
        <v>1</v>
      </c>
      <c r="C344" s="38" t="s">
        <v>72</v>
      </c>
      <c r="D344" s="38" t="s">
        <v>65</v>
      </c>
      <c r="E344" s="38"/>
      <c r="F344" s="38" t="s">
        <v>73</v>
      </c>
      <c r="G344" s="38">
        <v>5</v>
      </c>
      <c r="H344" s="38" t="s">
        <v>17</v>
      </c>
      <c r="I344" s="38" t="s">
        <v>23</v>
      </c>
      <c r="J344" s="38">
        <v>-1</v>
      </c>
      <c r="K344" s="39">
        <f>AB344/COUNTIFS($B:$B,$B344,$C:$C,$C344,$H:$H,$H344,$I:$I,$I344)</f>
        <v>0.11</v>
      </c>
      <c r="L344" s="40">
        <f t="shared" si="22"/>
        <v>1</v>
      </c>
      <c r="M344" s="41">
        <f t="shared" si="23"/>
        <v>-0.11</v>
      </c>
      <c r="N344" s="38"/>
      <c r="AA344" s="137">
        <f>AB344/COUNTIFS($B:$B,$B344,$C:$C,$C344,$H:$H,$H344,$I:$I,$I344)</f>
        <v>0.11</v>
      </c>
      <c r="AB344" s="138">
        <f>VLOOKUP(I344,'Weights and Confidence'!$D$16:$AC$26,3,FALSE)</f>
        <v>0.11</v>
      </c>
      <c r="AC344" s="139">
        <f>VLOOKUP(I344,'Weights and Confidence'!$D$16:$AC$26,4,FALSE)</f>
        <v>1</v>
      </c>
    </row>
    <row r="345" spans="1:29" x14ac:dyDescent="0.2">
      <c r="A345" s="34" t="s">
        <v>14</v>
      </c>
      <c r="B345" s="34" t="s">
        <v>1</v>
      </c>
      <c r="C345" s="34" t="s">
        <v>72</v>
      </c>
      <c r="D345" s="34" t="s">
        <v>65</v>
      </c>
      <c r="E345" s="34"/>
      <c r="F345" s="34" t="s">
        <v>73</v>
      </c>
      <c r="G345" s="34">
        <v>5</v>
      </c>
      <c r="H345" s="34" t="s">
        <v>18</v>
      </c>
      <c r="I345" s="34" t="s">
        <v>23</v>
      </c>
      <c r="J345" s="34">
        <v>0</v>
      </c>
      <c r="K345" s="35">
        <f>AB345/COUNTIFS($B:$B,$B345,$C:$C,$C345,$H:$H,$H345,$I:$I,$I345)</f>
        <v>0.11</v>
      </c>
      <c r="L345" s="36">
        <f t="shared" si="22"/>
        <v>1</v>
      </c>
      <c r="M345" s="37">
        <f t="shared" si="23"/>
        <v>0</v>
      </c>
      <c r="N345" s="34"/>
      <c r="AA345" s="137">
        <f>AB345/COUNTIFS($B:$B,$B345,$C:$C,$C345,$H:$H,$H345,$I:$I,$I345)</f>
        <v>0.11</v>
      </c>
      <c r="AB345" s="138">
        <f>VLOOKUP(I345,'Weights and Confidence'!$D$16:$AC$26,3,FALSE)</f>
        <v>0.11</v>
      </c>
      <c r="AC345" s="139">
        <f>VLOOKUP(I345,'Weights and Confidence'!$D$16:$AC$26,4,FALSE)</f>
        <v>1</v>
      </c>
    </row>
    <row r="346" spans="1:29" x14ac:dyDescent="0.2">
      <c r="A346" s="38" t="s">
        <v>14</v>
      </c>
      <c r="B346" s="38" t="s">
        <v>1</v>
      </c>
      <c r="C346" s="38" t="s">
        <v>72</v>
      </c>
      <c r="D346" s="38" t="s">
        <v>65</v>
      </c>
      <c r="E346" s="38"/>
      <c r="F346" s="38" t="s">
        <v>73</v>
      </c>
      <c r="G346" s="38">
        <v>6</v>
      </c>
      <c r="H346" s="38" t="s">
        <v>17</v>
      </c>
      <c r="I346" s="38" t="s">
        <v>24</v>
      </c>
      <c r="J346" s="38">
        <v>0</v>
      </c>
      <c r="K346" s="39">
        <f>AB346/COUNTIFS($B:$B,$B346,$C:$C,$C346,$H:$H,$H346,$I:$I,$I346)</f>
        <v>0.15</v>
      </c>
      <c r="L346" s="40">
        <f t="shared" si="22"/>
        <v>1</v>
      </c>
      <c r="M346" s="41">
        <f t="shared" si="23"/>
        <v>0</v>
      </c>
      <c r="N346" s="38"/>
      <c r="AA346" s="137">
        <f>AB346/COUNTIFS($B:$B,$B346,$C:$C,$C346,$H:$H,$H346,$I:$I,$I346)</f>
        <v>0.15</v>
      </c>
      <c r="AB346" s="138">
        <f>VLOOKUP(I346,'Weights and Confidence'!$D$16:$AC$26,3,FALSE)</f>
        <v>0.15</v>
      </c>
      <c r="AC346" s="139">
        <f>VLOOKUP(I346,'Weights and Confidence'!$D$16:$AC$26,4,FALSE)</f>
        <v>1</v>
      </c>
    </row>
    <row r="347" spans="1:29" x14ac:dyDescent="0.2">
      <c r="A347" s="34" t="s">
        <v>14</v>
      </c>
      <c r="B347" s="34" t="s">
        <v>1</v>
      </c>
      <c r="C347" s="34" t="s">
        <v>72</v>
      </c>
      <c r="D347" s="34" t="s">
        <v>65</v>
      </c>
      <c r="E347" s="34"/>
      <c r="F347" s="34" t="s">
        <v>73</v>
      </c>
      <c r="G347" s="34">
        <v>6</v>
      </c>
      <c r="H347" s="34" t="s">
        <v>18</v>
      </c>
      <c r="I347" s="34" t="s">
        <v>24</v>
      </c>
      <c r="J347" s="34">
        <v>0</v>
      </c>
      <c r="K347" s="35">
        <f>AB347/COUNTIFS($B:$B,$B347,$C:$C,$C347,$H:$H,$H347,$I:$I,$I347)</f>
        <v>0.15</v>
      </c>
      <c r="L347" s="36">
        <f t="shared" si="22"/>
        <v>1</v>
      </c>
      <c r="M347" s="37">
        <f t="shared" si="23"/>
        <v>0</v>
      </c>
      <c r="N347" s="34"/>
      <c r="AA347" s="137">
        <f>AB347/COUNTIFS($B:$B,$B347,$C:$C,$C347,$H:$H,$H347,$I:$I,$I347)</f>
        <v>0.15</v>
      </c>
      <c r="AB347" s="138">
        <f>VLOOKUP(I347,'Weights and Confidence'!$D$16:$AC$26,3,FALSE)</f>
        <v>0.15</v>
      </c>
      <c r="AC347" s="139">
        <f>VLOOKUP(I347,'Weights and Confidence'!$D$16:$AC$26,4,FALSE)</f>
        <v>1</v>
      </c>
    </row>
    <row r="348" spans="1:29" x14ac:dyDescent="0.2">
      <c r="A348" s="38" t="s">
        <v>14</v>
      </c>
      <c r="B348" s="38" t="s">
        <v>1</v>
      </c>
      <c r="C348" s="38" t="s">
        <v>72</v>
      </c>
      <c r="D348" s="38" t="s">
        <v>65</v>
      </c>
      <c r="E348" s="38"/>
      <c r="F348" s="38" t="s">
        <v>73</v>
      </c>
      <c r="G348" s="38">
        <v>7</v>
      </c>
      <c r="H348" s="38" t="s">
        <v>17</v>
      </c>
      <c r="I348" s="38" t="s">
        <v>25</v>
      </c>
      <c r="J348" s="38">
        <v>-1</v>
      </c>
      <c r="K348" s="39">
        <f>AB348/COUNTIFS($B:$B,$B348,$C:$C,$C348,$H:$H,$H348,$I:$I,$I348)</f>
        <v>0.1</v>
      </c>
      <c r="L348" s="40">
        <f t="shared" si="22"/>
        <v>1</v>
      </c>
      <c r="M348" s="41">
        <f t="shared" si="23"/>
        <v>-0.1</v>
      </c>
      <c r="N348" s="38"/>
      <c r="AA348" s="137">
        <f>AB348/COUNTIFS($B:$B,$B348,$C:$C,$C348,$H:$H,$H348,$I:$I,$I348)</f>
        <v>0.1</v>
      </c>
      <c r="AB348" s="138">
        <f>VLOOKUP(I348,'Weights and Confidence'!$D$16:$AC$26,3,FALSE)</f>
        <v>0.1</v>
      </c>
      <c r="AC348" s="139">
        <f>VLOOKUP(I348,'Weights and Confidence'!$D$16:$AC$26,4,FALSE)</f>
        <v>1</v>
      </c>
    </row>
    <row r="349" spans="1:29" x14ac:dyDescent="0.2">
      <c r="A349" s="34" t="s">
        <v>14</v>
      </c>
      <c r="B349" s="34" t="s">
        <v>1</v>
      </c>
      <c r="C349" s="34" t="s">
        <v>72</v>
      </c>
      <c r="D349" s="34" t="s">
        <v>65</v>
      </c>
      <c r="E349" s="34"/>
      <c r="F349" s="34" t="s">
        <v>73</v>
      </c>
      <c r="G349" s="34">
        <v>7</v>
      </c>
      <c r="H349" s="34" t="s">
        <v>18</v>
      </c>
      <c r="I349" s="34" t="s">
        <v>25</v>
      </c>
      <c r="J349" s="34">
        <v>-1</v>
      </c>
      <c r="K349" s="35">
        <f>AB349/COUNTIFS($B:$B,$B349,$C:$C,$C349,$H:$H,$H349,$I:$I,$I349)</f>
        <v>0.1</v>
      </c>
      <c r="L349" s="36">
        <f t="shared" si="22"/>
        <v>1</v>
      </c>
      <c r="M349" s="37">
        <f t="shared" si="23"/>
        <v>-0.1</v>
      </c>
      <c r="N349" s="34"/>
      <c r="AA349" s="137">
        <f>AB349/COUNTIFS($B:$B,$B349,$C:$C,$C349,$H:$H,$H349,$I:$I,$I349)</f>
        <v>0.1</v>
      </c>
      <c r="AB349" s="138">
        <f>VLOOKUP(I349,'Weights and Confidence'!$D$16:$AC$26,3,FALSE)</f>
        <v>0.1</v>
      </c>
      <c r="AC349" s="139">
        <f>VLOOKUP(I349,'Weights and Confidence'!$D$16:$AC$26,4,FALSE)</f>
        <v>1</v>
      </c>
    </row>
    <row r="350" spans="1:29" x14ac:dyDescent="0.2">
      <c r="A350" s="38" t="s">
        <v>14</v>
      </c>
      <c r="B350" s="38" t="s">
        <v>1</v>
      </c>
      <c r="C350" s="38" t="s">
        <v>72</v>
      </c>
      <c r="D350" s="38" t="s">
        <v>65</v>
      </c>
      <c r="E350" s="38"/>
      <c r="F350" s="38" t="s">
        <v>73</v>
      </c>
      <c r="G350" s="38">
        <v>8</v>
      </c>
      <c r="H350" s="38" t="s">
        <v>17</v>
      </c>
      <c r="I350" s="38" t="s">
        <v>26</v>
      </c>
      <c r="J350" s="38">
        <v>-1</v>
      </c>
      <c r="K350" s="39">
        <f>AB350/COUNTIFS($B:$B,$B350,$C:$C,$C350,$H:$H,$H350,$I:$I,$I350)</f>
        <v>0.1</v>
      </c>
      <c r="L350" s="40">
        <f t="shared" si="22"/>
        <v>1</v>
      </c>
      <c r="M350" s="41">
        <f t="shared" si="23"/>
        <v>-0.1</v>
      </c>
      <c r="N350" s="38"/>
      <c r="AA350" s="137">
        <f>AB350/COUNTIFS($B:$B,$B350,$C:$C,$C350,$H:$H,$H350,$I:$I,$I350)</f>
        <v>0.1</v>
      </c>
      <c r="AB350" s="138">
        <f>VLOOKUP(I350,'Weights and Confidence'!$D$16:$AC$26,3,FALSE)</f>
        <v>0.1</v>
      </c>
      <c r="AC350" s="139">
        <f>VLOOKUP(I350,'Weights and Confidence'!$D$16:$AC$26,4,FALSE)</f>
        <v>1</v>
      </c>
    </row>
    <row r="351" spans="1:29" x14ac:dyDescent="0.2">
      <c r="A351" s="34" t="s">
        <v>14</v>
      </c>
      <c r="B351" s="34" t="s">
        <v>1</v>
      </c>
      <c r="C351" s="34" t="s">
        <v>72</v>
      </c>
      <c r="D351" s="34" t="s">
        <v>65</v>
      </c>
      <c r="E351" s="34"/>
      <c r="F351" s="34" t="s">
        <v>73</v>
      </c>
      <c r="G351" s="34">
        <v>8</v>
      </c>
      <c r="H351" s="34" t="s">
        <v>18</v>
      </c>
      <c r="I351" s="34" t="s">
        <v>26</v>
      </c>
      <c r="J351" s="34">
        <v>-1</v>
      </c>
      <c r="K351" s="35">
        <f>AB351/COUNTIFS($B:$B,$B351,$C:$C,$C351,$H:$H,$H351,$I:$I,$I351)</f>
        <v>0.1</v>
      </c>
      <c r="L351" s="36">
        <f t="shared" si="22"/>
        <v>1</v>
      </c>
      <c r="M351" s="37">
        <f t="shared" si="23"/>
        <v>-0.1</v>
      </c>
      <c r="N351" s="34"/>
      <c r="AA351" s="137">
        <f>AB351/COUNTIFS($B:$B,$B351,$C:$C,$C351,$H:$H,$H351,$I:$I,$I351)</f>
        <v>0.1</v>
      </c>
      <c r="AB351" s="138">
        <f>VLOOKUP(I351,'Weights and Confidence'!$D$16:$AC$26,3,FALSE)</f>
        <v>0.1</v>
      </c>
      <c r="AC351" s="139">
        <f>VLOOKUP(I351,'Weights and Confidence'!$D$16:$AC$26,4,FALSE)</f>
        <v>1</v>
      </c>
    </row>
    <row r="352" spans="1:29" x14ac:dyDescent="0.2">
      <c r="A352" s="38" t="s">
        <v>14</v>
      </c>
      <c r="B352" s="38" t="s">
        <v>1</v>
      </c>
      <c r="C352" s="38" t="s">
        <v>72</v>
      </c>
      <c r="D352" s="38" t="s">
        <v>65</v>
      </c>
      <c r="E352" s="38"/>
      <c r="F352" s="38" t="s">
        <v>73</v>
      </c>
      <c r="G352" s="38">
        <v>9</v>
      </c>
      <c r="H352" s="38" t="s">
        <v>17</v>
      </c>
      <c r="I352" s="38" t="s">
        <v>27</v>
      </c>
      <c r="J352" s="38">
        <v>-1</v>
      </c>
      <c r="K352" s="39">
        <f>AB352/COUNTIFS($B:$B,$B352,$C:$C,$C352,$H:$H,$H352,$I:$I,$I352)</f>
        <v>0.05</v>
      </c>
      <c r="L352" s="40">
        <f t="shared" si="22"/>
        <v>0.85</v>
      </c>
      <c r="M352" s="41">
        <f t="shared" si="23"/>
        <v>-4.2500000000000003E-2</v>
      </c>
      <c r="N352" s="38"/>
      <c r="AA352" s="137">
        <f>AB352/COUNTIFS($B:$B,$B352,$C:$C,$C352,$H:$H,$H352,$I:$I,$I352)</f>
        <v>0.05</v>
      </c>
      <c r="AB352" s="138">
        <f>VLOOKUP(I352,'Weights and Confidence'!$D$16:$AC$26,3,FALSE)</f>
        <v>0.1</v>
      </c>
      <c r="AC352" s="139">
        <f>VLOOKUP(I352,'Weights and Confidence'!$D$16:$AC$26,4,FALSE)</f>
        <v>0.85</v>
      </c>
    </row>
    <row r="353" spans="1:30" x14ac:dyDescent="0.2">
      <c r="A353" s="34" t="s">
        <v>14</v>
      </c>
      <c r="B353" s="34" t="s">
        <v>1</v>
      </c>
      <c r="C353" s="34" t="s">
        <v>72</v>
      </c>
      <c r="D353" s="34" t="s">
        <v>65</v>
      </c>
      <c r="E353" s="34"/>
      <c r="F353" s="34" t="s">
        <v>73</v>
      </c>
      <c r="G353" s="34">
        <v>9</v>
      </c>
      <c r="H353" s="34" t="s">
        <v>18</v>
      </c>
      <c r="I353" s="34" t="s">
        <v>27</v>
      </c>
      <c r="J353" s="34">
        <v>0</v>
      </c>
      <c r="K353" s="35">
        <f>AB353/COUNTIFS($B:$B,$B353,$C:$C,$C353,$H:$H,$H353,$I:$I,$I353)</f>
        <v>0.05</v>
      </c>
      <c r="L353" s="36">
        <f t="shared" si="22"/>
        <v>0.85</v>
      </c>
      <c r="M353" s="37">
        <f t="shared" si="23"/>
        <v>0</v>
      </c>
      <c r="N353" s="34"/>
      <c r="AA353" s="137">
        <f>AB353/COUNTIFS($B:$B,$B353,$C:$C,$C353,$H:$H,$H353,$I:$I,$I353)</f>
        <v>0.05</v>
      </c>
      <c r="AB353" s="138">
        <f>VLOOKUP(I353,'Weights and Confidence'!$D$16:$AC$26,3,FALSE)</f>
        <v>0.1</v>
      </c>
      <c r="AC353" s="139">
        <f>VLOOKUP(I353,'Weights and Confidence'!$D$16:$AC$26,4,FALSE)</f>
        <v>0.85</v>
      </c>
    </row>
    <row r="354" spans="1:30" x14ac:dyDescent="0.2">
      <c r="A354" s="38" t="s">
        <v>14</v>
      </c>
      <c r="B354" s="38" t="s">
        <v>1</v>
      </c>
      <c r="C354" s="38" t="s">
        <v>72</v>
      </c>
      <c r="D354" s="38" t="s">
        <v>65</v>
      </c>
      <c r="E354" s="38"/>
      <c r="F354" s="38" t="s">
        <v>73</v>
      </c>
      <c r="G354" s="38">
        <v>10</v>
      </c>
      <c r="H354" s="38" t="s">
        <v>17</v>
      </c>
      <c r="I354" s="38" t="s">
        <v>27</v>
      </c>
      <c r="J354" s="38">
        <v>-1</v>
      </c>
      <c r="K354" s="39">
        <f>AB354/COUNTIFS($B:$B,$B354,$C:$C,$C354,$H:$H,$H354,$I:$I,$I354)</f>
        <v>0.05</v>
      </c>
      <c r="L354" s="40">
        <f t="shared" si="22"/>
        <v>0.85</v>
      </c>
      <c r="M354" s="41">
        <f t="shared" si="23"/>
        <v>-4.2500000000000003E-2</v>
      </c>
      <c r="N354" s="38"/>
      <c r="AA354" s="137">
        <f>AB354/COUNTIFS($B:$B,$B354,$C:$C,$C354,$H:$H,$H354,$I:$I,$I354)</f>
        <v>0.05</v>
      </c>
      <c r="AB354" s="138">
        <f>VLOOKUP(I354,'Weights and Confidence'!$D$16:$AC$26,3,FALSE)</f>
        <v>0.1</v>
      </c>
      <c r="AC354" s="139">
        <f>VLOOKUP(I354,'Weights and Confidence'!$D$16:$AC$26,4,FALSE)</f>
        <v>0.85</v>
      </c>
    </row>
    <row r="355" spans="1:30" x14ac:dyDescent="0.2">
      <c r="A355" s="34" t="s">
        <v>14</v>
      </c>
      <c r="B355" s="34" t="s">
        <v>1</v>
      </c>
      <c r="C355" s="34" t="s">
        <v>72</v>
      </c>
      <c r="D355" s="34" t="s">
        <v>65</v>
      </c>
      <c r="E355" s="34"/>
      <c r="F355" s="34" t="s">
        <v>73</v>
      </c>
      <c r="G355" s="34">
        <v>10</v>
      </c>
      <c r="H355" s="34" t="s">
        <v>18</v>
      </c>
      <c r="I355" s="34" t="s">
        <v>27</v>
      </c>
      <c r="J355" s="34">
        <v>0</v>
      </c>
      <c r="K355" s="35">
        <f>AB355/COUNTIFS($B:$B,$B355,$C:$C,$C355,$H:$H,$H355,$I:$I,$I355)</f>
        <v>0.05</v>
      </c>
      <c r="L355" s="36">
        <f t="shared" si="22"/>
        <v>0.85</v>
      </c>
      <c r="M355" s="37">
        <f t="shared" si="23"/>
        <v>0</v>
      </c>
      <c r="N355" s="34"/>
      <c r="AA355" s="137">
        <f>AB355/COUNTIFS($B:$B,$B355,$C:$C,$C355,$H:$H,$H355,$I:$I,$I355)</f>
        <v>0.05</v>
      </c>
      <c r="AB355" s="138">
        <f>VLOOKUP(I355,'Weights and Confidence'!$D$16:$AC$26,3,FALSE)</f>
        <v>0.1</v>
      </c>
      <c r="AC355" s="139">
        <f>VLOOKUP(I355,'Weights and Confidence'!$D$16:$AC$26,4,FALSE)</f>
        <v>0.85</v>
      </c>
    </row>
    <row r="356" spans="1:30" x14ac:dyDescent="0.2">
      <c r="A356" s="38" t="s">
        <v>14</v>
      </c>
      <c r="B356" s="38" t="s">
        <v>1</v>
      </c>
      <c r="C356" s="38" t="s">
        <v>72</v>
      </c>
      <c r="D356" s="38" t="s">
        <v>65</v>
      </c>
      <c r="E356" s="38"/>
      <c r="F356" s="38" t="s">
        <v>73</v>
      </c>
      <c r="G356" s="38">
        <v>11</v>
      </c>
      <c r="H356" s="38" t="s">
        <v>17</v>
      </c>
      <c r="I356" s="38" t="s">
        <v>28</v>
      </c>
      <c r="J356" s="38">
        <v>-1</v>
      </c>
      <c r="K356" s="39">
        <f>AB356/COUNTIFS($B:$B,$B356,$C:$C,$C356,$H:$H,$H356,$I:$I,$I356)</f>
        <v>0.05</v>
      </c>
      <c r="L356" s="40">
        <f t="shared" si="22"/>
        <v>1</v>
      </c>
      <c r="M356" s="41">
        <f t="shared" si="23"/>
        <v>-0.05</v>
      </c>
      <c r="N356" s="38"/>
      <c r="AA356" s="137">
        <f>AB356/COUNTIFS($B:$B,$B356,$C:$C,$C356,$H:$H,$H356,$I:$I,$I356)</f>
        <v>0.05</v>
      </c>
      <c r="AB356" s="138">
        <f>VLOOKUP(I356,'Weights and Confidence'!$D$16:$AC$26,3,FALSE)</f>
        <v>0.05</v>
      </c>
      <c r="AC356" s="139">
        <f>VLOOKUP(I356,'Weights and Confidence'!$D$16:$AC$26,4,FALSE)</f>
        <v>1</v>
      </c>
    </row>
    <row r="357" spans="1:30" ht="17" thickBot="1" x14ac:dyDescent="0.25">
      <c r="A357" s="34" t="s">
        <v>14</v>
      </c>
      <c r="B357" s="34" t="s">
        <v>1</v>
      </c>
      <c r="C357" s="34" t="s">
        <v>72</v>
      </c>
      <c r="D357" s="34" t="s">
        <v>65</v>
      </c>
      <c r="E357" s="34"/>
      <c r="F357" s="34" t="s">
        <v>73</v>
      </c>
      <c r="G357" s="34">
        <v>11</v>
      </c>
      <c r="H357" s="34" t="s">
        <v>18</v>
      </c>
      <c r="I357" s="34" t="s">
        <v>28</v>
      </c>
      <c r="J357" s="34">
        <v>-1</v>
      </c>
      <c r="K357" s="35">
        <f>AB357/COUNTIFS($B:$B,$B357,$C:$C,$C357,$H:$H,$H357,$I:$I,$I357)</f>
        <v>0.05</v>
      </c>
      <c r="L357" s="36">
        <f t="shared" si="22"/>
        <v>1</v>
      </c>
      <c r="M357" s="37">
        <f t="shared" si="23"/>
        <v>-0.05</v>
      </c>
      <c r="N357" s="34"/>
      <c r="Z357" s="2"/>
      <c r="AA357" s="140">
        <f>AB357/COUNTIFS($B:$B,$B357,$C:$C,$C357,$H:$H,$H357,$I:$I,$I357)</f>
        <v>0.05</v>
      </c>
      <c r="AB357" s="141">
        <f>VLOOKUP(I357,'Weights and Confidence'!$D$16:$AC$26,3,FALSE)</f>
        <v>0.05</v>
      </c>
      <c r="AC357" s="142">
        <f>VLOOKUP(I357,'Weights and Confidence'!$D$16:$AC$26,4,FALSE)</f>
        <v>1</v>
      </c>
      <c r="AD357" s="2"/>
    </row>
    <row r="358" spans="1:30" ht="17" thickTop="1" x14ac:dyDescent="0.2">
      <c r="A358" s="29" t="s">
        <v>14</v>
      </c>
      <c r="B358" s="29" t="s">
        <v>0</v>
      </c>
      <c r="C358" s="29" t="s">
        <v>15</v>
      </c>
      <c r="D358" s="29" t="s">
        <v>5</v>
      </c>
      <c r="E358" s="29" t="s">
        <v>102</v>
      </c>
      <c r="F358" s="30" t="s">
        <v>74</v>
      </c>
      <c r="G358" s="29">
        <v>1</v>
      </c>
      <c r="H358" s="29" t="s">
        <v>17</v>
      </c>
      <c r="I358" s="29" t="s">
        <v>19</v>
      </c>
      <c r="J358" s="29">
        <v>1</v>
      </c>
      <c r="K358" s="31">
        <f>AB358/COUNTIFS($B:$B,$B358,$C:$C,$C358,$H:$H,$H358,$I:$I,$I358)</f>
        <v>0.12</v>
      </c>
      <c r="L358" s="32">
        <f t="shared" si="22"/>
        <v>1</v>
      </c>
      <c r="M358" s="33">
        <f t="shared" ref="M358:M379" si="24">J358*K358*L358</f>
        <v>0.12</v>
      </c>
      <c r="N358" s="29"/>
      <c r="AA358" s="143">
        <f>AB358/COUNTIFS($B:$B,$B358,$C:$C,$C358,$H:$H,$H358,$I:$I,$I358)</f>
        <v>0.12</v>
      </c>
      <c r="AB358" s="144">
        <f>VLOOKUP(I358,'Weights and Confidence'!$D$16:$AC$26,5,FALSE)</f>
        <v>0.12</v>
      </c>
      <c r="AC358" s="145">
        <f>VLOOKUP(I358,'Weights and Confidence'!$D$16:$AC$26,6,FALSE)</f>
        <v>1</v>
      </c>
    </row>
    <row r="359" spans="1:30" x14ac:dyDescent="0.2">
      <c r="A359" s="34" t="s">
        <v>14</v>
      </c>
      <c r="B359" s="34" t="s">
        <v>0</v>
      </c>
      <c r="C359" s="34" t="s">
        <v>15</v>
      </c>
      <c r="D359" s="34" t="s">
        <v>5</v>
      </c>
      <c r="E359" s="34" t="s">
        <v>102</v>
      </c>
      <c r="F359" s="34" t="s">
        <v>74</v>
      </c>
      <c r="G359" s="34">
        <v>1</v>
      </c>
      <c r="H359" s="34" t="s">
        <v>18</v>
      </c>
      <c r="I359" s="34" t="s">
        <v>19</v>
      </c>
      <c r="J359" s="34">
        <v>1</v>
      </c>
      <c r="K359" s="35">
        <f>AB359/COUNTIFS($B:$B,$B359,$C:$C,$C359,$H:$H,$H359,$I:$I,$I359)</f>
        <v>0.12</v>
      </c>
      <c r="L359" s="36">
        <f t="shared" si="22"/>
        <v>1</v>
      </c>
      <c r="M359" s="37">
        <f t="shared" si="24"/>
        <v>0.12</v>
      </c>
      <c r="N359" s="34"/>
      <c r="AA359" s="146">
        <f>AB359/COUNTIFS($B:$B,$B359,$C:$C,$C359,$H:$H,$H359,$I:$I,$I359)</f>
        <v>0.12</v>
      </c>
      <c r="AB359" s="108">
        <f>VLOOKUP(I359,'Weights and Confidence'!$D$16:$AC$26,5,FALSE)</f>
        <v>0.12</v>
      </c>
      <c r="AC359" s="147">
        <f>VLOOKUP(I359,'Weights and Confidence'!$D$16:$AC$26,6,FALSE)</f>
        <v>1</v>
      </c>
    </row>
    <row r="360" spans="1:30" x14ac:dyDescent="0.2">
      <c r="A360" s="38" t="s">
        <v>14</v>
      </c>
      <c r="B360" s="38" t="s">
        <v>0</v>
      </c>
      <c r="C360" s="38" t="s">
        <v>15</v>
      </c>
      <c r="D360" s="38" t="s">
        <v>5</v>
      </c>
      <c r="E360" s="38" t="s">
        <v>102</v>
      </c>
      <c r="F360" s="38" t="s">
        <v>74</v>
      </c>
      <c r="G360" s="38">
        <v>2</v>
      </c>
      <c r="H360" s="38" t="s">
        <v>17</v>
      </c>
      <c r="I360" s="38" t="s">
        <v>20</v>
      </c>
      <c r="J360" s="38">
        <v>1</v>
      </c>
      <c r="K360" s="39">
        <f>AB360/COUNTIFS($B:$B,$B360,$C:$C,$C360,$H:$H,$H360,$I:$I,$I360)</f>
        <v>0.08</v>
      </c>
      <c r="L360" s="40">
        <f t="shared" si="22"/>
        <v>0.8</v>
      </c>
      <c r="M360" s="41">
        <f t="shared" si="24"/>
        <v>6.4000000000000001E-2</v>
      </c>
      <c r="N360" s="38"/>
      <c r="AA360" s="146">
        <f>AB360/COUNTIFS($B:$B,$B360,$C:$C,$C360,$H:$H,$H360,$I:$I,$I360)</f>
        <v>0.08</v>
      </c>
      <c r="AB360" s="108">
        <f>VLOOKUP(I360,'Weights and Confidence'!$D$16:$AC$26,5,FALSE)</f>
        <v>0.08</v>
      </c>
      <c r="AC360" s="147">
        <f>VLOOKUP(I360,'Weights and Confidence'!$D$16:$AC$26,6,FALSE)</f>
        <v>0.8</v>
      </c>
    </row>
    <row r="361" spans="1:30" x14ac:dyDescent="0.2">
      <c r="A361" s="34" t="s">
        <v>14</v>
      </c>
      <c r="B361" s="34" t="s">
        <v>0</v>
      </c>
      <c r="C361" s="34" t="s">
        <v>15</v>
      </c>
      <c r="D361" s="34" t="s">
        <v>5</v>
      </c>
      <c r="E361" s="34" t="s">
        <v>102</v>
      </c>
      <c r="F361" s="34" t="s">
        <v>74</v>
      </c>
      <c r="G361" s="34">
        <v>2</v>
      </c>
      <c r="H361" s="34" t="s">
        <v>18</v>
      </c>
      <c r="I361" s="34" t="s">
        <v>20</v>
      </c>
      <c r="J361" s="34">
        <v>1</v>
      </c>
      <c r="K361" s="35">
        <f>AB361/COUNTIFS($B:$B,$B361,$C:$C,$C361,$H:$H,$H361,$I:$I,$I361)</f>
        <v>0.08</v>
      </c>
      <c r="L361" s="36">
        <f t="shared" si="22"/>
        <v>0.8</v>
      </c>
      <c r="M361" s="37">
        <f t="shared" si="24"/>
        <v>6.4000000000000001E-2</v>
      </c>
      <c r="N361" s="34"/>
      <c r="AA361" s="146">
        <f>AB361/COUNTIFS($B:$B,$B361,$C:$C,$C361,$H:$H,$H361,$I:$I,$I361)</f>
        <v>0.08</v>
      </c>
      <c r="AB361" s="108">
        <f>VLOOKUP(I361,'Weights and Confidence'!$D$16:$AC$26,5,FALSE)</f>
        <v>0.08</v>
      </c>
      <c r="AC361" s="147">
        <f>VLOOKUP(I361,'Weights and Confidence'!$D$16:$AC$26,6,FALSE)</f>
        <v>0.8</v>
      </c>
    </row>
    <row r="362" spans="1:30" x14ac:dyDescent="0.2">
      <c r="A362" s="38" t="s">
        <v>14</v>
      </c>
      <c r="B362" s="38" t="s">
        <v>0</v>
      </c>
      <c r="C362" s="38" t="s">
        <v>15</v>
      </c>
      <c r="D362" s="38" t="s">
        <v>5</v>
      </c>
      <c r="E362" s="38" t="s">
        <v>102</v>
      </c>
      <c r="F362" s="38" t="s">
        <v>74</v>
      </c>
      <c r="G362" s="38">
        <v>3</v>
      </c>
      <c r="H362" s="38" t="s">
        <v>17</v>
      </c>
      <c r="I362" s="38" t="s">
        <v>21</v>
      </c>
      <c r="J362" s="38">
        <v>1</v>
      </c>
      <c r="K362" s="39">
        <f>AB362/COUNTIFS($B:$B,$B362,$C:$C,$C362,$H:$H,$H362,$I:$I,$I362)</f>
        <v>0.05</v>
      </c>
      <c r="L362" s="40">
        <f t="shared" si="22"/>
        <v>1</v>
      </c>
      <c r="M362" s="41">
        <f t="shared" si="24"/>
        <v>0.05</v>
      </c>
      <c r="N362" s="38"/>
      <c r="AA362" s="146">
        <f>AB362/COUNTIFS($B:$B,$B362,$C:$C,$C362,$H:$H,$H362,$I:$I,$I362)</f>
        <v>0.05</v>
      </c>
      <c r="AB362" s="108">
        <f>VLOOKUP(I362,'Weights and Confidence'!$D$16:$AC$26,5,FALSE)</f>
        <v>0.05</v>
      </c>
      <c r="AC362" s="147">
        <f>VLOOKUP(I362,'Weights and Confidence'!$D$16:$AC$26,6,FALSE)</f>
        <v>1</v>
      </c>
    </row>
    <row r="363" spans="1:30" x14ac:dyDescent="0.2">
      <c r="A363" s="34" t="s">
        <v>14</v>
      </c>
      <c r="B363" s="34" t="s">
        <v>0</v>
      </c>
      <c r="C363" s="34" t="s">
        <v>15</v>
      </c>
      <c r="D363" s="34" t="s">
        <v>5</v>
      </c>
      <c r="E363" s="34" t="s">
        <v>102</v>
      </c>
      <c r="F363" s="34" t="s">
        <v>74</v>
      </c>
      <c r="G363" s="34">
        <v>3</v>
      </c>
      <c r="H363" s="34" t="s">
        <v>18</v>
      </c>
      <c r="I363" s="34" t="s">
        <v>21</v>
      </c>
      <c r="J363" s="34">
        <v>-1</v>
      </c>
      <c r="K363" s="35">
        <f>AB363/COUNTIFS($B:$B,$B363,$C:$C,$C363,$H:$H,$H363,$I:$I,$I363)</f>
        <v>0.05</v>
      </c>
      <c r="L363" s="36">
        <f t="shared" si="22"/>
        <v>1</v>
      </c>
      <c r="M363" s="37">
        <f t="shared" si="24"/>
        <v>-0.05</v>
      </c>
      <c r="N363" s="34" t="s">
        <v>76</v>
      </c>
      <c r="AA363" s="146">
        <f>AB363/COUNTIFS($B:$B,$B363,$C:$C,$C363,$H:$H,$H363,$I:$I,$I363)</f>
        <v>0.05</v>
      </c>
      <c r="AB363" s="108">
        <f>VLOOKUP(I363,'Weights and Confidence'!$D$16:$AC$26,5,FALSE)</f>
        <v>0.05</v>
      </c>
      <c r="AC363" s="147">
        <f>VLOOKUP(I363,'Weights and Confidence'!$D$16:$AC$26,6,FALSE)</f>
        <v>1</v>
      </c>
    </row>
    <row r="364" spans="1:30" x14ac:dyDescent="0.2">
      <c r="A364" s="38" t="s">
        <v>14</v>
      </c>
      <c r="B364" s="38" t="s">
        <v>0</v>
      </c>
      <c r="C364" s="38" t="s">
        <v>15</v>
      </c>
      <c r="D364" s="38" t="s">
        <v>5</v>
      </c>
      <c r="E364" s="38" t="s">
        <v>102</v>
      </c>
      <c r="F364" s="38" t="s">
        <v>74</v>
      </c>
      <c r="G364" s="38">
        <v>4</v>
      </c>
      <c r="H364" s="38" t="s">
        <v>17</v>
      </c>
      <c r="I364" s="38" t="s">
        <v>22</v>
      </c>
      <c r="J364" s="38">
        <v>1</v>
      </c>
      <c r="K364" s="39">
        <f>AB364/COUNTIFS($B:$B,$B364,$C:$C,$C364,$H:$H,$H364,$I:$I,$I364)</f>
        <v>0.14000000000000001</v>
      </c>
      <c r="L364" s="40">
        <f t="shared" si="22"/>
        <v>1</v>
      </c>
      <c r="M364" s="41">
        <f t="shared" si="24"/>
        <v>0.14000000000000001</v>
      </c>
      <c r="N364" s="38"/>
      <c r="AA364" s="146">
        <f>AB364/COUNTIFS($B:$B,$B364,$C:$C,$C364,$H:$H,$H364,$I:$I,$I364)</f>
        <v>0.14000000000000001</v>
      </c>
      <c r="AB364" s="108">
        <f>VLOOKUP(I364,'Weights and Confidence'!$D$16:$AC$26,5,FALSE)</f>
        <v>0.14000000000000001</v>
      </c>
      <c r="AC364" s="147">
        <f>VLOOKUP(I364,'Weights and Confidence'!$D$16:$AC$26,6,FALSE)</f>
        <v>1</v>
      </c>
    </row>
    <row r="365" spans="1:30" x14ac:dyDescent="0.2">
      <c r="A365" s="34" t="s">
        <v>14</v>
      </c>
      <c r="B365" s="34" t="s">
        <v>0</v>
      </c>
      <c r="C365" s="34" t="s">
        <v>15</v>
      </c>
      <c r="D365" s="34" t="s">
        <v>5</v>
      </c>
      <c r="E365" s="34" t="s">
        <v>102</v>
      </c>
      <c r="F365" s="34" t="s">
        <v>74</v>
      </c>
      <c r="G365" s="34">
        <v>4</v>
      </c>
      <c r="H365" s="34" t="s">
        <v>18</v>
      </c>
      <c r="I365" s="34" t="s">
        <v>22</v>
      </c>
      <c r="J365" s="34">
        <v>-1</v>
      </c>
      <c r="K365" s="35">
        <f>AB365/COUNTIFS($B:$B,$B365,$C:$C,$C365,$H:$H,$H365,$I:$I,$I365)</f>
        <v>0.14000000000000001</v>
      </c>
      <c r="L365" s="36">
        <f t="shared" si="22"/>
        <v>1</v>
      </c>
      <c r="M365" s="37">
        <f t="shared" si="24"/>
        <v>-0.14000000000000001</v>
      </c>
      <c r="N365" s="34" t="s">
        <v>77</v>
      </c>
      <c r="AA365" s="146">
        <f>AB365/COUNTIFS($B:$B,$B365,$C:$C,$C365,$H:$H,$H365,$I:$I,$I365)</f>
        <v>0.14000000000000001</v>
      </c>
      <c r="AB365" s="108">
        <f>VLOOKUP(I365,'Weights and Confidence'!$D$16:$AC$26,5,FALSE)</f>
        <v>0.14000000000000001</v>
      </c>
      <c r="AC365" s="147">
        <f>VLOOKUP(I365,'Weights and Confidence'!$D$16:$AC$26,6,FALSE)</f>
        <v>1</v>
      </c>
    </row>
    <row r="366" spans="1:30" x14ac:dyDescent="0.2">
      <c r="A366" s="38" t="s">
        <v>14</v>
      </c>
      <c r="B366" s="38" t="s">
        <v>0</v>
      </c>
      <c r="C366" s="38" t="s">
        <v>15</v>
      </c>
      <c r="D366" s="38" t="s">
        <v>5</v>
      </c>
      <c r="E366" s="38" t="s">
        <v>102</v>
      </c>
      <c r="F366" s="38" t="s">
        <v>74</v>
      </c>
      <c r="G366" s="38">
        <v>5</v>
      </c>
      <c r="H366" s="38" t="s">
        <v>17</v>
      </c>
      <c r="I366" s="38" t="s">
        <v>23</v>
      </c>
      <c r="J366" s="38">
        <v>1</v>
      </c>
      <c r="K366" s="39">
        <f>AB366/COUNTIFS($B:$B,$B366,$C:$C,$C366,$H:$H,$H366,$I:$I,$I366)</f>
        <v>0.11</v>
      </c>
      <c r="L366" s="40">
        <f t="shared" si="22"/>
        <v>1</v>
      </c>
      <c r="M366" s="41">
        <f t="shared" si="24"/>
        <v>0.11</v>
      </c>
      <c r="N366" s="38"/>
      <c r="AA366" s="146">
        <f>AB366/COUNTIFS($B:$B,$B366,$C:$C,$C366,$H:$H,$H366,$I:$I,$I366)</f>
        <v>0.11</v>
      </c>
      <c r="AB366" s="108">
        <f>VLOOKUP(I366,'Weights and Confidence'!$D$16:$AC$26,5,FALSE)</f>
        <v>0.11</v>
      </c>
      <c r="AC366" s="147">
        <f>VLOOKUP(I366,'Weights and Confidence'!$D$16:$AC$26,6,FALSE)</f>
        <v>1</v>
      </c>
    </row>
    <row r="367" spans="1:30" x14ac:dyDescent="0.2">
      <c r="A367" s="34" t="s">
        <v>14</v>
      </c>
      <c r="B367" s="34" t="s">
        <v>0</v>
      </c>
      <c r="C367" s="34" t="s">
        <v>15</v>
      </c>
      <c r="D367" s="34" t="s">
        <v>5</v>
      </c>
      <c r="E367" s="34" t="s">
        <v>102</v>
      </c>
      <c r="F367" s="34" t="s">
        <v>74</v>
      </c>
      <c r="G367" s="34">
        <v>5</v>
      </c>
      <c r="H367" s="34" t="s">
        <v>18</v>
      </c>
      <c r="I367" s="34" t="s">
        <v>23</v>
      </c>
      <c r="J367" s="34">
        <v>-1</v>
      </c>
      <c r="K367" s="35">
        <f>AB367/COUNTIFS($B:$B,$B367,$C:$C,$C367,$H:$H,$H367,$I:$I,$I367)</f>
        <v>0.11</v>
      </c>
      <c r="L367" s="36">
        <f t="shared" si="22"/>
        <v>1</v>
      </c>
      <c r="M367" s="37">
        <f t="shared" si="24"/>
        <v>-0.11</v>
      </c>
      <c r="N367" s="34" t="s">
        <v>78</v>
      </c>
      <c r="AA367" s="146">
        <f>AB367/COUNTIFS($B:$B,$B367,$C:$C,$C367,$H:$H,$H367,$I:$I,$I367)</f>
        <v>0.11</v>
      </c>
      <c r="AB367" s="108">
        <f>VLOOKUP(I367,'Weights and Confidence'!$D$16:$AC$26,5,FALSE)</f>
        <v>0.11</v>
      </c>
      <c r="AC367" s="147">
        <f>VLOOKUP(I367,'Weights and Confidence'!$D$16:$AC$26,6,FALSE)</f>
        <v>1</v>
      </c>
    </row>
    <row r="368" spans="1:30" x14ac:dyDescent="0.2">
      <c r="A368" s="38" t="s">
        <v>14</v>
      </c>
      <c r="B368" s="38" t="s">
        <v>0</v>
      </c>
      <c r="C368" s="38" t="s">
        <v>15</v>
      </c>
      <c r="D368" s="38" t="s">
        <v>5</v>
      </c>
      <c r="E368" s="38" t="s">
        <v>102</v>
      </c>
      <c r="F368" s="38" t="s">
        <v>74</v>
      </c>
      <c r="G368" s="38">
        <v>6</v>
      </c>
      <c r="H368" s="38" t="s">
        <v>17</v>
      </c>
      <c r="I368" s="38" t="s">
        <v>24</v>
      </c>
      <c r="J368" s="38">
        <v>1</v>
      </c>
      <c r="K368" s="39">
        <f>AB368/COUNTIFS($B:$B,$B368,$C:$C,$C368,$H:$H,$H368,$I:$I,$I368)</f>
        <v>0.15</v>
      </c>
      <c r="L368" s="40">
        <f t="shared" si="22"/>
        <v>1</v>
      </c>
      <c r="M368" s="41">
        <f t="shared" si="24"/>
        <v>0.15</v>
      </c>
      <c r="N368" s="38"/>
      <c r="AA368" s="146">
        <f>AB368/COUNTIFS($B:$B,$B368,$C:$C,$C368,$H:$H,$H368,$I:$I,$I368)</f>
        <v>0.15</v>
      </c>
      <c r="AB368" s="108">
        <f>VLOOKUP(I368,'Weights and Confidence'!$D$16:$AC$26,5,FALSE)</f>
        <v>0.15</v>
      </c>
      <c r="AC368" s="147">
        <f>VLOOKUP(I368,'Weights and Confidence'!$D$16:$AC$26,6,FALSE)</f>
        <v>1</v>
      </c>
    </row>
    <row r="369" spans="1:29" x14ac:dyDescent="0.2">
      <c r="A369" s="34" t="s">
        <v>14</v>
      </c>
      <c r="B369" s="34" t="s">
        <v>0</v>
      </c>
      <c r="C369" s="34" t="s">
        <v>15</v>
      </c>
      <c r="D369" s="34" t="s">
        <v>5</v>
      </c>
      <c r="E369" s="34" t="s">
        <v>102</v>
      </c>
      <c r="F369" s="34" t="s">
        <v>74</v>
      </c>
      <c r="G369" s="34">
        <v>6</v>
      </c>
      <c r="H369" s="34" t="s">
        <v>18</v>
      </c>
      <c r="I369" s="34" t="s">
        <v>24</v>
      </c>
      <c r="J369" s="34">
        <v>-1</v>
      </c>
      <c r="K369" s="35">
        <f>AB369/COUNTIFS($B:$B,$B369,$C:$C,$C369,$H:$H,$H369,$I:$I,$I369)</f>
        <v>0.15</v>
      </c>
      <c r="L369" s="36">
        <f t="shared" si="22"/>
        <v>1</v>
      </c>
      <c r="M369" s="37">
        <f t="shared" si="24"/>
        <v>-0.15</v>
      </c>
      <c r="N369" s="34" t="s">
        <v>79</v>
      </c>
      <c r="AA369" s="146">
        <f>AB369/COUNTIFS($B:$B,$B369,$C:$C,$C369,$H:$H,$H369,$I:$I,$I369)</f>
        <v>0.15</v>
      </c>
      <c r="AB369" s="108">
        <f>VLOOKUP(I369,'Weights and Confidence'!$D$16:$AC$26,5,FALSE)</f>
        <v>0.15</v>
      </c>
      <c r="AC369" s="147">
        <f>VLOOKUP(I369,'Weights and Confidence'!$D$16:$AC$26,6,FALSE)</f>
        <v>1</v>
      </c>
    </row>
    <row r="370" spans="1:29" x14ac:dyDescent="0.2">
      <c r="A370" s="38" t="s">
        <v>14</v>
      </c>
      <c r="B370" s="38" t="s">
        <v>0</v>
      </c>
      <c r="C370" s="38" t="s">
        <v>15</v>
      </c>
      <c r="D370" s="38" t="s">
        <v>5</v>
      </c>
      <c r="E370" s="38" t="s">
        <v>102</v>
      </c>
      <c r="F370" s="38" t="s">
        <v>74</v>
      </c>
      <c r="G370" s="38">
        <v>7</v>
      </c>
      <c r="H370" s="38" t="s">
        <v>17</v>
      </c>
      <c r="I370" s="38" t="s">
        <v>25</v>
      </c>
      <c r="J370" s="38">
        <v>0</v>
      </c>
      <c r="K370" s="39">
        <f>AB370/COUNTIFS($B:$B,$B370,$C:$C,$C370,$H:$H,$H370,$I:$I,$I370)</f>
        <v>0.1</v>
      </c>
      <c r="L370" s="40">
        <f t="shared" si="22"/>
        <v>1</v>
      </c>
      <c r="M370" s="41">
        <f t="shared" si="24"/>
        <v>0</v>
      </c>
      <c r="N370" s="38"/>
      <c r="AA370" s="146">
        <f>AB370/COUNTIFS($B:$B,$B370,$C:$C,$C370,$H:$H,$H370,$I:$I,$I370)</f>
        <v>0.1</v>
      </c>
      <c r="AB370" s="108">
        <f>VLOOKUP(I370,'Weights and Confidence'!$D$16:$AC$26,5,FALSE)</f>
        <v>0.1</v>
      </c>
      <c r="AC370" s="147">
        <f>VLOOKUP(I370,'Weights and Confidence'!$D$16:$AC$26,6,FALSE)</f>
        <v>1</v>
      </c>
    </row>
    <row r="371" spans="1:29" x14ac:dyDescent="0.2">
      <c r="A371" s="34" t="s">
        <v>14</v>
      </c>
      <c r="B371" s="34" t="s">
        <v>0</v>
      </c>
      <c r="C371" s="34" t="s">
        <v>15</v>
      </c>
      <c r="D371" s="34" t="s">
        <v>5</v>
      </c>
      <c r="E371" s="34" t="s">
        <v>102</v>
      </c>
      <c r="F371" s="34" t="s">
        <v>74</v>
      </c>
      <c r="G371" s="34">
        <v>7</v>
      </c>
      <c r="H371" s="34" t="s">
        <v>18</v>
      </c>
      <c r="I371" s="34" t="s">
        <v>25</v>
      </c>
      <c r="J371" s="34">
        <v>-1</v>
      </c>
      <c r="K371" s="35">
        <f>AB371/COUNTIFS($B:$B,$B371,$C:$C,$C371,$H:$H,$H371,$I:$I,$I371)</f>
        <v>0.1</v>
      </c>
      <c r="L371" s="36">
        <f t="shared" si="22"/>
        <v>1</v>
      </c>
      <c r="M371" s="37">
        <f t="shared" si="24"/>
        <v>-0.1</v>
      </c>
      <c r="N371" s="34" t="s">
        <v>80</v>
      </c>
      <c r="AA371" s="146">
        <f>AB371/COUNTIFS($B:$B,$B371,$C:$C,$C371,$H:$H,$H371,$I:$I,$I371)</f>
        <v>0.1</v>
      </c>
      <c r="AB371" s="108">
        <f>VLOOKUP(I371,'Weights and Confidence'!$D$16:$AC$26,5,FALSE)</f>
        <v>0.1</v>
      </c>
      <c r="AC371" s="147">
        <f>VLOOKUP(I371,'Weights and Confidence'!$D$16:$AC$26,6,FALSE)</f>
        <v>1</v>
      </c>
    </row>
    <row r="372" spans="1:29" x14ac:dyDescent="0.2">
      <c r="A372" s="38" t="s">
        <v>14</v>
      </c>
      <c r="B372" s="38" t="s">
        <v>0</v>
      </c>
      <c r="C372" s="38" t="s">
        <v>15</v>
      </c>
      <c r="D372" s="38" t="s">
        <v>5</v>
      </c>
      <c r="E372" s="38" t="s">
        <v>102</v>
      </c>
      <c r="F372" s="38" t="s">
        <v>74</v>
      </c>
      <c r="G372" s="38">
        <v>8</v>
      </c>
      <c r="H372" s="38" t="s">
        <v>17</v>
      </c>
      <c r="I372" s="38" t="s">
        <v>26</v>
      </c>
      <c r="J372" s="38">
        <v>0</v>
      </c>
      <c r="K372" s="39">
        <f>AB372/COUNTIFS($B:$B,$B372,$C:$C,$C372,$H:$H,$H372,$I:$I,$I372)</f>
        <v>0.1</v>
      </c>
      <c r="L372" s="40">
        <f t="shared" si="22"/>
        <v>1</v>
      </c>
      <c r="M372" s="41">
        <f t="shared" si="24"/>
        <v>0</v>
      </c>
      <c r="N372" s="38"/>
      <c r="AA372" s="146">
        <f>AB372/COUNTIFS($B:$B,$B372,$C:$C,$C372,$H:$H,$H372,$I:$I,$I372)</f>
        <v>0.1</v>
      </c>
      <c r="AB372" s="108">
        <f>VLOOKUP(I372,'Weights and Confidence'!$D$16:$AC$26,5,FALSE)</f>
        <v>0.1</v>
      </c>
      <c r="AC372" s="147">
        <f>VLOOKUP(I372,'Weights and Confidence'!$D$16:$AC$26,6,FALSE)</f>
        <v>1</v>
      </c>
    </row>
    <row r="373" spans="1:29" x14ac:dyDescent="0.2">
      <c r="A373" s="34" t="s">
        <v>14</v>
      </c>
      <c r="B373" s="34" t="s">
        <v>0</v>
      </c>
      <c r="C373" s="34" t="s">
        <v>15</v>
      </c>
      <c r="D373" s="34" t="s">
        <v>5</v>
      </c>
      <c r="E373" s="34" t="s">
        <v>102</v>
      </c>
      <c r="F373" s="34" t="s">
        <v>74</v>
      </c>
      <c r="G373" s="34">
        <v>8</v>
      </c>
      <c r="H373" s="34" t="s">
        <v>18</v>
      </c>
      <c r="I373" s="34" t="s">
        <v>26</v>
      </c>
      <c r="J373" s="34">
        <v>0</v>
      </c>
      <c r="K373" s="35">
        <f>AB373/COUNTIFS($B:$B,$B373,$C:$C,$C373,$H:$H,$H373,$I:$I,$I373)</f>
        <v>0.1</v>
      </c>
      <c r="L373" s="36">
        <f t="shared" si="22"/>
        <v>1</v>
      </c>
      <c r="M373" s="37">
        <f t="shared" si="24"/>
        <v>0</v>
      </c>
      <c r="N373" s="34"/>
      <c r="AA373" s="146">
        <f>AB373/COUNTIFS($B:$B,$B373,$C:$C,$C373,$H:$H,$H373,$I:$I,$I373)</f>
        <v>0.1</v>
      </c>
      <c r="AB373" s="108">
        <f>VLOOKUP(I373,'Weights and Confidence'!$D$16:$AC$26,5,FALSE)</f>
        <v>0.1</v>
      </c>
      <c r="AC373" s="147">
        <f>VLOOKUP(I373,'Weights and Confidence'!$D$16:$AC$26,6,FALSE)</f>
        <v>1</v>
      </c>
    </row>
    <row r="374" spans="1:29" x14ac:dyDescent="0.2">
      <c r="A374" s="38" t="s">
        <v>14</v>
      </c>
      <c r="B374" s="38" t="s">
        <v>0</v>
      </c>
      <c r="C374" s="38" t="s">
        <v>15</v>
      </c>
      <c r="D374" s="38" t="s">
        <v>5</v>
      </c>
      <c r="E374" s="38" t="s">
        <v>102</v>
      </c>
      <c r="F374" s="38" t="s">
        <v>74</v>
      </c>
      <c r="G374" s="38">
        <v>9</v>
      </c>
      <c r="H374" s="38" t="s">
        <v>17</v>
      </c>
      <c r="I374" s="38" t="s">
        <v>27</v>
      </c>
      <c r="J374" s="38">
        <v>0</v>
      </c>
      <c r="K374" s="39">
        <f>AB374/COUNTIFS($B:$B,$B374,$C:$C,$C374,$H:$H,$H374,$I:$I,$I374)</f>
        <v>0.05</v>
      </c>
      <c r="L374" s="40">
        <f t="shared" si="22"/>
        <v>0.85</v>
      </c>
      <c r="M374" s="41">
        <f t="shared" si="24"/>
        <v>0</v>
      </c>
      <c r="N374" s="38"/>
      <c r="AA374" s="146">
        <f>AB374/COUNTIFS($B:$B,$B374,$C:$C,$C374,$H:$H,$H374,$I:$I,$I374)</f>
        <v>0.05</v>
      </c>
      <c r="AB374" s="108">
        <f>VLOOKUP(I374,'Weights and Confidence'!$D$16:$AC$26,5,FALSE)</f>
        <v>0.1</v>
      </c>
      <c r="AC374" s="147">
        <f>VLOOKUP(I374,'Weights and Confidence'!$D$16:$AC$26,6,FALSE)</f>
        <v>0.85</v>
      </c>
    </row>
    <row r="375" spans="1:29" x14ac:dyDescent="0.2">
      <c r="A375" s="34" t="s">
        <v>14</v>
      </c>
      <c r="B375" s="34" t="s">
        <v>0</v>
      </c>
      <c r="C375" s="34" t="s">
        <v>15</v>
      </c>
      <c r="D375" s="34" t="s">
        <v>5</v>
      </c>
      <c r="E375" s="34" t="s">
        <v>102</v>
      </c>
      <c r="F375" s="34" t="s">
        <v>74</v>
      </c>
      <c r="G375" s="34">
        <v>9</v>
      </c>
      <c r="H375" s="34" t="s">
        <v>18</v>
      </c>
      <c r="I375" s="34" t="s">
        <v>27</v>
      </c>
      <c r="J375" s="34">
        <v>0</v>
      </c>
      <c r="K375" s="35">
        <f>AB375/COUNTIFS($B:$B,$B375,$C:$C,$C375,$H:$H,$H375,$I:$I,$I375)</f>
        <v>0.05</v>
      </c>
      <c r="L375" s="36">
        <f t="shared" si="22"/>
        <v>0.85</v>
      </c>
      <c r="M375" s="37">
        <f t="shared" si="24"/>
        <v>0</v>
      </c>
      <c r="N375" s="34"/>
      <c r="AA375" s="146">
        <f>AB375/COUNTIFS($B:$B,$B375,$C:$C,$C375,$H:$H,$H375,$I:$I,$I375)</f>
        <v>0.05</v>
      </c>
      <c r="AB375" s="108">
        <f>VLOOKUP(I375,'Weights and Confidence'!$D$16:$AC$26,5,FALSE)</f>
        <v>0.1</v>
      </c>
      <c r="AC375" s="147">
        <f>VLOOKUP(I375,'Weights and Confidence'!$D$16:$AC$26,6,FALSE)</f>
        <v>0.85</v>
      </c>
    </row>
    <row r="376" spans="1:29" x14ac:dyDescent="0.2">
      <c r="A376" s="38" t="s">
        <v>14</v>
      </c>
      <c r="B376" s="38" t="s">
        <v>0</v>
      </c>
      <c r="C376" s="38" t="s">
        <v>15</v>
      </c>
      <c r="D376" s="38" t="s">
        <v>5</v>
      </c>
      <c r="E376" s="38" t="s">
        <v>102</v>
      </c>
      <c r="F376" s="38" t="s">
        <v>74</v>
      </c>
      <c r="G376" s="38">
        <v>10</v>
      </c>
      <c r="H376" s="38" t="s">
        <v>17</v>
      </c>
      <c r="I376" s="38" t="s">
        <v>27</v>
      </c>
      <c r="J376" s="38">
        <v>0</v>
      </c>
      <c r="K376" s="39">
        <f>AB376/COUNTIFS($B:$B,$B376,$C:$C,$C376,$H:$H,$H376,$I:$I,$I376)</f>
        <v>0.05</v>
      </c>
      <c r="L376" s="40">
        <f t="shared" si="22"/>
        <v>0.85</v>
      </c>
      <c r="M376" s="41">
        <f t="shared" si="24"/>
        <v>0</v>
      </c>
      <c r="N376" s="38"/>
      <c r="AA376" s="146">
        <f>AB376/COUNTIFS($B:$B,$B376,$C:$C,$C376,$H:$H,$H376,$I:$I,$I376)</f>
        <v>0.05</v>
      </c>
      <c r="AB376" s="108">
        <f>VLOOKUP(I376,'Weights and Confidence'!$D$16:$AC$26,5,FALSE)</f>
        <v>0.1</v>
      </c>
      <c r="AC376" s="147">
        <f>VLOOKUP(I376,'Weights and Confidence'!$D$16:$AC$26,6,FALSE)</f>
        <v>0.85</v>
      </c>
    </row>
    <row r="377" spans="1:29" x14ac:dyDescent="0.2">
      <c r="A377" s="34" t="s">
        <v>14</v>
      </c>
      <c r="B377" s="34" t="s">
        <v>0</v>
      </c>
      <c r="C377" s="34" t="s">
        <v>15</v>
      </c>
      <c r="D377" s="34" t="s">
        <v>5</v>
      </c>
      <c r="E377" s="34" t="s">
        <v>102</v>
      </c>
      <c r="F377" s="34" t="s">
        <v>74</v>
      </c>
      <c r="G377" s="34">
        <v>10</v>
      </c>
      <c r="H377" s="34" t="s">
        <v>18</v>
      </c>
      <c r="I377" s="34" t="s">
        <v>27</v>
      </c>
      <c r="J377" s="34">
        <v>0</v>
      </c>
      <c r="K377" s="35">
        <f>AB377/COUNTIFS($B:$B,$B377,$C:$C,$C377,$H:$H,$H377,$I:$I,$I377)</f>
        <v>0.05</v>
      </c>
      <c r="L377" s="36">
        <f t="shared" si="22"/>
        <v>0.85</v>
      </c>
      <c r="M377" s="37">
        <f t="shared" si="24"/>
        <v>0</v>
      </c>
      <c r="N377" s="34"/>
      <c r="AA377" s="146">
        <f>AB377/COUNTIFS($B:$B,$B377,$C:$C,$C377,$H:$H,$H377,$I:$I,$I377)</f>
        <v>0.05</v>
      </c>
      <c r="AB377" s="108">
        <f>VLOOKUP(I377,'Weights and Confidence'!$D$16:$AC$26,5,FALSE)</f>
        <v>0.1</v>
      </c>
      <c r="AC377" s="147">
        <f>VLOOKUP(I377,'Weights and Confidence'!$D$16:$AC$26,6,FALSE)</f>
        <v>0.85</v>
      </c>
    </row>
    <row r="378" spans="1:29" x14ac:dyDescent="0.2">
      <c r="A378" s="38" t="s">
        <v>14</v>
      </c>
      <c r="B378" s="38" t="s">
        <v>0</v>
      </c>
      <c r="C378" s="38" t="s">
        <v>15</v>
      </c>
      <c r="D378" s="38" t="s">
        <v>5</v>
      </c>
      <c r="E378" s="38" t="s">
        <v>102</v>
      </c>
      <c r="F378" s="38" t="s">
        <v>74</v>
      </c>
      <c r="G378" s="38">
        <v>11</v>
      </c>
      <c r="H378" s="38" t="s">
        <v>17</v>
      </c>
      <c r="I378" s="38" t="s">
        <v>28</v>
      </c>
      <c r="J378" s="38">
        <v>0</v>
      </c>
      <c r="K378" s="39">
        <f>AB378/COUNTIFS($B:$B,$B378,$C:$C,$C378,$H:$H,$H378,$I:$I,$I378)</f>
        <v>0.05</v>
      </c>
      <c r="L378" s="40">
        <f t="shared" si="22"/>
        <v>1</v>
      </c>
      <c r="M378" s="41">
        <f t="shared" si="24"/>
        <v>0</v>
      </c>
      <c r="N378" s="38"/>
      <c r="AA378" s="146">
        <f>AB378/COUNTIFS($B:$B,$B378,$C:$C,$C378,$H:$H,$H378,$I:$I,$I378)</f>
        <v>0.05</v>
      </c>
      <c r="AB378" s="108">
        <f>VLOOKUP(I378,'Weights and Confidence'!$D$16:$AC$26,5,FALSE)</f>
        <v>0.05</v>
      </c>
      <c r="AC378" s="147">
        <f>VLOOKUP(I378,'Weights and Confidence'!$D$16:$AC$26,6,FALSE)</f>
        <v>1</v>
      </c>
    </row>
    <row r="379" spans="1:29" ht="17" thickBot="1" x14ac:dyDescent="0.25">
      <c r="A379" s="34" t="s">
        <v>14</v>
      </c>
      <c r="B379" s="34" t="s">
        <v>0</v>
      </c>
      <c r="C379" s="34" t="s">
        <v>15</v>
      </c>
      <c r="D379" s="34" t="s">
        <v>5</v>
      </c>
      <c r="E379" s="34" t="s">
        <v>102</v>
      </c>
      <c r="F379" s="34" t="s">
        <v>74</v>
      </c>
      <c r="G379" s="34">
        <v>11</v>
      </c>
      <c r="H379" s="34" t="s">
        <v>18</v>
      </c>
      <c r="I379" s="34" t="s">
        <v>28</v>
      </c>
      <c r="J379" s="34">
        <v>-1</v>
      </c>
      <c r="K379" s="35">
        <f>AB379/COUNTIFS($B:$B,$B379,$C:$C,$C379,$H:$H,$H379,$I:$I,$I379)</f>
        <v>0.05</v>
      </c>
      <c r="L379" s="36">
        <f t="shared" si="22"/>
        <v>1</v>
      </c>
      <c r="M379" s="37">
        <f t="shared" si="24"/>
        <v>-0.05</v>
      </c>
      <c r="N379" s="34" t="s">
        <v>75</v>
      </c>
      <c r="AA379" s="140">
        <f>AB379/COUNTIFS($B:$B,$B379,$C:$C,$C379,$H:$H,$H379,$I:$I,$I379)</f>
        <v>0.05</v>
      </c>
      <c r="AB379" s="141">
        <f>VLOOKUP(I379,'Weights and Confidence'!$D$16:$AC$26,5,FALSE)</f>
        <v>0.05</v>
      </c>
      <c r="AC379" s="142">
        <f>VLOOKUP(I379,'Weights and Confidence'!$D$16:$AC$26,6,FALSE)</f>
        <v>1</v>
      </c>
    </row>
    <row r="380" spans="1:29" ht="17" thickTop="1" x14ac:dyDescent="0.2">
      <c r="A380" s="42" t="s">
        <v>14</v>
      </c>
      <c r="B380" s="42" t="s">
        <v>0</v>
      </c>
      <c r="C380" s="42" t="s">
        <v>44</v>
      </c>
      <c r="D380" s="42" t="s">
        <v>5</v>
      </c>
      <c r="E380" s="42" t="s">
        <v>103</v>
      </c>
      <c r="F380" s="43" t="s">
        <v>45</v>
      </c>
      <c r="G380" s="42">
        <v>1</v>
      </c>
      <c r="H380" s="42" t="s">
        <v>17</v>
      </c>
      <c r="I380" s="42" t="s">
        <v>19</v>
      </c>
      <c r="J380" s="42">
        <v>0</v>
      </c>
      <c r="K380" s="44">
        <f>AB380/COUNTIFS($B:$B,$B380,$C:$C,$C380,$H:$H,$H380,$I:$I,$I380)</f>
        <v>0.12</v>
      </c>
      <c r="L380" s="45">
        <f t="shared" si="22"/>
        <v>1</v>
      </c>
      <c r="M380" s="46">
        <f t="shared" ref="M380:M401" si="25">J380*K380*L380</f>
        <v>0</v>
      </c>
      <c r="N380" s="42"/>
      <c r="AA380" s="143">
        <f>AB380/COUNTIFS($B:$B,$B380,$C:$C,$C380,$H:$H,$H380,$I:$I,$I380)</f>
        <v>0.12</v>
      </c>
      <c r="AB380" s="144">
        <f>VLOOKUP(I380,'Weights and Confidence'!$D$16:$AC$26,5,FALSE)</f>
        <v>0.12</v>
      </c>
      <c r="AC380" s="145">
        <f>VLOOKUP(I380,'Weights and Confidence'!$D$16:$AC$26,6,FALSE)</f>
        <v>1</v>
      </c>
    </row>
    <row r="381" spans="1:29" x14ac:dyDescent="0.2">
      <c r="A381" s="34" t="s">
        <v>14</v>
      </c>
      <c r="B381" s="34" t="s">
        <v>0</v>
      </c>
      <c r="C381" s="34" t="s">
        <v>44</v>
      </c>
      <c r="D381" s="34" t="s">
        <v>5</v>
      </c>
      <c r="E381" s="34" t="s">
        <v>103</v>
      </c>
      <c r="F381" s="34" t="s">
        <v>45</v>
      </c>
      <c r="G381" s="34">
        <v>1</v>
      </c>
      <c r="H381" s="34" t="s">
        <v>18</v>
      </c>
      <c r="I381" s="34" t="s">
        <v>19</v>
      </c>
      <c r="J381" s="34">
        <v>1</v>
      </c>
      <c r="K381" s="35">
        <f>AB381/COUNTIFS($B:$B,$B381,$C:$C,$C381,$H:$H,$H381,$I:$I,$I381)</f>
        <v>0.12</v>
      </c>
      <c r="L381" s="36">
        <f t="shared" si="22"/>
        <v>1</v>
      </c>
      <c r="M381" s="37">
        <f t="shared" si="25"/>
        <v>0.12</v>
      </c>
      <c r="N381" s="34"/>
      <c r="AA381" s="146">
        <f>AB381/COUNTIFS($B:$B,$B381,$C:$C,$C381,$H:$H,$H381,$I:$I,$I381)</f>
        <v>0.12</v>
      </c>
      <c r="AB381" s="108">
        <f>VLOOKUP(I381,'Weights and Confidence'!$D$16:$AC$26,5,FALSE)</f>
        <v>0.12</v>
      </c>
      <c r="AC381" s="147">
        <f>VLOOKUP(I381,'Weights and Confidence'!$D$16:$AC$26,6,FALSE)</f>
        <v>1</v>
      </c>
    </row>
    <row r="382" spans="1:29" x14ac:dyDescent="0.2">
      <c r="A382" s="38" t="s">
        <v>14</v>
      </c>
      <c r="B382" s="38" t="s">
        <v>0</v>
      </c>
      <c r="C382" s="38" t="s">
        <v>44</v>
      </c>
      <c r="D382" s="38" t="s">
        <v>5</v>
      </c>
      <c r="E382" s="38" t="s">
        <v>103</v>
      </c>
      <c r="F382" s="38" t="s">
        <v>45</v>
      </c>
      <c r="G382" s="38">
        <v>2</v>
      </c>
      <c r="H382" s="38" t="s">
        <v>17</v>
      </c>
      <c r="I382" s="38" t="s">
        <v>20</v>
      </c>
      <c r="J382" s="38">
        <v>0</v>
      </c>
      <c r="K382" s="39">
        <f>AB382/COUNTIFS($B:$B,$B382,$C:$C,$C382,$H:$H,$H382,$I:$I,$I382)</f>
        <v>0.08</v>
      </c>
      <c r="L382" s="40">
        <f t="shared" si="22"/>
        <v>0.8</v>
      </c>
      <c r="M382" s="41">
        <f t="shared" si="25"/>
        <v>0</v>
      </c>
      <c r="N382" s="38"/>
      <c r="AA382" s="146">
        <f>AB382/COUNTIFS($B:$B,$B382,$C:$C,$C382,$H:$H,$H382,$I:$I,$I382)</f>
        <v>0.08</v>
      </c>
      <c r="AB382" s="108">
        <f>VLOOKUP(I382,'Weights and Confidence'!$D$16:$AC$26,5,FALSE)</f>
        <v>0.08</v>
      </c>
      <c r="AC382" s="147">
        <f>VLOOKUP(I382,'Weights and Confidence'!$D$16:$AC$26,6,FALSE)</f>
        <v>0.8</v>
      </c>
    </row>
    <row r="383" spans="1:29" x14ac:dyDescent="0.2">
      <c r="A383" s="34" t="s">
        <v>14</v>
      </c>
      <c r="B383" s="34" t="s">
        <v>0</v>
      </c>
      <c r="C383" s="34" t="s">
        <v>44</v>
      </c>
      <c r="D383" s="34" t="s">
        <v>5</v>
      </c>
      <c r="E383" s="34" t="s">
        <v>103</v>
      </c>
      <c r="F383" s="34" t="s">
        <v>45</v>
      </c>
      <c r="G383" s="34">
        <v>2</v>
      </c>
      <c r="H383" s="34" t="s">
        <v>18</v>
      </c>
      <c r="I383" s="34" t="s">
        <v>20</v>
      </c>
      <c r="J383" s="34">
        <v>1</v>
      </c>
      <c r="K383" s="35">
        <f>AB383/COUNTIFS($B:$B,$B383,$C:$C,$C383,$H:$H,$H383,$I:$I,$I383)</f>
        <v>0.08</v>
      </c>
      <c r="L383" s="36">
        <f t="shared" si="22"/>
        <v>0.8</v>
      </c>
      <c r="M383" s="37">
        <f t="shared" si="25"/>
        <v>6.4000000000000001E-2</v>
      </c>
      <c r="N383" s="34"/>
      <c r="AA383" s="146">
        <f>AB383/COUNTIFS($B:$B,$B383,$C:$C,$C383,$H:$H,$H383,$I:$I,$I383)</f>
        <v>0.08</v>
      </c>
      <c r="AB383" s="108">
        <f>VLOOKUP(I383,'Weights and Confidence'!$D$16:$AC$26,5,FALSE)</f>
        <v>0.08</v>
      </c>
      <c r="AC383" s="147">
        <f>VLOOKUP(I383,'Weights and Confidence'!$D$16:$AC$26,6,FALSE)</f>
        <v>0.8</v>
      </c>
    </row>
    <row r="384" spans="1:29" x14ac:dyDescent="0.2">
      <c r="A384" s="38" t="s">
        <v>14</v>
      </c>
      <c r="B384" s="38" t="s">
        <v>0</v>
      </c>
      <c r="C384" s="38" t="s">
        <v>44</v>
      </c>
      <c r="D384" s="38" t="s">
        <v>5</v>
      </c>
      <c r="E384" s="38" t="s">
        <v>103</v>
      </c>
      <c r="F384" s="38" t="s">
        <v>45</v>
      </c>
      <c r="G384" s="38">
        <v>3</v>
      </c>
      <c r="H384" s="38" t="s">
        <v>17</v>
      </c>
      <c r="I384" s="38" t="s">
        <v>21</v>
      </c>
      <c r="J384" s="38">
        <v>1</v>
      </c>
      <c r="K384" s="39">
        <f>AB384/COUNTIFS($B:$B,$B384,$C:$C,$C384,$H:$H,$H384,$I:$I,$I384)</f>
        <v>0.05</v>
      </c>
      <c r="L384" s="40">
        <f t="shared" si="22"/>
        <v>1</v>
      </c>
      <c r="M384" s="41">
        <f t="shared" si="25"/>
        <v>0.05</v>
      </c>
      <c r="N384" s="38" t="s">
        <v>82</v>
      </c>
      <c r="AA384" s="146">
        <f>AB384/COUNTIFS($B:$B,$B384,$C:$C,$C384,$H:$H,$H384,$I:$I,$I384)</f>
        <v>0.05</v>
      </c>
      <c r="AB384" s="108">
        <f>VLOOKUP(I384,'Weights and Confidence'!$D$16:$AC$26,5,FALSE)</f>
        <v>0.05</v>
      </c>
      <c r="AC384" s="147">
        <f>VLOOKUP(I384,'Weights and Confidence'!$D$16:$AC$26,6,FALSE)</f>
        <v>1</v>
      </c>
    </row>
    <row r="385" spans="1:29" x14ac:dyDescent="0.2">
      <c r="A385" s="34" t="s">
        <v>14</v>
      </c>
      <c r="B385" s="34" t="s">
        <v>0</v>
      </c>
      <c r="C385" s="34" t="s">
        <v>44</v>
      </c>
      <c r="D385" s="34" t="s">
        <v>5</v>
      </c>
      <c r="E385" s="34" t="s">
        <v>103</v>
      </c>
      <c r="F385" s="34" t="s">
        <v>45</v>
      </c>
      <c r="G385" s="34">
        <v>3</v>
      </c>
      <c r="H385" s="34" t="s">
        <v>18</v>
      </c>
      <c r="I385" s="34" t="s">
        <v>21</v>
      </c>
      <c r="J385" s="34">
        <v>0</v>
      </c>
      <c r="K385" s="35">
        <f>AB385/COUNTIFS($B:$B,$B385,$C:$C,$C385,$H:$H,$H385,$I:$I,$I385)</f>
        <v>0.05</v>
      </c>
      <c r="L385" s="36">
        <f t="shared" si="22"/>
        <v>1</v>
      </c>
      <c r="M385" s="37">
        <f t="shared" si="25"/>
        <v>0</v>
      </c>
      <c r="N385" s="34"/>
      <c r="AA385" s="146">
        <f>AB385/COUNTIFS($B:$B,$B385,$C:$C,$C385,$H:$H,$H385,$I:$I,$I385)</f>
        <v>0.05</v>
      </c>
      <c r="AB385" s="108">
        <f>VLOOKUP(I385,'Weights and Confidence'!$D$16:$AC$26,5,FALSE)</f>
        <v>0.05</v>
      </c>
      <c r="AC385" s="147">
        <f>VLOOKUP(I385,'Weights and Confidence'!$D$16:$AC$26,6,FALSE)</f>
        <v>1</v>
      </c>
    </row>
    <row r="386" spans="1:29" x14ac:dyDescent="0.2">
      <c r="A386" s="38" t="s">
        <v>14</v>
      </c>
      <c r="B386" s="38" t="s">
        <v>0</v>
      </c>
      <c r="C386" s="38" t="s">
        <v>44</v>
      </c>
      <c r="D386" s="38" t="s">
        <v>5</v>
      </c>
      <c r="E386" s="38" t="s">
        <v>103</v>
      </c>
      <c r="F386" s="38" t="s">
        <v>45</v>
      </c>
      <c r="G386" s="38">
        <v>4</v>
      </c>
      <c r="H386" s="38" t="s">
        <v>17</v>
      </c>
      <c r="I386" s="38" t="s">
        <v>22</v>
      </c>
      <c r="J386" s="38">
        <v>0</v>
      </c>
      <c r="K386" s="39">
        <f>AB386/COUNTIFS($B:$B,$B386,$C:$C,$C386,$H:$H,$H386,$I:$I,$I386)</f>
        <v>0.14000000000000001</v>
      </c>
      <c r="L386" s="40">
        <f t="shared" si="22"/>
        <v>1</v>
      </c>
      <c r="M386" s="41">
        <f t="shared" si="25"/>
        <v>0</v>
      </c>
      <c r="N386" s="38" t="s">
        <v>81</v>
      </c>
      <c r="AA386" s="146">
        <f>AB386/COUNTIFS($B:$B,$B386,$C:$C,$C386,$H:$H,$H386,$I:$I,$I386)</f>
        <v>0.14000000000000001</v>
      </c>
      <c r="AB386" s="108">
        <f>VLOOKUP(I386,'Weights and Confidence'!$D$16:$AC$26,5,FALSE)</f>
        <v>0.14000000000000001</v>
      </c>
      <c r="AC386" s="147">
        <f>VLOOKUP(I386,'Weights and Confidence'!$D$16:$AC$26,6,FALSE)</f>
        <v>1</v>
      </c>
    </row>
    <row r="387" spans="1:29" x14ac:dyDescent="0.2">
      <c r="A387" s="34" t="s">
        <v>14</v>
      </c>
      <c r="B387" s="34" t="s">
        <v>0</v>
      </c>
      <c r="C387" s="34" t="s">
        <v>44</v>
      </c>
      <c r="D387" s="34" t="s">
        <v>5</v>
      </c>
      <c r="E387" s="34" t="s">
        <v>103</v>
      </c>
      <c r="F387" s="34" t="s">
        <v>45</v>
      </c>
      <c r="G387" s="34">
        <v>4</v>
      </c>
      <c r="H387" s="34" t="s">
        <v>18</v>
      </c>
      <c r="I387" s="34" t="s">
        <v>22</v>
      </c>
      <c r="J387" s="34">
        <v>0</v>
      </c>
      <c r="K387" s="35">
        <f>AB387/COUNTIFS($B:$B,$B387,$C:$C,$C387,$H:$H,$H387,$I:$I,$I387)</f>
        <v>0.14000000000000001</v>
      </c>
      <c r="L387" s="36">
        <f t="shared" si="22"/>
        <v>1</v>
      </c>
      <c r="M387" s="37">
        <f t="shared" si="25"/>
        <v>0</v>
      </c>
      <c r="N387" s="34"/>
      <c r="AA387" s="146">
        <f>AB387/COUNTIFS($B:$B,$B387,$C:$C,$C387,$H:$H,$H387,$I:$I,$I387)</f>
        <v>0.14000000000000001</v>
      </c>
      <c r="AB387" s="108">
        <f>VLOOKUP(I387,'Weights and Confidence'!$D$16:$AC$26,5,FALSE)</f>
        <v>0.14000000000000001</v>
      </c>
      <c r="AC387" s="147">
        <f>VLOOKUP(I387,'Weights and Confidence'!$D$16:$AC$26,6,FALSE)</f>
        <v>1</v>
      </c>
    </row>
    <row r="388" spans="1:29" x14ac:dyDescent="0.2">
      <c r="A388" s="38" t="s">
        <v>14</v>
      </c>
      <c r="B388" s="38" t="s">
        <v>0</v>
      </c>
      <c r="C388" s="38" t="s">
        <v>44</v>
      </c>
      <c r="D388" s="38" t="s">
        <v>5</v>
      </c>
      <c r="E388" s="38" t="s">
        <v>103</v>
      </c>
      <c r="F388" s="38" t="s">
        <v>45</v>
      </c>
      <c r="G388" s="38">
        <v>5</v>
      </c>
      <c r="H388" s="38" t="s">
        <v>17</v>
      </c>
      <c r="I388" s="38" t="s">
        <v>23</v>
      </c>
      <c r="J388" s="38">
        <v>0</v>
      </c>
      <c r="K388" s="39">
        <f>AB388/COUNTIFS($B:$B,$B388,$C:$C,$C388,$H:$H,$H388,$I:$I,$I388)</f>
        <v>0.11</v>
      </c>
      <c r="L388" s="40">
        <f t="shared" si="22"/>
        <v>1</v>
      </c>
      <c r="M388" s="41">
        <f t="shared" si="25"/>
        <v>0</v>
      </c>
      <c r="N388" s="38"/>
      <c r="AA388" s="146">
        <f>AB388/COUNTIFS($B:$B,$B388,$C:$C,$C388,$H:$H,$H388,$I:$I,$I388)</f>
        <v>0.11</v>
      </c>
      <c r="AB388" s="108">
        <f>VLOOKUP(I388,'Weights and Confidence'!$D$16:$AC$26,5,FALSE)</f>
        <v>0.11</v>
      </c>
      <c r="AC388" s="147">
        <f>VLOOKUP(I388,'Weights and Confidence'!$D$16:$AC$26,6,FALSE)</f>
        <v>1</v>
      </c>
    </row>
    <row r="389" spans="1:29" x14ac:dyDescent="0.2">
      <c r="A389" s="34" t="s">
        <v>14</v>
      </c>
      <c r="B389" s="34" t="s">
        <v>0</v>
      </c>
      <c r="C389" s="34" t="s">
        <v>44</v>
      </c>
      <c r="D389" s="34" t="s">
        <v>5</v>
      </c>
      <c r="E389" s="34" t="s">
        <v>103</v>
      </c>
      <c r="F389" s="34" t="s">
        <v>45</v>
      </c>
      <c r="G389" s="34">
        <v>5</v>
      </c>
      <c r="H389" s="34" t="s">
        <v>18</v>
      </c>
      <c r="I389" s="34" t="s">
        <v>23</v>
      </c>
      <c r="J389" s="34">
        <v>-1</v>
      </c>
      <c r="K389" s="35">
        <f>AB389/COUNTIFS($B:$B,$B389,$C:$C,$C389,$H:$H,$H389,$I:$I,$I389)</f>
        <v>0.11</v>
      </c>
      <c r="L389" s="36">
        <f t="shared" si="22"/>
        <v>1</v>
      </c>
      <c r="M389" s="37">
        <f t="shared" si="25"/>
        <v>-0.11</v>
      </c>
      <c r="N389" s="34" t="s">
        <v>83</v>
      </c>
      <c r="AA389" s="146">
        <f>AB389/COUNTIFS($B:$B,$B389,$C:$C,$C389,$H:$H,$H389,$I:$I,$I389)</f>
        <v>0.11</v>
      </c>
      <c r="AB389" s="108">
        <f>VLOOKUP(I389,'Weights and Confidence'!$D$16:$AC$26,5,FALSE)</f>
        <v>0.11</v>
      </c>
      <c r="AC389" s="147">
        <f>VLOOKUP(I389,'Weights and Confidence'!$D$16:$AC$26,6,FALSE)</f>
        <v>1</v>
      </c>
    </row>
    <row r="390" spans="1:29" x14ac:dyDescent="0.2">
      <c r="A390" s="38" t="s">
        <v>14</v>
      </c>
      <c r="B390" s="38" t="s">
        <v>0</v>
      </c>
      <c r="C390" s="38" t="s">
        <v>44</v>
      </c>
      <c r="D390" s="38" t="s">
        <v>5</v>
      </c>
      <c r="E390" s="38" t="s">
        <v>103</v>
      </c>
      <c r="F390" s="38" t="s">
        <v>45</v>
      </c>
      <c r="G390" s="38">
        <v>6</v>
      </c>
      <c r="H390" s="38" t="s">
        <v>17</v>
      </c>
      <c r="I390" s="38" t="s">
        <v>24</v>
      </c>
      <c r="J390" s="38">
        <v>0</v>
      </c>
      <c r="K390" s="39">
        <f>AB390/COUNTIFS($B:$B,$B390,$C:$C,$C390,$H:$H,$H390,$I:$I,$I390)</f>
        <v>0.15</v>
      </c>
      <c r="L390" s="40">
        <f t="shared" ref="L390:L453" si="26">AC390</f>
        <v>1</v>
      </c>
      <c r="M390" s="41">
        <f t="shared" si="25"/>
        <v>0</v>
      </c>
      <c r="N390" s="38"/>
      <c r="AA390" s="146">
        <f>AB390/COUNTIFS($B:$B,$B390,$C:$C,$C390,$H:$H,$H390,$I:$I,$I390)</f>
        <v>0.15</v>
      </c>
      <c r="AB390" s="108">
        <f>VLOOKUP(I390,'Weights and Confidence'!$D$16:$AC$26,5,FALSE)</f>
        <v>0.15</v>
      </c>
      <c r="AC390" s="147">
        <f>VLOOKUP(I390,'Weights and Confidence'!$D$16:$AC$26,6,FALSE)</f>
        <v>1</v>
      </c>
    </row>
    <row r="391" spans="1:29" x14ac:dyDescent="0.2">
      <c r="A391" s="34" t="s">
        <v>14</v>
      </c>
      <c r="B391" s="34" t="s">
        <v>0</v>
      </c>
      <c r="C391" s="34" t="s">
        <v>44</v>
      </c>
      <c r="D391" s="34" t="s">
        <v>5</v>
      </c>
      <c r="E391" s="34" t="s">
        <v>103</v>
      </c>
      <c r="F391" s="34" t="s">
        <v>45</v>
      </c>
      <c r="G391" s="34">
        <v>6</v>
      </c>
      <c r="H391" s="34" t="s">
        <v>18</v>
      </c>
      <c r="I391" s="34" t="s">
        <v>24</v>
      </c>
      <c r="J391" s="34">
        <v>-1</v>
      </c>
      <c r="K391" s="35">
        <f>AB391/COUNTIFS($B:$B,$B391,$C:$C,$C391,$H:$H,$H391,$I:$I,$I391)</f>
        <v>0.15</v>
      </c>
      <c r="L391" s="36">
        <f t="shared" si="26"/>
        <v>1</v>
      </c>
      <c r="M391" s="37">
        <f t="shared" si="25"/>
        <v>-0.15</v>
      </c>
      <c r="N391" s="34" t="s">
        <v>83</v>
      </c>
      <c r="AA391" s="146">
        <f>AB391/COUNTIFS($B:$B,$B391,$C:$C,$C391,$H:$H,$H391,$I:$I,$I391)</f>
        <v>0.15</v>
      </c>
      <c r="AB391" s="108">
        <f>VLOOKUP(I391,'Weights and Confidence'!$D$16:$AC$26,5,FALSE)</f>
        <v>0.15</v>
      </c>
      <c r="AC391" s="147">
        <f>VLOOKUP(I391,'Weights and Confidence'!$D$16:$AC$26,6,FALSE)</f>
        <v>1</v>
      </c>
    </row>
    <row r="392" spans="1:29" x14ac:dyDescent="0.2">
      <c r="A392" s="38" t="s">
        <v>14</v>
      </c>
      <c r="B392" s="38" t="s">
        <v>0</v>
      </c>
      <c r="C392" s="38" t="s">
        <v>44</v>
      </c>
      <c r="D392" s="38" t="s">
        <v>5</v>
      </c>
      <c r="E392" s="38" t="s">
        <v>103</v>
      </c>
      <c r="F392" s="38" t="s">
        <v>45</v>
      </c>
      <c r="G392" s="38">
        <v>7</v>
      </c>
      <c r="H392" s="38" t="s">
        <v>17</v>
      </c>
      <c r="I392" s="38" t="s">
        <v>25</v>
      </c>
      <c r="J392" s="38">
        <v>0</v>
      </c>
      <c r="K392" s="39">
        <f>AB392/COUNTIFS($B:$B,$B392,$C:$C,$C392,$H:$H,$H392,$I:$I,$I392)</f>
        <v>0.1</v>
      </c>
      <c r="L392" s="40">
        <f t="shared" si="26"/>
        <v>1</v>
      </c>
      <c r="M392" s="41">
        <f t="shared" si="25"/>
        <v>0</v>
      </c>
      <c r="N392" s="38"/>
      <c r="AA392" s="146">
        <f>AB392/COUNTIFS($B:$B,$B392,$C:$C,$C392,$H:$H,$H392,$I:$I,$I392)</f>
        <v>0.1</v>
      </c>
      <c r="AB392" s="108">
        <f>VLOOKUP(I392,'Weights and Confidence'!$D$16:$AC$26,5,FALSE)</f>
        <v>0.1</v>
      </c>
      <c r="AC392" s="147">
        <f>VLOOKUP(I392,'Weights and Confidence'!$D$16:$AC$26,6,FALSE)</f>
        <v>1</v>
      </c>
    </row>
    <row r="393" spans="1:29" x14ac:dyDescent="0.2">
      <c r="A393" s="34" t="s">
        <v>14</v>
      </c>
      <c r="B393" s="34" t="s">
        <v>0</v>
      </c>
      <c r="C393" s="34" t="s">
        <v>44</v>
      </c>
      <c r="D393" s="34" t="s">
        <v>5</v>
      </c>
      <c r="E393" s="34" t="s">
        <v>103</v>
      </c>
      <c r="F393" s="34" t="s">
        <v>45</v>
      </c>
      <c r="G393" s="34">
        <v>7</v>
      </c>
      <c r="H393" s="34" t="s">
        <v>18</v>
      </c>
      <c r="I393" s="34" t="s">
        <v>25</v>
      </c>
      <c r="J393" s="34">
        <v>-1</v>
      </c>
      <c r="K393" s="35">
        <f>AB393/COUNTIFS($B:$B,$B393,$C:$C,$C393,$H:$H,$H393,$I:$I,$I393)</f>
        <v>0.1</v>
      </c>
      <c r="L393" s="36">
        <f t="shared" si="26"/>
        <v>1</v>
      </c>
      <c r="M393" s="37">
        <f t="shared" si="25"/>
        <v>-0.1</v>
      </c>
      <c r="N393" s="34"/>
      <c r="AA393" s="146">
        <f>AB393/COUNTIFS($B:$B,$B393,$C:$C,$C393,$H:$H,$H393,$I:$I,$I393)</f>
        <v>0.1</v>
      </c>
      <c r="AB393" s="108">
        <f>VLOOKUP(I393,'Weights and Confidence'!$D$16:$AC$26,5,FALSE)</f>
        <v>0.1</v>
      </c>
      <c r="AC393" s="147">
        <f>VLOOKUP(I393,'Weights and Confidence'!$D$16:$AC$26,6,FALSE)</f>
        <v>1</v>
      </c>
    </row>
    <row r="394" spans="1:29" x14ac:dyDescent="0.2">
      <c r="A394" s="38" t="s">
        <v>14</v>
      </c>
      <c r="B394" s="38" t="s">
        <v>0</v>
      </c>
      <c r="C394" s="38" t="s">
        <v>44</v>
      </c>
      <c r="D394" s="38" t="s">
        <v>5</v>
      </c>
      <c r="E394" s="38" t="s">
        <v>103</v>
      </c>
      <c r="F394" s="38" t="s">
        <v>45</v>
      </c>
      <c r="G394" s="38">
        <v>8</v>
      </c>
      <c r="H394" s="38" t="s">
        <v>17</v>
      </c>
      <c r="I394" s="38" t="s">
        <v>26</v>
      </c>
      <c r="J394" s="38">
        <v>0</v>
      </c>
      <c r="K394" s="39">
        <f>AB394/COUNTIFS($B:$B,$B394,$C:$C,$C394,$H:$H,$H394,$I:$I,$I394)</f>
        <v>0.1</v>
      </c>
      <c r="L394" s="40">
        <f t="shared" si="26"/>
        <v>1</v>
      </c>
      <c r="M394" s="41">
        <f t="shared" si="25"/>
        <v>0</v>
      </c>
      <c r="N394" s="38"/>
      <c r="AA394" s="146">
        <f>AB394/COUNTIFS($B:$B,$B394,$C:$C,$C394,$H:$H,$H394,$I:$I,$I394)</f>
        <v>0.1</v>
      </c>
      <c r="AB394" s="108">
        <f>VLOOKUP(I394,'Weights and Confidence'!$D$16:$AC$26,5,FALSE)</f>
        <v>0.1</v>
      </c>
      <c r="AC394" s="147">
        <f>VLOOKUP(I394,'Weights and Confidence'!$D$16:$AC$26,6,FALSE)</f>
        <v>1</v>
      </c>
    </row>
    <row r="395" spans="1:29" x14ac:dyDescent="0.2">
      <c r="A395" s="34" t="s">
        <v>14</v>
      </c>
      <c r="B395" s="34" t="s">
        <v>0</v>
      </c>
      <c r="C395" s="34" t="s">
        <v>44</v>
      </c>
      <c r="D395" s="34" t="s">
        <v>5</v>
      </c>
      <c r="E395" s="34" t="s">
        <v>103</v>
      </c>
      <c r="F395" s="34" t="s">
        <v>45</v>
      </c>
      <c r="G395" s="34">
        <v>8</v>
      </c>
      <c r="H395" s="34" t="s">
        <v>18</v>
      </c>
      <c r="I395" s="34" t="s">
        <v>26</v>
      </c>
      <c r="J395" s="34">
        <v>-1</v>
      </c>
      <c r="K395" s="35">
        <f>AB395/COUNTIFS($B:$B,$B395,$C:$C,$C395,$H:$H,$H395,$I:$I,$I395)</f>
        <v>0.1</v>
      </c>
      <c r="L395" s="36">
        <f t="shared" si="26"/>
        <v>1</v>
      </c>
      <c r="M395" s="37">
        <f t="shared" si="25"/>
        <v>-0.1</v>
      </c>
      <c r="N395" s="34" t="s">
        <v>84</v>
      </c>
      <c r="AA395" s="146">
        <f>AB395/COUNTIFS($B:$B,$B395,$C:$C,$C395,$H:$H,$H395,$I:$I,$I395)</f>
        <v>0.1</v>
      </c>
      <c r="AB395" s="108">
        <f>VLOOKUP(I395,'Weights and Confidence'!$D$16:$AC$26,5,FALSE)</f>
        <v>0.1</v>
      </c>
      <c r="AC395" s="147">
        <f>VLOOKUP(I395,'Weights and Confidence'!$D$16:$AC$26,6,FALSE)</f>
        <v>1</v>
      </c>
    </row>
    <row r="396" spans="1:29" x14ac:dyDescent="0.2">
      <c r="A396" s="38" t="s">
        <v>14</v>
      </c>
      <c r="B396" s="38" t="s">
        <v>0</v>
      </c>
      <c r="C396" s="38" t="s">
        <v>44</v>
      </c>
      <c r="D396" s="38" t="s">
        <v>5</v>
      </c>
      <c r="E396" s="38" t="s">
        <v>103</v>
      </c>
      <c r="F396" s="38" t="s">
        <v>45</v>
      </c>
      <c r="G396" s="38">
        <v>9</v>
      </c>
      <c r="H396" s="38" t="s">
        <v>17</v>
      </c>
      <c r="I396" s="38" t="s">
        <v>27</v>
      </c>
      <c r="J396" s="38">
        <v>0</v>
      </c>
      <c r="K396" s="39">
        <f>AB396/COUNTIFS($B:$B,$B396,$C:$C,$C396,$H:$H,$H396,$I:$I,$I396)</f>
        <v>0.05</v>
      </c>
      <c r="L396" s="40">
        <f t="shared" si="26"/>
        <v>0.85</v>
      </c>
      <c r="M396" s="41">
        <f t="shared" si="25"/>
        <v>0</v>
      </c>
      <c r="N396" s="38"/>
      <c r="AA396" s="146">
        <f>AB396/COUNTIFS($B:$B,$B396,$C:$C,$C396,$H:$H,$H396,$I:$I,$I396)</f>
        <v>0.05</v>
      </c>
      <c r="AB396" s="108">
        <f>VLOOKUP(I396,'Weights and Confidence'!$D$16:$AC$26,5,FALSE)</f>
        <v>0.1</v>
      </c>
      <c r="AC396" s="147">
        <f>VLOOKUP(I396,'Weights and Confidence'!$D$16:$AC$26,6,FALSE)</f>
        <v>0.85</v>
      </c>
    </row>
    <row r="397" spans="1:29" x14ac:dyDescent="0.2">
      <c r="A397" s="34" t="s">
        <v>14</v>
      </c>
      <c r="B397" s="34" t="s">
        <v>0</v>
      </c>
      <c r="C397" s="34" t="s">
        <v>44</v>
      </c>
      <c r="D397" s="34" t="s">
        <v>5</v>
      </c>
      <c r="E397" s="34" t="s">
        <v>103</v>
      </c>
      <c r="F397" s="34" t="s">
        <v>45</v>
      </c>
      <c r="G397" s="34">
        <v>9</v>
      </c>
      <c r="H397" s="34" t="s">
        <v>18</v>
      </c>
      <c r="I397" s="34" t="s">
        <v>27</v>
      </c>
      <c r="J397" s="34">
        <v>1</v>
      </c>
      <c r="K397" s="35">
        <f>AB397/COUNTIFS($B:$B,$B397,$C:$C,$C397,$H:$H,$H397,$I:$I,$I397)</f>
        <v>0.05</v>
      </c>
      <c r="L397" s="36">
        <f t="shared" si="26"/>
        <v>0.85</v>
      </c>
      <c r="M397" s="37">
        <f t="shared" si="25"/>
        <v>4.2500000000000003E-2</v>
      </c>
      <c r="N397" s="34"/>
      <c r="AA397" s="146">
        <f>AB397/COUNTIFS($B:$B,$B397,$C:$C,$C397,$H:$H,$H397,$I:$I,$I397)</f>
        <v>0.05</v>
      </c>
      <c r="AB397" s="108">
        <f>VLOOKUP(I397,'Weights and Confidence'!$D$16:$AC$26,5,FALSE)</f>
        <v>0.1</v>
      </c>
      <c r="AC397" s="147">
        <f>VLOOKUP(I397,'Weights and Confidence'!$D$16:$AC$26,6,FALSE)</f>
        <v>0.85</v>
      </c>
    </row>
    <row r="398" spans="1:29" x14ac:dyDescent="0.2">
      <c r="A398" s="38" t="s">
        <v>14</v>
      </c>
      <c r="B398" s="38" t="s">
        <v>0</v>
      </c>
      <c r="C398" s="38" t="s">
        <v>44</v>
      </c>
      <c r="D398" s="38" t="s">
        <v>5</v>
      </c>
      <c r="E398" s="38" t="s">
        <v>103</v>
      </c>
      <c r="F398" s="38" t="s">
        <v>45</v>
      </c>
      <c r="G398" s="38">
        <v>10</v>
      </c>
      <c r="H398" s="38" t="s">
        <v>17</v>
      </c>
      <c r="I398" s="38" t="s">
        <v>27</v>
      </c>
      <c r="J398" s="38">
        <v>-1</v>
      </c>
      <c r="K398" s="39">
        <f>AB398/COUNTIFS($B:$B,$B398,$C:$C,$C398,$H:$H,$H398,$I:$I,$I398)</f>
        <v>0.05</v>
      </c>
      <c r="L398" s="40">
        <f t="shared" si="26"/>
        <v>0.85</v>
      </c>
      <c r="M398" s="41">
        <f t="shared" si="25"/>
        <v>-4.2500000000000003E-2</v>
      </c>
      <c r="N398" s="38"/>
      <c r="AA398" s="146">
        <f>AB398/COUNTIFS($B:$B,$B398,$C:$C,$C398,$H:$H,$H398,$I:$I,$I398)</f>
        <v>0.05</v>
      </c>
      <c r="AB398" s="108">
        <f>VLOOKUP(I398,'Weights and Confidence'!$D$16:$AC$26,5,FALSE)</f>
        <v>0.1</v>
      </c>
      <c r="AC398" s="147">
        <f>VLOOKUP(I398,'Weights and Confidence'!$D$16:$AC$26,6,FALSE)</f>
        <v>0.85</v>
      </c>
    </row>
    <row r="399" spans="1:29" x14ac:dyDescent="0.2">
      <c r="A399" s="34" t="s">
        <v>14</v>
      </c>
      <c r="B399" s="34" t="s">
        <v>0</v>
      </c>
      <c r="C399" s="34" t="s">
        <v>44</v>
      </c>
      <c r="D399" s="34" t="s">
        <v>5</v>
      </c>
      <c r="E399" s="34" t="s">
        <v>103</v>
      </c>
      <c r="F399" s="34" t="s">
        <v>45</v>
      </c>
      <c r="G399" s="34">
        <v>10</v>
      </c>
      <c r="H399" s="34" t="s">
        <v>18</v>
      </c>
      <c r="I399" s="34" t="s">
        <v>27</v>
      </c>
      <c r="J399" s="34">
        <v>1</v>
      </c>
      <c r="K399" s="35">
        <f>AB399/COUNTIFS($B:$B,$B399,$C:$C,$C399,$H:$H,$H399,$I:$I,$I399)</f>
        <v>0.05</v>
      </c>
      <c r="L399" s="36">
        <f t="shared" si="26"/>
        <v>0.85</v>
      </c>
      <c r="M399" s="37">
        <f t="shared" si="25"/>
        <v>4.2500000000000003E-2</v>
      </c>
      <c r="N399" s="34"/>
      <c r="AA399" s="146">
        <f>AB399/COUNTIFS($B:$B,$B399,$C:$C,$C399,$H:$H,$H399,$I:$I,$I399)</f>
        <v>0.05</v>
      </c>
      <c r="AB399" s="108">
        <f>VLOOKUP(I399,'Weights and Confidence'!$D$16:$AC$26,5,FALSE)</f>
        <v>0.1</v>
      </c>
      <c r="AC399" s="147">
        <f>VLOOKUP(I399,'Weights and Confidence'!$D$16:$AC$26,6,FALSE)</f>
        <v>0.85</v>
      </c>
    </row>
    <row r="400" spans="1:29" x14ac:dyDescent="0.2">
      <c r="A400" s="38" t="s">
        <v>14</v>
      </c>
      <c r="B400" s="38" t="s">
        <v>0</v>
      </c>
      <c r="C400" s="38" t="s">
        <v>44</v>
      </c>
      <c r="D400" s="38" t="s">
        <v>5</v>
      </c>
      <c r="E400" s="38" t="s">
        <v>103</v>
      </c>
      <c r="F400" s="38" t="s">
        <v>45</v>
      </c>
      <c r="G400" s="38">
        <v>11</v>
      </c>
      <c r="H400" s="38" t="s">
        <v>17</v>
      </c>
      <c r="I400" s="38" t="s">
        <v>28</v>
      </c>
      <c r="J400" s="38">
        <v>0</v>
      </c>
      <c r="K400" s="39">
        <f>AB400/COUNTIFS($B:$B,$B400,$C:$C,$C400,$H:$H,$H400,$I:$I,$I400)</f>
        <v>0.05</v>
      </c>
      <c r="L400" s="40">
        <f t="shared" si="26"/>
        <v>1</v>
      </c>
      <c r="M400" s="41">
        <f t="shared" si="25"/>
        <v>0</v>
      </c>
      <c r="N400" s="38"/>
      <c r="AA400" s="146">
        <f>AB400/COUNTIFS($B:$B,$B400,$C:$C,$C400,$H:$H,$H400,$I:$I,$I400)</f>
        <v>0.05</v>
      </c>
      <c r="AB400" s="108">
        <f>VLOOKUP(I400,'Weights and Confidence'!$D$16:$AC$26,5,FALSE)</f>
        <v>0.05</v>
      </c>
      <c r="AC400" s="147">
        <f>VLOOKUP(I400,'Weights and Confidence'!$D$16:$AC$26,6,FALSE)</f>
        <v>1</v>
      </c>
    </row>
    <row r="401" spans="1:29" ht="17" thickBot="1" x14ac:dyDescent="0.25">
      <c r="A401" s="34" t="s">
        <v>14</v>
      </c>
      <c r="B401" s="34" t="s">
        <v>0</v>
      </c>
      <c r="C401" s="34" t="s">
        <v>44</v>
      </c>
      <c r="D401" s="34" t="s">
        <v>5</v>
      </c>
      <c r="E401" s="34" t="s">
        <v>103</v>
      </c>
      <c r="F401" s="34" t="s">
        <v>45</v>
      </c>
      <c r="G401" s="34">
        <v>11</v>
      </c>
      <c r="H401" s="34" t="s">
        <v>18</v>
      </c>
      <c r="I401" s="34" t="s">
        <v>28</v>
      </c>
      <c r="J401" s="34">
        <v>-1</v>
      </c>
      <c r="K401" s="35">
        <f>AB401/COUNTIFS($B:$B,$B401,$C:$C,$C401,$H:$H,$H401,$I:$I,$I401)</f>
        <v>0.05</v>
      </c>
      <c r="L401" s="36">
        <f t="shared" si="26"/>
        <v>1</v>
      </c>
      <c r="M401" s="37">
        <f t="shared" si="25"/>
        <v>-0.05</v>
      </c>
      <c r="N401" s="34" t="s">
        <v>85</v>
      </c>
      <c r="AA401" s="140">
        <f>AB401/COUNTIFS($B:$B,$B401,$C:$C,$C401,$H:$H,$H401,$I:$I,$I401)</f>
        <v>0.05</v>
      </c>
      <c r="AB401" s="141">
        <f>VLOOKUP(I401,'Weights and Confidence'!$D$16:$AC$26,5,FALSE)</f>
        <v>0.05</v>
      </c>
      <c r="AC401" s="142">
        <f>VLOOKUP(I401,'Weights and Confidence'!$D$16:$AC$26,6,FALSE)</f>
        <v>1</v>
      </c>
    </row>
    <row r="402" spans="1:29" ht="17" thickTop="1" x14ac:dyDescent="0.2">
      <c r="A402" s="42" t="s">
        <v>14</v>
      </c>
      <c r="B402" s="42" t="s">
        <v>0</v>
      </c>
      <c r="C402" s="42" t="s">
        <v>47</v>
      </c>
      <c r="D402" s="42" t="s">
        <v>5</v>
      </c>
      <c r="E402" s="42" t="s">
        <v>104</v>
      </c>
      <c r="F402" s="43" t="s">
        <v>46</v>
      </c>
      <c r="G402" s="42">
        <v>1</v>
      </c>
      <c r="H402" s="42" t="s">
        <v>17</v>
      </c>
      <c r="I402" s="42" t="s">
        <v>19</v>
      </c>
      <c r="J402" s="42">
        <v>-1</v>
      </c>
      <c r="K402" s="44">
        <f>AB402/COUNTIFS($B:$B,$B402,$C:$C,$C402,$H:$H,$H402,$I:$I,$I402)</f>
        <v>0.12</v>
      </c>
      <c r="L402" s="45">
        <f t="shared" si="26"/>
        <v>1</v>
      </c>
      <c r="M402" s="46">
        <f t="shared" ref="M402:M423" si="27">J402*K402*L402</f>
        <v>-0.12</v>
      </c>
      <c r="N402" s="42"/>
      <c r="AA402" s="143">
        <f>AB402/COUNTIFS($B:$B,$B402,$C:$C,$C402,$H:$H,$H402,$I:$I,$I402)</f>
        <v>0.12</v>
      </c>
      <c r="AB402" s="144">
        <f>VLOOKUP(I402,'Weights and Confidence'!$D$16:$AC$26,5,FALSE)</f>
        <v>0.12</v>
      </c>
      <c r="AC402" s="145">
        <f>VLOOKUP(I402,'Weights and Confidence'!$D$16:$AC$26,6,FALSE)</f>
        <v>1</v>
      </c>
    </row>
    <row r="403" spans="1:29" x14ac:dyDescent="0.2">
      <c r="A403" s="34" t="s">
        <v>14</v>
      </c>
      <c r="B403" s="34" t="s">
        <v>0</v>
      </c>
      <c r="C403" s="34" t="s">
        <v>47</v>
      </c>
      <c r="D403" s="34" t="s">
        <v>5</v>
      </c>
      <c r="E403" s="34" t="s">
        <v>104</v>
      </c>
      <c r="F403" s="34" t="s">
        <v>46</v>
      </c>
      <c r="G403" s="34">
        <v>1</v>
      </c>
      <c r="H403" s="34" t="s">
        <v>18</v>
      </c>
      <c r="I403" s="34" t="s">
        <v>19</v>
      </c>
      <c r="J403" s="34">
        <v>1</v>
      </c>
      <c r="K403" s="35">
        <f>AB403/COUNTIFS($B:$B,$B403,$C:$C,$C403,$H:$H,$H403,$I:$I,$I403)</f>
        <v>0.12</v>
      </c>
      <c r="L403" s="36">
        <f t="shared" si="26"/>
        <v>1</v>
      </c>
      <c r="M403" s="37">
        <f t="shared" si="27"/>
        <v>0.12</v>
      </c>
      <c r="N403" s="34"/>
      <c r="AA403" s="146">
        <f>AB403/COUNTIFS($B:$B,$B403,$C:$C,$C403,$H:$H,$H403,$I:$I,$I403)</f>
        <v>0.12</v>
      </c>
      <c r="AB403" s="108">
        <f>VLOOKUP(I403,'Weights and Confidence'!$D$16:$AC$26,5,FALSE)</f>
        <v>0.12</v>
      </c>
      <c r="AC403" s="147">
        <f>VLOOKUP(I403,'Weights and Confidence'!$D$16:$AC$26,6,FALSE)</f>
        <v>1</v>
      </c>
    </row>
    <row r="404" spans="1:29" x14ac:dyDescent="0.2">
      <c r="A404" s="38" t="s">
        <v>14</v>
      </c>
      <c r="B404" s="38" t="s">
        <v>0</v>
      </c>
      <c r="C404" s="38" t="s">
        <v>47</v>
      </c>
      <c r="D404" s="38" t="s">
        <v>5</v>
      </c>
      <c r="E404" s="38" t="s">
        <v>104</v>
      </c>
      <c r="F404" s="38" t="s">
        <v>46</v>
      </c>
      <c r="G404" s="38">
        <v>2</v>
      </c>
      <c r="H404" s="38" t="s">
        <v>17</v>
      </c>
      <c r="I404" s="38" t="s">
        <v>20</v>
      </c>
      <c r="J404" s="38">
        <v>0</v>
      </c>
      <c r="K404" s="39">
        <f>AB404/COUNTIFS($B:$B,$B404,$C:$C,$C404,$H:$H,$H404,$I:$I,$I404)</f>
        <v>0.08</v>
      </c>
      <c r="L404" s="40">
        <f t="shared" si="26"/>
        <v>0.8</v>
      </c>
      <c r="M404" s="41">
        <f t="shared" si="27"/>
        <v>0</v>
      </c>
      <c r="N404" s="38"/>
      <c r="AA404" s="146">
        <f>AB404/COUNTIFS($B:$B,$B404,$C:$C,$C404,$H:$H,$H404,$I:$I,$I404)</f>
        <v>0.08</v>
      </c>
      <c r="AB404" s="108">
        <f>VLOOKUP(I404,'Weights and Confidence'!$D$16:$AC$26,5,FALSE)</f>
        <v>0.08</v>
      </c>
      <c r="AC404" s="147">
        <f>VLOOKUP(I404,'Weights and Confidence'!$D$16:$AC$26,6,FALSE)</f>
        <v>0.8</v>
      </c>
    </row>
    <row r="405" spans="1:29" x14ac:dyDescent="0.2">
      <c r="A405" s="34" t="s">
        <v>14</v>
      </c>
      <c r="B405" s="34" t="s">
        <v>0</v>
      </c>
      <c r="C405" s="34" t="s">
        <v>47</v>
      </c>
      <c r="D405" s="34" t="s">
        <v>5</v>
      </c>
      <c r="E405" s="34" t="s">
        <v>104</v>
      </c>
      <c r="F405" s="34" t="s">
        <v>46</v>
      </c>
      <c r="G405" s="34">
        <v>2</v>
      </c>
      <c r="H405" s="34" t="s">
        <v>18</v>
      </c>
      <c r="I405" s="34" t="s">
        <v>20</v>
      </c>
      <c r="J405" s="34">
        <v>1</v>
      </c>
      <c r="K405" s="35">
        <f>AB405/COUNTIFS($B:$B,$B405,$C:$C,$C405,$H:$H,$H405,$I:$I,$I405)</f>
        <v>0.08</v>
      </c>
      <c r="L405" s="36">
        <f t="shared" si="26"/>
        <v>0.8</v>
      </c>
      <c r="M405" s="37">
        <f t="shared" si="27"/>
        <v>6.4000000000000001E-2</v>
      </c>
      <c r="N405" s="34"/>
      <c r="AA405" s="146">
        <f>AB405/COUNTIFS($B:$B,$B405,$C:$C,$C405,$H:$H,$H405,$I:$I,$I405)</f>
        <v>0.08</v>
      </c>
      <c r="AB405" s="108">
        <f>VLOOKUP(I405,'Weights and Confidence'!$D$16:$AC$26,5,FALSE)</f>
        <v>0.08</v>
      </c>
      <c r="AC405" s="147">
        <f>VLOOKUP(I405,'Weights and Confidence'!$D$16:$AC$26,6,FALSE)</f>
        <v>0.8</v>
      </c>
    </row>
    <row r="406" spans="1:29" x14ac:dyDescent="0.2">
      <c r="A406" s="38" t="s">
        <v>14</v>
      </c>
      <c r="B406" s="38" t="s">
        <v>0</v>
      </c>
      <c r="C406" s="38" t="s">
        <v>47</v>
      </c>
      <c r="D406" s="38" t="s">
        <v>5</v>
      </c>
      <c r="E406" s="38" t="s">
        <v>104</v>
      </c>
      <c r="F406" s="38" t="s">
        <v>46</v>
      </c>
      <c r="G406" s="38">
        <v>3</v>
      </c>
      <c r="H406" s="38" t="s">
        <v>17</v>
      </c>
      <c r="I406" s="38" t="s">
        <v>21</v>
      </c>
      <c r="J406" s="38">
        <v>0</v>
      </c>
      <c r="K406" s="39">
        <f>AB406/COUNTIFS($B:$B,$B406,$C:$C,$C406,$H:$H,$H406,$I:$I,$I406)</f>
        <v>0.05</v>
      </c>
      <c r="L406" s="40">
        <f t="shared" si="26"/>
        <v>1</v>
      </c>
      <c r="M406" s="41">
        <f t="shared" si="27"/>
        <v>0</v>
      </c>
      <c r="N406" s="38"/>
      <c r="AA406" s="146">
        <f>AB406/COUNTIFS($B:$B,$B406,$C:$C,$C406,$H:$H,$H406,$I:$I,$I406)</f>
        <v>0.05</v>
      </c>
      <c r="AB406" s="108">
        <f>VLOOKUP(I406,'Weights and Confidence'!$D$16:$AC$26,5,FALSE)</f>
        <v>0.05</v>
      </c>
      <c r="AC406" s="147">
        <f>VLOOKUP(I406,'Weights and Confidence'!$D$16:$AC$26,6,FALSE)</f>
        <v>1</v>
      </c>
    </row>
    <row r="407" spans="1:29" x14ac:dyDescent="0.2">
      <c r="A407" s="34" t="s">
        <v>14</v>
      </c>
      <c r="B407" s="34" t="s">
        <v>0</v>
      </c>
      <c r="C407" s="34" t="s">
        <v>47</v>
      </c>
      <c r="D407" s="34" t="s">
        <v>5</v>
      </c>
      <c r="E407" s="34" t="s">
        <v>104</v>
      </c>
      <c r="F407" s="34" t="s">
        <v>46</v>
      </c>
      <c r="G407" s="34">
        <v>3</v>
      </c>
      <c r="H407" s="34" t="s">
        <v>18</v>
      </c>
      <c r="I407" s="34" t="s">
        <v>21</v>
      </c>
      <c r="J407" s="34">
        <v>1</v>
      </c>
      <c r="K407" s="35">
        <f>AB407/COUNTIFS($B:$B,$B407,$C:$C,$C407,$H:$H,$H407,$I:$I,$I407)</f>
        <v>0.05</v>
      </c>
      <c r="L407" s="36">
        <f t="shared" si="26"/>
        <v>1</v>
      </c>
      <c r="M407" s="37">
        <f t="shared" si="27"/>
        <v>0.05</v>
      </c>
      <c r="N407" s="34"/>
      <c r="AA407" s="146">
        <f>AB407/COUNTIFS($B:$B,$B407,$C:$C,$C407,$H:$H,$H407,$I:$I,$I407)</f>
        <v>0.05</v>
      </c>
      <c r="AB407" s="108">
        <f>VLOOKUP(I407,'Weights and Confidence'!$D$16:$AC$26,5,FALSE)</f>
        <v>0.05</v>
      </c>
      <c r="AC407" s="147">
        <f>VLOOKUP(I407,'Weights and Confidence'!$D$16:$AC$26,6,FALSE)</f>
        <v>1</v>
      </c>
    </row>
    <row r="408" spans="1:29" x14ac:dyDescent="0.2">
      <c r="A408" s="38" t="s">
        <v>14</v>
      </c>
      <c r="B408" s="38" t="s">
        <v>0</v>
      </c>
      <c r="C408" s="38" t="s">
        <v>47</v>
      </c>
      <c r="D408" s="38" t="s">
        <v>5</v>
      </c>
      <c r="E408" s="38" t="s">
        <v>104</v>
      </c>
      <c r="F408" s="38" t="s">
        <v>46</v>
      </c>
      <c r="G408" s="38">
        <v>4</v>
      </c>
      <c r="H408" s="38" t="s">
        <v>17</v>
      </c>
      <c r="I408" s="38" t="s">
        <v>22</v>
      </c>
      <c r="J408" s="38">
        <v>0</v>
      </c>
      <c r="K408" s="39">
        <f>AB408/COUNTIFS($B:$B,$B408,$C:$C,$C408,$H:$H,$H408,$I:$I,$I408)</f>
        <v>0.14000000000000001</v>
      </c>
      <c r="L408" s="40">
        <f t="shared" si="26"/>
        <v>1</v>
      </c>
      <c r="M408" s="41">
        <f t="shared" si="27"/>
        <v>0</v>
      </c>
      <c r="N408" s="38"/>
      <c r="AA408" s="146">
        <f>AB408/COUNTIFS($B:$B,$B408,$C:$C,$C408,$H:$H,$H408,$I:$I,$I408)</f>
        <v>0.14000000000000001</v>
      </c>
      <c r="AB408" s="108">
        <f>VLOOKUP(I408,'Weights and Confidence'!$D$16:$AC$26,5,FALSE)</f>
        <v>0.14000000000000001</v>
      </c>
      <c r="AC408" s="147">
        <f>VLOOKUP(I408,'Weights and Confidence'!$D$16:$AC$26,6,FALSE)</f>
        <v>1</v>
      </c>
    </row>
    <row r="409" spans="1:29" x14ac:dyDescent="0.2">
      <c r="A409" s="34" t="s">
        <v>14</v>
      </c>
      <c r="B409" s="34" t="s">
        <v>0</v>
      </c>
      <c r="C409" s="34" t="s">
        <v>47</v>
      </c>
      <c r="D409" s="34" t="s">
        <v>5</v>
      </c>
      <c r="E409" s="34" t="s">
        <v>104</v>
      </c>
      <c r="F409" s="34" t="s">
        <v>46</v>
      </c>
      <c r="G409" s="34">
        <v>4</v>
      </c>
      <c r="H409" s="34" t="s">
        <v>18</v>
      </c>
      <c r="I409" s="34" t="s">
        <v>22</v>
      </c>
      <c r="J409" s="34">
        <v>1</v>
      </c>
      <c r="K409" s="35">
        <f>AB409/COUNTIFS($B:$B,$B409,$C:$C,$C409,$H:$H,$H409,$I:$I,$I409)</f>
        <v>0.14000000000000001</v>
      </c>
      <c r="L409" s="36">
        <f t="shared" si="26"/>
        <v>1</v>
      </c>
      <c r="M409" s="37">
        <f t="shared" si="27"/>
        <v>0.14000000000000001</v>
      </c>
      <c r="N409" s="34"/>
      <c r="AA409" s="146">
        <f>AB409/COUNTIFS($B:$B,$B409,$C:$C,$C409,$H:$H,$H409,$I:$I,$I409)</f>
        <v>0.14000000000000001</v>
      </c>
      <c r="AB409" s="108">
        <f>VLOOKUP(I409,'Weights and Confidence'!$D$16:$AC$26,5,FALSE)</f>
        <v>0.14000000000000001</v>
      </c>
      <c r="AC409" s="147">
        <f>VLOOKUP(I409,'Weights and Confidence'!$D$16:$AC$26,6,FALSE)</f>
        <v>1</v>
      </c>
    </row>
    <row r="410" spans="1:29" x14ac:dyDescent="0.2">
      <c r="A410" s="38" t="s">
        <v>14</v>
      </c>
      <c r="B410" s="38" t="s">
        <v>0</v>
      </c>
      <c r="C410" s="38" t="s">
        <v>47</v>
      </c>
      <c r="D410" s="38" t="s">
        <v>5</v>
      </c>
      <c r="E410" s="38" t="s">
        <v>104</v>
      </c>
      <c r="F410" s="38" t="s">
        <v>46</v>
      </c>
      <c r="G410" s="38">
        <v>5</v>
      </c>
      <c r="H410" s="38" t="s">
        <v>17</v>
      </c>
      <c r="I410" s="38" t="s">
        <v>23</v>
      </c>
      <c r="J410" s="38">
        <v>0</v>
      </c>
      <c r="K410" s="39">
        <f>AB410/COUNTIFS($B:$B,$B410,$C:$C,$C410,$H:$H,$H410,$I:$I,$I410)</f>
        <v>0.11</v>
      </c>
      <c r="L410" s="40">
        <f t="shared" si="26"/>
        <v>1</v>
      </c>
      <c r="M410" s="41">
        <f t="shared" si="27"/>
        <v>0</v>
      </c>
      <c r="N410" s="38"/>
      <c r="AA410" s="146">
        <f>AB410/COUNTIFS($B:$B,$B410,$C:$C,$C410,$H:$H,$H410,$I:$I,$I410)</f>
        <v>0.11</v>
      </c>
      <c r="AB410" s="108">
        <f>VLOOKUP(I410,'Weights and Confidence'!$D$16:$AC$26,5,FALSE)</f>
        <v>0.11</v>
      </c>
      <c r="AC410" s="147">
        <f>VLOOKUP(I410,'Weights and Confidence'!$D$16:$AC$26,6,FALSE)</f>
        <v>1</v>
      </c>
    </row>
    <row r="411" spans="1:29" x14ac:dyDescent="0.2">
      <c r="A411" s="34" t="s">
        <v>14</v>
      </c>
      <c r="B411" s="34" t="s">
        <v>0</v>
      </c>
      <c r="C411" s="34" t="s">
        <v>47</v>
      </c>
      <c r="D411" s="34" t="s">
        <v>5</v>
      </c>
      <c r="E411" s="34" t="s">
        <v>104</v>
      </c>
      <c r="F411" s="34" t="s">
        <v>46</v>
      </c>
      <c r="G411" s="34">
        <v>5</v>
      </c>
      <c r="H411" s="34" t="s">
        <v>18</v>
      </c>
      <c r="I411" s="34" t="s">
        <v>23</v>
      </c>
      <c r="J411" s="34">
        <v>1</v>
      </c>
      <c r="K411" s="35">
        <f>AB411/COUNTIFS($B:$B,$B411,$C:$C,$C411,$H:$H,$H411,$I:$I,$I411)</f>
        <v>0.11</v>
      </c>
      <c r="L411" s="36">
        <f t="shared" si="26"/>
        <v>1</v>
      </c>
      <c r="M411" s="37">
        <f t="shared" si="27"/>
        <v>0.11</v>
      </c>
      <c r="N411" s="34"/>
      <c r="AA411" s="146">
        <f>AB411/COUNTIFS($B:$B,$B411,$C:$C,$C411,$H:$H,$H411,$I:$I,$I411)</f>
        <v>0.11</v>
      </c>
      <c r="AB411" s="108">
        <f>VLOOKUP(I411,'Weights and Confidence'!$D$16:$AC$26,5,FALSE)</f>
        <v>0.11</v>
      </c>
      <c r="AC411" s="147">
        <f>VLOOKUP(I411,'Weights and Confidence'!$D$16:$AC$26,6,FALSE)</f>
        <v>1</v>
      </c>
    </row>
    <row r="412" spans="1:29" x14ac:dyDescent="0.2">
      <c r="A412" s="38" t="s">
        <v>14</v>
      </c>
      <c r="B412" s="38" t="s">
        <v>0</v>
      </c>
      <c r="C412" s="38" t="s">
        <v>47</v>
      </c>
      <c r="D412" s="38" t="s">
        <v>5</v>
      </c>
      <c r="E412" s="38" t="s">
        <v>104</v>
      </c>
      <c r="F412" s="38" t="s">
        <v>46</v>
      </c>
      <c r="G412" s="38">
        <v>6</v>
      </c>
      <c r="H412" s="38" t="s">
        <v>17</v>
      </c>
      <c r="I412" s="38" t="s">
        <v>24</v>
      </c>
      <c r="J412" s="38">
        <v>0</v>
      </c>
      <c r="K412" s="39">
        <f>AB412/COUNTIFS($B:$B,$B412,$C:$C,$C412,$H:$H,$H412,$I:$I,$I412)</f>
        <v>0.15</v>
      </c>
      <c r="L412" s="40">
        <f t="shared" si="26"/>
        <v>1</v>
      </c>
      <c r="M412" s="41">
        <f t="shared" si="27"/>
        <v>0</v>
      </c>
      <c r="N412" s="38"/>
      <c r="AA412" s="146">
        <f>AB412/COUNTIFS($B:$B,$B412,$C:$C,$C412,$H:$H,$H412,$I:$I,$I412)</f>
        <v>0.15</v>
      </c>
      <c r="AB412" s="108">
        <f>VLOOKUP(I412,'Weights and Confidence'!$D$16:$AC$26,5,FALSE)</f>
        <v>0.15</v>
      </c>
      <c r="AC412" s="147">
        <f>VLOOKUP(I412,'Weights and Confidence'!$D$16:$AC$26,6,FALSE)</f>
        <v>1</v>
      </c>
    </row>
    <row r="413" spans="1:29" x14ac:dyDescent="0.2">
      <c r="A413" s="34" t="s">
        <v>14</v>
      </c>
      <c r="B413" s="34" t="s">
        <v>0</v>
      </c>
      <c r="C413" s="34" t="s">
        <v>47</v>
      </c>
      <c r="D413" s="34" t="s">
        <v>5</v>
      </c>
      <c r="E413" s="34" t="s">
        <v>104</v>
      </c>
      <c r="F413" s="34" t="s">
        <v>46</v>
      </c>
      <c r="G413" s="34">
        <v>6</v>
      </c>
      <c r="H413" s="34" t="s">
        <v>18</v>
      </c>
      <c r="I413" s="34" t="s">
        <v>24</v>
      </c>
      <c r="J413" s="34">
        <v>1</v>
      </c>
      <c r="K413" s="35">
        <f>AB413/COUNTIFS($B:$B,$B413,$C:$C,$C413,$H:$H,$H413,$I:$I,$I413)</f>
        <v>0.15</v>
      </c>
      <c r="L413" s="36">
        <f t="shared" si="26"/>
        <v>1</v>
      </c>
      <c r="M413" s="37">
        <f t="shared" si="27"/>
        <v>0.15</v>
      </c>
      <c r="N413" s="58" t="s">
        <v>109</v>
      </c>
      <c r="AA413" s="146">
        <f>AB413/COUNTIFS($B:$B,$B413,$C:$C,$C413,$H:$H,$H413,$I:$I,$I413)</f>
        <v>0.15</v>
      </c>
      <c r="AB413" s="108">
        <f>VLOOKUP(I413,'Weights and Confidence'!$D$16:$AC$26,5,FALSE)</f>
        <v>0.15</v>
      </c>
      <c r="AC413" s="147">
        <f>VLOOKUP(I413,'Weights and Confidence'!$D$16:$AC$26,6,FALSE)</f>
        <v>1</v>
      </c>
    </row>
    <row r="414" spans="1:29" x14ac:dyDescent="0.2">
      <c r="A414" s="38" t="s">
        <v>14</v>
      </c>
      <c r="B414" s="38" t="s">
        <v>0</v>
      </c>
      <c r="C414" s="38" t="s">
        <v>47</v>
      </c>
      <c r="D414" s="38" t="s">
        <v>5</v>
      </c>
      <c r="E414" s="38" t="s">
        <v>104</v>
      </c>
      <c r="F414" s="38" t="s">
        <v>46</v>
      </c>
      <c r="G414" s="38">
        <v>7</v>
      </c>
      <c r="H414" s="38" t="s">
        <v>17</v>
      </c>
      <c r="I414" s="38" t="s">
        <v>25</v>
      </c>
      <c r="J414" s="38">
        <v>0</v>
      </c>
      <c r="K414" s="39">
        <f>AB414/COUNTIFS($B:$B,$B414,$C:$C,$C414,$H:$H,$H414,$I:$I,$I414)</f>
        <v>0.1</v>
      </c>
      <c r="L414" s="40">
        <f t="shared" si="26"/>
        <v>1</v>
      </c>
      <c r="M414" s="41">
        <f t="shared" si="27"/>
        <v>0</v>
      </c>
      <c r="N414" s="38"/>
      <c r="AA414" s="146">
        <f>AB414/COUNTIFS($B:$B,$B414,$C:$C,$C414,$H:$H,$H414,$I:$I,$I414)</f>
        <v>0.1</v>
      </c>
      <c r="AB414" s="108">
        <f>VLOOKUP(I414,'Weights and Confidence'!$D$16:$AC$26,5,FALSE)</f>
        <v>0.1</v>
      </c>
      <c r="AC414" s="147">
        <f>VLOOKUP(I414,'Weights and Confidence'!$D$16:$AC$26,6,FALSE)</f>
        <v>1</v>
      </c>
    </row>
    <row r="415" spans="1:29" x14ac:dyDescent="0.2">
      <c r="A415" s="34" t="s">
        <v>14</v>
      </c>
      <c r="B415" s="34" t="s">
        <v>0</v>
      </c>
      <c r="C415" s="34" t="s">
        <v>47</v>
      </c>
      <c r="D415" s="34" t="s">
        <v>5</v>
      </c>
      <c r="E415" s="34" t="s">
        <v>104</v>
      </c>
      <c r="F415" s="34" t="s">
        <v>46</v>
      </c>
      <c r="G415" s="34">
        <v>7</v>
      </c>
      <c r="H415" s="34" t="s">
        <v>18</v>
      </c>
      <c r="I415" s="34" t="s">
        <v>25</v>
      </c>
      <c r="J415" s="34">
        <v>0</v>
      </c>
      <c r="K415" s="35">
        <f>AB415/COUNTIFS($B:$B,$B415,$C:$C,$C415,$H:$H,$H415,$I:$I,$I415)</f>
        <v>0.1</v>
      </c>
      <c r="L415" s="36">
        <f t="shared" si="26"/>
        <v>1</v>
      </c>
      <c r="M415" s="37">
        <f t="shared" si="27"/>
        <v>0</v>
      </c>
      <c r="N415" s="58" t="s">
        <v>110</v>
      </c>
      <c r="AA415" s="146">
        <f>AB415/COUNTIFS($B:$B,$B415,$C:$C,$C415,$H:$H,$H415,$I:$I,$I415)</f>
        <v>0.1</v>
      </c>
      <c r="AB415" s="108">
        <f>VLOOKUP(I415,'Weights and Confidence'!$D$16:$AC$26,5,FALSE)</f>
        <v>0.1</v>
      </c>
      <c r="AC415" s="147">
        <f>VLOOKUP(I415,'Weights and Confidence'!$D$16:$AC$26,6,FALSE)</f>
        <v>1</v>
      </c>
    </row>
    <row r="416" spans="1:29" x14ac:dyDescent="0.2">
      <c r="A416" s="38" t="s">
        <v>14</v>
      </c>
      <c r="B416" s="38" t="s">
        <v>0</v>
      </c>
      <c r="C416" s="38" t="s">
        <v>47</v>
      </c>
      <c r="D416" s="38" t="s">
        <v>5</v>
      </c>
      <c r="E416" s="38" t="s">
        <v>104</v>
      </c>
      <c r="F416" s="38" t="s">
        <v>46</v>
      </c>
      <c r="G416" s="38">
        <v>8</v>
      </c>
      <c r="H416" s="38" t="s">
        <v>17</v>
      </c>
      <c r="I416" s="38" t="s">
        <v>26</v>
      </c>
      <c r="J416" s="38">
        <v>0</v>
      </c>
      <c r="K416" s="39">
        <f>AB416/COUNTIFS($B:$B,$B416,$C:$C,$C416,$H:$H,$H416,$I:$I,$I416)</f>
        <v>0.1</v>
      </c>
      <c r="L416" s="40">
        <f t="shared" si="26"/>
        <v>1</v>
      </c>
      <c r="M416" s="41">
        <f t="shared" si="27"/>
        <v>0</v>
      </c>
      <c r="N416" s="38"/>
      <c r="AA416" s="146">
        <f>AB416/COUNTIFS($B:$B,$B416,$C:$C,$C416,$H:$H,$H416,$I:$I,$I416)</f>
        <v>0.1</v>
      </c>
      <c r="AB416" s="108">
        <f>VLOOKUP(I416,'Weights and Confidence'!$D$16:$AC$26,5,FALSE)</f>
        <v>0.1</v>
      </c>
      <c r="AC416" s="147">
        <f>VLOOKUP(I416,'Weights and Confidence'!$D$16:$AC$26,6,FALSE)</f>
        <v>1</v>
      </c>
    </row>
    <row r="417" spans="1:29" x14ac:dyDescent="0.2">
      <c r="A417" s="34" t="s">
        <v>14</v>
      </c>
      <c r="B417" s="34" t="s">
        <v>0</v>
      </c>
      <c r="C417" s="34" t="s">
        <v>47</v>
      </c>
      <c r="D417" s="34" t="s">
        <v>5</v>
      </c>
      <c r="E417" s="34" t="s">
        <v>104</v>
      </c>
      <c r="F417" s="34" t="s">
        <v>46</v>
      </c>
      <c r="G417" s="34">
        <v>8</v>
      </c>
      <c r="H417" s="34" t="s">
        <v>18</v>
      </c>
      <c r="I417" s="34" t="s">
        <v>26</v>
      </c>
      <c r="J417" s="34">
        <v>0</v>
      </c>
      <c r="K417" s="35">
        <f>AB417/COUNTIFS($B:$B,$B417,$C:$C,$C417,$H:$H,$H417,$I:$I,$I417)</f>
        <v>0.1</v>
      </c>
      <c r="L417" s="36">
        <f t="shared" si="26"/>
        <v>1</v>
      </c>
      <c r="M417" s="37">
        <f t="shared" si="27"/>
        <v>0</v>
      </c>
      <c r="N417" s="58" t="s">
        <v>111</v>
      </c>
      <c r="AA417" s="146">
        <f>AB417/COUNTIFS($B:$B,$B417,$C:$C,$C417,$H:$H,$H417,$I:$I,$I417)</f>
        <v>0.1</v>
      </c>
      <c r="AB417" s="108">
        <f>VLOOKUP(I417,'Weights and Confidence'!$D$16:$AC$26,5,FALSE)</f>
        <v>0.1</v>
      </c>
      <c r="AC417" s="147">
        <f>VLOOKUP(I417,'Weights and Confidence'!$D$16:$AC$26,6,FALSE)</f>
        <v>1</v>
      </c>
    </row>
    <row r="418" spans="1:29" x14ac:dyDescent="0.2">
      <c r="A418" s="38" t="s">
        <v>14</v>
      </c>
      <c r="B418" s="38" t="s">
        <v>0</v>
      </c>
      <c r="C418" s="38" t="s">
        <v>47</v>
      </c>
      <c r="D418" s="38" t="s">
        <v>5</v>
      </c>
      <c r="E418" s="38" t="s">
        <v>104</v>
      </c>
      <c r="F418" s="38" t="s">
        <v>46</v>
      </c>
      <c r="G418" s="38">
        <v>9</v>
      </c>
      <c r="H418" s="38" t="s">
        <v>17</v>
      </c>
      <c r="I418" s="38" t="s">
        <v>27</v>
      </c>
      <c r="J418" s="38">
        <v>0</v>
      </c>
      <c r="K418" s="39">
        <f>AB418/COUNTIFS($B:$B,$B418,$C:$C,$C418,$H:$H,$H418,$I:$I,$I418)</f>
        <v>0.05</v>
      </c>
      <c r="L418" s="40">
        <f t="shared" si="26"/>
        <v>0.85</v>
      </c>
      <c r="M418" s="41">
        <f t="shared" si="27"/>
        <v>0</v>
      </c>
      <c r="N418" s="38"/>
      <c r="AA418" s="146">
        <f>AB418/COUNTIFS($B:$B,$B418,$C:$C,$C418,$H:$H,$H418,$I:$I,$I418)</f>
        <v>0.05</v>
      </c>
      <c r="AB418" s="108">
        <f>VLOOKUP(I418,'Weights and Confidence'!$D$16:$AC$26,5,FALSE)</f>
        <v>0.1</v>
      </c>
      <c r="AC418" s="147">
        <f>VLOOKUP(I418,'Weights and Confidence'!$D$16:$AC$26,6,FALSE)</f>
        <v>0.85</v>
      </c>
    </row>
    <row r="419" spans="1:29" x14ac:dyDescent="0.2">
      <c r="A419" s="34" t="s">
        <v>14</v>
      </c>
      <c r="B419" s="34" t="s">
        <v>0</v>
      </c>
      <c r="C419" s="34" t="s">
        <v>47</v>
      </c>
      <c r="D419" s="34" t="s">
        <v>5</v>
      </c>
      <c r="E419" s="34" t="s">
        <v>104</v>
      </c>
      <c r="F419" s="34" t="s">
        <v>46</v>
      </c>
      <c r="G419" s="34">
        <v>9</v>
      </c>
      <c r="H419" s="34" t="s">
        <v>18</v>
      </c>
      <c r="I419" s="34" t="s">
        <v>27</v>
      </c>
      <c r="J419" s="34">
        <v>1</v>
      </c>
      <c r="K419" s="35">
        <f>AB419/COUNTIFS($B:$B,$B419,$C:$C,$C419,$H:$H,$H419,$I:$I,$I419)</f>
        <v>0.05</v>
      </c>
      <c r="L419" s="36">
        <f t="shared" si="26"/>
        <v>0.85</v>
      </c>
      <c r="M419" s="37">
        <f t="shared" si="27"/>
        <v>4.2500000000000003E-2</v>
      </c>
      <c r="N419" s="34"/>
      <c r="AA419" s="146">
        <f>AB419/COUNTIFS($B:$B,$B419,$C:$C,$C419,$H:$H,$H419,$I:$I,$I419)</f>
        <v>0.05</v>
      </c>
      <c r="AB419" s="108">
        <f>VLOOKUP(I419,'Weights and Confidence'!$D$16:$AC$26,5,FALSE)</f>
        <v>0.1</v>
      </c>
      <c r="AC419" s="147">
        <f>VLOOKUP(I419,'Weights and Confidence'!$D$16:$AC$26,6,FALSE)</f>
        <v>0.85</v>
      </c>
    </row>
    <row r="420" spans="1:29" x14ac:dyDescent="0.2">
      <c r="A420" s="38" t="s">
        <v>14</v>
      </c>
      <c r="B420" s="38" t="s">
        <v>0</v>
      </c>
      <c r="C420" s="38" t="s">
        <v>47</v>
      </c>
      <c r="D420" s="38" t="s">
        <v>5</v>
      </c>
      <c r="E420" s="38" t="s">
        <v>104</v>
      </c>
      <c r="F420" s="38" t="s">
        <v>46</v>
      </c>
      <c r="G420" s="38">
        <v>10</v>
      </c>
      <c r="H420" s="38" t="s">
        <v>17</v>
      </c>
      <c r="I420" s="38" t="s">
        <v>27</v>
      </c>
      <c r="J420" s="38">
        <v>0</v>
      </c>
      <c r="K420" s="39">
        <f>AB420/COUNTIFS($B:$B,$B420,$C:$C,$C420,$H:$H,$H420,$I:$I,$I420)</f>
        <v>0.05</v>
      </c>
      <c r="L420" s="40">
        <f t="shared" si="26"/>
        <v>0.85</v>
      </c>
      <c r="M420" s="41">
        <f t="shared" si="27"/>
        <v>0</v>
      </c>
      <c r="N420" s="38"/>
      <c r="AA420" s="146">
        <f>AB420/COUNTIFS($B:$B,$B420,$C:$C,$C420,$H:$H,$H420,$I:$I,$I420)</f>
        <v>0.05</v>
      </c>
      <c r="AB420" s="108">
        <f>VLOOKUP(I420,'Weights and Confidence'!$D$16:$AC$26,5,FALSE)</f>
        <v>0.1</v>
      </c>
      <c r="AC420" s="147">
        <f>VLOOKUP(I420,'Weights and Confidence'!$D$16:$AC$26,6,FALSE)</f>
        <v>0.85</v>
      </c>
    </row>
    <row r="421" spans="1:29" x14ac:dyDescent="0.2">
      <c r="A421" s="34" t="s">
        <v>14</v>
      </c>
      <c r="B421" s="34" t="s">
        <v>0</v>
      </c>
      <c r="C421" s="34" t="s">
        <v>47</v>
      </c>
      <c r="D421" s="34" t="s">
        <v>5</v>
      </c>
      <c r="E421" s="34" t="s">
        <v>104</v>
      </c>
      <c r="F421" s="34" t="s">
        <v>46</v>
      </c>
      <c r="G421" s="34">
        <v>10</v>
      </c>
      <c r="H421" s="34" t="s">
        <v>18</v>
      </c>
      <c r="I421" s="34" t="s">
        <v>27</v>
      </c>
      <c r="J421" s="34">
        <v>1</v>
      </c>
      <c r="K421" s="35">
        <f>AB421/COUNTIFS($B:$B,$B421,$C:$C,$C421,$H:$H,$H421,$I:$I,$I421)</f>
        <v>0.05</v>
      </c>
      <c r="L421" s="36">
        <f t="shared" si="26"/>
        <v>0.85</v>
      </c>
      <c r="M421" s="37">
        <f t="shared" si="27"/>
        <v>4.2500000000000003E-2</v>
      </c>
      <c r="N421" s="34"/>
      <c r="AA421" s="146">
        <f>AB421/COUNTIFS($B:$B,$B421,$C:$C,$C421,$H:$H,$H421,$I:$I,$I421)</f>
        <v>0.05</v>
      </c>
      <c r="AB421" s="108">
        <f>VLOOKUP(I421,'Weights and Confidence'!$D$16:$AC$26,5,FALSE)</f>
        <v>0.1</v>
      </c>
      <c r="AC421" s="147">
        <f>VLOOKUP(I421,'Weights and Confidence'!$D$16:$AC$26,6,FALSE)</f>
        <v>0.85</v>
      </c>
    </row>
    <row r="422" spans="1:29" x14ac:dyDescent="0.2">
      <c r="A422" s="38" t="s">
        <v>14</v>
      </c>
      <c r="B422" s="38" t="s">
        <v>0</v>
      </c>
      <c r="C422" s="38" t="s">
        <v>47</v>
      </c>
      <c r="D422" s="38" t="s">
        <v>5</v>
      </c>
      <c r="E422" s="38" t="s">
        <v>104</v>
      </c>
      <c r="F422" s="38" t="s">
        <v>46</v>
      </c>
      <c r="G422" s="38">
        <v>11</v>
      </c>
      <c r="H422" s="38" t="s">
        <v>17</v>
      </c>
      <c r="I422" s="38" t="s">
        <v>28</v>
      </c>
      <c r="J422" s="38">
        <v>0</v>
      </c>
      <c r="K422" s="39">
        <f>AB422/COUNTIFS($B:$B,$B422,$C:$C,$C422,$H:$H,$H422,$I:$I,$I422)</f>
        <v>0.05</v>
      </c>
      <c r="L422" s="40">
        <f t="shared" si="26"/>
        <v>1</v>
      </c>
      <c r="M422" s="41">
        <f t="shared" si="27"/>
        <v>0</v>
      </c>
      <c r="N422" s="38"/>
      <c r="AA422" s="146">
        <f>AB422/COUNTIFS($B:$B,$B422,$C:$C,$C422,$H:$H,$H422,$I:$I,$I422)</f>
        <v>0.05</v>
      </c>
      <c r="AB422" s="108">
        <f>VLOOKUP(I422,'Weights and Confidence'!$D$16:$AC$26,5,FALSE)</f>
        <v>0.05</v>
      </c>
      <c r="AC422" s="147">
        <f>VLOOKUP(I422,'Weights and Confidence'!$D$16:$AC$26,6,FALSE)</f>
        <v>1</v>
      </c>
    </row>
    <row r="423" spans="1:29" ht="17" thickBot="1" x14ac:dyDescent="0.25">
      <c r="A423" s="34" t="s">
        <v>14</v>
      </c>
      <c r="B423" s="34" t="s">
        <v>0</v>
      </c>
      <c r="C423" s="34" t="s">
        <v>47</v>
      </c>
      <c r="D423" s="34" t="s">
        <v>5</v>
      </c>
      <c r="E423" s="34" t="s">
        <v>104</v>
      </c>
      <c r="F423" s="34" t="s">
        <v>46</v>
      </c>
      <c r="G423" s="34">
        <v>11</v>
      </c>
      <c r="H423" s="34" t="s">
        <v>18</v>
      </c>
      <c r="I423" s="34" t="s">
        <v>28</v>
      </c>
      <c r="J423" s="34">
        <v>0</v>
      </c>
      <c r="K423" s="35">
        <f>AB423/COUNTIFS($B:$B,$B423,$C:$C,$C423,$H:$H,$H423,$I:$I,$I423)</f>
        <v>0.05</v>
      </c>
      <c r="L423" s="36">
        <f t="shared" si="26"/>
        <v>1</v>
      </c>
      <c r="M423" s="37">
        <f t="shared" si="27"/>
        <v>0</v>
      </c>
      <c r="N423" s="34" t="s">
        <v>83</v>
      </c>
      <c r="AA423" s="140">
        <f>AB423/COUNTIFS($B:$B,$B423,$C:$C,$C423,$H:$H,$H423,$I:$I,$I423)</f>
        <v>0.05</v>
      </c>
      <c r="AB423" s="141">
        <f>VLOOKUP(I423,'Weights and Confidence'!$D$16:$AC$26,5,FALSE)</f>
        <v>0.05</v>
      </c>
      <c r="AC423" s="142">
        <f>VLOOKUP(I423,'Weights and Confidence'!$D$16:$AC$26,6,FALSE)</f>
        <v>1</v>
      </c>
    </row>
    <row r="424" spans="1:29" ht="17" thickTop="1" x14ac:dyDescent="0.2">
      <c r="A424" s="42" t="s">
        <v>14</v>
      </c>
      <c r="B424" s="42" t="s">
        <v>0</v>
      </c>
      <c r="C424" s="42" t="s">
        <v>92</v>
      </c>
      <c r="D424" s="42" t="s">
        <v>5</v>
      </c>
      <c r="E424" s="42"/>
      <c r="F424" s="43" t="s">
        <v>112</v>
      </c>
      <c r="G424" s="42">
        <v>1</v>
      </c>
      <c r="H424" s="42" t="s">
        <v>17</v>
      </c>
      <c r="I424" s="42" t="s">
        <v>19</v>
      </c>
      <c r="J424" s="42">
        <v>1</v>
      </c>
      <c r="K424" s="44">
        <f>AB424/COUNTIFS($B:$B,$B424,$C:$C,$C424,$H:$H,$H424,$I:$I,$I424)</f>
        <v>0.12</v>
      </c>
      <c r="L424" s="45">
        <f t="shared" si="26"/>
        <v>1</v>
      </c>
      <c r="M424" s="46">
        <f t="shared" ref="M424:M445" si="28">J424*K424*L424</f>
        <v>0.12</v>
      </c>
      <c r="N424" s="42"/>
      <c r="AA424" s="143">
        <f>AB424/COUNTIFS($B:$B,$B424,$C:$C,$C424,$H:$H,$H424,$I:$I,$I424)</f>
        <v>0.12</v>
      </c>
      <c r="AB424" s="144">
        <f>VLOOKUP(I424,'Weights and Confidence'!$D$16:$AC$26,5,FALSE)</f>
        <v>0.12</v>
      </c>
      <c r="AC424" s="145">
        <f>VLOOKUP(I424,'Weights and Confidence'!$D$16:$AC$26,6,FALSE)</f>
        <v>1</v>
      </c>
    </row>
    <row r="425" spans="1:29" x14ac:dyDescent="0.2">
      <c r="A425" s="34" t="s">
        <v>14</v>
      </c>
      <c r="B425" s="34" t="s">
        <v>0</v>
      </c>
      <c r="C425" s="34" t="s">
        <v>92</v>
      </c>
      <c r="D425" s="34" t="s">
        <v>5</v>
      </c>
      <c r="E425" s="34"/>
      <c r="F425" s="34" t="s">
        <v>112</v>
      </c>
      <c r="G425" s="34">
        <v>1</v>
      </c>
      <c r="H425" s="34" t="s">
        <v>18</v>
      </c>
      <c r="I425" s="34" t="s">
        <v>19</v>
      </c>
      <c r="J425" s="34">
        <v>1</v>
      </c>
      <c r="K425" s="35">
        <f>AB425/COUNTIFS($B:$B,$B425,$C:$C,$C425,$H:$H,$H425,$I:$I,$I425)</f>
        <v>0.12</v>
      </c>
      <c r="L425" s="36">
        <f t="shared" si="26"/>
        <v>1</v>
      </c>
      <c r="M425" s="37">
        <f t="shared" si="28"/>
        <v>0.12</v>
      </c>
      <c r="N425" s="34"/>
      <c r="AA425" s="146">
        <f>AB425/COUNTIFS($B:$B,$B425,$C:$C,$C425,$H:$H,$H425,$I:$I,$I425)</f>
        <v>0.12</v>
      </c>
      <c r="AB425" s="108">
        <f>VLOOKUP(I425,'Weights and Confidence'!$D$16:$AC$26,5,FALSE)</f>
        <v>0.12</v>
      </c>
      <c r="AC425" s="147">
        <f>VLOOKUP(I425,'Weights and Confidence'!$D$16:$AC$26,6,FALSE)</f>
        <v>1</v>
      </c>
    </row>
    <row r="426" spans="1:29" x14ac:dyDescent="0.2">
      <c r="A426" s="38" t="s">
        <v>14</v>
      </c>
      <c r="B426" s="38" t="s">
        <v>0</v>
      </c>
      <c r="C426" s="38" t="s">
        <v>92</v>
      </c>
      <c r="D426" s="38" t="s">
        <v>5</v>
      </c>
      <c r="E426" s="38"/>
      <c r="F426" s="38" t="s">
        <v>112</v>
      </c>
      <c r="G426" s="38">
        <v>2</v>
      </c>
      <c r="H426" s="38" t="s">
        <v>17</v>
      </c>
      <c r="I426" s="38" t="s">
        <v>20</v>
      </c>
      <c r="J426" s="38">
        <v>1</v>
      </c>
      <c r="K426" s="39">
        <f>AB426/COUNTIFS($B:$B,$B426,$C:$C,$C426,$H:$H,$H426,$I:$I,$I426)</f>
        <v>0.08</v>
      </c>
      <c r="L426" s="40">
        <f t="shared" si="26"/>
        <v>0.8</v>
      </c>
      <c r="M426" s="41">
        <f t="shared" si="28"/>
        <v>6.4000000000000001E-2</v>
      </c>
      <c r="N426" s="38"/>
      <c r="AA426" s="146">
        <f>AB426/COUNTIFS($B:$B,$B426,$C:$C,$C426,$H:$H,$H426,$I:$I,$I426)</f>
        <v>0.08</v>
      </c>
      <c r="AB426" s="108">
        <f>VLOOKUP(I426,'Weights and Confidence'!$D$16:$AC$26,5,FALSE)</f>
        <v>0.08</v>
      </c>
      <c r="AC426" s="147">
        <f>VLOOKUP(I426,'Weights and Confidence'!$D$16:$AC$26,6,FALSE)</f>
        <v>0.8</v>
      </c>
    </row>
    <row r="427" spans="1:29" x14ac:dyDescent="0.2">
      <c r="A427" s="34" t="s">
        <v>14</v>
      </c>
      <c r="B427" s="34" t="s">
        <v>0</v>
      </c>
      <c r="C427" s="34" t="s">
        <v>92</v>
      </c>
      <c r="D427" s="34" t="s">
        <v>5</v>
      </c>
      <c r="E427" s="34"/>
      <c r="F427" s="34" t="s">
        <v>112</v>
      </c>
      <c r="G427" s="34">
        <v>2</v>
      </c>
      <c r="H427" s="34" t="s">
        <v>18</v>
      </c>
      <c r="I427" s="34" t="s">
        <v>20</v>
      </c>
      <c r="J427" s="34">
        <v>1</v>
      </c>
      <c r="K427" s="35">
        <f>AB427/COUNTIFS($B:$B,$B427,$C:$C,$C427,$H:$H,$H427,$I:$I,$I427)</f>
        <v>0.08</v>
      </c>
      <c r="L427" s="36">
        <f t="shared" si="26"/>
        <v>0.8</v>
      </c>
      <c r="M427" s="37">
        <f t="shared" si="28"/>
        <v>6.4000000000000001E-2</v>
      </c>
      <c r="N427" s="34"/>
      <c r="AA427" s="146">
        <f>AB427/COUNTIFS($B:$B,$B427,$C:$C,$C427,$H:$H,$H427,$I:$I,$I427)</f>
        <v>0.08</v>
      </c>
      <c r="AB427" s="108">
        <f>VLOOKUP(I427,'Weights and Confidence'!$D$16:$AC$26,5,FALSE)</f>
        <v>0.08</v>
      </c>
      <c r="AC427" s="147">
        <f>VLOOKUP(I427,'Weights and Confidence'!$D$16:$AC$26,6,FALSE)</f>
        <v>0.8</v>
      </c>
    </row>
    <row r="428" spans="1:29" x14ac:dyDescent="0.2">
      <c r="A428" s="38" t="s">
        <v>14</v>
      </c>
      <c r="B428" s="38" t="s">
        <v>0</v>
      </c>
      <c r="C428" s="38" t="s">
        <v>92</v>
      </c>
      <c r="D428" s="38" t="s">
        <v>5</v>
      </c>
      <c r="E428" s="38"/>
      <c r="F428" s="38" t="s">
        <v>112</v>
      </c>
      <c r="G428" s="38">
        <v>3</v>
      </c>
      <c r="H428" s="38" t="s">
        <v>17</v>
      </c>
      <c r="I428" s="38" t="s">
        <v>21</v>
      </c>
      <c r="J428" s="38">
        <v>1</v>
      </c>
      <c r="K428" s="39">
        <f>AB428/COUNTIFS($B:$B,$B428,$C:$C,$C428,$H:$H,$H428,$I:$I,$I428)</f>
        <v>0.05</v>
      </c>
      <c r="L428" s="40">
        <f t="shared" si="26"/>
        <v>1</v>
      </c>
      <c r="M428" s="41">
        <f t="shared" si="28"/>
        <v>0.05</v>
      </c>
      <c r="N428" s="38"/>
      <c r="AA428" s="146">
        <f>AB428/COUNTIFS($B:$B,$B428,$C:$C,$C428,$H:$H,$H428,$I:$I,$I428)</f>
        <v>0.05</v>
      </c>
      <c r="AB428" s="108">
        <f>VLOOKUP(I428,'Weights and Confidence'!$D$16:$AC$26,5,FALSE)</f>
        <v>0.05</v>
      </c>
      <c r="AC428" s="147">
        <f>VLOOKUP(I428,'Weights and Confidence'!$D$16:$AC$26,6,FALSE)</f>
        <v>1</v>
      </c>
    </row>
    <row r="429" spans="1:29" x14ac:dyDescent="0.2">
      <c r="A429" s="34" t="s">
        <v>14</v>
      </c>
      <c r="B429" s="34" t="s">
        <v>0</v>
      </c>
      <c r="C429" s="34" t="s">
        <v>92</v>
      </c>
      <c r="D429" s="34" t="s">
        <v>5</v>
      </c>
      <c r="E429" s="34"/>
      <c r="F429" s="34" t="s">
        <v>112</v>
      </c>
      <c r="G429" s="34">
        <v>3</v>
      </c>
      <c r="H429" s="34" t="s">
        <v>18</v>
      </c>
      <c r="I429" s="34" t="s">
        <v>21</v>
      </c>
      <c r="J429" s="34">
        <v>1</v>
      </c>
      <c r="K429" s="35">
        <f>AB429/COUNTIFS($B:$B,$B429,$C:$C,$C429,$H:$H,$H429,$I:$I,$I429)</f>
        <v>0.05</v>
      </c>
      <c r="L429" s="36">
        <f t="shared" si="26"/>
        <v>1</v>
      </c>
      <c r="M429" s="37">
        <f t="shared" si="28"/>
        <v>0.05</v>
      </c>
      <c r="N429" s="58" t="s">
        <v>113</v>
      </c>
      <c r="AA429" s="146">
        <f>AB429/COUNTIFS($B:$B,$B429,$C:$C,$C429,$H:$H,$H429,$I:$I,$I429)</f>
        <v>0.05</v>
      </c>
      <c r="AB429" s="108">
        <f>VLOOKUP(I429,'Weights and Confidence'!$D$16:$AC$26,5,FALSE)</f>
        <v>0.05</v>
      </c>
      <c r="AC429" s="147">
        <f>VLOOKUP(I429,'Weights and Confidence'!$D$16:$AC$26,6,FALSE)</f>
        <v>1</v>
      </c>
    </row>
    <row r="430" spans="1:29" x14ac:dyDescent="0.2">
      <c r="A430" s="38" t="s">
        <v>14</v>
      </c>
      <c r="B430" s="38" t="s">
        <v>0</v>
      </c>
      <c r="C430" s="38" t="s">
        <v>92</v>
      </c>
      <c r="D430" s="38" t="s">
        <v>5</v>
      </c>
      <c r="E430" s="38"/>
      <c r="F430" s="38" t="s">
        <v>112</v>
      </c>
      <c r="G430" s="38">
        <v>4</v>
      </c>
      <c r="H430" s="38" t="s">
        <v>17</v>
      </c>
      <c r="I430" s="38" t="s">
        <v>22</v>
      </c>
      <c r="J430" s="38">
        <v>0</v>
      </c>
      <c r="K430" s="39">
        <f>AB430/COUNTIFS($B:$B,$B430,$C:$C,$C430,$H:$H,$H430,$I:$I,$I430)</f>
        <v>0.14000000000000001</v>
      </c>
      <c r="L430" s="40">
        <f t="shared" si="26"/>
        <v>1</v>
      </c>
      <c r="M430" s="41">
        <f t="shared" si="28"/>
        <v>0</v>
      </c>
      <c r="N430" s="38"/>
      <c r="AA430" s="146">
        <f>AB430/COUNTIFS($B:$B,$B430,$C:$C,$C430,$H:$H,$H430,$I:$I,$I430)</f>
        <v>0.14000000000000001</v>
      </c>
      <c r="AB430" s="108">
        <f>VLOOKUP(I430,'Weights and Confidence'!$D$16:$AC$26,5,FALSE)</f>
        <v>0.14000000000000001</v>
      </c>
      <c r="AC430" s="147">
        <f>VLOOKUP(I430,'Weights and Confidence'!$D$16:$AC$26,6,FALSE)</f>
        <v>1</v>
      </c>
    </row>
    <row r="431" spans="1:29" x14ac:dyDescent="0.2">
      <c r="A431" s="34" t="s">
        <v>14</v>
      </c>
      <c r="B431" s="34" t="s">
        <v>0</v>
      </c>
      <c r="C431" s="34" t="s">
        <v>92</v>
      </c>
      <c r="D431" s="34" t="s">
        <v>5</v>
      </c>
      <c r="E431" s="34"/>
      <c r="F431" s="34" t="s">
        <v>112</v>
      </c>
      <c r="G431" s="34">
        <v>4</v>
      </c>
      <c r="H431" s="34" t="s">
        <v>18</v>
      </c>
      <c r="I431" s="34" t="s">
        <v>22</v>
      </c>
      <c r="J431" s="34">
        <v>1</v>
      </c>
      <c r="K431" s="35">
        <f>AB431/COUNTIFS($B:$B,$B431,$C:$C,$C431,$H:$H,$H431,$I:$I,$I431)</f>
        <v>0.14000000000000001</v>
      </c>
      <c r="L431" s="36">
        <f t="shared" si="26"/>
        <v>1</v>
      </c>
      <c r="M431" s="37">
        <f t="shared" si="28"/>
        <v>0.14000000000000001</v>
      </c>
      <c r="N431" s="34"/>
      <c r="AA431" s="146">
        <f>AB431/COUNTIFS($B:$B,$B431,$C:$C,$C431,$H:$H,$H431,$I:$I,$I431)</f>
        <v>0.14000000000000001</v>
      </c>
      <c r="AB431" s="108">
        <f>VLOOKUP(I431,'Weights and Confidence'!$D$16:$AC$26,5,FALSE)</f>
        <v>0.14000000000000001</v>
      </c>
      <c r="AC431" s="147">
        <f>VLOOKUP(I431,'Weights and Confidence'!$D$16:$AC$26,6,FALSE)</f>
        <v>1</v>
      </c>
    </row>
    <row r="432" spans="1:29" x14ac:dyDescent="0.2">
      <c r="A432" s="38" t="s">
        <v>14</v>
      </c>
      <c r="B432" s="38" t="s">
        <v>0</v>
      </c>
      <c r="C432" s="38" t="s">
        <v>92</v>
      </c>
      <c r="D432" s="38" t="s">
        <v>5</v>
      </c>
      <c r="E432" s="38"/>
      <c r="F432" s="38" t="s">
        <v>112</v>
      </c>
      <c r="G432" s="38">
        <v>5</v>
      </c>
      <c r="H432" s="38" t="s">
        <v>17</v>
      </c>
      <c r="I432" s="38" t="s">
        <v>23</v>
      </c>
      <c r="J432" s="38">
        <v>0</v>
      </c>
      <c r="K432" s="39">
        <f>AB432/COUNTIFS($B:$B,$B432,$C:$C,$C432,$H:$H,$H432,$I:$I,$I432)</f>
        <v>0.11</v>
      </c>
      <c r="L432" s="40">
        <f t="shared" si="26"/>
        <v>1</v>
      </c>
      <c r="M432" s="41">
        <f t="shared" si="28"/>
        <v>0</v>
      </c>
      <c r="N432" s="38"/>
      <c r="AA432" s="146">
        <f>AB432/COUNTIFS($B:$B,$B432,$C:$C,$C432,$H:$H,$H432,$I:$I,$I432)</f>
        <v>0.11</v>
      </c>
      <c r="AB432" s="108">
        <f>VLOOKUP(I432,'Weights and Confidence'!$D$16:$AC$26,5,FALSE)</f>
        <v>0.11</v>
      </c>
      <c r="AC432" s="147">
        <f>VLOOKUP(I432,'Weights and Confidence'!$D$16:$AC$26,6,FALSE)</f>
        <v>1</v>
      </c>
    </row>
    <row r="433" spans="1:29" x14ac:dyDescent="0.2">
      <c r="A433" s="34" t="s">
        <v>14</v>
      </c>
      <c r="B433" s="34" t="s">
        <v>0</v>
      </c>
      <c r="C433" s="34" t="s">
        <v>92</v>
      </c>
      <c r="D433" s="34" t="s">
        <v>5</v>
      </c>
      <c r="E433" s="34"/>
      <c r="F433" s="34" t="s">
        <v>112</v>
      </c>
      <c r="G433" s="34">
        <v>5</v>
      </c>
      <c r="H433" s="34" t="s">
        <v>18</v>
      </c>
      <c r="I433" s="34" t="s">
        <v>23</v>
      </c>
      <c r="J433" s="34">
        <v>1</v>
      </c>
      <c r="K433" s="35">
        <f>AB433/COUNTIFS($B:$B,$B433,$C:$C,$C433,$H:$H,$H433,$I:$I,$I433)</f>
        <v>0.11</v>
      </c>
      <c r="L433" s="36">
        <f t="shared" si="26"/>
        <v>1</v>
      </c>
      <c r="M433" s="37">
        <f t="shared" si="28"/>
        <v>0.11</v>
      </c>
      <c r="N433" s="34"/>
      <c r="AA433" s="146">
        <f>AB433/COUNTIFS($B:$B,$B433,$C:$C,$C433,$H:$H,$H433,$I:$I,$I433)</f>
        <v>0.11</v>
      </c>
      <c r="AB433" s="108">
        <f>VLOOKUP(I433,'Weights and Confidence'!$D$16:$AC$26,5,FALSE)</f>
        <v>0.11</v>
      </c>
      <c r="AC433" s="147">
        <f>VLOOKUP(I433,'Weights and Confidence'!$D$16:$AC$26,6,FALSE)</f>
        <v>1</v>
      </c>
    </row>
    <row r="434" spans="1:29" x14ac:dyDescent="0.2">
      <c r="A434" s="38" t="s">
        <v>14</v>
      </c>
      <c r="B434" s="38" t="s">
        <v>0</v>
      </c>
      <c r="C434" s="38" t="s">
        <v>92</v>
      </c>
      <c r="D434" s="38" t="s">
        <v>5</v>
      </c>
      <c r="E434" s="38"/>
      <c r="F434" s="38" t="s">
        <v>112</v>
      </c>
      <c r="G434" s="38">
        <v>6</v>
      </c>
      <c r="H434" s="38" t="s">
        <v>17</v>
      </c>
      <c r="I434" s="38" t="s">
        <v>24</v>
      </c>
      <c r="J434" s="38">
        <v>0</v>
      </c>
      <c r="K434" s="39">
        <f>AB434/COUNTIFS($B:$B,$B434,$C:$C,$C434,$H:$H,$H434,$I:$I,$I434)</f>
        <v>0.15</v>
      </c>
      <c r="L434" s="40">
        <f t="shared" si="26"/>
        <v>1</v>
      </c>
      <c r="M434" s="41">
        <f t="shared" si="28"/>
        <v>0</v>
      </c>
      <c r="N434" s="38"/>
      <c r="AA434" s="146">
        <f>AB434/COUNTIFS($B:$B,$B434,$C:$C,$C434,$H:$H,$H434,$I:$I,$I434)</f>
        <v>0.15</v>
      </c>
      <c r="AB434" s="108">
        <f>VLOOKUP(I434,'Weights and Confidence'!$D$16:$AC$26,5,FALSE)</f>
        <v>0.15</v>
      </c>
      <c r="AC434" s="147">
        <f>VLOOKUP(I434,'Weights and Confidence'!$D$16:$AC$26,6,FALSE)</f>
        <v>1</v>
      </c>
    </row>
    <row r="435" spans="1:29" x14ac:dyDescent="0.2">
      <c r="A435" s="34" t="s">
        <v>14</v>
      </c>
      <c r="B435" s="34" t="s">
        <v>0</v>
      </c>
      <c r="C435" s="34" t="s">
        <v>92</v>
      </c>
      <c r="D435" s="34" t="s">
        <v>5</v>
      </c>
      <c r="E435" s="34"/>
      <c r="F435" s="34" t="s">
        <v>112</v>
      </c>
      <c r="G435" s="34">
        <v>6</v>
      </c>
      <c r="H435" s="34" t="s">
        <v>18</v>
      </c>
      <c r="I435" s="34" t="s">
        <v>24</v>
      </c>
      <c r="J435" s="34">
        <v>1</v>
      </c>
      <c r="K435" s="35">
        <f>AB435/COUNTIFS($B:$B,$B435,$C:$C,$C435,$H:$H,$H435,$I:$I,$I435)</f>
        <v>0.15</v>
      </c>
      <c r="L435" s="36">
        <f t="shared" si="26"/>
        <v>1</v>
      </c>
      <c r="M435" s="37">
        <f t="shared" si="28"/>
        <v>0.15</v>
      </c>
      <c r="N435" s="58" t="s">
        <v>123</v>
      </c>
      <c r="AA435" s="146">
        <f>AB435/COUNTIFS($B:$B,$B435,$C:$C,$C435,$H:$H,$H435,$I:$I,$I435)</f>
        <v>0.15</v>
      </c>
      <c r="AB435" s="108">
        <f>VLOOKUP(I435,'Weights and Confidence'!$D$16:$AC$26,5,FALSE)</f>
        <v>0.15</v>
      </c>
      <c r="AC435" s="147">
        <f>VLOOKUP(I435,'Weights and Confidence'!$D$16:$AC$26,6,FALSE)</f>
        <v>1</v>
      </c>
    </row>
    <row r="436" spans="1:29" x14ac:dyDescent="0.2">
      <c r="A436" s="38" t="s">
        <v>14</v>
      </c>
      <c r="B436" s="38" t="s">
        <v>0</v>
      </c>
      <c r="C436" s="38" t="s">
        <v>92</v>
      </c>
      <c r="D436" s="38" t="s">
        <v>5</v>
      </c>
      <c r="E436" s="38"/>
      <c r="F436" s="38" t="s">
        <v>112</v>
      </c>
      <c r="G436" s="38">
        <v>7</v>
      </c>
      <c r="H436" s="38" t="s">
        <v>17</v>
      </c>
      <c r="I436" s="38" t="s">
        <v>25</v>
      </c>
      <c r="J436" s="38">
        <v>1</v>
      </c>
      <c r="K436" s="39">
        <f>AB436/COUNTIFS($B:$B,$B436,$C:$C,$C436,$H:$H,$H436,$I:$I,$I436)</f>
        <v>0.1</v>
      </c>
      <c r="L436" s="40">
        <f t="shared" si="26"/>
        <v>1</v>
      </c>
      <c r="M436" s="41">
        <f t="shared" si="28"/>
        <v>0.1</v>
      </c>
      <c r="N436" s="38"/>
      <c r="AA436" s="146">
        <f>AB436/COUNTIFS($B:$B,$B436,$C:$C,$C436,$H:$H,$H436,$I:$I,$I436)</f>
        <v>0.1</v>
      </c>
      <c r="AB436" s="108">
        <f>VLOOKUP(I436,'Weights and Confidence'!$D$16:$AC$26,5,FALSE)</f>
        <v>0.1</v>
      </c>
      <c r="AC436" s="147">
        <f>VLOOKUP(I436,'Weights and Confidence'!$D$16:$AC$26,6,FALSE)</f>
        <v>1</v>
      </c>
    </row>
    <row r="437" spans="1:29" x14ac:dyDescent="0.2">
      <c r="A437" s="34" t="s">
        <v>14</v>
      </c>
      <c r="B437" s="34" t="s">
        <v>0</v>
      </c>
      <c r="C437" s="34" t="s">
        <v>92</v>
      </c>
      <c r="D437" s="34" t="s">
        <v>5</v>
      </c>
      <c r="E437" s="34"/>
      <c r="F437" s="34" t="s">
        <v>112</v>
      </c>
      <c r="G437" s="34">
        <v>7</v>
      </c>
      <c r="H437" s="34" t="s">
        <v>18</v>
      </c>
      <c r="I437" s="34" t="s">
        <v>25</v>
      </c>
      <c r="J437" s="34">
        <v>1</v>
      </c>
      <c r="K437" s="35">
        <f>AB437/COUNTIFS($B:$B,$B437,$C:$C,$C437,$H:$H,$H437,$I:$I,$I437)</f>
        <v>0.1</v>
      </c>
      <c r="L437" s="36">
        <f t="shared" si="26"/>
        <v>1</v>
      </c>
      <c r="M437" s="37">
        <f t="shared" si="28"/>
        <v>0.1</v>
      </c>
      <c r="N437" s="58" t="s">
        <v>124</v>
      </c>
      <c r="AA437" s="146">
        <f>AB437/COUNTIFS($B:$B,$B437,$C:$C,$C437,$H:$H,$H437,$I:$I,$I437)</f>
        <v>0.1</v>
      </c>
      <c r="AB437" s="108">
        <f>VLOOKUP(I437,'Weights and Confidence'!$D$16:$AC$26,5,FALSE)</f>
        <v>0.1</v>
      </c>
      <c r="AC437" s="147">
        <f>VLOOKUP(I437,'Weights and Confidence'!$D$16:$AC$26,6,FALSE)</f>
        <v>1</v>
      </c>
    </row>
    <row r="438" spans="1:29" x14ac:dyDescent="0.2">
      <c r="A438" s="38" t="s">
        <v>14</v>
      </c>
      <c r="B438" s="38" t="s">
        <v>0</v>
      </c>
      <c r="C438" s="38" t="s">
        <v>92</v>
      </c>
      <c r="D438" s="38" t="s">
        <v>5</v>
      </c>
      <c r="E438" s="38"/>
      <c r="F438" s="38" t="s">
        <v>112</v>
      </c>
      <c r="G438" s="38">
        <v>8</v>
      </c>
      <c r="H438" s="38" t="s">
        <v>17</v>
      </c>
      <c r="I438" s="38" t="s">
        <v>26</v>
      </c>
      <c r="J438" s="38">
        <v>1</v>
      </c>
      <c r="K438" s="39">
        <f>AB438/COUNTIFS($B:$B,$B438,$C:$C,$C438,$H:$H,$H438,$I:$I,$I438)</f>
        <v>0.1</v>
      </c>
      <c r="L438" s="40">
        <f t="shared" si="26"/>
        <v>1</v>
      </c>
      <c r="M438" s="41">
        <f t="shared" si="28"/>
        <v>0.1</v>
      </c>
      <c r="N438" s="38"/>
      <c r="AA438" s="146">
        <f>AB438/COUNTIFS($B:$B,$B438,$C:$C,$C438,$H:$H,$H438,$I:$I,$I438)</f>
        <v>0.1</v>
      </c>
      <c r="AB438" s="108">
        <f>VLOOKUP(I438,'Weights and Confidence'!$D$16:$AC$26,5,FALSE)</f>
        <v>0.1</v>
      </c>
      <c r="AC438" s="147">
        <f>VLOOKUP(I438,'Weights and Confidence'!$D$16:$AC$26,6,FALSE)</f>
        <v>1</v>
      </c>
    </row>
    <row r="439" spans="1:29" x14ac:dyDescent="0.2">
      <c r="A439" s="34" t="s">
        <v>14</v>
      </c>
      <c r="B439" s="34" t="s">
        <v>0</v>
      </c>
      <c r="C439" s="34" t="s">
        <v>92</v>
      </c>
      <c r="D439" s="34" t="s">
        <v>5</v>
      </c>
      <c r="E439" s="34"/>
      <c r="F439" s="34" t="s">
        <v>112</v>
      </c>
      <c r="G439" s="34">
        <v>8</v>
      </c>
      <c r="H439" s="34" t="s">
        <v>18</v>
      </c>
      <c r="I439" s="34" t="s">
        <v>26</v>
      </c>
      <c r="J439" s="34">
        <v>1</v>
      </c>
      <c r="K439" s="35">
        <f>AB439/COUNTIFS($B:$B,$B439,$C:$C,$C439,$H:$H,$H439,$I:$I,$I439)</f>
        <v>0.1</v>
      </c>
      <c r="L439" s="36">
        <f t="shared" si="26"/>
        <v>1</v>
      </c>
      <c r="M439" s="37">
        <f t="shared" si="28"/>
        <v>0.1</v>
      </c>
      <c r="N439" s="58"/>
      <c r="AA439" s="146">
        <f>AB439/COUNTIFS($B:$B,$B439,$C:$C,$C439,$H:$H,$H439,$I:$I,$I439)</f>
        <v>0.1</v>
      </c>
      <c r="AB439" s="108">
        <f>VLOOKUP(I439,'Weights and Confidence'!$D$16:$AC$26,5,FALSE)</f>
        <v>0.1</v>
      </c>
      <c r="AC439" s="147">
        <f>VLOOKUP(I439,'Weights and Confidence'!$D$16:$AC$26,6,FALSE)</f>
        <v>1</v>
      </c>
    </row>
    <row r="440" spans="1:29" x14ac:dyDescent="0.2">
      <c r="A440" s="38" t="s">
        <v>14</v>
      </c>
      <c r="B440" s="38" t="s">
        <v>0</v>
      </c>
      <c r="C440" s="38" t="s">
        <v>92</v>
      </c>
      <c r="D440" s="38" t="s">
        <v>5</v>
      </c>
      <c r="E440" s="38"/>
      <c r="F440" s="38" t="s">
        <v>112</v>
      </c>
      <c r="G440" s="38">
        <v>9</v>
      </c>
      <c r="H440" s="38" t="s">
        <v>17</v>
      </c>
      <c r="I440" s="38" t="s">
        <v>27</v>
      </c>
      <c r="J440" s="38">
        <v>0</v>
      </c>
      <c r="K440" s="39">
        <f>AB440/COUNTIFS($B:$B,$B440,$C:$C,$C440,$H:$H,$H440,$I:$I,$I440)</f>
        <v>0.05</v>
      </c>
      <c r="L440" s="40">
        <f t="shared" si="26"/>
        <v>0.85</v>
      </c>
      <c r="M440" s="41">
        <f t="shared" si="28"/>
        <v>0</v>
      </c>
      <c r="N440" s="38"/>
      <c r="AA440" s="146">
        <f>AB440/COUNTIFS($B:$B,$B440,$C:$C,$C440,$H:$H,$H440,$I:$I,$I440)</f>
        <v>0.05</v>
      </c>
      <c r="AB440" s="108">
        <f>VLOOKUP(I440,'Weights and Confidence'!$D$16:$AC$26,5,FALSE)</f>
        <v>0.1</v>
      </c>
      <c r="AC440" s="147">
        <f>VLOOKUP(I440,'Weights and Confidence'!$D$16:$AC$26,6,FALSE)</f>
        <v>0.85</v>
      </c>
    </row>
    <row r="441" spans="1:29" x14ac:dyDescent="0.2">
      <c r="A441" s="34" t="s">
        <v>14</v>
      </c>
      <c r="B441" s="34" t="s">
        <v>0</v>
      </c>
      <c r="C441" s="34" t="s">
        <v>92</v>
      </c>
      <c r="D441" s="34" t="s">
        <v>5</v>
      </c>
      <c r="E441" s="34"/>
      <c r="F441" s="34" t="s">
        <v>112</v>
      </c>
      <c r="G441" s="34">
        <v>9</v>
      </c>
      <c r="H441" s="34" t="s">
        <v>18</v>
      </c>
      <c r="I441" s="34" t="s">
        <v>27</v>
      </c>
      <c r="J441" s="34">
        <v>1</v>
      </c>
      <c r="K441" s="35">
        <f>AB441/COUNTIFS($B:$B,$B441,$C:$C,$C441,$H:$H,$H441,$I:$I,$I441)</f>
        <v>0.05</v>
      </c>
      <c r="L441" s="36">
        <f t="shared" si="26"/>
        <v>0.85</v>
      </c>
      <c r="M441" s="37">
        <f t="shared" si="28"/>
        <v>4.2500000000000003E-2</v>
      </c>
      <c r="N441" s="34"/>
      <c r="AA441" s="146">
        <f>AB441/COUNTIFS($B:$B,$B441,$C:$C,$C441,$H:$H,$H441,$I:$I,$I441)</f>
        <v>0.05</v>
      </c>
      <c r="AB441" s="108">
        <f>VLOOKUP(I441,'Weights and Confidence'!$D$16:$AC$26,5,FALSE)</f>
        <v>0.1</v>
      </c>
      <c r="AC441" s="147">
        <f>VLOOKUP(I441,'Weights and Confidence'!$D$16:$AC$26,6,FALSE)</f>
        <v>0.85</v>
      </c>
    </row>
    <row r="442" spans="1:29" x14ac:dyDescent="0.2">
      <c r="A442" s="38" t="s">
        <v>14</v>
      </c>
      <c r="B442" s="38" t="s">
        <v>0</v>
      </c>
      <c r="C442" s="38" t="s">
        <v>92</v>
      </c>
      <c r="D442" s="38" t="s">
        <v>5</v>
      </c>
      <c r="E442" s="38"/>
      <c r="F442" s="38" t="s">
        <v>112</v>
      </c>
      <c r="G442" s="38">
        <v>10</v>
      </c>
      <c r="H442" s="38" t="s">
        <v>17</v>
      </c>
      <c r="I442" s="38" t="s">
        <v>27</v>
      </c>
      <c r="J442" s="38">
        <v>0</v>
      </c>
      <c r="K442" s="39">
        <f>AB442/COUNTIFS($B:$B,$B442,$C:$C,$C442,$H:$H,$H442,$I:$I,$I442)</f>
        <v>0.05</v>
      </c>
      <c r="L442" s="40">
        <f t="shared" si="26"/>
        <v>0.85</v>
      </c>
      <c r="M442" s="41">
        <f t="shared" si="28"/>
        <v>0</v>
      </c>
      <c r="N442" s="38"/>
      <c r="AA442" s="146">
        <f>AB442/COUNTIFS($B:$B,$B442,$C:$C,$C442,$H:$H,$H442,$I:$I,$I442)</f>
        <v>0.05</v>
      </c>
      <c r="AB442" s="108">
        <f>VLOOKUP(I442,'Weights and Confidence'!$D$16:$AC$26,5,FALSE)</f>
        <v>0.1</v>
      </c>
      <c r="AC442" s="147">
        <f>VLOOKUP(I442,'Weights and Confidence'!$D$16:$AC$26,6,FALSE)</f>
        <v>0.85</v>
      </c>
    </row>
    <row r="443" spans="1:29" x14ac:dyDescent="0.2">
      <c r="A443" s="34" t="s">
        <v>14</v>
      </c>
      <c r="B443" s="34" t="s">
        <v>0</v>
      </c>
      <c r="C443" s="34" t="s">
        <v>92</v>
      </c>
      <c r="D443" s="34" t="s">
        <v>5</v>
      </c>
      <c r="E443" s="34"/>
      <c r="F443" s="34" t="s">
        <v>112</v>
      </c>
      <c r="G443" s="34">
        <v>10</v>
      </c>
      <c r="H443" s="34" t="s">
        <v>18</v>
      </c>
      <c r="I443" s="34" t="s">
        <v>27</v>
      </c>
      <c r="J443" s="34">
        <v>1</v>
      </c>
      <c r="K443" s="35">
        <f>AB443/COUNTIFS($B:$B,$B443,$C:$C,$C443,$H:$H,$H443,$I:$I,$I443)</f>
        <v>0.05</v>
      </c>
      <c r="L443" s="36">
        <f t="shared" si="26"/>
        <v>0.85</v>
      </c>
      <c r="M443" s="37">
        <f t="shared" si="28"/>
        <v>4.2500000000000003E-2</v>
      </c>
      <c r="N443" s="34"/>
      <c r="AA443" s="146">
        <f>AB443/COUNTIFS($B:$B,$B443,$C:$C,$C443,$H:$H,$H443,$I:$I,$I443)</f>
        <v>0.05</v>
      </c>
      <c r="AB443" s="108">
        <f>VLOOKUP(I443,'Weights and Confidence'!$D$16:$AC$26,5,FALSE)</f>
        <v>0.1</v>
      </c>
      <c r="AC443" s="147">
        <f>VLOOKUP(I443,'Weights and Confidence'!$D$16:$AC$26,6,FALSE)</f>
        <v>0.85</v>
      </c>
    </row>
    <row r="444" spans="1:29" x14ac:dyDescent="0.2">
      <c r="A444" s="38" t="s">
        <v>14</v>
      </c>
      <c r="B444" s="38" t="s">
        <v>0</v>
      </c>
      <c r="C444" s="38" t="s">
        <v>92</v>
      </c>
      <c r="D444" s="38" t="s">
        <v>5</v>
      </c>
      <c r="E444" s="38"/>
      <c r="F444" s="38" t="s">
        <v>112</v>
      </c>
      <c r="G444" s="38">
        <v>11</v>
      </c>
      <c r="H444" s="38" t="s">
        <v>17</v>
      </c>
      <c r="I444" s="38" t="s">
        <v>28</v>
      </c>
      <c r="J444" s="38">
        <v>0</v>
      </c>
      <c r="K444" s="39">
        <f>AB444/COUNTIFS($B:$B,$B444,$C:$C,$C444,$H:$H,$H444,$I:$I,$I444)</f>
        <v>0.05</v>
      </c>
      <c r="L444" s="40">
        <f t="shared" si="26"/>
        <v>1</v>
      </c>
      <c r="M444" s="41">
        <f t="shared" si="28"/>
        <v>0</v>
      </c>
      <c r="N444" s="38"/>
      <c r="AA444" s="146">
        <f>AB444/COUNTIFS($B:$B,$B444,$C:$C,$C444,$H:$H,$H444,$I:$I,$I444)</f>
        <v>0.05</v>
      </c>
      <c r="AB444" s="108">
        <f>VLOOKUP(I444,'Weights and Confidence'!$D$16:$AC$26,5,FALSE)</f>
        <v>0.05</v>
      </c>
      <c r="AC444" s="147">
        <f>VLOOKUP(I444,'Weights and Confidence'!$D$16:$AC$26,6,FALSE)</f>
        <v>1</v>
      </c>
    </row>
    <row r="445" spans="1:29" ht="17" thickBot="1" x14ac:dyDescent="0.25">
      <c r="A445" s="34" t="s">
        <v>14</v>
      </c>
      <c r="B445" s="34" t="s">
        <v>0</v>
      </c>
      <c r="C445" s="34" t="s">
        <v>92</v>
      </c>
      <c r="D445" s="34" t="s">
        <v>5</v>
      </c>
      <c r="E445" s="34"/>
      <c r="F445" s="34" t="s">
        <v>112</v>
      </c>
      <c r="G445" s="34">
        <v>11</v>
      </c>
      <c r="H445" s="34" t="s">
        <v>18</v>
      </c>
      <c r="I445" s="34" t="s">
        <v>28</v>
      </c>
      <c r="J445" s="34">
        <v>1</v>
      </c>
      <c r="K445" s="35">
        <f>AB445/COUNTIFS($B:$B,$B445,$C:$C,$C445,$H:$H,$H445,$I:$I,$I445)</f>
        <v>0.05</v>
      </c>
      <c r="L445" s="36">
        <f t="shared" si="26"/>
        <v>1</v>
      </c>
      <c r="M445" s="37">
        <f t="shared" si="28"/>
        <v>0.05</v>
      </c>
      <c r="N445" s="34" t="s">
        <v>125</v>
      </c>
      <c r="AA445" s="140">
        <f>AB445/COUNTIFS($B:$B,$B445,$C:$C,$C445,$H:$H,$H445,$I:$I,$I445)</f>
        <v>0.05</v>
      </c>
      <c r="AB445" s="141">
        <f>VLOOKUP(I445,'Weights and Confidence'!$D$16:$AC$26,5,FALSE)</f>
        <v>0.05</v>
      </c>
      <c r="AC445" s="142">
        <f>VLOOKUP(I445,'Weights and Confidence'!$D$16:$AC$26,6,FALSE)</f>
        <v>1</v>
      </c>
    </row>
    <row r="446" spans="1:29" ht="17" thickTop="1" x14ac:dyDescent="0.2">
      <c r="A446" s="42" t="s">
        <v>14</v>
      </c>
      <c r="B446" s="42" t="s">
        <v>0</v>
      </c>
      <c r="C446" s="42" t="s">
        <v>48</v>
      </c>
      <c r="D446" s="42" t="s">
        <v>5</v>
      </c>
      <c r="E446" s="42" t="s">
        <v>104</v>
      </c>
      <c r="F446" s="49" t="s">
        <v>114</v>
      </c>
      <c r="G446" s="42">
        <v>1</v>
      </c>
      <c r="H446" s="42" t="s">
        <v>17</v>
      </c>
      <c r="I446" s="42" t="s">
        <v>19</v>
      </c>
      <c r="J446" s="42">
        <v>0</v>
      </c>
      <c r="K446" s="44">
        <f>AB446/COUNTIFS($B:$B,$B446,$C:$C,$C446,$H:$H,$H446,$I:$I,$I446)</f>
        <v>0.12</v>
      </c>
      <c r="L446" s="45">
        <f t="shared" si="26"/>
        <v>1</v>
      </c>
      <c r="M446" s="46">
        <f t="shared" ref="M446:M467" si="29">J446*K446*L446</f>
        <v>0</v>
      </c>
      <c r="N446" s="42"/>
      <c r="AA446" s="143">
        <f>AB446/COUNTIFS($B:$B,$B446,$C:$C,$C446,$H:$H,$H446,$I:$I,$I446)</f>
        <v>0.12</v>
      </c>
      <c r="AB446" s="144">
        <f>VLOOKUP(I446,'Weights and Confidence'!$D$16:$AC$26,5,FALSE)</f>
        <v>0.12</v>
      </c>
      <c r="AC446" s="145">
        <f>VLOOKUP(I446,'Weights and Confidence'!$D$16:$AC$26,6,FALSE)</f>
        <v>1</v>
      </c>
    </row>
    <row r="447" spans="1:29" x14ac:dyDescent="0.2">
      <c r="A447" s="34" t="s">
        <v>14</v>
      </c>
      <c r="B447" s="34" t="s">
        <v>0</v>
      </c>
      <c r="C447" s="34" t="s">
        <v>48</v>
      </c>
      <c r="D447" s="34" t="s">
        <v>5</v>
      </c>
      <c r="E447" s="34" t="s">
        <v>104</v>
      </c>
      <c r="F447" s="34" t="s">
        <v>114</v>
      </c>
      <c r="G447" s="34">
        <v>1</v>
      </c>
      <c r="H447" s="34" t="s">
        <v>18</v>
      </c>
      <c r="I447" s="34" t="s">
        <v>19</v>
      </c>
      <c r="J447" s="34">
        <v>0</v>
      </c>
      <c r="K447" s="35">
        <f>AB447/COUNTIFS($B:$B,$B447,$C:$C,$C447,$H:$H,$H447,$I:$I,$I447)</f>
        <v>0.12</v>
      </c>
      <c r="L447" s="36">
        <f t="shared" si="26"/>
        <v>1</v>
      </c>
      <c r="M447" s="37">
        <f t="shared" si="29"/>
        <v>0</v>
      </c>
      <c r="N447" s="58" t="s">
        <v>116</v>
      </c>
      <c r="AA447" s="146">
        <f>AB447/COUNTIFS($B:$B,$B447,$C:$C,$C447,$H:$H,$H447,$I:$I,$I447)</f>
        <v>0.12</v>
      </c>
      <c r="AB447" s="108">
        <f>VLOOKUP(I447,'Weights and Confidence'!$D$16:$AC$26,5,FALSE)</f>
        <v>0.12</v>
      </c>
      <c r="AC447" s="147">
        <f>VLOOKUP(I447,'Weights and Confidence'!$D$16:$AC$26,6,FALSE)</f>
        <v>1</v>
      </c>
    </row>
    <row r="448" spans="1:29" x14ac:dyDescent="0.2">
      <c r="A448" s="38" t="s">
        <v>14</v>
      </c>
      <c r="B448" s="38" t="s">
        <v>0</v>
      </c>
      <c r="C448" s="38" t="s">
        <v>48</v>
      </c>
      <c r="D448" s="38" t="s">
        <v>5</v>
      </c>
      <c r="E448" s="38" t="s">
        <v>104</v>
      </c>
      <c r="F448" s="38" t="s">
        <v>114</v>
      </c>
      <c r="G448" s="38">
        <v>2</v>
      </c>
      <c r="H448" s="38" t="s">
        <v>17</v>
      </c>
      <c r="I448" s="38" t="s">
        <v>20</v>
      </c>
      <c r="J448" s="38">
        <v>0</v>
      </c>
      <c r="K448" s="39">
        <f>AB448/COUNTIFS($B:$B,$B448,$C:$C,$C448,$H:$H,$H448,$I:$I,$I448)</f>
        <v>0.08</v>
      </c>
      <c r="L448" s="40">
        <f t="shared" si="26"/>
        <v>0.8</v>
      </c>
      <c r="M448" s="41">
        <f t="shared" si="29"/>
        <v>0</v>
      </c>
      <c r="N448" s="38"/>
      <c r="AA448" s="146">
        <f>AB448/COUNTIFS($B:$B,$B448,$C:$C,$C448,$H:$H,$H448,$I:$I,$I448)</f>
        <v>0.08</v>
      </c>
      <c r="AB448" s="108">
        <f>VLOOKUP(I448,'Weights and Confidence'!$D$16:$AC$26,5,FALSE)</f>
        <v>0.08</v>
      </c>
      <c r="AC448" s="147">
        <f>VLOOKUP(I448,'Weights and Confidence'!$D$16:$AC$26,6,FALSE)</f>
        <v>0.8</v>
      </c>
    </row>
    <row r="449" spans="1:29" x14ac:dyDescent="0.2">
      <c r="A449" s="34" t="s">
        <v>14</v>
      </c>
      <c r="B449" s="34" t="s">
        <v>0</v>
      </c>
      <c r="C449" s="34" t="s">
        <v>48</v>
      </c>
      <c r="D449" s="34" t="s">
        <v>5</v>
      </c>
      <c r="E449" s="34" t="s">
        <v>104</v>
      </c>
      <c r="F449" s="34" t="s">
        <v>114</v>
      </c>
      <c r="G449" s="34">
        <v>2</v>
      </c>
      <c r="H449" s="34" t="s">
        <v>18</v>
      </c>
      <c r="I449" s="34" t="s">
        <v>20</v>
      </c>
      <c r="J449" s="34">
        <v>1</v>
      </c>
      <c r="K449" s="35">
        <f>AB449/COUNTIFS($B:$B,$B449,$C:$C,$C449,$H:$H,$H449,$I:$I,$I449)</f>
        <v>0.08</v>
      </c>
      <c r="L449" s="36">
        <f t="shared" si="26"/>
        <v>0.8</v>
      </c>
      <c r="M449" s="37">
        <f t="shared" si="29"/>
        <v>6.4000000000000001E-2</v>
      </c>
      <c r="N449" s="34"/>
      <c r="AA449" s="146">
        <f>AB449/COUNTIFS($B:$B,$B449,$C:$C,$C449,$H:$H,$H449,$I:$I,$I449)</f>
        <v>0.08</v>
      </c>
      <c r="AB449" s="108">
        <f>VLOOKUP(I449,'Weights and Confidence'!$D$16:$AC$26,5,FALSE)</f>
        <v>0.08</v>
      </c>
      <c r="AC449" s="147">
        <f>VLOOKUP(I449,'Weights and Confidence'!$D$16:$AC$26,6,FALSE)</f>
        <v>0.8</v>
      </c>
    </row>
    <row r="450" spans="1:29" x14ac:dyDescent="0.2">
      <c r="A450" s="38" t="s">
        <v>14</v>
      </c>
      <c r="B450" s="38" t="s">
        <v>0</v>
      </c>
      <c r="C450" s="38" t="s">
        <v>48</v>
      </c>
      <c r="D450" s="38" t="s">
        <v>5</v>
      </c>
      <c r="E450" s="38" t="s">
        <v>104</v>
      </c>
      <c r="F450" s="38" t="s">
        <v>114</v>
      </c>
      <c r="G450" s="38">
        <v>3</v>
      </c>
      <c r="H450" s="38" t="s">
        <v>17</v>
      </c>
      <c r="I450" s="38" t="s">
        <v>21</v>
      </c>
      <c r="J450" s="38">
        <v>1</v>
      </c>
      <c r="K450" s="39">
        <f>AB450/COUNTIFS($B:$B,$B450,$C:$C,$C450,$H:$H,$H450,$I:$I,$I450)</f>
        <v>0.05</v>
      </c>
      <c r="L450" s="40">
        <f t="shared" si="26"/>
        <v>1</v>
      </c>
      <c r="M450" s="41">
        <f t="shared" si="29"/>
        <v>0.05</v>
      </c>
      <c r="N450" s="38"/>
      <c r="AA450" s="146">
        <f>AB450/COUNTIFS($B:$B,$B450,$C:$C,$C450,$H:$H,$H450,$I:$I,$I450)</f>
        <v>0.05</v>
      </c>
      <c r="AB450" s="108">
        <f>VLOOKUP(I450,'Weights and Confidence'!$D$16:$AC$26,5,FALSE)</f>
        <v>0.05</v>
      </c>
      <c r="AC450" s="147">
        <f>VLOOKUP(I450,'Weights and Confidence'!$D$16:$AC$26,6,FALSE)</f>
        <v>1</v>
      </c>
    </row>
    <row r="451" spans="1:29" x14ac:dyDescent="0.2">
      <c r="A451" s="34" t="s">
        <v>14</v>
      </c>
      <c r="B451" s="34" t="s">
        <v>0</v>
      </c>
      <c r="C451" s="34" t="s">
        <v>48</v>
      </c>
      <c r="D451" s="34" t="s">
        <v>5</v>
      </c>
      <c r="E451" s="34" t="s">
        <v>104</v>
      </c>
      <c r="F451" s="34" t="s">
        <v>114</v>
      </c>
      <c r="G451" s="34">
        <v>3</v>
      </c>
      <c r="H451" s="34" t="s">
        <v>18</v>
      </c>
      <c r="I451" s="34" t="s">
        <v>21</v>
      </c>
      <c r="J451" s="34">
        <v>-1</v>
      </c>
      <c r="K451" s="35">
        <f>AB451/COUNTIFS($B:$B,$B451,$C:$C,$C451,$H:$H,$H451,$I:$I,$I451)</f>
        <v>0.05</v>
      </c>
      <c r="L451" s="36">
        <f t="shared" si="26"/>
        <v>1</v>
      </c>
      <c r="M451" s="37">
        <f t="shared" si="29"/>
        <v>-0.05</v>
      </c>
      <c r="N451" s="58" t="s">
        <v>117</v>
      </c>
      <c r="AA451" s="146">
        <f>AB451/COUNTIFS($B:$B,$B451,$C:$C,$C451,$H:$H,$H451,$I:$I,$I451)</f>
        <v>0.05</v>
      </c>
      <c r="AB451" s="108">
        <f>VLOOKUP(I451,'Weights and Confidence'!$D$16:$AC$26,5,FALSE)</f>
        <v>0.05</v>
      </c>
      <c r="AC451" s="147">
        <f>VLOOKUP(I451,'Weights and Confidence'!$D$16:$AC$26,6,FALSE)</f>
        <v>1</v>
      </c>
    </row>
    <row r="452" spans="1:29" x14ac:dyDescent="0.2">
      <c r="A452" s="38" t="s">
        <v>14</v>
      </c>
      <c r="B452" s="38" t="s">
        <v>0</v>
      </c>
      <c r="C452" s="38" t="s">
        <v>48</v>
      </c>
      <c r="D452" s="38" t="s">
        <v>5</v>
      </c>
      <c r="E452" s="38" t="s">
        <v>104</v>
      </c>
      <c r="F452" s="38" t="s">
        <v>114</v>
      </c>
      <c r="G452" s="38">
        <v>4</v>
      </c>
      <c r="H452" s="38" t="s">
        <v>17</v>
      </c>
      <c r="I452" s="38" t="s">
        <v>22</v>
      </c>
      <c r="J452" s="38">
        <v>0</v>
      </c>
      <c r="K452" s="39">
        <f>AB452/COUNTIFS($B:$B,$B452,$C:$C,$C452,$H:$H,$H452,$I:$I,$I452)</f>
        <v>0.14000000000000001</v>
      </c>
      <c r="L452" s="40">
        <f t="shared" si="26"/>
        <v>1</v>
      </c>
      <c r="M452" s="41">
        <f t="shared" si="29"/>
        <v>0</v>
      </c>
      <c r="N452" s="38"/>
      <c r="AA452" s="146">
        <f>AB452/COUNTIFS($B:$B,$B452,$C:$C,$C452,$H:$H,$H452,$I:$I,$I452)</f>
        <v>0.14000000000000001</v>
      </c>
      <c r="AB452" s="108">
        <f>VLOOKUP(I452,'Weights and Confidence'!$D$16:$AC$26,5,FALSE)</f>
        <v>0.14000000000000001</v>
      </c>
      <c r="AC452" s="147">
        <f>VLOOKUP(I452,'Weights and Confidence'!$D$16:$AC$26,6,FALSE)</f>
        <v>1</v>
      </c>
    </row>
    <row r="453" spans="1:29" x14ac:dyDescent="0.2">
      <c r="A453" s="34" t="s">
        <v>14</v>
      </c>
      <c r="B453" s="34" t="s">
        <v>0</v>
      </c>
      <c r="C453" s="34" t="s">
        <v>48</v>
      </c>
      <c r="D453" s="34" t="s">
        <v>5</v>
      </c>
      <c r="E453" s="34" t="s">
        <v>104</v>
      </c>
      <c r="F453" s="34" t="s">
        <v>114</v>
      </c>
      <c r="G453" s="34">
        <v>4</v>
      </c>
      <c r="H453" s="34" t="s">
        <v>18</v>
      </c>
      <c r="I453" s="34" t="s">
        <v>22</v>
      </c>
      <c r="J453" s="34">
        <v>0</v>
      </c>
      <c r="K453" s="35">
        <f>AB453/COUNTIFS($B:$B,$B453,$C:$C,$C453,$H:$H,$H453,$I:$I,$I453)</f>
        <v>0.14000000000000001</v>
      </c>
      <c r="L453" s="36">
        <f t="shared" si="26"/>
        <v>1</v>
      </c>
      <c r="M453" s="37">
        <f t="shared" si="29"/>
        <v>0</v>
      </c>
      <c r="N453" s="58" t="s">
        <v>118</v>
      </c>
      <c r="AA453" s="146">
        <f>AB453/COUNTIFS($B:$B,$B453,$C:$C,$C453,$H:$H,$H453,$I:$I,$I453)</f>
        <v>0.14000000000000001</v>
      </c>
      <c r="AB453" s="108">
        <f>VLOOKUP(I453,'Weights and Confidence'!$D$16:$AC$26,5,FALSE)</f>
        <v>0.14000000000000001</v>
      </c>
      <c r="AC453" s="147">
        <f>VLOOKUP(I453,'Weights and Confidence'!$D$16:$AC$26,6,FALSE)</f>
        <v>1</v>
      </c>
    </row>
    <row r="454" spans="1:29" x14ac:dyDescent="0.2">
      <c r="A454" s="38" t="s">
        <v>14</v>
      </c>
      <c r="B454" s="38" t="s">
        <v>0</v>
      </c>
      <c r="C454" s="38" t="s">
        <v>48</v>
      </c>
      <c r="D454" s="38" t="s">
        <v>5</v>
      </c>
      <c r="E454" s="38" t="s">
        <v>104</v>
      </c>
      <c r="F454" s="38" t="s">
        <v>114</v>
      </c>
      <c r="G454" s="38">
        <v>5</v>
      </c>
      <c r="H454" s="38" t="s">
        <v>17</v>
      </c>
      <c r="I454" s="38" t="s">
        <v>23</v>
      </c>
      <c r="J454" s="38">
        <v>-1</v>
      </c>
      <c r="K454" s="39">
        <f>AB454/COUNTIFS($B:$B,$B454,$C:$C,$C454,$H:$H,$H454,$I:$I,$I454)</f>
        <v>0.11</v>
      </c>
      <c r="L454" s="40">
        <f t="shared" ref="L454:L517" si="30">AC454</f>
        <v>1</v>
      </c>
      <c r="M454" s="41">
        <f t="shared" si="29"/>
        <v>-0.11</v>
      </c>
      <c r="N454" s="38"/>
      <c r="AA454" s="146">
        <f>AB454/COUNTIFS($B:$B,$B454,$C:$C,$C454,$H:$H,$H454,$I:$I,$I454)</f>
        <v>0.11</v>
      </c>
      <c r="AB454" s="108">
        <f>VLOOKUP(I454,'Weights and Confidence'!$D$16:$AC$26,5,FALSE)</f>
        <v>0.11</v>
      </c>
      <c r="AC454" s="147">
        <f>VLOOKUP(I454,'Weights and Confidence'!$D$16:$AC$26,6,FALSE)</f>
        <v>1</v>
      </c>
    </row>
    <row r="455" spans="1:29" x14ac:dyDescent="0.2">
      <c r="A455" s="34" t="s">
        <v>14</v>
      </c>
      <c r="B455" s="34" t="s">
        <v>0</v>
      </c>
      <c r="C455" s="34" t="s">
        <v>48</v>
      </c>
      <c r="D455" s="34" t="s">
        <v>5</v>
      </c>
      <c r="E455" s="34" t="s">
        <v>104</v>
      </c>
      <c r="F455" s="34" t="s">
        <v>114</v>
      </c>
      <c r="G455" s="34">
        <v>5</v>
      </c>
      <c r="H455" s="34" t="s">
        <v>18</v>
      </c>
      <c r="I455" s="34" t="s">
        <v>23</v>
      </c>
      <c r="J455" s="34">
        <v>0</v>
      </c>
      <c r="K455" s="35">
        <f>AB455/COUNTIFS($B:$B,$B455,$C:$C,$C455,$H:$H,$H455,$I:$I,$I455)</f>
        <v>0.11</v>
      </c>
      <c r="L455" s="36">
        <f t="shared" si="30"/>
        <v>1</v>
      </c>
      <c r="M455" s="37">
        <f t="shared" si="29"/>
        <v>0</v>
      </c>
      <c r="N455" s="34" t="s">
        <v>119</v>
      </c>
      <c r="AA455" s="146">
        <f>AB455/COUNTIFS($B:$B,$B455,$C:$C,$C455,$H:$H,$H455,$I:$I,$I455)</f>
        <v>0.11</v>
      </c>
      <c r="AB455" s="108">
        <f>VLOOKUP(I455,'Weights and Confidence'!$D$16:$AC$26,5,FALSE)</f>
        <v>0.11</v>
      </c>
      <c r="AC455" s="147">
        <f>VLOOKUP(I455,'Weights and Confidence'!$D$16:$AC$26,6,FALSE)</f>
        <v>1</v>
      </c>
    </row>
    <row r="456" spans="1:29" x14ac:dyDescent="0.2">
      <c r="A456" s="38" t="s">
        <v>14</v>
      </c>
      <c r="B456" s="38" t="s">
        <v>0</v>
      </c>
      <c r="C456" s="38" t="s">
        <v>48</v>
      </c>
      <c r="D456" s="38" t="s">
        <v>5</v>
      </c>
      <c r="E456" s="38" t="s">
        <v>104</v>
      </c>
      <c r="F456" s="38" t="s">
        <v>114</v>
      </c>
      <c r="G456" s="38">
        <v>6</v>
      </c>
      <c r="H456" s="38" t="s">
        <v>17</v>
      </c>
      <c r="I456" s="38" t="s">
        <v>24</v>
      </c>
      <c r="J456" s="38">
        <v>0</v>
      </c>
      <c r="K456" s="39">
        <f>AB456/COUNTIFS($B:$B,$B456,$C:$C,$C456,$H:$H,$H456,$I:$I,$I456)</f>
        <v>0.15</v>
      </c>
      <c r="L456" s="40">
        <f t="shared" si="30"/>
        <v>1</v>
      </c>
      <c r="M456" s="41">
        <f t="shared" si="29"/>
        <v>0</v>
      </c>
      <c r="N456" s="38"/>
      <c r="AA456" s="146">
        <f>AB456/COUNTIFS($B:$B,$B456,$C:$C,$C456,$H:$H,$H456,$I:$I,$I456)</f>
        <v>0.15</v>
      </c>
      <c r="AB456" s="108">
        <f>VLOOKUP(I456,'Weights and Confidence'!$D$16:$AC$26,5,FALSE)</f>
        <v>0.15</v>
      </c>
      <c r="AC456" s="147">
        <f>VLOOKUP(I456,'Weights and Confidence'!$D$16:$AC$26,6,FALSE)</f>
        <v>1</v>
      </c>
    </row>
    <row r="457" spans="1:29" x14ac:dyDescent="0.2">
      <c r="A457" s="34" t="s">
        <v>14</v>
      </c>
      <c r="B457" s="34" t="s">
        <v>0</v>
      </c>
      <c r="C457" s="34" t="s">
        <v>48</v>
      </c>
      <c r="D457" s="34" t="s">
        <v>5</v>
      </c>
      <c r="E457" s="34" t="s">
        <v>104</v>
      </c>
      <c r="F457" s="34" t="s">
        <v>114</v>
      </c>
      <c r="G457" s="34">
        <v>6</v>
      </c>
      <c r="H457" s="34" t="s">
        <v>18</v>
      </c>
      <c r="I457" s="34" t="s">
        <v>24</v>
      </c>
      <c r="J457" s="34">
        <v>0</v>
      </c>
      <c r="K457" s="35">
        <f>AB457/COUNTIFS($B:$B,$B457,$C:$C,$C457,$H:$H,$H457,$I:$I,$I457)</f>
        <v>0.15</v>
      </c>
      <c r="L457" s="36">
        <f t="shared" si="30"/>
        <v>1</v>
      </c>
      <c r="M457" s="37">
        <f t="shared" si="29"/>
        <v>0</v>
      </c>
      <c r="N457" s="58" t="s">
        <v>120</v>
      </c>
      <c r="AA457" s="146">
        <f>AB457/COUNTIFS($B:$B,$B457,$C:$C,$C457,$H:$H,$H457,$I:$I,$I457)</f>
        <v>0.15</v>
      </c>
      <c r="AB457" s="108">
        <f>VLOOKUP(I457,'Weights and Confidence'!$D$16:$AC$26,5,FALSE)</f>
        <v>0.15</v>
      </c>
      <c r="AC457" s="147">
        <f>VLOOKUP(I457,'Weights and Confidence'!$D$16:$AC$26,6,FALSE)</f>
        <v>1</v>
      </c>
    </row>
    <row r="458" spans="1:29" x14ac:dyDescent="0.2">
      <c r="A458" s="38" t="s">
        <v>14</v>
      </c>
      <c r="B458" s="38" t="s">
        <v>0</v>
      </c>
      <c r="C458" s="38" t="s">
        <v>48</v>
      </c>
      <c r="D458" s="38" t="s">
        <v>5</v>
      </c>
      <c r="E458" s="38" t="s">
        <v>104</v>
      </c>
      <c r="F458" s="38" t="s">
        <v>114</v>
      </c>
      <c r="G458" s="38">
        <v>7</v>
      </c>
      <c r="H458" s="38" t="s">
        <v>17</v>
      </c>
      <c r="I458" s="38" t="s">
        <v>25</v>
      </c>
      <c r="J458" s="38">
        <v>0</v>
      </c>
      <c r="K458" s="39">
        <f>AB458/COUNTIFS($B:$B,$B458,$C:$C,$C458,$H:$H,$H458,$I:$I,$I458)</f>
        <v>0.1</v>
      </c>
      <c r="L458" s="40">
        <f t="shared" si="30"/>
        <v>1</v>
      </c>
      <c r="M458" s="41">
        <f t="shared" si="29"/>
        <v>0</v>
      </c>
      <c r="N458" s="38"/>
      <c r="AA458" s="146">
        <f>AB458/COUNTIFS($B:$B,$B458,$C:$C,$C458,$H:$H,$H458,$I:$I,$I458)</f>
        <v>0.1</v>
      </c>
      <c r="AB458" s="108">
        <f>VLOOKUP(I458,'Weights and Confidence'!$D$16:$AC$26,5,FALSE)</f>
        <v>0.1</v>
      </c>
      <c r="AC458" s="147">
        <f>VLOOKUP(I458,'Weights and Confidence'!$D$16:$AC$26,6,FALSE)</f>
        <v>1</v>
      </c>
    </row>
    <row r="459" spans="1:29" x14ac:dyDescent="0.2">
      <c r="A459" s="34" t="s">
        <v>14</v>
      </c>
      <c r="B459" s="34" t="s">
        <v>0</v>
      </c>
      <c r="C459" s="34" t="s">
        <v>48</v>
      </c>
      <c r="D459" s="34" t="s">
        <v>5</v>
      </c>
      <c r="E459" s="34" t="s">
        <v>104</v>
      </c>
      <c r="F459" s="34" t="s">
        <v>114</v>
      </c>
      <c r="G459" s="34">
        <v>7</v>
      </c>
      <c r="H459" s="34" t="s">
        <v>18</v>
      </c>
      <c r="I459" s="34" t="s">
        <v>25</v>
      </c>
      <c r="J459" s="34">
        <v>0</v>
      </c>
      <c r="K459" s="35">
        <f>AB459/COUNTIFS($B:$B,$B459,$C:$C,$C459,$H:$H,$H459,$I:$I,$I459)</f>
        <v>0.1</v>
      </c>
      <c r="L459" s="36">
        <f t="shared" si="30"/>
        <v>1</v>
      </c>
      <c r="M459" s="37">
        <f t="shared" si="29"/>
        <v>0</v>
      </c>
      <c r="N459" s="58" t="s">
        <v>121</v>
      </c>
      <c r="AA459" s="146">
        <f>AB459/COUNTIFS($B:$B,$B459,$C:$C,$C459,$H:$H,$H459,$I:$I,$I459)</f>
        <v>0.1</v>
      </c>
      <c r="AB459" s="108">
        <f>VLOOKUP(I459,'Weights and Confidence'!$D$16:$AC$26,5,FALSE)</f>
        <v>0.1</v>
      </c>
      <c r="AC459" s="147">
        <f>VLOOKUP(I459,'Weights and Confidence'!$D$16:$AC$26,6,FALSE)</f>
        <v>1</v>
      </c>
    </row>
    <row r="460" spans="1:29" x14ac:dyDescent="0.2">
      <c r="A460" s="38" t="s">
        <v>14</v>
      </c>
      <c r="B460" s="38" t="s">
        <v>0</v>
      </c>
      <c r="C460" s="38" t="s">
        <v>48</v>
      </c>
      <c r="D460" s="38" t="s">
        <v>5</v>
      </c>
      <c r="E460" s="38" t="s">
        <v>104</v>
      </c>
      <c r="F460" s="38" t="s">
        <v>114</v>
      </c>
      <c r="G460" s="38">
        <v>8</v>
      </c>
      <c r="H460" s="38" t="s">
        <v>17</v>
      </c>
      <c r="I460" s="38" t="s">
        <v>26</v>
      </c>
      <c r="J460" s="38">
        <v>0</v>
      </c>
      <c r="K460" s="39">
        <f>AB460/COUNTIFS($B:$B,$B460,$C:$C,$C460,$H:$H,$H460,$I:$I,$I460)</f>
        <v>0.1</v>
      </c>
      <c r="L460" s="40">
        <f t="shared" si="30"/>
        <v>1</v>
      </c>
      <c r="M460" s="41">
        <f t="shared" si="29"/>
        <v>0</v>
      </c>
      <c r="N460" s="38"/>
      <c r="AA460" s="146">
        <f>AB460/COUNTIFS($B:$B,$B460,$C:$C,$C460,$H:$H,$H460,$I:$I,$I460)</f>
        <v>0.1</v>
      </c>
      <c r="AB460" s="108">
        <f>VLOOKUP(I460,'Weights and Confidence'!$D$16:$AC$26,5,FALSE)</f>
        <v>0.1</v>
      </c>
      <c r="AC460" s="147">
        <f>VLOOKUP(I460,'Weights and Confidence'!$D$16:$AC$26,6,FALSE)</f>
        <v>1</v>
      </c>
    </row>
    <row r="461" spans="1:29" x14ac:dyDescent="0.2">
      <c r="A461" s="34" t="s">
        <v>14</v>
      </c>
      <c r="B461" s="34" t="s">
        <v>0</v>
      </c>
      <c r="C461" s="34" t="s">
        <v>48</v>
      </c>
      <c r="D461" s="34" t="s">
        <v>5</v>
      </c>
      <c r="E461" s="34" t="s">
        <v>104</v>
      </c>
      <c r="F461" s="34" t="s">
        <v>114</v>
      </c>
      <c r="G461" s="34">
        <v>8</v>
      </c>
      <c r="H461" s="34" t="s">
        <v>18</v>
      </c>
      <c r="I461" s="34" t="s">
        <v>26</v>
      </c>
      <c r="J461" s="34">
        <v>1</v>
      </c>
      <c r="K461" s="35">
        <f>AB461/COUNTIFS($B:$B,$B461,$C:$C,$C461,$H:$H,$H461,$I:$I,$I461)</f>
        <v>0.1</v>
      </c>
      <c r="L461" s="36">
        <f t="shared" si="30"/>
        <v>1</v>
      </c>
      <c r="M461" s="37">
        <f t="shared" si="29"/>
        <v>0.1</v>
      </c>
      <c r="N461" s="58" t="s">
        <v>122</v>
      </c>
      <c r="AA461" s="146">
        <f>AB461/COUNTIFS($B:$B,$B461,$C:$C,$C461,$H:$H,$H461,$I:$I,$I461)</f>
        <v>0.1</v>
      </c>
      <c r="AB461" s="108">
        <f>VLOOKUP(I461,'Weights and Confidence'!$D$16:$AC$26,5,FALSE)</f>
        <v>0.1</v>
      </c>
      <c r="AC461" s="147">
        <f>VLOOKUP(I461,'Weights and Confidence'!$D$16:$AC$26,6,FALSE)</f>
        <v>1</v>
      </c>
    </row>
    <row r="462" spans="1:29" x14ac:dyDescent="0.2">
      <c r="A462" s="38" t="s">
        <v>14</v>
      </c>
      <c r="B462" s="38" t="s">
        <v>0</v>
      </c>
      <c r="C462" s="38" t="s">
        <v>48</v>
      </c>
      <c r="D462" s="38" t="s">
        <v>5</v>
      </c>
      <c r="E462" s="38" t="s">
        <v>104</v>
      </c>
      <c r="F462" s="38" t="s">
        <v>114</v>
      </c>
      <c r="G462" s="38">
        <v>9</v>
      </c>
      <c r="H462" s="38" t="s">
        <v>17</v>
      </c>
      <c r="I462" s="38" t="s">
        <v>27</v>
      </c>
      <c r="J462" s="38">
        <v>0</v>
      </c>
      <c r="K462" s="39">
        <f>AB462/COUNTIFS($B:$B,$B462,$C:$C,$C462,$H:$H,$H462,$I:$I,$I462)</f>
        <v>0.05</v>
      </c>
      <c r="L462" s="40">
        <f t="shared" si="30"/>
        <v>0.85</v>
      </c>
      <c r="M462" s="41">
        <f t="shared" si="29"/>
        <v>0</v>
      </c>
      <c r="N462" s="38"/>
      <c r="AA462" s="146">
        <f>AB462/COUNTIFS($B:$B,$B462,$C:$C,$C462,$H:$H,$H462,$I:$I,$I462)</f>
        <v>0.05</v>
      </c>
      <c r="AB462" s="108">
        <f>VLOOKUP(I462,'Weights and Confidence'!$D$16:$AC$26,5,FALSE)</f>
        <v>0.1</v>
      </c>
      <c r="AC462" s="147">
        <f>VLOOKUP(I462,'Weights and Confidence'!$D$16:$AC$26,6,FALSE)</f>
        <v>0.85</v>
      </c>
    </row>
    <row r="463" spans="1:29" x14ac:dyDescent="0.2">
      <c r="A463" s="34" t="s">
        <v>14</v>
      </c>
      <c r="B463" s="34" t="s">
        <v>0</v>
      </c>
      <c r="C463" s="34" t="s">
        <v>48</v>
      </c>
      <c r="D463" s="34" t="s">
        <v>5</v>
      </c>
      <c r="E463" s="34" t="s">
        <v>104</v>
      </c>
      <c r="F463" s="34" t="s">
        <v>114</v>
      </c>
      <c r="G463" s="34">
        <v>9</v>
      </c>
      <c r="H463" s="34" t="s">
        <v>18</v>
      </c>
      <c r="I463" s="34" t="s">
        <v>27</v>
      </c>
      <c r="J463" s="34">
        <v>1</v>
      </c>
      <c r="K463" s="35">
        <f>AB463/COUNTIFS($B:$B,$B463,$C:$C,$C463,$H:$H,$H463,$I:$I,$I463)</f>
        <v>0.05</v>
      </c>
      <c r="L463" s="36">
        <f t="shared" si="30"/>
        <v>0.85</v>
      </c>
      <c r="M463" s="37">
        <f t="shared" si="29"/>
        <v>4.2500000000000003E-2</v>
      </c>
      <c r="N463" s="34"/>
      <c r="AA463" s="146">
        <f>AB463/COUNTIFS($B:$B,$B463,$C:$C,$C463,$H:$H,$H463,$I:$I,$I463)</f>
        <v>0.05</v>
      </c>
      <c r="AB463" s="108">
        <f>VLOOKUP(I463,'Weights and Confidence'!$D$16:$AC$26,5,FALSE)</f>
        <v>0.1</v>
      </c>
      <c r="AC463" s="147">
        <f>VLOOKUP(I463,'Weights and Confidence'!$D$16:$AC$26,6,FALSE)</f>
        <v>0.85</v>
      </c>
    </row>
    <row r="464" spans="1:29" x14ac:dyDescent="0.2">
      <c r="A464" s="38" t="s">
        <v>14</v>
      </c>
      <c r="B464" s="38" t="s">
        <v>0</v>
      </c>
      <c r="C464" s="38" t="s">
        <v>48</v>
      </c>
      <c r="D464" s="38" t="s">
        <v>5</v>
      </c>
      <c r="E464" s="38" t="s">
        <v>104</v>
      </c>
      <c r="F464" s="38" t="s">
        <v>114</v>
      </c>
      <c r="G464" s="38">
        <v>10</v>
      </c>
      <c r="H464" s="38" t="s">
        <v>17</v>
      </c>
      <c r="I464" s="38" t="s">
        <v>27</v>
      </c>
      <c r="J464" s="38">
        <v>0</v>
      </c>
      <c r="K464" s="39">
        <f>AB464/COUNTIFS($B:$B,$B464,$C:$C,$C464,$H:$H,$H464,$I:$I,$I464)</f>
        <v>0.05</v>
      </c>
      <c r="L464" s="40">
        <f t="shared" si="30"/>
        <v>0.85</v>
      </c>
      <c r="M464" s="41">
        <f t="shared" si="29"/>
        <v>0</v>
      </c>
      <c r="N464" s="38"/>
      <c r="AA464" s="146">
        <f>AB464/COUNTIFS($B:$B,$B464,$C:$C,$C464,$H:$H,$H464,$I:$I,$I464)</f>
        <v>0.05</v>
      </c>
      <c r="AB464" s="108">
        <f>VLOOKUP(I464,'Weights and Confidence'!$D$16:$AC$26,5,FALSE)</f>
        <v>0.1</v>
      </c>
      <c r="AC464" s="147">
        <f>VLOOKUP(I464,'Weights and Confidence'!$D$16:$AC$26,6,FALSE)</f>
        <v>0.85</v>
      </c>
    </row>
    <row r="465" spans="1:29" x14ac:dyDescent="0.2">
      <c r="A465" s="34" t="s">
        <v>14</v>
      </c>
      <c r="B465" s="34" t="s">
        <v>0</v>
      </c>
      <c r="C465" s="34" t="s">
        <v>48</v>
      </c>
      <c r="D465" s="34" t="s">
        <v>5</v>
      </c>
      <c r="E465" s="34" t="s">
        <v>104</v>
      </c>
      <c r="F465" s="34" t="s">
        <v>114</v>
      </c>
      <c r="G465" s="34">
        <v>10</v>
      </c>
      <c r="H465" s="34" t="s">
        <v>18</v>
      </c>
      <c r="I465" s="34" t="s">
        <v>27</v>
      </c>
      <c r="J465" s="34">
        <v>1</v>
      </c>
      <c r="K465" s="35">
        <f>AB465/COUNTIFS($B:$B,$B465,$C:$C,$C465,$H:$H,$H465,$I:$I,$I465)</f>
        <v>0.05</v>
      </c>
      <c r="L465" s="36">
        <f t="shared" si="30"/>
        <v>0.85</v>
      </c>
      <c r="M465" s="37">
        <f t="shared" si="29"/>
        <v>4.2500000000000003E-2</v>
      </c>
      <c r="N465" s="34"/>
      <c r="AA465" s="146">
        <f>AB465/COUNTIFS($B:$B,$B465,$C:$C,$C465,$H:$H,$H465,$I:$I,$I465)</f>
        <v>0.05</v>
      </c>
      <c r="AB465" s="108">
        <f>VLOOKUP(I465,'Weights and Confidence'!$D$16:$AC$26,5,FALSE)</f>
        <v>0.1</v>
      </c>
      <c r="AC465" s="147">
        <f>VLOOKUP(I465,'Weights and Confidence'!$D$16:$AC$26,6,FALSE)</f>
        <v>0.85</v>
      </c>
    </row>
    <row r="466" spans="1:29" x14ac:dyDescent="0.2">
      <c r="A466" s="38" t="s">
        <v>14</v>
      </c>
      <c r="B466" s="38" t="s">
        <v>0</v>
      </c>
      <c r="C466" s="38" t="s">
        <v>48</v>
      </c>
      <c r="D466" s="38" t="s">
        <v>5</v>
      </c>
      <c r="E466" s="38" t="s">
        <v>104</v>
      </c>
      <c r="F466" s="38" t="s">
        <v>114</v>
      </c>
      <c r="G466" s="38">
        <v>11</v>
      </c>
      <c r="H466" s="38" t="s">
        <v>17</v>
      </c>
      <c r="I466" s="38" t="s">
        <v>28</v>
      </c>
      <c r="J466" s="38">
        <v>0</v>
      </c>
      <c r="K466" s="39">
        <f>AB466/COUNTIFS($B:$B,$B466,$C:$C,$C466,$H:$H,$H466,$I:$I,$I466)</f>
        <v>0.05</v>
      </c>
      <c r="L466" s="40">
        <f t="shared" si="30"/>
        <v>1</v>
      </c>
      <c r="M466" s="41">
        <f t="shared" si="29"/>
        <v>0</v>
      </c>
      <c r="N466" s="38"/>
      <c r="AA466" s="146">
        <f>AB466/COUNTIFS($B:$B,$B466,$C:$C,$C466,$H:$H,$H466,$I:$I,$I466)</f>
        <v>0.05</v>
      </c>
      <c r="AB466" s="108">
        <f>VLOOKUP(I466,'Weights and Confidence'!$D$16:$AC$26,5,FALSE)</f>
        <v>0.05</v>
      </c>
      <c r="AC466" s="147">
        <f>VLOOKUP(I466,'Weights and Confidence'!$D$16:$AC$26,6,FALSE)</f>
        <v>1</v>
      </c>
    </row>
    <row r="467" spans="1:29" ht="17" thickBot="1" x14ac:dyDescent="0.25">
      <c r="A467" s="34" t="s">
        <v>14</v>
      </c>
      <c r="B467" s="34" t="s">
        <v>0</v>
      </c>
      <c r="C467" s="34" t="s">
        <v>48</v>
      </c>
      <c r="D467" s="34" t="s">
        <v>5</v>
      </c>
      <c r="E467" s="34" t="s">
        <v>104</v>
      </c>
      <c r="F467" s="34" t="s">
        <v>114</v>
      </c>
      <c r="G467" s="34">
        <v>11</v>
      </c>
      <c r="H467" s="34" t="s">
        <v>18</v>
      </c>
      <c r="I467" s="34" t="s">
        <v>28</v>
      </c>
      <c r="J467" s="34">
        <v>-1</v>
      </c>
      <c r="K467" s="35">
        <f>AB467/COUNTIFS($B:$B,$B467,$C:$C,$C467,$H:$H,$H467,$I:$I,$I467)</f>
        <v>0.05</v>
      </c>
      <c r="L467" s="36">
        <f t="shared" si="30"/>
        <v>1</v>
      </c>
      <c r="M467" s="37">
        <f t="shared" si="29"/>
        <v>-0.05</v>
      </c>
      <c r="N467" s="34" t="s">
        <v>115</v>
      </c>
      <c r="AA467" s="140">
        <f>AB467/COUNTIFS($B:$B,$B467,$C:$C,$C467,$H:$H,$H467,$I:$I,$I467)</f>
        <v>0.05</v>
      </c>
      <c r="AB467" s="141">
        <f>VLOOKUP(I467,'Weights and Confidence'!$D$16:$AC$26,5,FALSE)</f>
        <v>0.05</v>
      </c>
      <c r="AC467" s="142">
        <f>VLOOKUP(I467,'Weights and Confidence'!$D$16:$AC$26,6,FALSE)</f>
        <v>1</v>
      </c>
    </row>
    <row r="468" spans="1:29" ht="17" thickTop="1" x14ac:dyDescent="0.2">
      <c r="A468" s="42" t="s">
        <v>14</v>
      </c>
      <c r="B468" s="42" t="s">
        <v>0</v>
      </c>
      <c r="C468" s="42" t="s">
        <v>50</v>
      </c>
      <c r="D468" s="42" t="s">
        <v>5</v>
      </c>
      <c r="E468" s="43" t="s">
        <v>103</v>
      </c>
      <c r="F468" s="43" t="s">
        <v>51</v>
      </c>
      <c r="G468" s="42">
        <v>1</v>
      </c>
      <c r="H468" s="42" t="s">
        <v>17</v>
      </c>
      <c r="I468" s="42" t="s">
        <v>19</v>
      </c>
      <c r="J468" s="42">
        <v>1</v>
      </c>
      <c r="K468" s="44">
        <f>AB468/COUNTIFS($B:$B,$B468,$C:$C,$C468,$H:$H,$H468,$I:$I,$I468)</f>
        <v>0.12</v>
      </c>
      <c r="L468" s="45">
        <f t="shared" si="30"/>
        <v>1</v>
      </c>
      <c r="M468" s="46">
        <f t="shared" ref="M468:M489" si="31">J468*K468*L468</f>
        <v>0.12</v>
      </c>
      <c r="N468" s="42"/>
      <c r="P468" s="8"/>
      <c r="AA468" s="143">
        <f>AB468/COUNTIFS($B:$B,$B468,$C:$C,$C468,$H:$H,$H468,$I:$I,$I468)</f>
        <v>0.12</v>
      </c>
      <c r="AB468" s="144">
        <f>VLOOKUP(I468,'Weights and Confidence'!$D$16:$AC$26,5,FALSE)</f>
        <v>0.12</v>
      </c>
      <c r="AC468" s="145">
        <f>VLOOKUP(I468,'Weights and Confidence'!$D$16:$AC$26,6,FALSE)</f>
        <v>1</v>
      </c>
    </row>
    <row r="469" spans="1:29" x14ac:dyDescent="0.2">
      <c r="A469" s="34" t="s">
        <v>14</v>
      </c>
      <c r="B469" s="34" t="s">
        <v>0</v>
      </c>
      <c r="C469" s="34" t="s">
        <v>50</v>
      </c>
      <c r="D469" s="34" t="s">
        <v>5</v>
      </c>
      <c r="E469" s="34" t="s">
        <v>103</v>
      </c>
      <c r="F469" s="34" t="s">
        <v>51</v>
      </c>
      <c r="G469" s="34">
        <v>1</v>
      </c>
      <c r="H469" s="34" t="s">
        <v>18</v>
      </c>
      <c r="I469" s="34" t="s">
        <v>19</v>
      </c>
      <c r="J469" s="34">
        <v>1</v>
      </c>
      <c r="K469" s="35">
        <f>AB469/COUNTIFS($B:$B,$B469,$C:$C,$C469,$H:$H,$H469,$I:$I,$I469)</f>
        <v>0.12</v>
      </c>
      <c r="L469" s="36">
        <f t="shared" si="30"/>
        <v>1</v>
      </c>
      <c r="M469" s="37">
        <f t="shared" si="31"/>
        <v>0.12</v>
      </c>
      <c r="N469" s="58"/>
      <c r="P469" s="8"/>
      <c r="AA469" s="146">
        <f>AB469/COUNTIFS($B:$B,$B469,$C:$C,$C469,$H:$H,$H469,$I:$I,$I469)</f>
        <v>0.12</v>
      </c>
      <c r="AB469" s="108">
        <f>VLOOKUP(I469,'Weights and Confidence'!$D$16:$AC$26,5,FALSE)</f>
        <v>0.12</v>
      </c>
      <c r="AC469" s="147">
        <f>VLOOKUP(I469,'Weights and Confidence'!$D$16:$AC$26,6,FALSE)</f>
        <v>1</v>
      </c>
    </row>
    <row r="470" spans="1:29" x14ac:dyDescent="0.2">
      <c r="A470" s="38" t="s">
        <v>14</v>
      </c>
      <c r="B470" s="38" t="s">
        <v>0</v>
      </c>
      <c r="C470" s="38" t="s">
        <v>50</v>
      </c>
      <c r="D470" s="38" t="s">
        <v>5</v>
      </c>
      <c r="E470" s="38" t="s">
        <v>103</v>
      </c>
      <c r="F470" s="38" t="s">
        <v>51</v>
      </c>
      <c r="G470" s="38">
        <v>2</v>
      </c>
      <c r="H470" s="38" t="s">
        <v>17</v>
      </c>
      <c r="I470" s="38" t="s">
        <v>20</v>
      </c>
      <c r="J470" s="38">
        <v>0</v>
      </c>
      <c r="K470" s="39">
        <f>AB470/COUNTIFS($B:$B,$B470,$C:$C,$C470,$H:$H,$H470,$I:$I,$I470)</f>
        <v>0.08</v>
      </c>
      <c r="L470" s="40">
        <f t="shared" si="30"/>
        <v>0.8</v>
      </c>
      <c r="M470" s="41">
        <f t="shared" si="31"/>
        <v>0</v>
      </c>
      <c r="N470" s="38"/>
      <c r="AA470" s="146">
        <f>AB470/COUNTIFS($B:$B,$B470,$C:$C,$C470,$H:$H,$H470,$I:$I,$I470)</f>
        <v>0.08</v>
      </c>
      <c r="AB470" s="108">
        <f>VLOOKUP(I470,'Weights and Confidence'!$D$16:$AC$26,5,FALSE)</f>
        <v>0.08</v>
      </c>
      <c r="AC470" s="147">
        <f>VLOOKUP(I470,'Weights and Confidence'!$D$16:$AC$26,6,FALSE)</f>
        <v>0.8</v>
      </c>
    </row>
    <row r="471" spans="1:29" x14ac:dyDescent="0.2">
      <c r="A471" s="34" t="s">
        <v>14</v>
      </c>
      <c r="B471" s="34" t="s">
        <v>0</v>
      </c>
      <c r="C471" s="34" t="s">
        <v>50</v>
      </c>
      <c r="D471" s="34" t="s">
        <v>5</v>
      </c>
      <c r="E471" s="34" t="s">
        <v>103</v>
      </c>
      <c r="F471" s="34" t="s">
        <v>51</v>
      </c>
      <c r="G471" s="34">
        <v>2</v>
      </c>
      <c r="H471" s="34" t="s">
        <v>18</v>
      </c>
      <c r="I471" s="34" t="s">
        <v>20</v>
      </c>
      <c r="J471" s="34">
        <v>1</v>
      </c>
      <c r="K471" s="35">
        <f>AB471/COUNTIFS($B:$B,$B471,$C:$C,$C471,$H:$H,$H471,$I:$I,$I471)</f>
        <v>0.08</v>
      </c>
      <c r="L471" s="36">
        <f t="shared" si="30"/>
        <v>0.8</v>
      </c>
      <c r="M471" s="37">
        <f t="shared" si="31"/>
        <v>6.4000000000000001E-2</v>
      </c>
      <c r="N471" s="34"/>
      <c r="AA471" s="146">
        <f>AB471/COUNTIFS($B:$B,$B471,$C:$C,$C471,$H:$H,$H471,$I:$I,$I471)</f>
        <v>0.08</v>
      </c>
      <c r="AB471" s="108">
        <f>VLOOKUP(I471,'Weights and Confidence'!$D$16:$AC$26,5,FALSE)</f>
        <v>0.08</v>
      </c>
      <c r="AC471" s="147">
        <f>VLOOKUP(I471,'Weights and Confidence'!$D$16:$AC$26,6,FALSE)</f>
        <v>0.8</v>
      </c>
    </row>
    <row r="472" spans="1:29" x14ac:dyDescent="0.2">
      <c r="A472" s="38" t="s">
        <v>14</v>
      </c>
      <c r="B472" s="38" t="s">
        <v>0</v>
      </c>
      <c r="C472" s="38" t="s">
        <v>50</v>
      </c>
      <c r="D472" s="38" t="s">
        <v>5</v>
      </c>
      <c r="E472" s="38" t="s">
        <v>103</v>
      </c>
      <c r="F472" s="38" t="s">
        <v>51</v>
      </c>
      <c r="G472" s="38">
        <v>3</v>
      </c>
      <c r="H472" s="38" t="s">
        <v>17</v>
      </c>
      <c r="I472" s="38" t="s">
        <v>21</v>
      </c>
      <c r="J472" s="38">
        <v>1</v>
      </c>
      <c r="K472" s="39">
        <f>AB472/COUNTIFS($B:$B,$B472,$C:$C,$C472,$H:$H,$H472,$I:$I,$I472)</f>
        <v>0.05</v>
      </c>
      <c r="L472" s="40">
        <f t="shared" si="30"/>
        <v>1</v>
      </c>
      <c r="M472" s="41">
        <f t="shared" si="31"/>
        <v>0.05</v>
      </c>
      <c r="N472" s="38"/>
      <c r="AA472" s="146">
        <f>AB472/COUNTIFS($B:$B,$B472,$C:$C,$C472,$H:$H,$H472,$I:$I,$I472)</f>
        <v>0.05</v>
      </c>
      <c r="AB472" s="108">
        <f>VLOOKUP(I472,'Weights and Confidence'!$D$16:$AC$26,5,FALSE)</f>
        <v>0.05</v>
      </c>
      <c r="AC472" s="147">
        <f>VLOOKUP(I472,'Weights and Confidence'!$D$16:$AC$26,6,FALSE)</f>
        <v>1</v>
      </c>
    </row>
    <row r="473" spans="1:29" x14ac:dyDescent="0.2">
      <c r="A473" s="34" t="s">
        <v>14</v>
      </c>
      <c r="B473" s="34" t="s">
        <v>0</v>
      </c>
      <c r="C473" s="34" t="s">
        <v>50</v>
      </c>
      <c r="D473" s="34" t="s">
        <v>5</v>
      </c>
      <c r="E473" s="34" t="s">
        <v>103</v>
      </c>
      <c r="F473" s="34" t="s">
        <v>51</v>
      </c>
      <c r="G473" s="34">
        <v>3</v>
      </c>
      <c r="H473" s="34" t="s">
        <v>18</v>
      </c>
      <c r="I473" s="34" t="s">
        <v>21</v>
      </c>
      <c r="J473" s="34">
        <v>1</v>
      </c>
      <c r="K473" s="35">
        <f>AB473/COUNTIFS($B:$B,$B473,$C:$C,$C473,$H:$H,$H473,$I:$I,$I473)</f>
        <v>0.05</v>
      </c>
      <c r="L473" s="36">
        <f t="shared" si="30"/>
        <v>1</v>
      </c>
      <c r="M473" s="37">
        <f t="shared" si="31"/>
        <v>0.05</v>
      </c>
      <c r="N473" s="58" t="s">
        <v>126</v>
      </c>
      <c r="AA473" s="146">
        <f>AB473/COUNTIFS($B:$B,$B473,$C:$C,$C473,$H:$H,$H473,$I:$I,$I473)</f>
        <v>0.05</v>
      </c>
      <c r="AB473" s="108">
        <f>VLOOKUP(I473,'Weights and Confidence'!$D$16:$AC$26,5,FALSE)</f>
        <v>0.05</v>
      </c>
      <c r="AC473" s="147">
        <f>VLOOKUP(I473,'Weights and Confidence'!$D$16:$AC$26,6,FALSE)</f>
        <v>1</v>
      </c>
    </row>
    <row r="474" spans="1:29" x14ac:dyDescent="0.2">
      <c r="A474" s="38" t="s">
        <v>14</v>
      </c>
      <c r="B474" s="38" t="s">
        <v>0</v>
      </c>
      <c r="C474" s="38" t="s">
        <v>50</v>
      </c>
      <c r="D474" s="38" t="s">
        <v>5</v>
      </c>
      <c r="E474" s="38" t="s">
        <v>103</v>
      </c>
      <c r="F474" s="38" t="s">
        <v>51</v>
      </c>
      <c r="G474" s="38">
        <v>4</v>
      </c>
      <c r="H474" s="38" t="s">
        <v>17</v>
      </c>
      <c r="I474" s="38" t="s">
        <v>22</v>
      </c>
      <c r="J474" s="38">
        <v>0</v>
      </c>
      <c r="K474" s="39">
        <f>AB474/COUNTIFS($B:$B,$B474,$C:$C,$C474,$H:$H,$H474,$I:$I,$I474)</f>
        <v>0.14000000000000001</v>
      </c>
      <c r="L474" s="40">
        <f t="shared" si="30"/>
        <v>1</v>
      </c>
      <c r="M474" s="41">
        <f t="shared" si="31"/>
        <v>0</v>
      </c>
      <c r="N474" s="38"/>
      <c r="AA474" s="146">
        <f>AB474/COUNTIFS($B:$B,$B474,$C:$C,$C474,$H:$H,$H474,$I:$I,$I474)</f>
        <v>0.14000000000000001</v>
      </c>
      <c r="AB474" s="108">
        <f>VLOOKUP(I474,'Weights and Confidence'!$D$16:$AC$26,5,FALSE)</f>
        <v>0.14000000000000001</v>
      </c>
      <c r="AC474" s="147">
        <f>VLOOKUP(I474,'Weights and Confidence'!$D$16:$AC$26,6,FALSE)</f>
        <v>1</v>
      </c>
    </row>
    <row r="475" spans="1:29" x14ac:dyDescent="0.2">
      <c r="A475" s="34" t="s">
        <v>14</v>
      </c>
      <c r="B475" s="34" t="s">
        <v>0</v>
      </c>
      <c r="C475" s="34" t="s">
        <v>50</v>
      </c>
      <c r="D475" s="34" t="s">
        <v>5</v>
      </c>
      <c r="E475" s="34" t="s">
        <v>103</v>
      </c>
      <c r="F475" s="34" t="s">
        <v>51</v>
      </c>
      <c r="G475" s="34">
        <v>4</v>
      </c>
      <c r="H475" s="34" t="s">
        <v>18</v>
      </c>
      <c r="I475" s="34" t="s">
        <v>22</v>
      </c>
      <c r="J475" s="34">
        <v>1</v>
      </c>
      <c r="K475" s="35">
        <f>AB475/COUNTIFS($B:$B,$B475,$C:$C,$C475,$H:$H,$H475,$I:$I,$I475)</f>
        <v>0.14000000000000001</v>
      </c>
      <c r="L475" s="36">
        <f t="shared" si="30"/>
        <v>1</v>
      </c>
      <c r="M475" s="37">
        <f t="shared" si="31"/>
        <v>0.14000000000000001</v>
      </c>
      <c r="N475" s="58"/>
      <c r="AA475" s="146">
        <f>AB475/COUNTIFS($B:$B,$B475,$C:$C,$C475,$H:$H,$H475,$I:$I,$I475)</f>
        <v>0.14000000000000001</v>
      </c>
      <c r="AB475" s="108">
        <f>VLOOKUP(I475,'Weights and Confidence'!$D$16:$AC$26,5,FALSE)</f>
        <v>0.14000000000000001</v>
      </c>
      <c r="AC475" s="147">
        <f>VLOOKUP(I475,'Weights and Confidence'!$D$16:$AC$26,6,FALSE)</f>
        <v>1</v>
      </c>
    </row>
    <row r="476" spans="1:29" x14ac:dyDescent="0.2">
      <c r="A476" s="38" t="s">
        <v>14</v>
      </c>
      <c r="B476" s="38" t="s">
        <v>0</v>
      </c>
      <c r="C476" s="38" t="s">
        <v>50</v>
      </c>
      <c r="D476" s="38" t="s">
        <v>5</v>
      </c>
      <c r="E476" s="38" t="s">
        <v>103</v>
      </c>
      <c r="F476" s="38" t="s">
        <v>51</v>
      </c>
      <c r="G476" s="38">
        <v>5</v>
      </c>
      <c r="H476" s="38" t="s">
        <v>17</v>
      </c>
      <c r="I476" s="38" t="s">
        <v>23</v>
      </c>
      <c r="J476" s="38">
        <v>0</v>
      </c>
      <c r="K476" s="39">
        <f>AB476/COUNTIFS($B:$B,$B476,$C:$C,$C476,$H:$H,$H476,$I:$I,$I476)</f>
        <v>0.11</v>
      </c>
      <c r="L476" s="40">
        <f t="shared" si="30"/>
        <v>1</v>
      </c>
      <c r="M476" s="41">
        <f t="shared" si="31"/>
        <v>0</v>
      </c>
      <c r="N476" s="38"/>
      <c r="AA476" s="146">
        <f>AB476/COUNTIFS($B:$B,$B476,$C:$C,$C476,$H:$H,$H476,$I:$I,$I476)</f>
        <v>0.11</v>
      </c>
      <c r="AB476" s="108">
        <f>VLOOKUP(I476,'Weights and Confidence'!$D$16:$AC$26,5,FALSE)</f>
        <v>0.11</v>
      </c>
      <c r="AC476" s="147">
        <f>VLOOKUP(I476,'Weights and Confidence'!$D$16:$AC$26,6,FALSE)</f>
        <v>1</v>
      </c>
    </row>
    <row r="477" spans="1:29" x14ac:dyDescent="0.2">
      <c r="A477" s="34" t="s">
        <v>14</v>
      </c>
      <c r="B477" s="34" t="s">
        <v>0</v>
      </c>
      <c r="C477" s="34" t="s">
        <v>50</v>
      </c>
      <c r="D477" s="34" t="s">
        <v>5</v>
      </c>
      <c r="E477" s="34" t="s">
        <v>103</v>
      </c>
      <c r="F477" s="34" t="s">
        <v>51</v>
      </c>
      <c r="G477" s="34">
        <v>5</v>
      </c>
      <c r="H477" s="34" t="s">
        <v>18</v>
      </c>
      <c r="I477" s="34" t="s">
        <v>23</v>
      </c>
      <c r="J477" s="34">
        <v>1</v>
      </c>
      <c r="K477" s="35">
        <f>AB477/COUNTIFS($B:$B,$B477,$C:$C,$C477,$H:$H,$H477,$I:$I,$I477)</f>
        <v>0.11</v>
      </c>
      <c r="L477" s="36">
        <f t="shared" si="30"/>
        <v>1</v>
      </c>
      <c r="M477" s="37">
        <f t="shared" si="31"/>
        <v>0.11</v>
      </c>
      <c r="N477" s="34"/>
      <c r="AA477" s="146">
        <f>AB477/COUNTIFS($B:$B,$B477,$C:$C,$C477,$H:$H,$H477,$I:$I,$I477)</f>
        <v>0.11</v>
      </c>
      <c r="AB477" s="108">
        <f>VLOOKUP(I477,'Weights and Confidence'!$D$16:$AC$26,5,FALSE)</f>
        <v>0.11</v>
      </c>
      <c r="AC477" s="147">
        <f>VLOOKUP(I477,'Weights and Confidence'!$D$16:$AC$26,6,FALSE)</f>
        <v>1</v>
      </c>
    </row>
    <row r="478" spans="1:29" x14ac:dyDescent="0.2">
      <c r="A478" s="38" t="s">
        <v>14</v>
      </c>
      <c r="B478" s="38" t="s">
        <v>0</v>
      </c>
      <c r="C478" s="38" t="s">
        <v>50</v>
      </c>
      <c r="D478" s="38" t="s">
        <v>5</v>
      </c>
      <c r="E478" s="38" t="s">
        <v>103</v>
      </c>
      <c r="F478" s="38" t="s">
        <v>51</v>
      </c>
      <c r="G478" s="38">
        <v>6</v>
      </c>
      <c r="H478" s="38" t="s">
        <v>17</v>
      </c>
      <c r="I478" s="38" t="s">
        <v>24</v>
      </c>
      <c r="J478" s="38">
        <v>0</v>
      </c>
      <c r="K478" s="39">
        <f>AB478/COUNTIFS($B:$B,$B478,$C:$C,$C478,$H:$H,$H478,$I:$I,$I478)</f>
        <v>0.15</v>
      </c>
      <c r="L478" s="40">
        <f t="shared" si="30"/>
        <v>1</v>
      </c>
      <c r="M478" s="41">
        <f t="shared" si="31"/>
        <v>0</v>
      </c>
      <c r="N478" s="38"/>
      <c r="AA478" s="146">
        <f>AB478/COUNTIFS($B:$B,$B478,$C:$C,$C478,$H:$H,$H478,$I:$I,$I478)</f>
        <v>0.15</v>
      </c>
      <c r="AB478" s="108">
        <f>VLOOKUP(I478,'Weights and Confidence'!$D$16:$AC$26,5,FALSE)</f>
        <v>0.15</v>
      </c>
      <c r="AC478" s="147">
        <f>VLOOKUP(I478,'Weights and Confidence'!$D$16:$AC$26,6,FALSE)</f>
        <v>1</v>
      </c>
    </row>
    <row r="479" spans="1:29" x14ac:dyDescent="0.2">
      <c r="A479" s="34" t="s">
        <v>14</v>
      </c>
      <c r="B479" s="34" t="s">
        <v>0</v>
      </c>
      <c r="C479" s="34" t="s">
        <v>50</v>
      </c>
      <c r="D479" s="34" t="s">
        <v>5</v>
      </c>
      <c r="E479" s="34" t="s">
        <v>103</v>
      </c>
      <c r="F479" s="34" t="s">
        <v>51</v>
      </c>
      <c r="G479" s="34">
        <v>6</v>
      </c>
      <c r="H479" s="34" t="s">
        <v>18</v>
      </c>
      <c r="I479" s="34" t="s">
        <v>24</v>
      </c>
      <c r="J479" s="34">
        <v>1</v>
      </c>
      <c r="K479" s="35">
        <f>AB479/COUNTIFS($B:$B,$B479,$C:$C,$C479,$H:$H,$H479,$I:$I,$I479)</f>
        <v>0.15</v>
      </c>
      <c r="L479" s="36">
        <f t="shared" si="30"/>
        <v>1</v>
      </c>
      <c r="M479" s="37">
        <f t="shared" si="31"/>
        <v>0.15</v>
      </c>
      <c r="N479" s="58"/>
      <c r="AA479" s="146">
        <f>AB479/COUNTIFS($B:$B,$B479,$C:$C,$C479,$H:$H,$H479,$I:$I,$I479)</f>
        <v>0.15</v>
      </c>
      <c r="AB479" s="108">
        <f>VLOOKUP(I479,'Weights and Confidence'!$D$16:$AC$26,5,FALSE)</f>
        <v>0.15</v>
      </c>
      <c r="AC479" s="147">
        <f>VLOOKUP(I479,'Weights and Confidence'!$D$16:$AC$26,6,FALSE)</f>
        <v>1</v>
      </c>
    </row>
    <row r="480" spans="1:29" x14ac:dyDescent="0.2">
      <c r="A480" s="38" t="s">
        <v>14</v>
      </c>
      <c r="B480" s="38" t="s">
        <v>0</v>
      </c>
      <c r="C480" s="38" t="s">
        <v>50</v>
      </c>
      <c r="D480" s="38" t="s">
        <v>5</v>
      </c>
      <c r="E480" s="38" t="s">
        <v>103</v>
      </c>
      <c r="F480" s="38" t="s">
        <v>51</v>
      </c>
      <c r="G480" s="38">
        <v>7</v>
      </c>
      <c r="H480" s="38" t="s">
        <v>17</v>
      </c>
      <c r="I480" s="38" t="s">
        <v>25</v>
      </c>
      <c r="J480" s="38">
        <v>0</v>
      </c>
      <c r="K480" s="39">
        <f>AB480/COUNTIFS($B:$B,$B480,$C:$C,$C480,$H:$H,$H480,$I:$I,$I480)</f>
        <v>0.1</v>
      </c>
      <c r="L480" s="40">
        <f t="shared" si="30"/>
        <v>1</v>
      </c>
      <c r="M480" s="41">
        <f t="shared" si="31"/>
        <v>0</v>
      </c>
      <c r="N480" s="38"/>
      <c r="AA480" s="146">
        <f>AB480/COUNTIFS($B:$B,$B480,$C:$C,$C480,$H:$H,$H480,$I:$I,$I480)</f>
        <v>0.1</v>
      </c>
      <c r="AB480" s="108">
        <f>VLOOKUP(I480,'Weights and Confidence'!$D$16:$AC$26,5,FALSE)</f>
        <v>0.1</v>
      </c>
      <c r="AC480" s="147">
        <f>VLOOKUP(I480,'Weights and Confidence'!$D$16:$AC$26,6,FALSE)</f>
        <v>1</v>
      </c>
    </row>
    <row r="481" spans="1:29" x14ac:dyDescent="0.2">
      <c r="A481" s="34" t="s">
        <v>14</v>
      </c>
      <c r="B481" s="34" t="s">
        <v>0</v>
      </c>
      <c r="C481" s="34" t="s">
        <v>50</v>
      </c>
      <c r="D481" s="34" t="s">
        <v>5</v>
      </c>
      <c r="E481" s="34" t="s">
        <v>103</v>
      </c>
      <c r="F481" s="34" t="s">
        <v>51</v>
      </c>
      <c r="G481" s="34">
        <v>7</v>
      </c>
      <c r="H481" s="34" t="s">
        <v>18</v>
      </c>
      <c r="I481" s="34" t="s">
        <v>25</v>
      </c>
      <c r="J481" s="34">
        <v>1</v>
      </c>
      <c r="K481" s="35">
        <f>AB481/COUNTIFS($B:$B,$B481,$C:$C,$C481,$H:$H,$H481,$I:$I,$I481)</f>
        <v>0.1</v>
      </c>
      <c r="L481" s="36">
        <f t="shared" si="30"/>
        <v>1</v>
      </c>
      <c r="M481" s="37">
        <f t="shared" si="31"/>
        <v>0.1</v>
      </c>
      <c r="N481" s="58"/>
      <c r="AA481" s="146">
        <f>AB481/COUNTIFS($B:$B,$B481,$C:$C,$C481,$H:$H,$H481,$I:$I,$I481)</f>
        <v>0.1</v>
      </c>
      <c r="AB481" s="108">
        <f>VLOOKUP(I481,'Weights and Confidence'!$D$16:$AC$26,5,FALSE)</f>
        <v>0.1</v>
      </c>
      <c r="AC481" s="147">
        <f>VLOOKUP(I481,'Weights and Confidence'!$D$16:$AC$26,6,FALSE)</f>
        <v>1</v>
      </c>
    </row>
    <row r="482" spans="1:29" x14ac:dyDescent="0.2">
      <c r="A482" s="38" t="s">
        <v>14</v>
      </c>
      <c r="B482" s="38" t="s">
        <v>0</v>
      </c>
      <c r="C482" s="38" t="s">
        <v>50</v>
      </c>
      <c r="D482" s="38" t="s">
        <v>5</v>
      </c>
      <c r="E482" s="38" t="s">
        <v>103</v>
      </c>
      <c r="F482" s="38" t="s">
        <v>51</v>
      </c>
      <c r="G482" s="38">
        <v>8</v>
      </c>
      <c r="H482" s="38" t="s">
        <v>17</v>
      </c>
      <c r="I482" s="38" t="s">
        <v>26</v>
      </c>
      <c r="J482" s="38">
        <v>0</v>
      </c>
      <c r="K482" s="39">
        <f>AB482/COUNTIFS($B:$B,$B482,$C:$C,$C482,$H:$H,$H482,$I:$I,$I482)</f>
        <v>0.1</v>
      </c>
      <c r="L482" s="40">
        <f t="shared" si="30"/>
        <v>1</v>
      </c>
      <c r="M482" s="41">
        <f t="shared" si="31"/>
        <v>0</v>
      </c>
      <c r="N482" s="38"/>
      <c r="AA482" s="146">
        <f>AB482/COUNTIFS($B:$B,$B482,$C:$C,$C482,$H:$H,$H482,$I:$I,$I482)</f>
        <v>0.1</v>
      </c>
      <c r="AB482" s="108">
        <f>VLOOKUP(I482,'Weights and Confidence'!$D$16:$AC$26,5,FALSE)</f>
        <v>0.1</v>
      </c>
      <c r="AC482" s="147">
        <f>VLOOKUP(I482,'Weights and Confidence'!$D$16:$AC$26,6,FALSE)</f>
        <v>1</v>
      </c>
    </row>
    <row r="483" spans="1:29" x14ac:dyDescent="0.2">
      <c r="A483" s="34" t="s">
        <v>14</v>
      </c>
      <c r="B483" s="34" t="s">
        <v>0</v>
      </c>
      <c r="C483" s="34" t="s">
        <v>50</v>
      </c>
      <c r="D483" s="34" t="s">
        <v>5</v>
      </c>
      <c r="E483" s="34" t="s">
        <v>103</v>
      </c>
      <c r="F483" s="34" t="s">
        <v>51</v>
      </c>
      <c r="G483" s="34">
        <v>8</v>
      </c>
      <c r="H483" s="34" t="s">
        <v>18</v>
      </c>
      <c r="I483" s="34" t="s">
        <v>26</v>
      </c>
      <c r="J483" s="34">
        <v>1</v>
      </c>
      <c r="K483" s="35">
        <f>AB483/COUNTIFS($B:$B,$B483,$C:$C,$C483,$H:$H,$H483,$I:$I,$I483)</f>
        <v>0.1</v>
      </c>
      <c r="L483" s="36">
        <f t="shared" si="30"/>
        <v>1</v>
      </c>
      <c r="M483" s="37">
        <f t="shared" si="31"/>
        <v>0.1</v>
      </c>
      <c r="N483" s="58"/>
      <c r="AA483" s="146">
        <f>AB483/COUNTIFS($B:$B,$B483,$C:$C,$C483,$H:$H,$H483,$I:$I,$I483)</f>
        <v>0.1</v>
      </c>
      <c r="AB483" s="108">
        <f>VLOOKUP(I483,'Weights and Confidence'!$D$16:$AC$26,5,FALSE)</f>
        <v>0.1</v>
      </c>
      <c r="AC483" s="147">
        <f>VLOOKUP(I483,'Weights and Confidence'!$D$16:$AC$26,6,FALSE)</f>
        <v>1</v>
      </c>
    </row>
    <row r="484" spans="1:29" x14ac:dyDescent="0.2">
      <c r="A484" s="38" t="s">
        <v>14</v>
      </c>
      <c r="B484" s="38" t="s">
        <v>0</v>
      </c>
      <c r="C484" s="38" t="s">
        <v>50</v>
      </c>
      <c r="D484" s="38" t="s">
        <v>5</v>
      </c>
      <c r="E484" s="38" t="s">
        <v>103</v>
      </c>
      <c r="F484" s="38" t="s">
        <v>51</v>
      </c>
      <c r="G484" s="38">
        <v>9</v>
      </c>
      <c r="H484" s="38" t="s">
        <v>17</v>
      </c>
      <c r="I484" s="38" t="s">
        <v>27</v>
      </c>
      <c r="J484" s="38">
        <v>0</v>
      </c>
      <c r="K484" s="39">
        <f>AB484/COUNTIFS($B:$B,$B484,$C:$C,$C484,$H:$H,$H484,$I:$I,$I484)</f>
        <v>0.05</v>
      </c>
      <c r="L484" s="40">
        <f t="shared" si="30"/>
        <v>0.85</v>
      </c>
      <c r="M484" s="41">
        <f t="shared" si="31"/>
        <v>0</v>
      </c>
      <c r="N484" s="38"/>
      <c r="AA484" s="146">
        <f>AB484/COUNTIFS($B:$B,$B484,$C:$C,$C484,$H:$H,$H484,$I:$I,$I484)</f>
        <v>0.05</v>
      </c>
      <c r="AB484" s="108">
        <f>VLOOKUP(I484,'Weights and Confidence'!$D$16:$AC$26,5,FALSE)</f>
        <v>0.1</v>
      </c>
      <c r="AC484" s="147">
        <f>VLOOKUP(I484,'Weights and Confidence'!$D$16:$AC$26,6,FALSE)</f>
        <v>0.85</v>
      </c>
    </row>
    <row r="485" spans="1:29" x14ac:dyDescent="0.2">
      <c r="A485" s="34" t="s">
        <v>14</v>
      </c>
      <c r="B485" s="34" t="s">
        <v>0</v>
      </c>
      <c r="C485" s="34" t="s">
        <v>50</v>
      </c>
      <c r="D485" s="34" t="s">
        <v>5</v>
      </c>
      <c r="E485" s="34" t="s">
        <v>103</v>
      </c>
      <c r="F485" s="34" t="s">
        <v>51</v>
      </c>
      <c r="G485" s="34">
        <v>9</v>
      </c>
      <c r="H485" s="34" t="s">
        <v>18</v>
      </c>
      <c r="I485" s="34" t="s">
        <v>27</v>
      </c>
      <c r="J485" s="34">
        <v>1</v>
      </c>
      <c r="K485" s="35">
        <f>AB485/COUNTIFS($B:$B,$B485,$C:$C,$C485,$H:$H,$H485,$I:$I,$I485)</f>
        <v>0.05</v>
      </c>
      <c r="L485" s="36">
        <f t="shared" si="30"/>
        <v>0.85</v>
      </c>
      <c r="M485" s="37">
        <f t="shared" si="31"/>
        <v>4.2500000000000003E-2</v>
      </c>
      <c r="N485" s="34"/>
      <c r="AA485" s="146">
        <f>AB485/COUNTIFS($B:$B,$B485,$C:$C,$C485,$H:$H,$H485,$I:$I,$I485)</f>
        <v>0.05</v>
      </c>
      <c r="AB485" s="108">
        <f>VLOOKUP(I485,'Weights and Confidence'!$D$16:$AC$26,5,FALSE)</f>
        <v>0.1</v>
      </c>
      <c r="AC485" s="147">
        <f>VLOOKUP(I485,'Weights and Confidence'!$D$16:$AC$26,6,FALSE)</f>
        <v>0.85</v>
      </c>
    </row>
    <row r="486" spans="1:29" x14ac:dyDescent="0.2">
      <c r="A486" s="38" t="s">
        <v>14</v>
      </c>
      <c r="B486" s="38" t="s">
        <v>0</v>
      </c>
      <c r="C486" s="38" t="s">
        <v>50</v>
      </c>
      <c r="D486" s="38" t="s">
        <v>5</v>
      </c>
      <c r="E486" s="38" t="s">
        <v>103</v>
      </c>
      <c r="F486" s="38" t="s">
        <v>51</v>
      </c>
      <c r="G486" s="38">
        <v>10</v>
      </c>
      <c r="H486" s="38" t="s">
        <v>17</v>
      </c>
      <c r="I486" s="38" t="s">
        <v>27</v>
      </c>
      <c r="J486" s="38">
        <v>0</v>
      </c>
      <c r="K486" s="39">
        <f>AB486/COUNTIFS($B:$B,$B486,$C:$C,$C486,$H:$H,$H486,$I:$I,$I486)</f>
        <v>0.05</v>
      </c>
      <c r="L486" s="40">
        <f t="shared" si="30"/>
        <v>0.85</v>
      </c>
      <c r="M486" s="41">
        <f t="shared" si="31"/>
        <v>0</v>
      </c>
      <c r="N486" s="38"/>
      <c r="AA486" s="146">
        <f>AB486/COUNTIFS($B:$B,$B486,$C:$C,$C486,$H:$H,$H486,$I:$I,$I486)</f>
        <v>0.05</v>
      </c>
      <c r="AB486" s="108">
        <f>VLOOKUP(I486,'Weights and Confidence'!$D$16:$AC$26,5,FALSE)</f>
        <v>0.1</v>
      </c>
      <c r="AC486" s="147">
        <f>VLOOKUP(I486,'Weights and Confidence'!$D$16:$AC$26,6,FALSE)</f>
        <v>0.85</v>
      </c>
    </row>
    <row r="487" spans="1:29" x14ac:dyDescent="0.2">
      <c r="A487" s="34" t="s">
        <v>14</v>
      </c>
      <c r="B487" s="34" t="s">
        <v>0</v>
      </c>
      <c r="C487" s="34" t="s">
        <v>50</v>
      </c>
      <c r="D487" s="34" t="s">
        <v>5</v>
      </c>
      <c r="E487" s="34" t="s">
        <v>103</v>
      </c>
      <c r="F487" s="34" t="s">
        <v>51</v>
      </c>
      <c r="G487" s="34">
        <v>10</v>
      </c>
      <c r="H487" s="34" t="s">
        <v>18</v>
      </c>
      <c r="I487" s="34" t="s">
        <v>27</v>
      </c>
      <c r="J487" s="34">
        <v>1</v>
      </c>
      <c r="K487" s="35">
        <f>AB487/COUNTIFS($B:$B,$B487,$C:$C,$C487,$H:$H,$H487,$I:$I,$I487)</f>
        <v>0.05</v>
      </c>
      <c r="L487" s="36">
        <f t="shared" si="30"/>
        <v>0.85</v>
      </c>
      <c r="M487" s="37">
        <f t="shared" si="31"/>
        <v>4.2500000000000003E-2</v>
      </c>
      <c r="N487" s="34"/>
      <c r="AA487" s="146">
        <f>AB487/COUNTIFS($B:$B,$B487,$C:$C,$C487,$H:$H,$H487,$I:$I,$I487)</f>
        <v>0.05</v>
      </c>
      <c r="AB487" s="108">
        <f>VLOOKUP(I487,'Weights and Confidence'!$D$16:$AC$26,5,FALSE)</f>
        <v>0.1</v>
      </c>
      <c r="AC487" s="147">
        <f>VLOOKUP(I487,'Weights and Confidence'!$D$16:$AC$26,6,FALSE)</f>
        <v>0.85</v>
      </c>
    </row>
    <row r="488" spans="1:29" x14ac:dyDescent="0.2">
      <c r="A488" s="38" t="s">
        <v>14</v>
      </c>
      <c r="B488" s="38" t="s">
        <v>0</v>
      </c>
      <c r="C488" s="38" t="s">
        <v>50</v>
      </c>
      <c r="D488" s="38" t="s">
        <v>5</v>
      </c>
      <c r="E488" s="38" t="s">
        <v>103</v>
      </c>
      <c r="F488" s="38" t="s">
        <v>51</v>
      </c>
      <c r="G488" s="38">
        <v>11</v>
      </c>
      <c r="H488" s="38" t="s">
        <v>17</v>
      </c>
      <c r="I488" s="38" t="s">
        <v>28</v>
      </c>
      <c r="J488" s="38">
        <v>0</v>
      </c>
      <c r="K488" s="39">
        <f>AB488/COUNTIFS($B:$B,$B488,$C:$C,$C488,$H:$H,$H488,$I:$I,$I488)</f>
        <v>0.05</v>
      </c>
      <c r="L488" s="40">
        <f t="shared" si="30"/>
        <v>1</v>
      </c>
      <c r="M488" s="41">
        <f t="shared" si="31"/>
        <v>0</v>
      </c>
      <c r="N488" s="38"/>
      <c r="AA488" s="146">
        <f>AB488/COUNTIFS($B:$B,$B488,$C:$C,$C488,$H:$H,$H488,$I:$I,$I488)</f>
        <v>0.05</v>
      </c>
      <c r="AB488" s="108">
        <f>VLOOKUP(I488,'Weights and Confidence'!$D$16:$AC$26,5,FALSE)</f>
        <v>0.05</v>
      </c>
      <c r="AC488" s="147">
        <f>VLOOKUP(I488,'Weights and Confidence'!$D$16:$AC$26,6,FALSE)</f>
        <v>1</v>
      </c>
    </row>
    <row r="489" spans="1:29" ht="17" thickBot="1" x14ac:dyDescent="0.25">
      <c r="A489" s="34" t="s">
        <v>14</v>
      </c>
      <c r="B489" s="34" t="s">
        <v>0</v>
      </c>
      <c r="C489" s="34" t="s">
        <v>50</v>
      </c>
      <c r="D489" s="34" t="s">
        <v>5</v>
      </c>
      <c r="E489" s="34" t="s">
        <v>103</v>
      </c>
      <c r="F489" s="34" t="s">
        <v>51</v>
      </c>
      <c r="G489" s="34">
        <v>11</v>
      </c>
      <c r="H489" s="34" t="s">
        <v>18</v>
      </c>
      <c r="I489" s="34" t="s">
        <v>28</v>
      </c>
      <c r="J489" s="34">
        <v>1</v>
      </c>
      <c r="K489" s="35">
        <f>AB489/COUNTIFS($B:$B,$B489,$C:$C,$C489,$H:$H,$H489,$I:$I,$I489)</f>
        <v>0.05</v>
      </c>
      <c r="L489" s="36">
        <f t="shared" si="30"/>
        <v>1</v>
      </c>
      <c r="M489" s="37">
        <f t="shared" si="31"/>
        <v>0.05</v>
      </c>
      <c r="N489" s="34"/>
      <c r="AA489" s="140">
        <f>AB489/COUNTIFS($B:$B,$B489,$C:$C,$C489,$H:$H,$H489,$I:$I,$I489)</f>
        <v>0.05</v>
      </c>
      <c r="AB489" s="141">
        <f>VLOOKUP(I489,'Weights and Confidence'!$D$16:$AC$26,5,FALSE)</f>
        <v>0.05</v>
      </c>
      <c r="AC489" s="142">
        <f>VLOOKUP(I489,'Weights and Confidence'!$D$16:$AC$26,6,FALSE)</f>
        <v>1</v>
      </c>
    </row>
    <row r="490" spans="1:29" ht="17" thickTop="1" x14ac:dyDescent="0.2">
      <c r="A490" s="42" t="s">
        <v>14</v>
      </c>
      <c r="B490" s="42" t="s">
        <v>0</v>
      </c>
      <c r="C490" s="42" t="s">
        <v>52</v>
      </c>
      <c r="D490" s="42" t="s">
        <v>5</v>
      </c>
      <c r="E490" s="43" t="s">
        <v>105</v>
      </c>
      <c r="F490" s="43" t="s">
        <v>127</v>
      </c>
      <c r="G490" s="42">
        <v>1</v>
      </c>
      <c r="H490" s="42" t="s">
        <v>17</v>
      </c>
      <c r="I490" s="42" t="s">
        <v>19</v>
      </c>
      <c r="J490" s="42">
        <v>1</v>
      </c>
      <c r="K490" s="44">
        <f>AB490/COUNTIFS($B:$B,$B490,$C:$C,$C490,$H:$H,$H490,$I:$I,$I490)</f>
        <v>0.12</v>
      </c>
      <c r="L490" s="45">
        <f t="shared" si="30"/>
        <v>1</v>
      </c>
      <c r="M490" s="46">
        <f t="shared" ref="M490:M511" si="32">J490*K490*L490</f>
        <v>0.12</v>
      </c>
      <c r="N490" s="42"/>
      <c r="AA490" s="143">
        <f>AB490/COUNTIFS($B:$B,$B490,$C:$C,$C490,$H:$H,$H490,$I:$I,$I490)</f>
        <v>0.12</v>
      </c>
      <c r="AB490" s="144">
        <f>VLOOKUP(I490,'Weights and Confidence'!$D$16:$AC$26,5,FALSE)</f>
        <v>0.12</v>
      </c>
      <c r="AC490" s="145">
        <f>VLOOKUP(I490,'Weights and Confidence'!$D$16:$AC$26,6,FALSE)</f>
        <v>1</v>
      </c>
    </row>
    <row r="491" spans="1:29" x14ac:dyDescent="0.2">
      <c r="A491" s="34" t="s">
        <v>14</v>
      </c>
      <c r="B491" s="34" t="s">
        <v>0</v>
      </c>
      <c r="C491" s="34" t="s">
        <v>52</v>
      </c>
      <c r="D491" s="34" t="s">
        <v>5</v>
      </c>
      <c r="E491" s="34" t="s">
        <v>105</v>
      </c>
      <c r="F491" s="34" t="s">
        <v>127</v>
      </c>
      <c r="G491" s="34">
        <v>1</v>
      </c>
      <c r="H491" s="34" t="s">
        <v>18</v>
      </c>
      <c r="I491" s="34" t="s">
        <v>19</v>
      </c>
      <c r="J491" s="34">
        <v>1</v>
      </c>
      <c r="K491" s="35">
        <f>AB491/COUNTIFS($B:$B,$B491,$C:$C,$C491,$H:$H,$H491,$I:$I,$I491)</f>
        <v>0.12</v>
      </c>
      <c r="L491" s="36">
        <f t="shared" si="30"/>
        <v>1</v>
      </c>
      <c r="M491" s="37">
        <f t="shared" si="32"/>
        <v>0.12</v>
      </c>
      <c r="N491" s="58"/>
      <c r="AA491" s="146">
        <f>AB491/COUNTIFS($B:$B,$B491,$C:$C,$C491,$H:$H,$H491,$I:$I,$I491)</f>
        <v>0.12</v>
      </c>
      <c r="AB491" s="108">
        <f>VLOOKUP(I491,'Weights and Confidence'!$D$16:$AC$26,5,FALSE)</f>
        <v>0.12</v>
      </c>
      <c r="AC491" s="147">
        <f>VLOOKUP(I491,'Weights and Confidence'!$D$16:$AC$26,6,FALSE)</f>
        <v>1</v>
      </c>
    </row>
    <row r="492" spans="1:29" x14ac:dyDescent="0.2">
      <c r="A492" s="38" t="s">
        <v>14</v>
      </c>
      <c r="B492" s="38" t="s">
        <v>0</v>
      </c>
      <c r="C492" s="38" t="s">
        <v>52</v>
      </c>
      <c r="D492" s="38" t="s">
        <v>5</v>
      </c>
      <c r="E492" s="38" t="s">
        <v>105</v>
      </c>
      <c r="F492" s="38" t="s">
        <v>127</v>
      </c>
      <c r="G492" s="38">
        <v>2</v>
      </c>
      <c r="H492" s="38" t="s">
        <v>17</v>
      </c>
      <c r="I492" s="38" t="s">
        <v>20</v>
      </c>
      <c r="J492" s="38">
        <v>1</v>
      </c>
      <c r="K492" s="39">
        <f>AB492/COUNTIFS($B:$B,$B492,$C:$C,$C492,$H:$H,$H492,$I:$I,$I492)</f>
        <v>0.08</v>
      </c>
      <c r="L492" s="40">
        <f t="shared" si="30"/>
        <v>0.8</v>
      </c>
      <c r="M492" s="41">
        <f t="shared" si="32"/>
        <v>6.4000000000000001E-2</v>
      </c>
      <c r="N492" s="38"/>
      <c r="AA492" s="146">
        <f>AB492/COUNTIFS($B:$B,$B492,$C:$C,$C492,$H:$H,$H492,$I:$I,$I492)</f>
        <v>0.08</v>
      </c>
      <c r="AB492" s="108">
        <f>VLOOKUP(I492,'Weights and Confidence'!$D$16:$AC$26,5,FALSE)</f>
        <v>0.08</v>
      </c>
      <c r="AC492" s="147">
        <f>VLOOKUP(I492,'Weights and Confidence'!$D$16:$AC$26,6,FALSE)</f>
        <v>0.8</v>
      </c>
    </row>
    <row r="493" spans="1:29" x14ac:dyDescent="0.2">
      <c r="A493" s="34" t="s">
        <v>14</v>
      </c>
      <c r="B493" s="34" t="s">
        <v>0</v>
      </c>
      <c r="C493" s="34" t="s">
        <v>52</v>
      </c>
      <c r="D493" s="34" t="s">
        <v>5</v>
      </c>
      <c r="E493" s="34" t="s">
        <v>105</v>
      </c>
      <c r="F493" s="34" t="s">
        <v>127</v>
      </c>
      <c r="G493" s="34">
        <v>2</v>
      </c>
      <c r="H493" s="34" t="s">
        <v>18</v>
      </c>
      <c r="I493" s="34" t="s">
        <v>20</v>
      </c>
      <c r="J493" s="34">
        <v>1</v>
      </c>
      <c r="K493" s="35">
        <f>AB493/COUNTIFS($B:$B,$B493,$C:$C,$C493,$H:$H,$H493,$I:$I,$I493)</f>
        <v>0.08</v>
      </c>
      <c r="L493" s="36">
        <f t="shared" si="30"/>
        <v>0.8</v>
      </c>
      <c r="M493" s="37">
        <f t="shared" si="32"/>
        <v>6.4000000000000001E-2</v>
      </c>
      <c r="N493" s="34"/>
      <c r="AA493" s="146">
        <f>AB493/COUNTIFS($B:$B,$B493,$C:$C,$C493,$H:$H,$H493,$I:$I,$I493)</f>
        <v>0.08</v>
      </c>
      <c r="AB493" s="108">
        <f>VLOOKUP(I493,'Weights and Confidence'!$D$16:$AC$26,5,FALSE)</f>
        <v>0.08</v>
      </c>
      <c r="AC493" s="147">
        <f>VLOOKUP(I493,'Weights and Confidence'!$D$16:$AC$26,6,FALSE)</f>
        <v>0.8</v>
      </c>
    </row>
    <row r="494" spans="1:29" x14ac:dyDescent="0.2">
      <c r="A494" s="38" t="s">
        <v>14</v>
      </c>
      <c r="B494" s="38" t="s">
        <v>0</v>
      </c>
      <c r="C494" s="38" t="s">
        <v>52</v>
      </c>
      <c r="D494" s="38" t="s">
        <v>5</v>
      </c>
      <c r="E494" s="38" t="s">
        <v>105</v>
      </c>
      <c r="F494" s="38" t="s">
        <v>127</v>
      </c>
      <c r="G494" s="38">
        <v>3</v>
      </c>
      <c r="H494" s="38" t="s">
        <v>17</v>
      </c>
      <c r="I494" s="38" t="s">
        <v>21</v>
      </c>
      <c r="J494" s="38">
        <v>1</v>
      </c>
      <c r="K494" s="39">
        <f>AB494/COUNTIFS($B:$B,$B494,$C:$C,$C494,$H:$H,$H494,$I:$I,$I494)</f>
        <v>0.05</v>
      </c>
      <c r="L494" s="40">
        <f t="shared" si="30"/>
        <v>1</v>
      </c>
      <c r="M494" s="41">
        <f t="shared" si="32"/>
        <v>0.05</v>
      </c>
      <c r="N494" s="38"/>
      <c r="AA494" s="146">
        <f>AB494/COUNTIFS($B:$B,$B494,$C:$C,$C494,$H:$H,$H494,$I:$I,$I494)</f>
        <v>0.05</v>
      </c>
      <c r="AB494" s="108">
        <f>VLOOKUP(I494,'Weights and Confidence'!$D$16:$AC$26,5,FALSE)</f>
        <v>0.05</v>
      </c>
      <c r="AC494" s="147">
        <f>VLOOKUP(I494,'Weights and Confidence'!$D$16:$AC$26,6,FALSE)</f>
        <v>1</v>
      </c>
    </row>
    <row r="495" spans="1:29" x14ac:dyDescent="0.2">
      <c r="A495" s="34" t="s">
        <v>14</v>
      </c>
      <c r="B495" s="34" t="s">
        <v>0</v>
      </c>
      <c r="C495" s="34" t="s">
        <v>52</v>
      </c>
      <c r="D495" s="34" t="s">
        <v>5</v>
      </c>
      <c r="E495" s="34" t="s">
        <v>105</v>
      </c>
      <c r="F495" s="34" t="s">
        <v>127</v>
      </c>
      <c r="G495" s="34">
        <v>3</v>
      </c>
      <c r="H495" s="34" t="s">
        <v>18</v>
      </c>
      <c r="I495" s="34" t="s">
        <v>21</v>
      </c>
      <c r="J495" s="34">
        <v>1</v>
      </c>
      <c r="K495" s="35">
        <f>AB495/COUNTIFS($B:$B,$B495,$C:$C,$C495,$H:$H,$H495,$I:$I,$I495)</f>
        <v>0.05</v>
      </c>
      <c r="L495" s="36">
        <f t="shared" si="30"/>
        <v>1</v>
      </c>
      <c r="M495" s="37">
        <f t="shared" si="32"/>
        <v>0.05</v>
      </c>
      <c r="N495" s="58"/>
      <c r="AA495" s="146">
        <f>AB495/COUNTIFS($B:$B,$B495,$C:$C,$C495,$H:$H,$H495,$I:$I,$I495)</f>
        <v>0.05</v>
      </c>
      <c r="AB495" s="108">
        <f>VLOOKUP(I495,'Weights and Confidence'!$D$16:$AC$26,5,FALSE)</f>
        <v>0.05</v>
      </c>
      <c r="AC495" s="147">
        <f>VLOOKUP(I495,'Weights and Confidence'!$D$16:$AC$26,6,FALSE)</f>
        <v>1</v>
      </c>
    </row>
    <row r="496" spans="1:29" x14ac:dyDescent="0.2">
      <c r="A496" s="38" t="s">
        <v>14</v>
      </c>
      <c r="B496" s="38" t="s">
        <v>0</v>
      </c>
      <c r="C496" s="38" t="s">
        <v>52</v>
      </c>
      <c r="D496" s="38" t="s">
        <v>5</v>
      </c>
      <c r="E496" s="38" t="s">
        <v>105</v>
      </c>
      <c r="F496" s="38" t="s">
        <v>127</v>
      </c>
      <c r="G496" s="38">
        <v>4</v>
      </c>
      <c r="H496" s="38" t="s">
        <v>17</v>
      </c>
      <c r="I496" s="38" t="s">
        <v>22</v>
      </c>
      <c r="J496" s="38">
        <v>0</v>
      </c>
      <c r="K496" s="39">
        <f>AB496/COUNTIFS($B:$B,$B496,$C:$C,$C496,$H:$H,$H496,$I:$I,$I496)</f>
        <v>0.14000000000000001</v>
      </c>
      <c r="L496" s="40">
        <f t="shared" si="30"/>
        <v>1</v>
      </c>
      <c r="M496" s="41">
        <f t="shared" si="32"/>
        <v>0</v>
      </c>
      <c r="N496" s="38"/>
      <c r="AA496" s="146">
        <f>AB496/COUNTIFS($B:$B,$B496,$C:$C,$C496,$H:$H,$H496,$I:$I,$I496)</f>
        <v>0.14000000000000001</v>
      </c>
      <c r="AB496" s="108">
        <f>VLOOKUP(I496,'Weights and Confidence'!$D$16:$AC$26,5,FALSE)</f>
        <v>0.14000000000000001</v>
      </c>
      <c r="AC496" s="147">
        <f>VLOOKUP(I496,'Weights and Confidence'!$D$16:$AC$26,6,FALSE)</f>
        <v>1</v>
      </c>
    </row>
    <row r="497" spans="1:29" x14ac:dyDescent="0.2">
      <c r="A497" s="34" t="s">
        <v>14</v>
      </c>
      <c r="B497" s="34" t="s">
        <v>0</v>
      </c>
      <c r="C497" s="34" t="s">
        <v>52</v>
      </c>
      <c r="D497" s="34" t="s">
        <v>5</v>
      </c>
      <c r="E497" s="34" t="s">
        <v>105</v>
      </c>
      <c r="F497" s="34" t="s">
        <v>127</v>
      </c>
      <c r="G497" s="34">
        <v>4</v>
      </c>
      <c r="H497" s="34" t="s">
        <v>18</v>
      </c>
      <c r="I497" s="34" t="s">
        <v>22</v>
      </c>
      <c r="J497" s="34">
        <v>0</v>
      </c>
      <c r="K497" s="35">
        <f>AB497/COUNTIFS($B:$B,$B497,$C:$C,$C497,$H:$H,$H497,$I:$I,$I497)</f>
        <v>0.14000000000000001</v>
      </c>
      <c r="L497" s="36">
        <f t="shared" si="30"/>
        <v>1</v>
      </c>
      <c r="M497" s="37">
        <f t="shared" si="32"/>
        <v>0</v>
      </c>
      <c r="N497" s="58" t="s">
        <v>129</v>
      </c>
      <c r="AA497" s="146">
        <f>AB497/COUNTIFS($B:$B,$B497,$C:$C,$C497,$H:$H,$H497,$I:$I,$I497)</f>
        <v>0.14000000000000001</v>
      </c>
      <c r="AB497" s="108">
        <f>VLOOKUP(I497,'Weights and Confidence'!$D$16:$AC$26,5,FALSE)</f>
        <v>0.14000000000000001</v>
      </c>
      <c r="AC497" s="147">
        <f>VLOOKUP(I497,'Weights and Confidence'!$D$16:$AC$26,6,FALSE)</f>
        <v>1</v>
      </c>
    </row>
    <row r="498" spans="1:29" x14ac:dyDescent="0.2">
      <c r="A498" s="38" t="s">
        <v>14</v>
      </c>
      <c r="B498" s="38" t="s">
        <v>0</v>
      </c>
      <c r="C498" s="38" t="s">
        <v>52</v>
      </c>
      <c r="D498" s="38" t="s">
        <v>5</v>
      </c>
      <c r="E498" s="38" t="s">
        <v>105</v>
      </c>
      <c r="F498" s="38" t="s">
        <v>127</v>
      </c>
      <c r="G498" s="38">
        <v>5</v>
      </c>
      <c r="H498" s="38" t="s">
        <v>17</v>
      </c>
      <c r="I498" s="38" t="s">
        <v>23</v>
      </c>
      <c r="J498" s="38">
        <v>0</v>
      </c>
      <c r="K498" s="39">
        <f>AB498/COUNTIFS($B:$B,$B498,$C:$C,$C498,$H:$H,$H498,$I:$I,$I498)</f>
        <v>0.11</v>
      </c>
      <c r="L498" s="40">
        <f t="shared" si="30"/>
        <v>1</v>
      </c>
      <c r="M498" s="41">
        <f t="shared" si="32"/>
        <v>0</v>
      </c>
      <c r="N498" s="38"/>
      <c r="AA498" s="146">
        <f>AB498/COUNTIFS($B:$B,$B498,$C:$C,$C498,$H:$H,$H498,$I:$I,$I498)</f>
        <v>0.11</v>
      </c>
      <c r="AB498" s="108">
        <f>VLOOKUP(I498,'Weights and Confidence'!$D$16:$AC$26,5,FALSE)</f>
        <v>0.11</v>
      </c>
      <c r="AC498" s="147">
        <f>VLOOKUP(I498,'Weights and Confidence'!$D$16:$AC$26,6,FALSE)</f>
        <v>1</v>
      </c>
    </row>
    <row r="499" spans="1:29" x14ac:dyDescent="0.2">
      <c r="A499" s="34" t="s">
        <v>14</v>
      </c>
      <c r="B499" s="34" t="s">
        <v>0</v>
      </c>
      <c r="C499" s="34" t="s">
        <v>52</v>
      </c>
      <c r="D499" s="34" t="s">
        <v>5</v>
      </c>
      <c r="E499" s="34" t="s">
        <v>105</v>
      </c>
      <c r="F499" s="34" t="s">
        <v>127</v>
      </c>
      <c r="G499" s="34">
        <v>5</v>
      </c>
      <c r="H499" s="34" t="s">
        <v>18</v>
      </c>
      <c r="I499" s="34" t="s">
        <v>23</v>
      </c>
      <c r="J499" s="34">
        <v>1</v>
      </c>
      <c r="K499" s="35">
        <f>AB499/COUNTIFS($B:$B,$B499,$C:$C,$C499,$H:$H,$H499,$I:$I,$I499)</f>
        <v>0.11</v>
      </c>
      <c r="L499" s="36">
        <f t="shared" si="30"/>
        <v>1</v>
      </c>
      <c r="M499" s="37">
        <f t="shared" si="32"/>
        <v>0.11</v>
      </c>
      <c r="N499" s="34"/>
      <c r="AA499" s="146">
        <f>AB499/COUNTIFS($B:$B,$B499,$C:$C,$C499,$H:$H,$H499,$I:$I,$I499)</f>
        <v>0.11</v>
      </c>
      <c r="AB499" s="108">
        <f>VLOOKUP(I499,'Weights and Confidence'!$D$16:$AC$26,5,FALSE)</f>
        <v>0.11</v>
      </c>
      <c r="AC499" s="147">
        <f>VLOOKUP(I499,'Weights and Confidence'!$D$16:$AC$26,6,FALSE)</f>
        <v>1</v>
      </c>
    </row>
    <row r="500" spans="1:29" x14ac:dyDescent="0.2">
      <c r="A500" s="38" t="s">
        <v>14</v>
      </c>
      <c r="B500" s="38" t="s">
        <v>0</v>
      </c>
      <c r="C500" s="38" t="s">
        <v>52</v>
      </c>
      <c r="D500" s="38" t="s">
        <v>5</v>
      </c>
      <c r="E500" s="38" t="s">
        <v>105</v>
      </c>
      <c r="F500" s="38" t="s">
        <v>127</v>
      </c>
      <c r="G500" s="38">
        <v>6</v>
      </c>
      <c r="H500" s="38" t="s">
        <v>17</v>
      </c>
      <c r="I500" s="38" t="s">
        <v>24</v>
      </c>
      <c r="J500" s="38">
        <v>1</v>
      </c>
      <c r="K500" s="39">
        <f>AB500/COUNTIFS($B:$B,$B500,$C:$C,$C500,$H:$H,$H500,$I:$I,$I500)</f>
        <v>0.15</v>
      </c>
      <c r="L500" s="40">
        <f t="shared" si="30"/>
        <v>1</v>
      </c>
      <c r="M500" s="41">
        <f t="shared" si="32"/>
        <v>0.15</v>
      </c>
      <c r="N500" s="38"/>
      <c r="AA500" s="146">
        <f>AB500/COUNTIFS($B:$B,$B500,$C:$C,$C500,$H:$H,$H500,$I:$I,$I500)</f>
        <v>0.15</v>
      </c>
      <c r="AB500" s="108">
        <f>VLOOKUP(I500,'Weights and Confidence'!$D$16:$AC$26,5,FALSE)</f>
        <v>0.15</v>
      </c>
      <c r="AC500" s="147">
        <f>VLOOKUP(I500,'Weights and Confidence'!$D$16:$AC$26,6,FALSE)</f>
        <v>1</v>
      </c>
    </row>
    <row r="501" spans="1:29" x14ac:dyDescent="0.2">
      <c r="A501" s="34" t="s">
        <v>14</v>
      </c>
      <c r="B501" s="34" t="s">
        <v>0</v>
      </c>
      <c r="C501" s="34" t="s">
        <v>52</v>
      </c>
      <c r="D501" s="34" t="s">
        <v>5</v>
      </c>
      <c r="E501" s="34" t="s">
        <v>105</v>
      </c>
      <c r="F501" s="34" t="s">
        <v>127</v>
      </c>
      <c r="G501" s="34">
        <v>6</v>
      </c>
      <c r="H501" s="34" t="s">
        <v>18</v>
      </c>
      <c r="I501" s="34" t="s">
        <v>24</v>
      </c>
      <c r="J501" s="34">
        <v>1</v>
      </c>
      <c r="K501" s="35">
        <f>AB501/COUNTIFS($B:$B,$B501,$C:$C,$C501,$H:$H,$H501,$I:$I,$I501)</f>
        <v>0.15</v>
      </c>
      <c r="L501" s="36">
        <f t="shared" si="30"/>
        <v>1</v>
      </c>
      <c r="M501" s="37">
        <f t="shared" si="32"/>
        <v>0.15</v>
      </c>
      <c r="N501" s="58" t="s">
        <v>130</v>
      </c>
      <c r="AA501" s="146">
        <f>AB501/COUNTIFS($B:$B,$B501,$C:$C,$C501,$H:$H,$H501,$I:$I,$I501)</f>
        <v>0.15</v>
      </c>
      <c r="AB501" s="108">
        <f>VLOOKUP(I501,'Weights and Confidence'!$D$16:$AC$26,5,FALSE)</f>
        <v>0.15</v>
      </c>
      <c r="AC501" s="147">
        <f>VLOOKUP(I501,'Weights and Confidence'!$D$16:$AC$26,6,FALSE)</f>
        <v>1</v>
      </c>
    </row>
    <row r="502" spans="1:29" x14ac:dyDescent="0.2">
      <c r="A502" s="38" t="s">
        <v>14</v>
      </c>
      <c r="B502" s="38" t="s">
        <v>0</v>
      </c>
      <c r="C502" s="38" t="s">
        <v>52</v>
      </c>
      <c r="D502" s="38" t="s">
        <v>5</v>
      </c>
      <c r="E502" s="38" t="s">
        <v>105</v>
      </c>
      <c r="F502" s="38" t="s">
        <v>127</v>
      </c>
      <c r="G502" s="38">
        <v>7</v>
      </c>
      <c r="H502" s="38" t="s">
        <v>17</v>
      </c>
      <c r="I502" s="38" t="s">
        <v>25</v>
      </c>
      <c r="J502" s="38">
        <v>1</v>
      </c>
      <c r="K502" s="39">
        <f>AB502/COUNTIFS($B:$B,$B502,$C:$C,$C502,$H:$H,$H502,$I:$I,$I502)</f>
        <v>0.1</v>
      </c>
      <c r="L502" s="40">
        <f t="shared" si="30"/>
        <v>1</v>
      </c>
      <c r="M502" s="41">
        <f t="shared" si="32"/>
        <v>0.1</v>
      </c>
      <c r="N502" s="38"/>
      <c r="AA502" s="146">
        <f>AB502/COUNTIFS($B:$B,$B502,$C:$C,$C502,$H:$H,$H502,$I:$I,$I502)</f>
        <v>0.1</v>
      </c>
      <c r="AB502" s="108">
        <f>VLOOKUP(I502,'Weights and Confidence'!$D$16:$AC$26,5,FALSE)</f>
        <v>0.1</v>
      </c>
      <c r="AC502" s="147">
        <f>VLOOKUP(I502,'Weights and Confidence'!$D$16:$AC$26,6,FALSE)</f>
        <v>1</v>
      </c>
    </row>
    <row r="503" spans="1:29" x14ac:dyDescent="0.2">
      <c r="A503" s="34" t="s">
        <v>14</v>
      </c>
      <c r="B503" s="34" t="s">
        <v>0</v>
      </c>
      <c r="C503" s="34" t="s">
        <v>52</v>
      </c>
      <c r="D503" s="34" t="s">
        <v>5</v>
      </c>
      <c r="E503" s="34" t="s">
        <v>105</v>
      </c>
      <c r="F503" s="34" t="s">
        <v>127</v>
      </c>
      <c r="G503" s="34">
        <v>7</v>
      </c>
      <c r="H503" s="34" t="s">
        <v>18</v>
      </c>
      <c r="I503" s="34" t="s">
        <v>25</v>
      </c>
      <c r="J503" s="34">
        <v>1</v>
      </c>
      <c r="K503" s="35">
        <f>AB503/COUNTIFS($B:$B,$B503,$C:$C,$C503,$H:$H,$H503,$I:$I,$I503)</f>
        <v>0.1</v>
      </c>
      <c r="L503" s="36">
        <f t="shared" si="30"/>
        <v>1</v>
      </c>
      <c r="M503" s="37">
        <f t="shared" si="32"/>
        <v>0.1</v>
      </c>
      <c r="N503" s="58"/>
      <c r="AA503" s="146">
        <f>AB503/COUNTIFS($B:$B,$B503,$C:$C,$C503,$H:$H,$H503,$I:$I,$I503)</f>
        <v>0.1</v>
      </c>
      <c r="AB503" s="108">
        <f>VLOOKUP(I503,'Weights and Confidence'!$D$16:$AC$26,5,FALSE)</f>
        <v>0.1</v>
      </c>
      <c r="AC503" s="147">
        <f>VLOOKUP(I503,'Weights and Confidence'!$D$16:$AC$26,6,FALSE)</f>
        <v>1</v>
      </c>
    </row>
    <row r="504" spans="1:29" x14ac:dyDescent="0.2">
      <c r="A504" s="38" t="s">
        <v>14</v>
      </c>
      <c r="B504" s="38" t="s">
        <v>0</v>
      </c>
      <c r="C504" s="38" t="s">
        <v>52</v>
      </c>
      <c r="D504" s="38" t="s">
        <v>5</v>
      </c>
      <c r="E504" s="38" t="s">
        <v>105</v>
      </c>
      <c r="F504" s="38" t="s">
        <v>127</v>
      </c>
      <c r="G504" s="38">
        <v>8</v>
      </c>
      <c r="H504" s="38" t="s">
        <v>17</v>
      </c>
      <c r="I504" s="38" t="s">
        <v>26</v>
      </c>
      <c r="J504" s="38">
        <v>1</v>
      </c>
      <c r="K504" s="39">
        <f>AB504/COUNTIFS($B:$B,$B504,$C:$C,$C504,$H:$H,$H504,$I:$I,$I504)</f>
        <v>0.1</v>
      </c>
      <c r="L504" s="40">
        <f t="shared" si="30"/>
        <v>1</v>
      </c>
      <c r="M504" s="41">
        <f t="shared" si="32"/>
        <v>0.1</v>
      </c>
      <c r="N504" s="38"/>
      <c r="AA504" s="146">
        <f>AB504/COUNTIFS($B:$B,$B504,$C:$C,$C504,$H:$H,$H504,$I:$I,$I504)</f>
        <v>0.1</v>
      </c>
      <c r="AB504" s="108">
        <f>VLOOKUP(I504,'Weights and Confidence'!$D$16:$AC$26,5,FALSE)</f>
        <v>0.1</v>
      </c>
      <c r="AC504" s="147">
        <f>VLOOKUP(I504,'Weights and Confidence'!$D$16:$AC$26,6,FALSE)</f>
        <v>1</v>
      </c>
    </row>
    <row r="505" spans="1:29" x14ac:dyDescent="0.2">
      <c r="A505" s="34" t="s">
        <v>14</v>
      </c>
      <c r="B505" s="34" t="s">
        <v>0</v>
      </c>
      <c r="C505" s="34" t="s">
        <v>52</v>
      </c>
      <c r="D505" s="34" t="s">
        <v>5</v>
      </c>
      <c r="E505" s="34" t="s">
        <v>105</v>
      </c>
      <c r="F505" s="34" t="s">
        <v>127</v>
      </c>
      <c r="G505" s="34">
        <v>8</v>
      </c>
      <c r="H505" s="34" t="s">
        <v>18</v>
      </c>
      <c r="I505" s="34" t="s">
        <v>26</v>
      </c>
      <c r="J505" s="34">
        <v>0</v>
      </c>
      <c r="K505" s="35">
        <f>AB505/COUNTIFS($B:$B,$B505,$C:$C,$C505,$H:$H,$H505,$I:$I,$I505)</f>
        <v>0.1</v>
      </c>
      <c r="L505" s="36">
        <f t="shared" si="30"/>
        <v>1</v>
      </c>
      <c r="M505" s="37">
        <f t="shared" si="32"/>
        <v>0</v>
      </c>
      <c r="N505" s="58" t="s">
        <v>131</v>
      </c>
      <c r="AA505" s="146">
        <f>AB505/COUNTIFS($B:$B,$B505,$C:$C,$C505,$H:$H,$H505,$I:$I,$I505)</f>
        <v>0.1</v>
      </c>
      <c r="AB505" s="108">
        <f>VLOOKUP(I505,'Weights and Confidence'!$D$16:$AC$26,5,FALSE)</f>
        <v>0.1</v>
      </c>
      <c r="AC505" s="147">
        <f>VLOOKUP(I505,'Weights and Confidence'!$D$16:$AC$26,6,FALSE)</f>
        <v>1</v>
      </c>
    </row>
    <row r="506" spans="1:29" x14ac:dyDescent="0.2">
      <c r="A506" s="38" t="s">
        <v>14</v>
      </c>
      <c r="B506" s="38" t="s">
        <v>0</v>
      </c>
      <c r="C506" s="38" t="s">
        <v>52</v>
      </c>
      <c r="D506" s="38" t="s">
        <v>5</v>
      </c>
      <c r="E506" s="38" t="s">
        <v>105</v>
      </c>
      <c r="F506" s="38" t="s">
        <v>127</v>
      </c>
      <c r="G506" s="38">
        <v>9</v>
      </c>
      <c r="H506" s="38" t="s">
        <v>17</v>
      </c>
      <c r="I506" s="38" t="s">
        <v>27</v>
      </c>
      <c r="J506" s="38">
        <v>1</v>
      </c>
      <c r="K506" s="39">
        <f>AB506/COUNTIFS($B:$B,$B506,$C:$C,$C506,$H:$H,$H506,$I:$I,$I506)</f>
        <v>0.05</v>
      </c>
      <c r="L506" s="40">
        <f t="shared" si="30"/>
        <v>0.85</v>
      </c>
      <c r="M506" s="41">
        <f t="shared" si="32"/>
        <v>4.2500000000000003E-2</v>
      </c>
      <c r="N506" s="38"/>
      <c r="AA506" s="146">
        <f>AB506/COUNTIFS($B:$B,$B506,$C:$C,$C506,$H:$H,$H506,$I:$I,$I506)</f>
        <v>0.05</v>
      </c>
      <c r="AB506" s="108">
        <f>VLOOKUP(I506,'Weights and Confidence'!$D$16:$AC$26,5,FALSE)</f>
        <v>0.1</v>
      </c>
      <c r="AC506" s="147">
        <f>VLOOKUP(I506,'Weights and Confidence'!$D$16:$AC$26,6,FALSE)</f>
        <v>0.85</v>
      </c>
    </row>
    <row r="507" spans="1:29" x14ac:dyDescent="0.2">
      <c r="A507" s="34" t="s">
        <v>14</v>
      </c>
      <c r="B507" s="34" t="s">
        <v>0</v>
      </c>
      <c r="C507" s="34" t="s">
        <v>52</v>
      </c>
      <c r="D507" s="34" t="s">
        <v>5</v>
      </c>
      <c r="E507" s="34" t="s">
        <v>105</v>
      </c>
      <c r="F507" s="34" t="s">
        <v>127</v>
      </c>
      <c r="G507" s="34">
        <v>9</v>
      </c>
      <c r="H507" s="34" t="s">
        <v>18</v>
      </c>
      <c r="I507" s="34" t="s">
        <v>27</v>
      </c>
      <c r="J507" s="34">
        <v>1</v>
      </c>
      <c r="K507" s="35">
        <f>AB507/COUNTIFS($B:$B,$B507,$C:$C,$C507,$H:$H,$H507,$I:$I,$I507)</f>
        <v>0.05</v>
      </c>
      <c r="L507" s="36">
        <f t="shared" si="30"/>
        <v>0.85</v>
      </c>
      <c r="M507" s="37">
        <f t="shared" si="32"/>
        <v>4.2500000000000003E-2</v>
      </c>
      <c r="N507" s="34"/>
      <c r="AA507" s="146">
        <f>AB507/COUNTIFS($B:$B,$B507,$C:$C,$C507,$H:$H,$H507,$I:$I,$I507)</f>
        <v>0.05</v>
      </c>
      <c r="AB507" s="108">
        <f>VLOOKUP(I507,'Weights and Confidence'!$D$16:$AC$26,5,FALSE)</f>
        <v>0.1</v>
      </c>
      <c r="AC507" s="147">
        <f>VLOOKUP(I507,'Weights and Confidence'!$D$16:$AC$26,6,FALSE)</f>
        <v>0.85</v>
      </c>
    </row>
    <row r="508" spans="1:29" x14ac:dyDescent="0.2">
      <c r="A508" s="38" t="s">
        <v>14</v>
      </c>
      <c r="B508" s="38" t="s">
        <v>0</v>
      </c>
      <c r="C508" s="38" t="s">
        <v>52</v>
      </c>
      <c r="D508" s="38" t="s">
        <v>5</v>
      </c>
      <c r="E508" s="38" t="s">
        <v>105</v>
      </c>
      <c r="F508" s="38" t="s">
        <v>127</v>
      </c>
      <c r="G508" s="38">
        <v>10</v>
      </c>
      <c r="H508" s="38" t="s">
        <v>17</v>
      </c>
      <c r="I508" s="38" t="s">
        <v>27</v>
      </c>
      <c r="J508" s="38">
        <v>1</v>
      </c>
      <c r="K508" s="39">
        <f>AB508/COUNTIFS($B:$B,$B508,$C:$C,$C508,$H:$H,$H508,$I:$I,$I508)</f>
        <v>0.05</v>
      </c>
      <c r="L508" s="40">
        <f t="shared" si="30"/>
        <v>0.85</v>
      </c>
      <c r="M508" s="41">
        <f t="shared" si="32"/>
        <v>4.2500000000000003E-2</v>
      </c>
      <c r="N508" s="38"/>
      <c r="AA508" s="146">
        <f>AB508/COUNTIFS($B:$B,$B508,$C:$C,$C508,$H:$H,$H508,$I:$I,$I508)</f>
        <v>0.05</v>
      </c>
      <c r="AB508" s="108">
        <f>VLOOKUP(I508,'Weights and Confidence'!$D$16:$AC$26,5,FALSE)</f>
        <v>0.1</v>
      </c>
      <c r="AC508" s="147">
        <f>VLOOKUP(I508,'Weights and Confidence'!$D$16:$AC$26,6,FALSE)</f>
        <v>0.85</v>
      </c>
    </row>
    <row r="509" spans="1:29" x14ac:dyDescent="0.2">
      <c r="A509" s="34" t="s">
        <v>14</v>
      </c>
      <c r="B509" s="34" t="s">
        <v>0</v>
      </c>
      <c r="C509" s="34" t="s">
        <v>52</v>
      </c>
      <c r="D509" s="34" t="s">
        <v>5</v>
      </c>
      <c r="E509" s="34" t="s">
        <v>105</v>
      </c>
      <c r="F509" s="34" t="s">
        <v>127</v>
      </c>
      <c r="G509" s="34">
        <v>10</v>
      </c>
      <c r="H509" s="34" t="s">
        <v>18</v>
      </c>
      <c r="I509" s="34" t="s">
        <v>27</v>
      </c>
      <c r="J509" s="34">
        <v>1</v>
      </c>
      <c r="K509" s="35">
        <f>AB509/COUNTIFS($B:$B,$B509,$C:$C,$C509,$H:$H,$H509,$I:$I,$I509)</f>
        <v>0.05</v>
      </c>
      <c r="L509" s="36">
        <f t="shared" si="30"/>
        <v>0.85</v>
      </c>
      <c r="M509" s="37">
        <f t="shared" si="32"/>
        <v>4.2500000000000003E-2</v>
      </c>
      <c r="N509" s="34"/>
      <c r="AA509" s="146">
        <f>AB509/COUNTIFS($B:$B,$B509,$C:$C,$C509,$H:$H,$H509,$I:$I,$I509)</f>
        <v>0.05</v>
      </c>
      <c r="AB509" s="108">
        <f>VLOOKUP(I509,'Weights and Confidence'!$D$16:$AC$26,5,FALSE)</f>
        <v>0.1</v>
      </c>
      <c r="AC509" s="147">
        <f>VLOOKUP(I509,'Weights and Confidence'!$D$16:$AC$26,6,FALSE)</f>
        <v>0.85</v>
      </c>
    </row>
    <row r="510" spans="1:29" x14ac:dyDescent="0.2">
      <c r="A510" s="38" t="s">
        <v>14</v>
      </c>
      <c r="B510" s="38" t="s">
        <v>0</v>
      </c>
      <c r="C510" s="38" t="s">
        <v>52</v>
      </c>
      <c r="D510" s="38" t="s">
        <v>5</v>
      </c>
      <c r="E510" s="38" t="s">
        <v>105</v>
      </c>
      <c r="F510" s="38" t="s">
        <v>127</v>
      </c>
      <c r="G510" s="38">
        <v>11</v>
      </c>
      <c r="H510" s="38" t="s">
        <v>17</v>
      </c>
      <c r="I510" s="38" t="s">
        <v>28</v>
      </c>
      <c r="J510" s="38">
        <v>1</v>
      </c>
      <c r="K510" s="39">
        <f>AB510/COUNTIFS($B:$B,$B510,$C:$C,$C510,$H:$H,$H510,$I:$I,$I510)</f>
        <v>0.05</v>
      </c>
      <c r="L510" s="40">
        <f t="shared" si="30"/>
        <v>1</v>
      </c>
      <c r="M510" s="41">
        <f t="shared" si="32"/>
        <v>0.05</v>
      </c>
      <c r="N510" s="38"/>
      <c r="AA510" s="146">
        <f>AB510/COUNTIFS($B:$B,$B510,$C:$C,$C510,$H:$H,$H510,$I:$I,$I510)</f>
        <v>0.05</v>
      </c>
      <c r="AB510" s="108">
        <f>VLOOKUP(I510,'Weights and Confidence'!$D$16:$AC$26,5,FALSE)</f>
        <v>0.05</v>
      </c>
      <c r="AC510" s="147">
        <f>VLOOKUP(I510,'Weights and Confidence'!$D$16:$AC$26,6,FALSE)</f>
        <v>1</v>
      </c>
    </row>
    <row r="511" spans="1:29" ht="17" thickBot="1" x14ac:dyDescent="0.25">
      <c r="A511" s="34" t="s">
        <v>14</v>
      </c>
      <c r="B511" s="34" t="s">
        <v>0</v>
      </c>
      <c r="C511" s="34" t="s">
        <v>52</v>
      </c>
      <c r="D511" s="34" t="s">
        <v>5</v>
      </c>
      <c r="E511" s="34" t="s">
        <v>105</v>
      </c>
      <c r="F511" s="34" t="s">
        <v>127</v>
      </c>
      <c r="G511" s="34">
        <v>11</v>
      </c>
      <c r="H511" s="34" t="s">
        <v>18</v>
      </c>
      <c r="I511" s="34" t="s">
        <v>28</v>
      </c>
      <c r="J511" s="34">
        <v>-1</v>
      </c>
      <c r="K511" s="35">
        <f>AB511/COUNTIFS($B:$B,$B511,$C:$C,$C511,$H:$H,$H511,$I:$I,$I511)</f>
        <v>0.05</v>
      </c>
      <c r="L511" s="36">
        <f t="shared" si="30"/>
        <v>1</v>
      </c>
      <c r="M511" s="37">
        <f t="shared" si="32"/>
        <v>-0.05</v>
      </c>
      <c r="N511" s="34" t="s">
        <v>128</v>
      </c>
      <c r="AA511" s="140">
        <f>AB511/COUNTIFS($B:$B,$B511,$C:$C,$C511,$H:$H,$H511,$I:$I,$I511)</f>
        <v>0.05</v>
      </c>
      <c r="AB511" s="141">
        <f>VLOOKUP(I511,'Weights and Confidence'!$D$16:$AC$26,5,FALSE)</f>
        <v>0.05</v>
      </c>
      <c r="AC511" s="142">
        <f>VLOOKUP(I511,'Weights and Confidence'!$D$16:$AC$26,6,FALSE)</f>
        <v>1</v>
      </c>
    </row>
    <row r="512" spans="1:29" ht="17" thickTop="1" x14ac:dyDescent="0.2">
      <c r="A512" s="42" t="s">
        <v>14</v>
      </c>
      <c r="B512" s="42" t="s">
        <v>0</v>
      </c>
      <c r="C512" s="42" t="s">
        <v>54</v>
      </c>
      <c r="D512" s="42" t="s">
        <v>5</v>
      </c>
      <c r="E512" s="43" t="s">
        <v>105</v>
      </c>
      <c r="F512" s="49" t="s">
        <v>133</v>
      </c>
      <c r="G512" s="42">
        <v>1</v>
      </c>
      <c r="H512" s="42" t="s">
        <v>17</v>
      </c>
      <c r="I512" s="42" t="s">
        <v>19</v>
      </c>
      <c r="J512" s="42">
        <v>0</v>
      </c>
      <c r="K512" s="44">
        <f>AB512/COUNTIFS($B:$B,$B512,$C:$C,$C512,$H:$H,$H512,$I:$I,$I512)</f>
        <v>0.12</v>
      </c>
      <c r="L512" s="45">
        <f t="shared" si="30"/>
        <v>1</v>
      </c>
      <c r="M512" s="46">
        <f t="shared" ref="M512:M533" si="33">J512*K512*L512</f>
        <v>0</v>
      </c>
      <c r="N512" s="42"/>
      <c r="O512" t="s">
        <v>105</v>
      </c>
      <c r="AA512" s="143">
        <f>AB512/COUNTIFS($B:$B,$B512,$C:$C,$C512,$H:$H,$H512,$I:$I,$I512)</f>
        <v>0.12</v>
      </c>
      <c r="AB512" s="144">
        <f>VLOOKUP(I512,'Weights and Confidence'!$D$16:$AC$26,5,FALSE)</f>
        <v>0.12</v>
      </c>
      <c r="AC512" s="145">
        <f>VLOOKUP(I512,'Weights and Confidence'!$D$16:$AC$26,6,FALSE)</f>
        <v>1</v>
      </c>
    </row>
    <row r="513" spans="1:29" x14ac:dyDescent="0.2">
      <c r="A513" s="34" t="s">
        <v>14</v>
      </c>
      <c r="B513" s="34" t="s">
        <v>0</v>
      </c>
      <c r="C513" s="34" t="s">
        <v>54</v>
      </c>
      <c r="D513" s="34" t="s">
        <v>5</v>
      </c>
      <c r="E513" s="34" t="s">
        <v>105</v>
      </c>
      <c r="F513" s="34" t="s">
        <v>133</v>
      </c>
      <c r="G513" s="34">
        <v>1</v>
      </c>
      <c r="H513" s="34" t="s">
        <v>18</v>
      </c>
      <c r="I513" s="34" t="s">
        <v>19</v>
      </c>
      <c r="J513" s="34">
        <v>1</v>
      </c>
      <c r="K513" s="35">
        <f>AB513/COUNTIFS($B:$B,$B513,$C:$C,$C513,$H:$H,$H513,$I:$I,$I513)</f>
        <v>0.12</v>
      </c>
      <c r="L513" s="36">
        <f t="shared" si="30"/>
        <v>1</v>
      </c>
      <c r="M513" s="37">
        <f t="shared" si="33"/>
        <v>0.12</v>
      </c>
      <c r="N513" s="58"/>
      <c r="AA513" s="146">
        <f>AB513/COUNTIFS($B:$B,$B513,$C:$C,$C513,$H:$H,$H513,$I:$I,$I513)</f>
        <v>0.12</v>
      </c>
      <c r="AB513" s="108">
        <f>VLOOKUP(I513,'Weights and Confidence'!$D$16:$AC$26,5,FALSE)</f>
        <v>0.12</v>
      </c>
      <c r="AC513" s="147">
        <f>VLOOKUP(I513,'Weights and Confidence'!$D$16:$AC$26,6,FALSE)</f>
        <v>1</v>
      </c>
    </row>
    <row r="514" spans="1:29" x14ac:dyDescent="0.2">
      <c r="A514" s="38" t="s">
        <v>14</v>
      </c>
      <c r="B514" s="38" t="s">
        <v>0</v>
      </c>
      <c r="C514" s="38" t="s">
        <v>54</v>
      </c>
      <c r="D514" s="38" t="s">
        <v>5</v>
      </c>
      <c r="E514" s="38" t="s">
        <v>105</v>
      </c>
      <c r="F514" s="38" t="s">
        <v>133</v>
      </c>
      <c r="G514" s="38">
        <v>2</v>
      </c>
      <c r="H514" s="38" t="s">
        <v>17</v>
      </c>
      <c r="I514" s="38" t="s">
        <v>20</v>
      </c>
      <c r="J514" s="38">
        <v>0</v>
      </c>
      <c r="K514" s="39">
        <f>AB514/COUNTIFS($B:$B,$B514,$C:$C,$C514,$H:$H,$H514,$I:$I,$I514)</f>
        <v>0.08</v>
      </c>
      <c r="L514" s="40">
        <f t="shared" si="30"/>
        <v>0.8</v>
      </c>
      <c r="M514" s="41">
        <f t="shared" si="33"/>
        <v>0</v>
      </c>
      <c r="N514" s="38"/>
      <c r="AA514" s="146">
        <f>AB514/COUNTIFS($B:$B,$B514,$C:$C,$C514,$H:$H,$H514,$I:$I,$I514)</f>
        <v>0.08</v>
      </c>
      <c r="AB514" s="108">
        <f>VLOOKUP(I514,'Weights and Confidence'!$D$16:$AC$26,5,FALSE)</f>
        <v>0.08</v>
      </c>
      <c r="AC514" s="147">
        <f>VLOOKUP(I514,'Weights and Confidence'!$D$16:$AC$26,6,FALSE)</f>
        <v>0.8</v>
      </c>
    </row>
    <row r="515" spans="1:29" x14ac:dyDescent="0.2">
      <c r="A515" s="34" t="s">
        <v>14</v>
      </c>
      <c r="B515" s="34" t="s">
        <v>0</v>
      </c>
      <c r="C515" s="34" t="s">
        <v>54</v>
      </c>
      <c r="D515" s="34" t="s">
        <v>5</v>
      </c>
      <c r="E515" s="34" t="s">
        <v>105</v>
      </c>
      <c r="F515" s="34" t="s">
        <v>133</v>
      </c>
      <c r="G515" s="34">
        <v>2</v>
      </c>
      <c r="H515" s="34" t="s">
        <v>18</v>
      </c>
      <c r="I515" s="34" t="s">
        <v>20</v>
      </c>
      <c r="J515" s="34">
        <v>1</v>
      </c>
      <c r="K515" s="35">
        <f>AB515/COUNTIFS($B:$B,$B515,$C:$C,$C515,$H:$H,$H515,$I:$I,$I515)</f>
        <v>0.08</v>
      </c>
      <c r="L515" s="36">
        <f t="shared" si="30"/>
        <v>0.8</v>
      </c>
      <c r="M515" s="37">
        <f t="shared" si="33"/>
        <v>6.4000000000000001E-2</v>
      </c>
      <c r="N515" s="58"/>
      <c r="AA515" s="146">
        <f>AB515/COUNTIFS($B:$B,$B515,$C:$C,$C515,$H:$H,$H515,$I:$I,$I515)</f>
        <v>0.08</v>
      </c>
      <c r="AB515" s="108">
        <f>VLOOKUP(I515,'Weights and Confidence'!$D$16:$AC$26,5,FALSE)</f>
        <v>0.08</v>
      </c>
      <c r="AC515" s="147">
        <f>VLOOKUP(I515,'Weights and Confidence'!$D$16:$AC$26,6,FALSE)</f>
        <v>0.8</v>
      </c>
    </row>
    <row r="516" spans="1:29" x14ac:dyDescent="0.2">
      <c r="A516" s="38" t="s">
        <v>14</v>
      </c>
      <c r="B516" s="38" t="s">
        <v>0</v>
      </c>
      <c r="C516" s="38" t="s">
        <v>54</v>
      </c>
      <c r="D516" s="38" t="s">
        <v>5</v>
      </c>
      <c r="E516" s="38" t="s">
        <v>105</v>
      </c>
      <c r="F516" s="38" t="s">
        <v>133</v>
      </c>
      <c r="G516" s="38">
        <v>3</v>
      </c>
      <c r="H516" s="38" t="s">
        <v>17</v>
      </c>
      <c r="I516" s="38" t="s">
        <v>21</v>
      </c>
      <c r="J516" s="38">
        <v>1</v>
      </c>
      <c r="K516" s="39">
        <f>AB516/COUNTIFS($B:$B,$B516,$C:$C,$C516,$H:$H,$H516,$I:$I,$I516)</f>
        <v>0.05</v>
      </c>
      <c r="L516" s="40">
        <f t="shared" si="30"/>
        <v>1</v>
      </c>
      <c r="M516" s="41">
        <f t="shared" si="33"/>
        <v>0.05</v>
      </c>
      <c r="N516" s="38"/>
      <c r="AA516" s="146">
        <f>AB516/COUNTIFS($B:$B,$B516,$C:$C,$C516,$H:$H,$H516,$I:$I,$I516)</f>
        <v>0.05</v>
      </c>
      <c r="AB516" s="108">
        <f>VLOOKUP(I516,'Weights and Confidence'!$D$16:$AC$26,5,FALSE)</f>
        <v>0.05</v>
      </c>
      <c r="AC516" s="147">
        <f>VLOOKUP(I516,'Weights and Confidence'!$D$16:$AC$26,6,FALSE)</f>
        <v>1</v>
      </c>
    </row>
    <row r="517" spans="1:29" x14ac:dyDescent="0.2">
      <c r="A517" s="34" t="s">
        <v>14</v>
      </c>
      <c r="B517" s="34" t="s">
        <v>0</v>
      </c>
      <c r="C517" s="34" t="s">
        <v>54</v>
      </c>
      <c r="D517" s="34" t="s">
        <v>5</v>
      </c>
      <c r="E517" s="34" t="s">
        <v>105</v>
      </c>
      <c r="F517" s="34" t="s">
        <v>133</v>
      </c>
      <c r="G517" s="34">
        <v>3</v>
      </c>
      <c r="H517" s="34" t="s">
        <v>18</v>
      </c>
      <c r="I517" s="34" t="s">
        <v>21</v>
      </c>
      <c r="J517" s="34">
        <v>0</v>
      </c>
      <c r="K517" s="35">
        <f>AB517/COUNTIFS($B:$B,$B517,$C:$C,$C517,$H:$H,$H517,$I:$I,$I517)</f>
        <v>0.05</v>
      </c>
      <c r="L517" s="36">
        <f t="shared" si="30"/>
        <v>1</v>
      </c>
      <c r="M517" s="37">
        <f t="shared" si="33"/>
        <v>0</v>
      </c>
      <c r="N517" s="58" t="s">
        <v>134</v>
      </c>
      <c r="AA517" s="146">
        <f>AB517/COUNTIFS($B:$B,$B517,$C:$C,$C517,$H:$H,$H517,$I:$I,$I517)</f>
        <v>0.05</v>
      </c>
      <c r="AB517" s="108">
        <f>VLOOKUP(I517,'Weights and Confidence'!$D$16:$AC$26,5,FALSE)</f>
        <v>0.05</v>
      </c>
      <c r="AC517" s="147">
        <f>VLOOKUP(I517,'Weights and Confidence'!$D$16:$AC$26,6,FALSE)</f>
        <v>1</v>
      </c>
    </row>
    <row r="518" spans="1:29" x14ac:dyDescent="0.2">
      <c r="A518" s="38" t="s">
        <v>14</v>
      </c>
      <c r="B518" s="38" t="s">
        <v>0</v>
      </c>
      <c r="C518" s="38" t="s">
        <v>54</v>
      </c>
      <c r="D518" s="38" t="s">
        <v>5</v>
      </c>
      <c r="E518" s="38" t="s">
        <v>105</v>
      </c>
      <c r="F518" s="38" t="s">
        <v>133</v>
      </c>
      <c r="G518" s="38">
        <v>4</v>
      </c>
      <c r="H518" s="38" t="s">
        <v>17</v>
      </c>
      <c r="I518" s="38" t="s">
        <v>22</v>
      </c>
      <c r="J518" s="38">
        <v>-1</v>
      </c>
      <c r="K518" s="39">
        <f>AB518/COUNTIFS($B:$B,$B518,$C:$C,$C518,$H:$H,$H518,$I:$I,$I518)</f>
        <v>0.14000000000000001</v>
      </c>
      <c r="L518" s="40">
        <f t="shared" ref="L518:L581" si="34">AC518</f>
        <v>1</v>
      </c>
      <c r="M518" s="41">
        <f t="shared" si="33"/>
        <v>-0.14000000000000001</v>
      </c>
      <c r="N518" s="38"/>
      <c r="AA518" s="146">
        <f>AB518/COUNTIFS($B:$B,$B518,$C:$C,$C518,$H:$H,$H518,$I:$I,$I518)</f>
        <v>0.14000000000000001</v>
      </c>
      <c r="AB518" s="108">
        <f>VLOOKUP(I518,'Weights and Confidence'!$D$16:$AC$26,5,FALSE)</f>
        <v>0.14000000000000001</v>
      </c>
      <c r="AC518" s="147">
        <f>VLOOKUP(I518,'Weights and Confidence'!$D$16:$AC$26,6,FALSE)</f>
        <v>1</v>
      </c>
    </row>
    <row r="519" spans="1:29" x14ac:dyDescent="0.2">
      <c r="A519" s="34" t="s">
        <v>14</v>
      </c>
      <c r="B519" s="34" t="s">
        <v>0</v>
      </c>
      <c r="C519" s="34" t="s">
        <v>54</v>
      </c>
      <c r="D519" s="34" t="s">
        <v>5</v>
      </c>
      <c r="E519" s="34" t="s">
        <v>105</v>
      </c>
      <c r="F519" s="34" t="s">
        <v>133</v>
      </c>
      <c r="G519" s="34">
        <v>4</v>
      </c>
      <c r="H519" s="34" t="s">
        <v>18</v>
      </c>
      <c r="I519" s="34" t="s">
        <v>22</v>
      </c>
      <c r="J519" s="34">
        <v>1</v>
      </c>
      <c r="K519" s="35">
        <f>AB519/COUNTIFS($B:$B,$B519,$C:$C,$C519,$H:$H,$H519,$I:$I,$I519)</f>
        <v>0.14000000000000001</v>
      </c>
      <c r="L519" s="36">
        <f t="shared" si="34"/>
        <v>1</v>
      </c>
      <c r="M519" s="37">
        <f t="shared" si="33"/>
        <v>0.14000000000000001</v>
      </c>
      <c r="N519" s="58"/>
      <c r="AA519" s="146">
        <f>AB519/COUNTIFS($B:$B,$B519,$C:$C,$C519,$H:$H,$H519,$I:$I,$I519)</f>
        <v>0.14000000000000001</v>
      </c>
      <c r="AB519" s="108">
        <f>VLOOKUP(I519,'Weights and Confidence'!$D$16:$AC$26,5,FALSE)</f>
        <v>0.14000000000000001</v>
      </c>
      <c r="AC519" s="147">
        <f>VLOOKUP(I519,'Weights and Confidence'!$D$16:$AC$26,6,FALSE)</f>
        <v>1</v>
      </c>
    </row>
    <row r="520" spans="1:29" x14ac:dyDescent="0.2">
      <c r="A520" s="38" t="s">
        <v>14</v>
      </c>
      <c r="B520" s="38" t="s">
        <v>0</v>
      </c>
      <c r="C520" s="38" t="s">
        <v>54</v>
      </c>
      <c r="D520" s="38" t="s">
        <v>5</v>
      </c>
      <c r="E520" s="38" t="s">
        <v>105</v>
      </c>
      <c r="F520" s="38" t="s">
        <v>133</v>
      </c>
      <c r="G520" s="38">
        <v>5</v>
      </c>
      <c r="H520" s="38" t="s">
        <v>17</v>
      </c>
      <c r="I520" s="38" t="s">
        <v>23</v>
      </c>
      <c r="J520" s="38">
        <v>-1</v>
      </c>
      <c r="K520" s="39">
        <f>AB520/COUNTIFS($B:$B,$B520,$C:$C,$C520,$H:$H,$H520,$I:$I,$I520)</f>
        <v>0.11</v>
      </c>
      <c r="L520" s="40">
        <f t="shared" si="34"/>
        <v>1</v>
      </c>
      <c r="M520" s="41">
        <f t="shared" si="33"/>
        <v>-0.11</v>
      </c>
      <c r="N520" s="38"/>
      <c r="AA520" s="146">
        <f>AB520/COUNTIFS($B:$B,$B520,$C:$C,$C520,$H:$H,$H520,$I:$I,$I520)</f>
        <v>0.11</v>
      </c>
      <c r="AB520" s="108">
        <f>VLOOKUP(I520,'Weights and Confidence'!$D$16:$AC$26,5,FALSE)</f>
        <v>0.11</v>
      </c>
      <c r="AC520" s="147">
        <f>VLOOKUP(I520,'Weights and Confidence'!$D$16:$AC$26,6,FALSE)</f>
        <v>1</v>
      </c>
    </row>
    <row r="521" spans="1:29" x14ac:dyDescent="0.2">
      <c r="A521" s="34" t="s">
        <v>14</v>
      </c>
      <c r="B521" s="34" t="s">
        <v>0</v>
      </c>
      <c r="C521" s="34" t="s">
        <v>54</v>
      </c>
      <c r="D521" s="34" t="s">
        <v>5</v>
      </c>
      <c r="E521" s="34" t="s">
        <v>105</v>
      </c>
      <c r="F521" s="34" t="s">
        <v>133</v>
      </c>
      <c r="G521" s="34">
        <v>5</v>
      </c>
      <c r="H521" s="34" t="s">
        <v>18</v>
      </c>
      <c r="I521" s="34" t="s">
        <v>23</v>
      </c>
      <c r="J521" s="34">
        <v>1</v>
      </c>
      <c r="K521" s="35">
        <f>AB521/COUNTIFS($B:$B,$B521,$C:$C,$C521,$H:$H,$H521,$I:$I,$I521)</f>
        <v>0.11</v>
      </c>
      <c r="L521" s="36">
        <f t="shared" si="34"/>
        <v>1</v>
      </c>
      <c r="M521" s="37">
        <f t="shared" si="33"/>
        <v>0.11</v>
      </c>
      <c r="N521" s="34"/>
      <c r="AA521" s="146">
        <f>AB521/COUNTIFS($B:$B,$B521,$C:$C,$C521,$H:$H,$H521,$I:$I,$I521)</f>
        <v>0.11</v>
      </c>
      <c r="AB521" s="108">
        <f>VLOOKUP(I521,'Weights and Confidence'!$D$16:$AC$26,5,FALSE)</f>
        <v>0.11</v>
      </c>
      <c r="AC521" s="147">
        <f>VLOOKUP(I521,'Weights and Confidence'!$D$16:$AC$26,6,FALSE)</f>
        <v>1</v>
      </c>
    </row>
    <row r="522" spans="1:29" x14ac:dyDescent="0.2">
      <c r="A522" s="38" t="s">
        <v>14</v>
      </c>
      <c r="B522" s="38" t="s">
        <v>0</v>
      </c>
      <c r="C522" s="38" t="s">
        <v>54</v>
      </c>
      <c r="D522" s="38" t="s">
        <v>5</v>
      </c>
      <c r="E522" s="38" t="s">
        <v>105</v>
      </c>
      <c r="F522" s="38" t="s">
        <v>133</v>
      </c>
      <c r="G522" s="38">
        <v>6</v>
      </c>
      <c r="H522" s="38" t="s">
        <v>17</v>
      </c>
      <c r="I522" s="38" t="s">
        <v>24</v>
      </c>
      <c r="J522" s="38">
        <v>0</v>
      </c>
      <c r="K522" s="39">
        <f>AB522/COUNTIFS($B:$B,$B522,$C:$C,$C522,$H:$H,$H522,$I:$I,$I522)</f>
        <v>0.15</v>
      </c>
      <c r="L522" s="40">
        <f t="shared" si="34"/>
        <v>1</v>
      </c>
      <c r="M522" s="41">
        <f t="shared" si="33"/>
        <v>0</v>
      </c>
      <c r="N522" s="38"/>
      <c r="AA522" s="146">
        <f>AB522/COUNTIFS($B:$B,$B522,$C:$C,$C522,$H:$H,$H522,$I:$I,$I522)</f>
        <v>0.15</v>
      </c>
      <c r="AB522" s="108">
        <f>VLOOKUP(I522,'Weights and Confidence'!$D$16:$AC$26,5,FALSE)</f>
        <v>0.15</v>
      </c>
      <c r="AC522" s="147">
        <f>VLOOKUP(I522,'Weights and Confidence'!$D$16:$AC$26,6,FALSE)</f>
        <v>1</v>
      </c>
    </row>
    <row r="523" spans="1:29" x14ac:dyDescent="0.2">
      <c r="A523" s="34" t="s">
        <v>14</v>
      </c>
      <c r="B523" s="34" t="s">
        <v>0</v>
      </c>
      <c r="C523" s="34" t="s">
        <v>54</v>
      </c>
      <c r="D523" s="34" t="s">
        <v>5</v>
      </c>
      <c r="E523" s="34" t="s">
        <v>105</v>
      </c>
      <c r="F523" s="34" t="s">
        <v>133</v>
      </c>
      <c r="G523" s="34">
        <v>6</v>
      </c>
      <c r="H523" s="34" t="s">
        <v>18</v>
      </c>
      <c r="I523" s="34" t="s">
        <v>24</v>
      </c>
      <c r="J523" s="34">
        <v>1</v>
      </c>
      <c r="K523" s="35">
        <f>AB523/COUNTIFS($B:$B,$B523,$C:$C,$C523,$H:$H,$H523,$I:$I,$I523)</f>
        <v>0.15</v>
      </c>
      <c r="L523" s="36">
        <f t="shared" si="34"/>
        <v>1</v>
      </c>
      <c r="M523" s="37">
        <f t="shared" si="33"/>
        <v>0.15</v>
      </c>
      <c r="N523" s="58"/>
      <c r="AA523" s="146">
        <f>AB523/COUNTIFS($B:$B,$B523,$C:$C,$C523,$H:$H,$H523,$I:$I,$I523)</f>
        <v>0.15</v>
      </c>
      <c r="AB523" s="108">
        <f>VLOOKUP(I523,'Weights and Confidence'!$D$16:$AC$26,5,FALSE)</f>
        <v>0.15</v>
      </c>
      <c r="AC523" s="147">
        <f>VLOOKUP(I523,'Weights and Confidence'!$D$16:$AC$26,6,FALSE)</f>
        <v>1</v>
      </c>
    </row>
    <row r="524" spans="1:29" x14ac:dyDescent="0.2">
      <c r="A524" s="38" t="s">
        <v>14</v>
      </c>
      <c r="B524" s="38" t="s">
        <v>0</v>
      </c>
      <c r="C524" s="38" t="s">
        <v>54</v>
      </c>
      <c r="D524" s="38" t="s">
        <v>5</v>
      </c>
      <c r="E524" s="38" t="s">
        <v>105</v>
      </c>
      <c r="F524" s="38" t="s">
        <v>133</v>
      </c>
      <c r="G524" s="38">
        <v>7</v>
      </c>
      <c r="H524" s="38" t="s">
        <v>17</v>
      </c>
      <c r="I524" s="38" t="s">
        <v>25</v>
      </c>
      <c r="J524" s="38">
        <v>0</v>
      </c>
      <c r="K524" s="39">
        <f>AB524/COUNTIFS($B:$B,$B524,$C:$C,$C524,$H:$H,$H524,$I:$I,$I524)</f>
        <v>0.1</v>
      </c>
      <c r="L524" s="40">
        <f t="shared" si="34"/>
        <v>1</v>
      </c>
      <c r="M524" s="41">
        <f t="shared" si="33"/>
        <v>0</v>
      </c>
      <c r="N524" s="38"/>
      <c r="AA524" s="146">
        <f>AB524/COUNTIFS($B:$B,$B524,$C:$C,$C524,$H:$H,$H524,$I:$I,$I524)</f>
        <v>0.1</v>
      </c>
      <c r="AB524" s="108">
        <f>VLOOKUP(I524,'Weights and Confidence'!$D$16:$AC$26,5,FALSE)</f>
        <v>0.1</v>
      </c>
      <c r="AC524" s="147">
        <f>VLOOKUP(I524,'Weights and Confidence'!$D$16:$AC$26,6,FALSE)</f>
        <v>1</v>
      </c>
    </row>
    <row r="525" spans="1:29" x14ac:dyDescent="0.2">
      <c r="A525" s="34" t="s">
        <v>14</v>
      </c>
      <c r="B525" s="34" t="s">
        <v>0</v>
      </c>
      <c r="C525" s="34" t="s">
        <v>54</v>
      </c>
      <c r="D525" s="34" t="s">
        <v>5</v>
      </c>
      <c r="E525" s="34" t="s">
        <v>105</v>
      </c>
      <c r="F525" s="34" t="s">
        <v>133</v>
      </c>
      <c r="G525" s="34">
        <v>7</v>
      </c>
      <c r="H525" s="34" t="s">
        <v>18</v>
      </c>
      <c r="I525" s="34" t="s">
        <v>25</v>
      </c>
      <c r="J525" s="34">
        <v>1</v>
      </c>
      <c r="K525" s="35">
        <f>AB525/COUNTIFS($B:$B,$B525,$C:$C,$C525,$H:$H,$H525,$I:$I,$I525)</f>
        <v>0.1</v>
      </c>
      <c r="L525" s="36">
        <f t="shared" si="34"/>
        <v>1</v>
      </c>
      <c r="M525" s="37">
        <f t="shared" si="33"/>
        <v>0.1</v>
      </c>
      <c r="N525" s="58"/>
      <c r="AA525" s="146">
        <f>AB525/COUNTIFS($B:$B,$B525,$C:$C,$C525,$H:$H,$H525,$I:$I,$I525)</f>
        <v>0.1</v>
      </c>
      <c r="AB525" s="108">
        <f>VLOOKUP(I525,'Weights and Confidence'!$D$16:$AC$26,5,FALSE)</f>
        <v>0.1</v>
      </c>
      <c r="AC525" s="147">
        <f>VLOOKUP(I525,'Weights and Confidence'!$D$16:$AC$26,6,FALSE)</f>
        <v>1</v>
      </c>
    </row>
    <row r="526" spans="1:29" x14ac:dyDescent="0.2">
      <c r="A526" s="38" t="s">
        <v>14</v>
      </c>
      <c r="B526" s="38" t="s">
        <v>0</v>
      </c>
      <c r="C526" s="38" t="s">
        <v>54</v>
      </c>
      <c r="D526" s="38" t="s">
        <v>5</v>
      </c>
      <c r="E526" s="38" t="s">
        <v>105</v>
      </c>
      <c r="F526" s="38" t="s">
        <v>133</v>
      </c>
      <c r="G526" s="38">
        <v>8</v>
      </c>
      <c r="H526" s="38" t="s">
        <v>17</v>
      </c>
      <c r="I526" s="38" t="s">
        <v>26</v>
      </c>
      <c r="J526" s="38">
        <v>1</v>
      </c>
      <c r="K526" s="39">
        <f>AB526/COUNTIFS($B:$B,$B526,$C:$C,$C526,$H:$H,$H526,$I:$I,$I526)</f>
        <v>0.1</v>
      </c>
      <c r="L526" s="40">
        <f t="shared" si="34"/>
        <v>1</v>
      </c>
      <c r="M526" s="41">
        <f t="shared" si="33"/>
        <v>0.1</v>
      </c>
      <c r="N526" s="38"/>
      <c r="AA526" s="146">
        <f>AB526/COUNTIFS($B:$B,$B526,$C:$C,$C526,$H:$H,$H526,$I:$I,$I526)</f>
        <v>0.1</v>
      </c>
      <c r="AB526" s="108">
        <f>VLOOKUP(I526,'Weights and Confidence'!$D$16:$AC$26,5,FALSE)</f>
        <v>0.1</v>
      </c>
      <c r="AC526" s="147">
        <f>VLOOKUP(I526,'Weights and Confidence'!$D$16:$AC$26,6,FALSE)</f>
        <v>1</v>
      </c>
    </row>
    <row r="527" spans="1:29" x14ac:dyDescent="0.2">
      <c r="A527" s="34" t="s">
        <v>14</v>
      </c>
      <c r="B527" s="34" t="s">
        <v>0</v>
      </c>
      <c r="C527" s="34" t="s">
        <v>54</v>
      </c>
      <c r="D527" s="34" t="s">
        <v>5</v>
      </c>
      <c r="E527" s="34" t="s">
        <v>105</v>
      </c>
      <c r="F527" s="34" t="s">
        <v>133</v>
      </c>
      <c r="G527" s="34">
        <v>8</v>
      </c>
      <c r="H527" s="34" t="s">
        <v>18</v>
      </c>
      <c r="I527" s="34" t="s">
        <v>26</v>
      </c>
      <c r="J527" s="34">
        <v>1</v>
      </c>
      <c r="K527" s="35">
        <f>AB527/COUNTIFS($B:$B,$B527,$C:$C,$C527,$H:$H,$H527,$I:$I,$I527)</f>
        <v>0.1</v>
      </c>
      <c r="L527" s="36">
        <f t="shared" si="34"/>
        <v>1</v>
      </c>
      <c r="M527" s="37">
        <f t="shared" si="33"/>
        <v>0.1</v>
      </c>
      <c r="N527" s="58"/>
      <c r="AA527" s="146">
        <f>AB527/COUNTIFS($B:$B,$B527,$C:$C,$C527,$H:$H,$H527,$I:$I,$I527)</f>
        <v>0.1</v>
      </c>
      <c r="AB527" s="108">
        <f>VLOOKUP(I527,'Weights and Confidence'!$D$16:$AC$26,5,FALSE)</f>
        <v>0.1</v>
      </c>
      <c r="AC527" s="147">
        <f>VLOOKUP(I527,'Weights and Confidence'!$D$16:$AC$26,6,FALSE)</f>
        <v>1</v>
      </c>
    </row>
    <row r="528" spans="1:29" x14ac:dyDescent="0.2">
      <c r="A528" s="38" t="s">
        <v>14</v>
      </c>
      <c r="B528" s="38" t="s">
        <v>0</v>
      </c>
      <c r="C528" s="38" t="s">
        <v>54</v>
      </c>
      <c r="D528" s="38" t="s">
        <v>5</v>
      </c>
      <c r="E528" s="38" t="s">
        <v>105</v>
      </c>
      <c r="F528" s="38" t="s">
        <v>133</v>
      </c>
      <c r="G528" s="38">
        <v>9</v>
      </c>
      <c r="H528" s="38" t="s">
        <v>17</v>
      </c>
      <c r="I528" s="38" t="s">
        <v>27</v>
      </c>
      <c r="J528" s="38">
        <v>0</v>
      </c>
      <c r="K528" s="39">
        <f>AB528/COUNTIFS($B:$B,$B528,$C:$C,$C528,$H:$H,$H528,$I:$I,$I528)</f>
        <v>0.05</v>
      </c>
      <c r="L528" s="40">
        <f t="shared" si="34"/>
        <v>0.85</v>
      </c>
      <c r="M528" s="41">
        <f t="shared" si="33"/>
        <v>0</v>
      </c>
      <c r="N528" s="38"/>
      <c r="AA528" s="146">
        <f>AB528/COUNTIFS($B:$B,$B528,$C:$C,$C528,$H:$H,$H528,$I:$I,$I528)</f>
        <v>0.05</v>
      </c>
      <c r="AB528" s="108">
        <f>VLOOKUP(I528,'Weights and Confidence'!$D$16:$AC$26,5,FALSE)</f>
        <v>0.1</v>
      </c>
      <c r="AC528" s="147">
        <f>VLOOKUP(I528,'Weights and Confidence'!$D$16:$AC$26,6,FALSE)</f>
        <v>0.85</v>
      </c>
    </row>
    <row r="529" spans="1:29" x14ac:dyDescent="0.2">
      <c r="A529" s="34" t="s">
        <v>14</v>
      </c>
      <c r="B529" s="34" t="s">
        <v>0</v>
      </c>
      <c r="C529" s="34" t="s">
        <v>54</v>
      </c>
      <c r="D529" s="34" t="s">
        <v>5</v>
      </c>
      <c r="E529" s="34" t="s">
        <v>105</v>
      </c>
      <c r="F529" s="34" t="s">
        <v>133</v>
      </c>
      <c r="G529" s="34">
        <v>9</v>
      </c>
      <c r="H529" s="34" t="s">
        <v>18</v>
      </c>
      <c r="I529" s="34" t="s">
        <v>27</v>
      </c>
      <c r="J529" s="34">
        <v>1</v>
      </c>
      <c r="K529" s="35">
        <f>AB529/COUNTIFS($B:$B,$B529,$C:$C,$C529,$H:$H,$H529,$I:$I,$I529)</f>
        <v>0.05</v>
      </c>
      <c r="L529" s="36">
        <f t="shared" si="34"/>
        <v>0.85</v>
      </c>
      <c r="M529" s="37">
        <f t="shared" si="33"/>
        <v>4.2500000000000003E-2</v>
      </c>
      <c r="N529" s="34"/>
      <c r="AA529" s="146">
        <f>AB529/COUNTIFS($B:$B,$B529,$C:$C,$C529,$H:$H,$H529,$I:$I,$I529)</f>
        <v>0.05</v>
      </c>
      <c r="AB529" s="108">
        <f>VLOOKUP(I529,'Weights and Confidence'!$D$16:$AC$26,5,FALSE)</f>
        <v>0.1</v>
      </c>
      <c r="AC529" s="147">
        <f>VLOOKUP(I529,'Weights and Confidence'!$D$16:$AC$26,6,FALSE)</f>
        <v>0.85</v>
      </c>
    </row>
    <row r="530" spans="1:29" x14ac:dyDescent="0.2">
      <c r="A530" s="38" t="s">
        <v>14</v>
      </c>
      <c r="B530" s="38" t="s">
        <v>0</v>
      </c>
      <c r="C530" s="38" t="s">
        <v>54</v>
      </c>
      <c r="D530" s="38" t="s">
        <v>5</v>
      </c>
      <c r="E530" s="38" t="s">
        <v>105</v>
      </c>
      <c r="F530" s="38" t="s">
        <v>133</v>
      </c>
      <c r="G530" s="38">
        <v>10</v>
      </c>
      <c r="H530" s="38" t="s">
        <v>17</v>
      </c>
      <c r="I530" s="38" t="s">
        <v>27</v>
      </c>
      <c r="J530" s="38">
        <v>0</v>
      </c>
      <c r="K530" s="39">
        <f>AB530/COUNTIFS($B:$B,$B530,$C:$C,$C530,$H:$H,$H530,$I:$I,$I530)</f>
        <v>0.05</v>
      </c>
      <c r="L530" s="40">
        <f t="shared" si="34"/>
        <v>0.85</v>
      </c>
      <c r="M530" s="41">
        <f t="shared" si="33"/>
        <v>0</v>
      </c>
      <c r="N530" s="38"/>
      <c r="AA530" s="146">
        <f>AB530/COUNTIFS($B:$B,$B530,$C:$C,$C530,$H:$H,$H530,$I:$I,$I530)</f>
        <v>0.05</v>
      </c>
      <c r="AB530" s="108">
        <f>VLOOKUP(I530,'Weights and Confidence'!$D$16:$AC$26,5,FALSE)</f>
        <v>0.1</v>
      </c>
      <c r="AC530" s="147">
        <f>VLOOKUP(I530,'Weights and Confidence'!$D$16:$AC$26,6,FALSE)</f>
        <v>0.85</v>
      </c>
    </row>
    <row r="531" spans="1:29" x14ac:dyDescent="0.2">
      <c r="A531" s="34" t="s">
        <v>14</v>
      </c>
      <c r="B531" s="34" t="s">
        <v>0</v>
      </c>
      <c r="C531" s="34" t="s">
        <v>54</v>
      </c>
      <c r="D531" s="34" t="s">
        <v>5</v>
      </c>
      <c r="E531" s="34" t="s">
        <v>105</v>
      </c>
      <c r="F531" s="34" t="s">
        <v>133</v>
      </c>
      <c r="G531" s="34">
        <v>10</v>
      </c>
      <c r="H531" s="34" t="s">
        <v>18</v>
      </c>
      <c r="I531" s="34" t="s">
        <v>27</v>
      </c>
      <c r="J531" s="34">
        <v>1</v>
      </c>
      <c r="K531" s="35">
        <f>AB531/COUNTIFS($B:$B,$B531,$C:$C,$C531,$H:$H,$H531,$I:$I,$I531)</f>
        <v>0.05</v>
      </c>
      <c r="L531" s="36">
        <f t="shared" si="34"/>
        <v>0.85</v>
      </c>
      <c r="M531" s="37">
        <f t="shared" si="33"/>
        <v>4.2500000000000003E-2</v>
      </c>
      <c r="N531" s="34"/>
      <c r="AA531" s="146">
        <f>AB531/COUNTIFS($B:$B,$B531,$C:$C,$C531,$H:$H,$H531,$I:$I,$I531)</f>
        <v>0.05</v>
      </c>
      <c r="AB531" s="108">
        <f>VLOOKUP(I531,'Weights and Confidence'!$D$16:$AC$26,5,FALSE)</f>
        <v>0.1</v>
      </c>
      <c r="AC531" s="147">
        <f>VLOOKUP(I531,'Weights and Confidence'!$D$16:$AC$26,6,FALSE)</f>
        <v>0.85</v>
      </c>
    </row>
    <row r="532" spans="1:29" x14ac:dyDescent="0.2">
      <c r="A532" s="38" t="s">
        <v>14</v>
      </c>
      <c r="B532" s="38" t="s">
        <v>0</v>
      </c>
      <c r="C532" s="38" t="s">
        <v>54</v>
      </c>
      <c r="D532" s="38" t="s">
        <v>5</v>
      </c>
      <c r="E532" s="38" t="s">
        <v>105</v>
      </c>
      <c r="F532" s="38" t="s">
        <v>133</v>
      </c>
      <c r="G532" s="38">
        <v>11</v>
      </c>
      <c r="H532" s="38" t="s">
        <v>17</v>
      </c>
      <c r="I532" s="38" t="s">
        <v>28</v>
      </c>
      <c r="J532" s="38">
        <v>-1</v>
      </c>
      <c r="K532" s="39">
        <f>AB532/COUNTIFS($B:$B,$B532,$C:$C,$C532,$H:$H,$H532,$I:$I,$I532)</f>
        <v>0.05</v>
      </c>
      <c r="L532" s="40">
        <f t="shared" si="34"/>
        <v>1</v>
      </c>
      <c r="M532" s="41">
        <f t="shared" si="33"/>
        <v>-0.05</v>
      </c>
      <c r="N532" s="38"/>
      <c r="AA532" s="146">
        <f>AB532/COUNTIFS($B:$B,$B532,$C:$C,$C532,$H:$H,$H532,$I:$I,$I532)</f>
        <v>0.05</v>
      </c>
      <c r="AB532" s="108">
        <f>VLOOKUP(I532,'Weights and Confidence'!$D$16:$AC$26,5,FALSE)</f>
        <v>0.05</v>
      </c>
      <c r="AC532" s="147">
        <f>VLOOKUP(I532,'Weights and Confidence'!$D$16:$AC$26,6,FALSE)</f>
        <v>1</v>
      </c>
    </row>
    <row r="533" spans="1:29" ht="17" thickBot="1" x14ac:dyDescent="0.25">
      <c r="A533" s="34" t="s">
        <v>14</v>
      </c>
      <c r="B533" s="34" t="s">
        <v>0</v>
      </c>
      <c r="C533" s="34" t="s">
        <v>54</v>
      </c>
      <c r="D533" s="34" t="s">
        <v>5</v>
      </c>
      <c r="E533" s="34" t="s">
        <v>105</v>
      </c>
      <c r="F533" s="34" t="s">
        <v>133</v>
      </c>
      <c r="G533" s="34">
        <v>11</v>
      </c>
      <c r="H533" s="34" t="s">
        <v>18</v>
      </c>
      <c r="I533" s="34" t="s">
        <v>28</v>
      </c>
      <c r="J533" s="34">
        <v>1</v>
      </c>
      <c r="K533" s="35">
        <f>AB533/COUNTIFS($B:$B,$B533,$C:$C,$C533,$H:$H,$H533,$I:$I,$I533)</f>
        <v>0.05</v>
      </c>
      <c r="L533" s="36">
        <f t="shared" si="34"/>
        <v>1</v>
      </c>
      <c r="M533" s="37">
        <f t="shared" si="33"/>
        <v>0.05</v>
      </c>
      <c r="N533" s="34" t="s">
        <v>125</v>
      </c>
      <c r="AA533" s="140">
        <f>AB533/COUNTIFS($B:$B,$B533,$C:$C,$C533,$H:$H,$H533,$I:$I,$I533)</f>
        <v>0.05</v>
      </c>
      <c r="AB533" s="141">
        <f>VLOOKUP(I533,'Weights and Confidence'!$D$16:$AC$26,5,FALSE)</f>
        <v>0.05</v>
      </c>
      <c r="AC533" s="142">
        <f>VLOOKUP(I533,'Weights and Confidence'!$D$16:$AC$26,6,FALSE)</f>
        <v>1</v>
      </c>
    </row>
    <row r="534" spans="1:29" ht="17" thickTop="1" x14ac:dyDescent="0.2">
      <c r="A534" s="42" t="s">
        <v>14</v>
      </c>
      <c r="B534" s="42" t="s">
        <v>0</v>
      </c>
      <c r="C534" s="42" t="s">
        <v>55</v>
      </c>
      <c r="D534" s="42" t="s">
        <v>5</v>
      </c>
      <c r="E534" s="43" t="s">
        <v>107</v>
      </c>
      <c r="F534" s="49" t="s">
        <v>135</v>
      </c>
      <c r="G534" s="42">
        <v>1</v>
      </c>
      <c r="H534" s="42" t="s">
        <v>17</v>
      </c>
      <c r="I534" s="42" t="s">
        <v>19</v>
      </c>
      <c r="J534" s="42">
        <v>1</v>
      </c>
      <c r="K534" s="44">
        <f>AB534/COUNTIFS($B:$B,$B534,$C:$C,$C534,$H:$H,$H534,$I:$I,$I534)</f>
        <v>0.12</v>
      </c>
      <c r="L534" s="45">
        <f t="shared" si="34"/>
        <v>1</v>
      </c>
      <c r="M534" s="46">
        <f t="shared" ref="M534:M555" si="35">J534*K534*L534</f>
        <v>0.12</v>
      </c>
      <c r="N534" s="42"/>
      <c r="AA534" s="143">
        <f>AB534/COUNTIFS($B:$B,$B534,$C:$C,$C534,$H:$H,$H534,$I:$I,$I534)</f>
        <v>0.12</v>
      </c>
      <c r="AB534" s="144">
        <f>VLOOKUP(I534,'Weights and Confidence'!$D$16:$AC$26,5,FALSE)</f>
        <v>0.12</v>
      </c>
      <c r="AC534" s="145">
        <f>VLOOKUP(I534,'Weights and Confidence'!$D$16:$AC$26,6,FALSE)</f>
        <v>1</v>
      </c>
    </row>
    <row r="535" spans="1:29" x14ac:dyDescent="0.2">
      <c r="A535" s="34" t="s">
        <v>14</v>
      </c>
      <c r="B535" s="34" t="s">
        <v>0</v>
      </c>
      <c r="C535" s="34" t="s">
        <v>55</v>
      </c>
      <c r="D535" s="34" t="s">
        <v>5</v>
      </c>
      <c r="E535" s="34" t="s">
        <v>107</v>
      </c>
      <c r="F535" s="34" t="s">
        <v>135</v>
      </c>
      <c r="G535" s="34">
        <v>1</v>
      </c>
      <c r="H535" s="34" t="s">
        <v>18</v>
      </c>
      <c r="I535" s="34" t="s">
        <v>19</v>
      </c>
      <c r="J535" s="34">
        <v>1</v>
      </c>
      <c r="K535" s="35">
        <f>AB535/COUNTIFS($B:$B,$B535,$C:$C,$C535,$H:$H,$H535,$I:$I,$I535)</f>
        <v>0.12</v>
      </c>
      <c r="L535" s="36">
        <f t="shared" si="34"/>
        <v>1</v>
      </c>
      <c r="M535" s="37">
        <f t="shared" si="35"/>
        <v>0.12</v>
      </c>
      <c r="N535" s="58"/>
      <c r="AA535" s="146">
        <f>AB535/COUNTIFS($B:$B,$B535,$C:$C,$C535,$H:$H,$H535,$I:$I,$I535)</f>
        <v>0.12</v>
      </c>
      <c r="AB535" s="108">
        <f>VLOOKUP(I535,'Weights and Confidence'!$D$16:$AC$26,5,FALSE)</f>
        <v>0.12</v>
      </c>
      <c r="AC535" s="147">
        <f>VLOOKUP(I535,'Weights and Confidence'!$D$16:$AC$26,6,FALSE)</f>
        <v>1</v>
      </c>
    </row>
    <row r="536" spans="1:29" x14ac:dyDescent="0.2">
      <c r="A536" s="38" t="s">
        <v>14</v>
      </c>
      <c r="B536" s="38" t="s">
        <v>0</v>
      </c>
      <c r="C536" s="38" t="s">
        <v>55</v>
      </c>
      <c r="D536" s="38" t="s">
        <v>5</v>
      </c>
      <c r="E536" s="38" t="s">
        <v>107</v>
      </c>
      <c r="F536" s="38" t="s">
        <v>135</v>
      </c>
      <c r="G536" s="38">
        <v>2</v>
      </c>
      <c r="H536" s="38" t="s">
        <v>17</v>
      </c>
      <c r="I536" s="38" t="s">
        <v>20</v>
      </c>
      <c r="J536" s="38">
        <v>1</v>
      </c>
      <c r="K536" s="39">
        <f>AB536/COUNTIFS($B:$B,$B536,$C:$C,$C536,$H:$H,$H536,$I:$I,$I536)</f>
        <v>0.08</v>
      </c>
      <c r="L536" s="40">
        <f t="shared" si="34"/>
        <v>0.8</v>
      </c>
      <c r="M536" s="41">
        <f t="shared" si="35"/>
        <v>6.4000000000000001E-2</v>
      </c>
      <c r="N536" s="38"/>
      <c r="AA536" s="146">
        <f>AB536/COUNTIFS($B:$B,$B536,$C:$C,$C536,$H:$H,$H536,$I:$I,$I536)</f>
        <v>0.08</v>
      </c>
      <c r="AB536" s="108">
        <f>VLOOKUP(I536,'Weights and Confidence'!$D$16:$AC$26,5,FALSE)</f>
        <v>0.08</v>
      </c>
      <c r="AC536" s="147">
        <f>VLOOKUP(I536,'Weights and Confidence'!$D$16:$AC$26,6,FALSE)</f>
        <v>0.8</v>
      </c>
    </row>
    <row r="537" spans="1:29" x14ac:dyDescent="0.2">
      <c r="A537" s="34" t="s">
        <v>14</v>
      </c>
      <c r="B537" s="34" t="s">
        <v>0</v>
      </c>
      <c r="C537" s="34" t="s">
        <v>55</v>
      </c>
      <c r="D537" s="34" t="s">
        <v>5</v>
      </c>
      <c r="E537" s="34" t="s">
        <v>107</v>
      </c>
      <c r="F537" s="34" t="s">
        <v>135</v>
      </c>
      <c r="G537" s="34">
        <v>2</v>
      </c>
      <c r="H537" s="34" t="s">
        <v>18</v>
      </c>
      <c r="I537" s="34" t="s">
        <v>20</v>
      </c>
      <c r="J537" s="34">
        <v>1</v>
      </c>
      <c r="K537" s="35">
        <f>AB537/COUNTIFS($B:$B,$B537,$C:$C,$C537,$H:$H,$H537,$I:$I,$I537)</f>
        <v>0.08</v>
      </c>
      <c r="L537" s="36">
        <f t="shared" si="34"/>
        <v>0.8</v>
      </c>
      <c r="M537" s="37">
        <f t="shared" si="35"/>
        <v>6.4000000000000001E-2</v>
      </c>
      <c r="N537" s="58"/>
      <c r="AA537" s="146">
        <f>AB537/COUNTIFS($B:$B,$B537,$C:$C,$C537,$H:$H,$H537,$I:$I,$I537)</f>
        <v>0.08</v>
      </c>
      <c r="AB537" s="108">
        <f>VLOOKUP(I537,'Weights and Confidence'!$D$16:$AC$26,5,FALSE)</f>
        <v>0.08</v>
      </c>
      <c r="AC537" s="147">
        <f>VLOOKUP(I537,'Weights and Confidence'!$D$16:$AC$26,6,FALSE)</f>
        <v>0.8</v>
      </c>
    </row>
    <row r="538" spans="1:29" x14ac:dyDescent="0.2">
      <c r="A538" s="38" t="s">
        <v>14</v>
      </c>
      <c r="B538" s="38" t="s">
        <v>0</v>
      </c>
      <c r="C538" s="38" t="s">
        <v>55</v>
      </c>
      <c r="D538" s="38" t="s">
        <v>5</v>
      </c>
      <c r="E538" s="38" t="s">
        <v>107</v>
      </c>
      <c r="F538" s="38" t="s">
        <v>135</v>
      </c>
      <c r="G538" s="38">
        <v>3</v>
      </c>
      <c r="H538" s="38" t="s">
        <v>17</v>
      </c>
      <c r="I538" s="38" t="s">
        <v>21</v>
      </c>
      <c r="J538" s="38">
        <v>1</v>
      </c>
      <c r="K538" s="39">
        <f>AB538/COUNTIFS($B:$B,$B538,$C:$C,$C538,$H:$H,$H538,$I:$I,$I538)</f>
        <v>0.05</v>
      </c>
      <c r="L538" s="40">
        <f t="shared" si="34"/>
        <v>1</v>
      </c>
      <c r="M538" s="41">
        <f t="shared" si="35"/>
        <v>0.05</v>
      </c>
      <c r="N538" s="38"/>
      <c r="AA538" s="146">
        <f>AB538/COUNTIFS($B:$B,$B538,$C:$C,$C538,$H:$H,$H538,$I:$I,$I538)</f>
        <v>0.05</v>
      </c>
      <c r="AB538" s="108">
        <f>VLOOKUP(I538,'Weights and Confidence'!$D$16:$AC$26,5,FALSE)</f>
        <v>0.05</v>
      </c>
      <c r="AC538" s="147">
        <f>VLOOKUP(I538,'Weights and Confidence'!$D$16:$AC$26,6,FALSE)</f>
        <v>1</v>
      </c>
    </row>
    <row r="539" spans="1:29" x14ac:dyDescent="0.2">
      <c r="A539" s="34" t="s">
        <v>14</v>
      </c>
      <c r="B539" s="34" t="s">
        <v>0</v>
      </c>
      <c r="C539" s="34" t="s">
        <v>55</v>
      </c>
      <c r="D539" s="34" t="s">
        <v>5</v>
      </c>
      <c r="E539" s="34" t="s">
        <v>107</v>
      </c>
      <c r="F539" s="34" t="s">
        <v>135</v>
      </c>
      <c r="G539" s="34">
        <v>3</v>
      </c>
      <c r="H539" s="34" t="s">
        <v>18</v>
      </c>
      <c r="I539" s="34" t="s">
        <v>21</v>
      </c>
      <c r="J539" s="34">
        <v>1</v>
      </c>
      <c r="K539" s="35">
        <f>AB539/COUNTIFS($B:$B,$B539,$C:$C,$C539,$H:$H,$H539,$I:$I,$I539)</f>
        <v>0.05</v>
      </c>
      <c r="L539" s="36">
        <f t="shared" si="34"/>
        <v>1</v>
      </c>
      <c r="M539" s="37">
        <f t="shared" si="35"/>
        <v>0.05</v>
      </c>
      <c r="N539" s="58"/>
      <c r="AA539" s="146">
        <f>AB539/COUNTIFS($B:$B,$B539,$C:$C,$C539,$H:$H,$H539,$I:$I,$I539)</f>
        <v>0.05</v>
      </c>
      <c r="AB539" s="108">
        <f>VLOOKUP(I539,'Weights and Confidence'!$D$16:$AC$26,5,FALSE)</f>
        <v>0.05</v>
      </c>
      <c r="AC539" s="147">
        <f>VLOOKUP(I539,'Weights and Confidence'!$D$16:$AC$26,6,FALSE)</f>
        <v>1</v>
      </c>
    </row>
    <row r="540" spans="1:29" x14ac:dyDescent="0.2">
      <c r="A540" s="38" t="s">
        <v>14</v>
      </c>
      <c r="B540" s="38" t="s">
        <v>0</v>
      </c>
      <c r="C540" s="38" t="s">
        <v>55</v>
      </c>
      <c r="D540" s="38" t="s">
        <v>5</v>
      </c>
      <c r="E540" s="38" t="s">
        <v>107</v>
      </c>
      <c r="F540" s="38" t="s">
        <v>135</v>
      </c>
      <c r="G540" s="38">
        <v>4</v>
      </c>
      <c r="H540" s="38" t="s">
        <v>17</v>
      </c>
      <c r="I540" s="38" t="s">
        <v>22</v>
      </c>
      <c r="J540" s="38">
        <v>1</v>
      </c>
      <c r="K540" s="39">
        <f>AB540/COUNTIFS($B:$B,$B540,$C:$C,$C540,$H:$H,$H540,$I:$I,$I540)</f>
        <v>0.14000000000000001</v>
      </c>
      <c r="L540" s="40">
        <f t="shared" si="34"/>
        <v>1</v>
      </c>
      <c r="M540" s="41">
        <f t="shared" si="35"/>
        <v>0.14000000000000001</v>
      </c>
      <c r="N540" s="38"/>
      <c r="AA540" s="146">
        <f>AB540/COUNTIFS($B:$B,$B540,$C:$C,$C540,$H:$H,$H540,$I:$I,$I540)</f>
        <v>0.14000000000000001</v>
      </c>
      <c r="AB540" s="108">
        <f>VLOOKUP(I540,'Weights and Confidence'!$D$16:$AC$26,5,FALSE)</f>
        <v>0.14000000000000001</v>
      </c>
      <c r="AC540" s="147">
        <f>VLOOKUP(I540,'Weights and Confidence'!$D$16:$AC$26,6,FALSE)</f>
        <v>1</v>
      </c>
    </row>
    <row r="541" spans="1:29" x14ac:dyDescent="0.2">
      <c r="A541" s="34" t="s">
        <v>14</v>
      </c>
      <c r="B541" s="34" t="s">
        <v>0</v>
      </c>
      <c r="C541" s="34" t="s">
        <v>55</v>
      </c>
      <c r="D541" s="34" t="s">
        <v>5</v>
      </c>
      <c r="E541" s="34" t="s">
        <v>107</v>
      </c>
      <c r="F541" s="34" t="s">
        <v>135</v>
      </c>
      <c r="G541" s="34">
        <v>4</v>
      </c>
      <c r="H541" s="34" t="s">
        <v>18</v>
      </c>
      <c r="I541" s="34" t="s">
        <v>22</v>
      </c>
      <c r="J541" s="34">
        <v>1</v>
      </c>
      <c r="K541" s="35">
        <f>AB541/COUNTIFS($B:$B,$B541,$C:$C,$C541,$H:$H,$H541,$I:$I,$I541)</f>
        <v>0.14000000000000001</v>
      </c>
      <c r="L541" s="36">
        <f t="shared" si="34"/>
        <v>1</v>
      </c>
      <c r="M541" s="37">
        <f t="shared" si="35"/>
        <v>0.14000000000000001</v>
      </c>
      <c r="N541" s="58"/>
      <c r="AA541" s="146">
        <f>AB541/COUNTIFS($B:$B,$B541,$C:$C,$C541,$H:$H,$H541,$I:$I,$I541)</f>
        <v>0.14000000000000001</v>
      </c>
      <c r="AB541" s="108">
        <f>VLOOKUP(I541,'Weights and Confidence'!$D$16:$AC$26,5,FALSE)</f>
        <v>0.14000000000000001</v>
      </c>
      <c r="AC541" s="147">
        <f>VLOOKUP(I541,'Weights and Confidence'!$D$16:$AC$26,6,FALSE)</f>
        <v>1</v>
      </c>
    </row>
    <row r="542" spans="1:29" x14ac:dyDescent="0.2">
      <c r="A542" s="38" t="s">
        <v>14</v>
      </c>
      <c r="B542" s="38" t="s">
        <v>0</v>
      </c>
      <c r="C542" s="38" t="s">
        <v>55</v>
      </c>
      <c r="D542" s="38" t="s">
        <v>5</v>
      </c>
      <c r="E542" s="38" t="s">
        <v>107</v>
      </c>
      <c r="F542" s="38" t="s">
        <v>135</v>
      </c>
      <c r="G542" s="38">
        <v>5</v>
      </c>
      <c r="H542" s="38" t="s">
        <v>17</v>
      </c>
      <c r="I542" s="38" t="s">
        <v>23</v>
      </c>
      <c r="J542" s="38">
        <v>1</v>
      </c>
      <c r="K542" s="39">
        <f>AB542/COUNTIFS($B:$B,$B542,$C:$C,$C542,$H:$H,$H542,$I:$I,$I542)</f>
        <v>0.11</v>
      </c>
      <c r="L542" s="40">
        <f t="shared" si="34"/>
        <v>1</v>
      </c>
      <c r="M542" s="41">
        <f t="shared" si="35"/>
        <v>0.11</v>
      </c>
      <c r="N542" s="38"/>
      <c r="AA542" s="146">
        <f>AB542/COUNTIFS($B:$B,$B542,$C:$C,$C542,$H:$H,$H542,$I:$I,$I542)</f>
        <v>0.11</v>
      </c>
      <c r="AB542" s="108">
        <f>VLOOKUP(I542,'Weights and Confidence'!$D$16:$AC$26,5,FALSE)</f>
        <v>0.11</v>
      </c>
      <c r="AC542" s="147">
        <f>VLOOKUP(I542,'Weights and Confidence'!$D$16:$AC$26,6,FALSE)</f>
        <v>1</v>
      </c>
    </row>
    <row r="543" spans="1:29" x14ac:dyDescent="0.2">
      <c r="A543" s="34" t="s">
        <v>14</v>
      </c>
      <c r="B543" s="34" t="s">
        <v>0</v>
      </c>
      <c r="C543" s="34" t="s">
        <v>55</v>
      </c>
      <c r="D543" s="34" t="s">
        <v>5</v>
      </c>
      <c r="E543" s="34" t="s">
        <v>107</v>
      </c>
      <c r="F543" s="34" t="s">
        <v>135</v>
      </c>
      <c r="G543" s="34">
        <v>5</v>
      </c>
      <c r="H543" s="34" t="s">
        <v>18</v>
      </c>
      <c r="I543" s="34" t="s">
        <v>23</v>
      </c>
      <c r="J543" s="34">
        <v>1</v>
      </c>
      <c r="K543" s="35">
        <f>AB543/COUNTIFS($B:$B,$B543,$C:$C,$C543,$H:$H,$H543,$I:$I,$I543)</f>
        <v>0.11</v>
      </c>
      <c r="L543" s="36">
        <f t="shared" si="34"/>
        <v>1</v>
      </c>
      <c r="M543" s="37">
        <f t="shared" si="35"/>
        <v>0.11</v>
      </c>
      <c r="N543" s="58" t="s">
        <v>136</v>
      </c>
      <c r="AA543" s="146">
        <f>AB543/COUNTIFS($B:$B,$B543,$C:$C,$C543,$H:$H,$H543,$I:$I,$I543)</f>
        <v>0.11</v>
      </c>
      <c r="AB543" s="108">
        <f>VLOOKUP(I543,'Weights and Confidence'!$D$16:$AC$26,5,FALSE)</f>
        <v>0.11</v>
      </c>
      <c r="AC543" s="147">
        <f>VLOOKUP(I543,'Weights and Confidence'!$D$16:$AC$26,6,FALSE)</f>
        <v>1</v>
      </c>
    </row>
    <row r="544" spans="1:29" x14ac:dyDescent="0.2">
      <c r="A544" s="38" t="s">
        <v>14</v>
      </c>
      <c r="B544" s="38" t="s">
        <v>0</v>
      </c>
      <c r="C544" s="38" t="s">
        <v>55</v>
      </c>
      <c r="D544" s="38" t="s">
        <v>5</v>
      </c>
      <c r="E544" s="38" t="s">
        <v>107</v>
      </c>
      <c r="F544" s="38" t="s">
        <v>135</v>
      </c>
      <c r="G544" s="38">
        <v>6</v>
      </c>
      <c r="H544" s="38" t="s">
        <v>17</v>
      </c>
      <c r="I544" s="38" t="s">
        <v>24</v>
      </c>
      <c r="J544" s="38">
        <v>1</v>
      </c>
      <c r="K544" s="39">
        <f>AB544/COUNTIFS($B:$B,$B544,$C:$C,$C544,$H:$H,$H544,$I:$I,$I544)</f>
        <v>0.15</v>
      </c>
      <c r="L544" s="40">
        <f t="shared" si="34"/>
        <v>1</v>
      </c>
      <c r="M544" s="41">
        <f t="shared" si="35"/>
        <v>0.15</v>
      </c>
      <c r="N544" s="59"/>
      <c r="AA544" s="146">
        <f>AB544/COUNTIFS($B:$B,$B544,$C:$C,$C544,$H:$H,$H544,$I:$I,$I544)</f>
        <v>0.15</v>
      </c>
      <c r="AB544" s="108">
        <f>VLOOKUP(I544,'Weights and Confidence'!$D$16:$AC$26,5,FALSE)</f>
        <v>0.15</v>
      </c>
      <c r="AC544" s="147">
        <f>VLOOKUP(I544,'Weights and Confidence'!$D$16:$AC$26,6,FALSE)</f>
        <v>1</v>
      </c>
    </row>
    <row r="545" spans="1:29" x14ac:dyDescent="0.2">
      <c r="A545" s="34" t="s">
        <v>14</v>
      </c>
      <c r="B545" s="34" t="s">
        <v>0</v>
      </c>
      <c r="C545" s="34" t="s">
        <v>55</v>
      </c>
      <c r="D545" s="34" t="s">
        <v>5</v>
      </c>
      <c r="E545" s="34" t="s">
        <v>107</v>
      </c>
      <c r="F545" s="34" t="s">
        <v>135</v>
      </c>
      <c r="G545" s="34">
        <v>6</v>
      </c>
      <c r="H545" s="34" t="s">
        <v>18</v>
      </c>
      <c r="I545" s="34" t="s">
        <v>24</v>
      </c>
      <c r="J545" s="34">
        <v>0</v>
      </c>
      <c r="K545" s="35">
        <f>AB545/COUNTIFS($B:$B,$B545,$C:$C,$C545,$H:$H,$H545,$I:$I,$I545)</f>
        <v>0.15</v>
      </c>
      <c r="L545" s="36">
        <f t="shared" si="34"/>
        <v>1</v>
      </c>
      <c r="M545" s="37">
        <f t="shared" si="35"/>
        <v>0</v>
      </c>
      <c r="N545" s="58" t="s">
        <v>137</v>
      </c>
      <c r="AA545" s="146">
        <f>AB545/COUNTIFS($B:$B,$B545,$C:$C,$C545,$H:$H,$H545,$I:$I,$I545)</f>
        <v>0.15</v>
      </c>
      <c r="AB545" s="108">
        <f>VLOOKUP(I545,'Weights and Confidence'!$D$16:$AC$26,5,FALSE)</f>
        <v>0.15</v>
      </c>
      <c r="AC545" s="147">
        <f>VLOOKUP(I545,'Weights and Confidence'!$D$16:$AC$26,6,FALSE)</f>
        <v>1</v>
      </c>
    </row>
    <row r="546" spans="1:29" x14ac:dyDescent="0.2">
      <c r="A546" s="38" t="s">
        <v>14</v>
      </c>
      <c r="B546" s="38" t="s">
        <v>0</v>
      </c>
      <c r="C546" s="38" t="s">
        <v>55</v>
      </c>
      <c r="D546" s="38" t="s">
        <v>5</v>
      </c>
      <c r="E546" s="38" t="s">
        <v>107</v>
      </c>
      <c r="F546" s="38" t="s">
        <v>135</v>
      </c>
      <c r="G546" s="38">
        <v>7</v>
      </c>
      <c r="H546" s="38" t="s">
        <v>17</v>
      </c>
      <c r="I546" s="38" t="s">
        <v>25</v>
      </c>
      <c r="J546" s="38">
        <v>1</v>
      </c>
      <c r="K546" s="39">
        <f>AB546/COUNTIFS($B:$B,$B546,$C:$C,$C546,$H:$H,$H546,$I:$I,$I546)</f>
        <v>0.1</v>
      </c>
      <c r="L546" s="40">
        <f t="shared" si="34"/>
        <v>1</v>
      </c>
      <c r="M546" s="41">
        <f t="shared" si="35"/>
        <v>0.1</v>
      </c>
      <c r="N546" s="38"/>
      <c r="AA546" s="146">
        <f>AB546/COUNTIFS($B:$B,$B546,$C:$C,$C546,$H:$H,$H546,$I:$I,$I546)</f>
        <v>0.1</v>
      </c>
      <c r="AB546" s="108">
        <f>VLOOKUP(I546,'Weights and Confidence'!$D$16:$AC$26,5,FALSE)</f>
        <v>0.1</v>
      </c>
      <c r="AC546" s="147">
        <f>VLOOKUP(I546,'Weights and Confidence'!$D$16:$AC$26,6,FALSE)</f>
        <v>1</v>
      </c>
    </row>
    <row r="547" spans="1:29" x14ac:dyDescent="0.2">
      <c r="A547" s="34" t="s">
        <v>14</v>
      </c>
      <c r="B547" s="34" t="s">
        <v>0</v>
      </c>
      <c r="C547" s="34" t="s">
        <v>55</v>
      </c>
      <c r="D547" s="34" t="s">
        <v>5</v>
      </c>
      <c r="E547" s="34" t="s">
        <v>107</v>
      </c>
      <c r="F547" s="34" t="s">
        <v>135</v>
      </c>
      <c r="G547" s="34">
        <v>7</v>
      </c>
      <c r="H547" s="34" t="s">
        <v>18</v>
      </c>
      <c r="I547" s="34" t="s">
        <v>25</v>
      </c>
      <c r="J547" s="34">
        <v>1</v>
      </c>
      <c r="K547" s="35">
        <f>AB547/COUNTIFS($B:$B,$B547,$C:$C,$C547,$H:$H,$H547,$I:$I,$I547)</f>
        <v>0.1</v>
      </c>
      <c r="L547" s="36">
        <f t="shared" si="34"/>
        <v>1</v>
      </c>
      <c r="M547" s="37">
        <f t="shared" si="35"/>
        <v>0.1</v>
      </c>
      <c r="N547" s="58" t="s">
        <v>138</v>
      </c>
      <c r="AA547" s="146">
        <f>AB547/COUNTIFS($B:$B,$B547,$C:$C,$C547,$H:$H,$H547,$I:$I,$I547)</f>
        <v>0.1</v>
      </c>
      <c r="AB547" s="108">
        <f>VLOOKUP(I547,'Weights and Confidence'!$D$16:$AC$26,5,FALSE)</f>
        <v>0.1</v>
      </c>
      <c r="AC547" s="147">
        <f>VLOOKUP(I547,'Weights and Confidence'!$D$16:$AC$26,6,FALSE)</f>
        <v>1</v>
      </c>
    </row>
    <row r="548" spans="1:29" x14ac:dyDescent="0.2">
      <c r="A548" s="38" t="s">
        <v>14</v>
      </c>
      <c r="B548" s="38" t="s">
        <v>0</v>
      </c>
      <c r="C548" s="38" t="s">
        <v>55</v>
      </c>
      <c r="D548" s="38" t="s">
        <v>5</v>
      </c>
      <c r="E548" s="38" t="s">
        <v>107</v>
      </c>
      <c r="F548" s="38" t="s">
        <v>135</v>
      </c>
      <c r="G548" s="38">
        <v>8</v>
      </c>
      <c r="H548" s="38" t="s">
        <v>17</v>
      </c>
      <c r="I548" s="38" t="s">
        <v>26</v>
      </c>
      <c r="J548" s="38">
        <v>0</v>
      </c>
      <c r="K548" s="39">
        <f>AB548/COUNTIFS($B:$B,$B548,$C:$C,$C548,$H:$H,$H548,$I:$I,$I548)</f>
        <v>0.1</v>
      </c>
      <c r="L548" s="40">
        <f t="shared" si="34"/>
        <v>1</v>
      </c>
      <c r="M548" s="41">
        <f t="shared" si="35"/>
        <v>0</v>
      </c>
      <c r="N548" s="38"/>
      <c r="AA548" s="146">
        <f>AB548/COUNTIFS($B:$B,$B548,$C:$C,$C548,$H:$H,$H548,$I:$I,$I548)</f>
        <v>0.1</v>
      </c>
      <c r="AB548" s="108">
        <f>VLOOKUP(I548,'Weights and Confidence'!$D$16:$AC$26,5,FALSE)</f>
        <v>0.1</v>
      </c>
      <c r="AC548" s="147">
        <f>VLOOKUP(I548,'Weights and Confidence'!$D$16:$AC$26,6,FALSE)</f>
        <v>1</v>
      </c>
    </row>
    <row r="549" spans="1:29" x14ac:dyDescent="0.2">
      <c r="A549" s="34" t="s">
        <v>14</v>
      </c>
      <c r="B549" s="34" t="s">
        <v>0</v>
      </c>
      <c r="C549" s="34" t="s">
        <v>55</v>
      </c>
      <c r="D549" s="34" t="s">
        <v>5</v>
      </c>
      <c r="E549" s="34" t="s">
        <v>107</v>
      </c>
      <c r="F549" s="34" t="s">
        <v>135</v>
      </c>
      <c r="G549" s="34">
        <v>8</v>
      </c>
      <c r="H549" s="34" t="s">
        <v>18</v>
      </c>
      <c r="I549" s="34" t="s">
        <v>26</v>
      </c>
      <c r="J549" s="34">
        <v>1</v>
      </c>
      <c r="K549" s="35">
        <f>AB549/COUNTIFS($B:$B,$B549,$C:$C,$C549,$H:$H,$H549,$I:$I,$I549)</f>
        <v>0.1</v>
      </c>
      <c r="L549" s="36">
        <f t="shared" si="34"/>
        <v>1</v>
      </c>
      <c r="M549" s="37">
        <f t="shared" si="35"/>
        <v>0.1</v>
      </c>
      <c r="N549" s="58"/>
      <c r="AA549" s="146">
        <f>AB549/COUNTIFS($B:$B,$B549,$C:$C,$C549,$H:$H,$H549,$I:$I,$I549)</f>
        <v>0.1</v>
      </c>
      <c r="AB549" s="108">
        <f>VLOOKUP(I549,'Weights and Confidence'!$D$16:$AC$26,5,FALSE)</f>
        <v>0.1</v>
      </c>
      <c r="AC549" s="147">
        <f>VLOOKUP(I549,'Weights and Confidence'!$D$16:$AC$26,6,FALSE)</f>
        <v>1</v>
      </c>
    </row>
    <row r="550" spans="1:29" x14ac:dyDescent="0.2">
      <c r="A550" s="38" t="s">
        <v>14</v>
      </c>
      <c r="B550" s="38" t="s">
        <v>0</v>
      </c>
      <c r="C550" s="38" t="s">
        <v>55</v>
      </c>
      <c r="D550" s="38" t="s">
        <v>5</v>
      </c>
      <c r="E550" s="38" t="s">
        <v>107</v>
      </c>
      <c r="F550" s="38" t="s">
        <v>135</v>
      </c>
      <c r="G550" s="38">
        <v>9</v>
      </c>
      <c r="H550" s="38" t="s">
        <v>17</v>
      </c>
      <c r="I550" s="38" t="s">
        <v>27</v>
      </c>
      <c r="J550" s="38">
        <v>1</v>
      </c>
      <c r="K550" s="39">
        <f>AB550/COUNTIFS($B:$B,$B550,$C:$C,$C550,$H:$H,$H550,$I:$I,$I550)</f>
        <v>0.05</v>
      </c>
      <c r="L550" s="40">
        <f t="shared" si="34"/>
        <v>0.85</v>
      </c>
      <c r="M550" s="41">
        <f t="shared" si="35"/>
        <v>4.2500000000000003E-2</v>
      </c>
      <c r="N550" s="38"/>
      <c r="AA550" s="146">
        <f>AB550/COUNTIFS($B:$B,$B550,$C:$C,$C550,$H:$H,$H550,$I:$I,$I550)</f>
        <v>0.05</v>
      </c>
      <c r="AB550" s="108">
        <f>VLOOKUP(I550,'Weights and Confidence'!$D$16:$AC$26,5,FALSE)</f>
        <v>0.1</v>
      </c>
      <c r="AC550" s="147">
        <f>VLOOKUP(I550,'Weights and Confidence'!$D$16:$AC$26,6,FALSE)</f>
        <v>0.85</v>
      </c>
    </row>
    <row r="551" spans="1:29" x14ac:dyDescent="0.2">
      <c r="A551" s="34" t="s">
        <v>14</v>
      </c>
      <c r="B551" s="34" t="s">
        <v>0</v>
      </c>
      <c r="C551" s="34" t="s">
        <v>55</v>
      </c>
      <c r="D551" s="34" t="s">
        <v>5</v>
      </c>
      <c r="E551" s="34" t="s">
        <v>107</v>
      </c>
      <c r="F551" s="34" t="s">
        <v>135</v>
      </c>
      <c r="G551" s="34">
        <v>9</v>
      </c>
      <c r="H551" s="34" t="s">
        <v>18</v>
      </c>
      <c r="I551" s="34" t="s">
        <v>27</v>
      </c>
      <c r="J551" s="34">
        <v>1</v>
      </c>
      <c r="K551" s="35">
        <f>AB551/COUNTIFS($B:$B,$B551,$C:$C,$C551,$H:$H,$H551,$I:$I,$I551)</f>
        <v>0.05</v>
      </c>
      <c r="L551" s="36">
        <f t="shared" si="34"/>
        <v>0.85</v>
      </c>
      <c r="M551" s="37">
        <f t="shared" si="35"/>
        <v>4.2500000000000003E-2</v>
      </c>
      <c r="N551" s="34"/>
      <c r="AA551" s="146">
        <f>AB551/COUNTIFS($B:$B,$B551,$C:$C,$C551,$H:$H,$H551,$I:$I,$I551)</f>
        <v>0.05</v>
      </c>
      <c r="AB551" s="108">
        <f>VLOOKUP(I551,'Weights and Confidence'!$D$16:$AC$26,5,FALSE)</f>
        <v>0.1</v>
      </c>
      <c r="AC551" s="147">
        <f>VLOOKUP(I551,'Weights and Confidence'!$D$16:$AC$26,6,FALSE)</f>
        <v>0.85</v>
      </c>
    </row>
    <row r="552" spans="1:29" x14ac:dyDescent="0.2">
      <c r="A552" s="38" t="s">
        <v>14</v>
      </c>
      <c r="B552" s="38" t="s">
        <v>0</v>
      </c>
      <c r="C552" s="38" t="s">
        <v>55</v>
      </c>
      <c r="D552" s="38" t="s">
        <v>5</v>
      </c>
      <c r="E552" s="38" t="s">
        <v>107</v>
      </c>
      <c r="F552" s="38" t="s">
        <v>135</v>
      </c>
      <c r="G552" s="38">
        <v>10</v>
      </c>
      <c r="H552" s="38" t="s">
        <v>17</v>
      </c>
      <c r="I552" s="38" t="s">
        <v>27</v>
      </c>
      <c r="J552" s="38">
        <v>0</v>
      </c>
      <c r="K552" s="39">
        <f>AB552/COUNTIFS($B:$B,$B552,$C:$C,$C552,$H:$H,$H552,$I:$I,$I552)</f>
        <v>0.05</v>
      </c>
      <c r="L552" s="40">
        <f t="shared" si="34"/>
        <v>0.85</v>
      </c>
      <c r="M552" s="41">
        <f t="shared" si="35"/>
        <v>0</v>
      </c>
      <c r="N552" s="38"/>
      <c r="AA552" s="146">
        <f>AB552/COUNTIFS($B:$B,$B552,$C:$C,$C552,$H:$H,$H552,$I:$I,$I552)</f>
        <v>0.05</v>
      </c>
      <c r="AB552" s="108">
        <f>VLOOKUP(I552,'Weights and Confidence'!$D$16:$AC$26,5,FALSE)</f>
        <v>0.1</v>
      </c>
      <c r="AC552" s="147">
        <f>VLOOKUP(I552,'Weights and Confidence'!$D$16:$AC$26,6,FALSE)</f>
        <v>0.85</v>
      </c>
    </row>
    <row r="553" spans="1:29" x14ac:dyDescent="0.2">
      <c r="A553" s="34" t="s">
        <v>14</v>
      </c>
      <c r="B553" s="34" t="s">
        <v>0</v>
      </c>
      <c r="C553" s="34" t="s">
        <v>55</v>
      </c>
      <c r="D553" s="34" t="s">
        <v>5</v>
      </c>
      <c r="E553" s="34" t="s">
        <v>107</v>
      </c>
      <c r="F553" s="34" t="s">
        <v>135</v>
      </c>
      <c r="G553" s="34">
        <v>10</v>
      </c>
      <c r="H553" s="34" t="s">
        <v>18</v>
      </c>
      <c r="I553" s="34" t="s">
        <v>27</v>
      </c>
      <c r="J553" s="34">
        <v>1</v>
      </c>
      <c r="K553" s="35">
        <f>AB553/COUNTIFS($B:$B,$B553,$C:$C,$C553,$H:$H,$H553,$I:$I,$I553)</f>
        <v>0.05</v>
      </c>
      <c r="L553" s="36">
        <f t="shared" si="34"/>
        <v>0.85</v>
      </c>
      <c r="M553" s="37">
        <f t="shared" si="35"/>
        <v>4.2500000000000003E-2</v>
      </c>
      <c r="N553" s="34"/>
      <c r="AA553" s="146">
        <f>AB553/COUNTIFS($B:$B,$B553,$C:$C,$C553,$H:$H,$H553,$I:$I,$I553)</f>
        <v>0.05</v>
      </c>
      <c r="AB553" s="108">
        <f>VLOOKUP(I553,'Weights and Confidence'!$D$16:$AC$26,5,FALSE)</f>
        <v>0.1</v>
      </c>
      <c r="AC553" s="147">
        <f>VLOOKUP(I553,'Weights and Confidence'!$D$16:$AC$26,6,FALSE)</f>
        <v>0.85</v>
      </c>
    </row>
    <row r="554" spans="1:29" x14ac:dyDescent="0.2">
      <c r="A554" s="38" t="s">
        <v>14</v>
      </c>
      <c r="B554" s="38" t="s">
        <v>0</v>
      </c>
      <c r="C554" s="38" t="s">
        <v>55</v>
      </c>
      <c r="D554" s="38" t="s">
        <v>5</v>
      </c>
      <c r="E554" s="38" t="s">
        <v>107</v>
      </c>
      <c r="F554" s="38" t="s">
        <v>135</v>
      </c>
      <c r="G554" s="38">
        <v>11</v>
      </c>
      <c r="H554" s="38" t="s">
        <v>17</v>
      </c>
      <c r="I554" s="38" t="s">
        <v>28</v>
      </c>
      <c r="J554" s="38">
        <v>1</v>
      </c>
      <c r="K554" s="39">
        <f>AB554/COUNTIFS($B:$B,$B554,$C:$C,$C554,$H:$H,$H554,$I:$I,$I554)</f>
        <v>0.05</v>
      </c>
      <c r="L554" s="40">
        <f t="shared" si="34"/>
        <v>1</v>
      </c>
      <c r="M554" s="41">
        <f t="shared" si="35"/>
        <v>0.05</v>
      </c>
      <c r="N554" s="38"/>
      <c r="AA554" s="146">
        <f>AB554/COUNTIFS($B:$B,$B554,$C:$C,$C554,$H:$H,$H554,$I:$I,$I554)</f>
        <v>0.05</v>
      </c>
      <c r="AB554" s="108">
        <f>VLOOKUP(I554,'Weights and Confidence'!$D$16:$AC$26,5,FALSE)</f>
        <v>0.05</v>
      </c>
      <c r="AC554" s="147">
        <f>VLOOKUP(I554,'Weights and Confidence'!$D$16:$AC$26,6,FALSE)</f>
        <v>1</v>
      </c>
    </row>
    <row r="555" spans="1:29" ht="17" thickBot="1" x14ac:dyDescent="0.25">
      <c r="A555" s="34" t="s">
        <v>14</v>
      </c>
      <c r="B555" s="34" t="s">
        <v>0</v>
      </c>
      <c r="C555" s="34" t="s">
        <v>55</v>
      </c>
      <c r="D555" s="34" t="s">
        <v>5</v>
      </c>
      <c r="E555" s="34" t="s">
        <v>107</v>
      </c>
      <c r="F555" s="34" t="s">
        <v>135</v>
      </c>
      <c r="G555" s="34">
        <v>11</v>
      </c>
      <c r="H555" s="34" t="s">
        <v>18</v>
      </c>
      <c r="I555" s="34" t="s">
        <v>28</v>
      </c>
      <c r="J555" s="34">
        <v>0</v>
      </c>
      <c r="K555" s="35">
        <f>AB555/COUNTIFS($B:$B,$B555,$C:$C,$C555,$H:$H,$H555,$I:$I,$I555)</f>
        <v>0.05</v>
      </c>
      <c r="L555" s="36">
        <f t="shared" si="34"/>
        <v>1</v>
      </c>
      <c r="M555" s="37">
        <f t="shared" si="35"/>
        <v>0</v>
      </c>
      <c r="N555" s="58" t="s">
        <v>139</v>
      </c>
      <c r="AA555" s="140">
        <f>AB555/COUNTIFS($B:$B,$B555,$C:$C,$C555,$H:$H,$H555,$I:$I,$I555)</f>
        <v>0.05</v>
      </c>
      <c r="AB555" s="141">
        <f>VLOOKUP(I555,'Weights and Confidence'!$D$16:$AC$26,5,FALSE)</f>
        <v>0.05</v>
      </c>
      <c r="AC555" s="142">
        <f>VLOOKUP(I555,'Weights and Confidence'!$D$16:$AC$26,6,FALSE)</f>
        <v>1</v>
      </c>
    </row>
    <row r="556" spans="1:29" ht="17" thickTop="1" x14ac:dyDescent="0.2">
      <c r="A556" s="42" t="s">
        <v>14</v>
      </c>
      <c r="B556" s="42" t="s">
        <v>0</v>
      </c>
      <c r="C556" s="42" t="s">
        <v>57</v>
      </c>
      <c r="D556" s="42" t="s">
        <v>5</v>
      </c>
      <c r="E556" s="42" t="s">
        <v>107</v>
      </c>
      <c r="F556" s="49" t="s">
        <v>140</v>
      </c>
      <c r="G556" s="42">
        <v>1</v>
      </c>
      <c r="H556" s="42" t="s">
        <v>17</v>
      </c>
      <c r="I556" s="42" t="s">
        <v>19</v>
      </c>
      <c r="J556" s="42">
        <v>0</v>
      </c>
      <c r="K556" s="44">
        <f>AB556/COUNTIFS($B:$B,$B556,$C:$C,$C556,$H:$H,$H556,$I:$I,$I556)</f>
        <v>0.12</v>
      </c>
      <c r="L556" s="45">
        <f t="shared" si="34"/>
        <v>1</v>
      </c>
      <c r="M556" s="46">
        <f t="shared" ref="M556:M577" si="36">J556*K556*L556</f>
        <v>0</v>
      </c>
      <c r="N556" s="29"/>
      <c r="AA556" s="143">
        <f>AB556/COUNTIFS($B:$B,$B556,$C:$C,$C556,$H:$H,$H556,$I:$I,$I556)</f>
        <v>0.12</v>
      </c>
      <c r="AB556" s="144">
        <f>VLOOKUP(I556,'Weights and Confidence'!$D$16:$AC$26,5,FALSE)</f>
        <v>0.12</v>
      </c>
      <c r="AC556" s="145">
        <f>VLOOKUP(I556,'Weights and Confidence'!$D$16:$AC$26,6,FALSE)</f>
        <v>1</v>
      </c>
    </row>
    <row r="557" spans="1:29" x14ac:dyDescent="0.2">
      <c r="A557" s="34" t="s">
        <v>14</v>
      </c>
      <c r="B557" s="34" t="s">
        <v>0</v>
      </c>
      <c r="C557" s="34" t="s">
        <v>57</v>
      </c>
      <c r="D557" s="34" t="s">
        <v>5</v>
      </c>
      <c r="E557" s="34" t="s">
        <v>107</v>
      </c>
      <c r="F557" s="50" t="s">
        <v>140</v>
      </c>
      <c r="G557" s="34">
        <v>1</v>
      </c>
      <c r="H557" s="34" t="s">
        <v>18</v>
      </c>
      <c r="I557" s="34" t="s">
        <v>19</v>
      </c>
      <c r="J557" s="34">
        <v>-1</v>
      </c>
      <c r="K557" s="35">
        <f>AB557/COUNTIFS($B:$B,$B557,$C:$C,$C557,$H:$H,$H557,$I:$I,$I557)</f>
        <v>0.12</v>
      </c>
      <c r="L557" s="36">
        <f t="shared" si="34"/>
        <v>1</v>
      </c>
      <c r="M557" s="37">
        <f t="shared" si="36"/>
        <v>-0.12</v>
      </c>
      <c r="N557" s="58"/>
      <c r="AA557" s="146">
        <f>AB557/COUNTIFS($B:$B,$B557,$C:$C,$C557,$H:$H,$H557,$I:$I,$I557)</f>
        <v>0.12</v>
      </c>
      <c r="AB557" s="108">
        <f>VLOOKUP(I557,'Weights and Confidence'!$D$16:$AC$26,5,FALSE)</f>
        <v>0.12</v>
      </c>
      <c r="AC557" s="147">
        <f>VLOOKUP(I557,'Weights and Confidence'!$D$16:$AC$26,6,FALSE)</f>
        <v>1</v>
      </c>
    </row>
    <row r="558" spans="1:29" x14ac:dyDescent="0.2">
      <c r="A558" s="38" t="s">
        <v>14</v>
      </c>
      <c r="B558" s="38" t="s">
        <v>0</v>
      </c>
      <c r="C558" s="38" t="s">
        <v>57</v>
      </c>
      <c r="D558" s="38" t="s">
        <v>5</v>
      </c>
      <c r="E558" s="38" t="s">
        <v>107</v>
      </c>
      <c r="F558" s="51" t="s">
        <v>140</v>
      </c>
      <c r="G558" s="38">
        <v>2</v>
      </c>
      <c r="H558" s="38" t="s">
        <v>17</v>
      </c>
      <c r="I558" s="38" t="s">
        <v>20</v>
      </c>
      <c r="J558" s="38">
        <v>0</v>
      </c>
      <c r="K558" s="39">
        <f>AB558/COUNTIFS($B:$B,$B558,$C:$C,$C558,$H:$H,$H558,$I:$I,$I558)</f>
        <v>0.08</v>
      </c>
      <c r="L558" s="40">
        <f t="shared" si="34"/>
        <v>0.8</v>
      </c>
      <c r="M558" s="41">
        <f t="shared" si="36"/>
        <v>0</v>
      </c>
      <c r="N558" s="38"/>
      <c r="AA558" s="146">
        <f>AB558/COUNTIFS($B:$B,$B558,$C:$C,$C558,$H:$H,$H558,$I:$I,$I558)</f>
        <v>0.08</v>
      </c>
      <c r="AB558" s="108">
        <f>VLOOKUP(I558,'Weights and Confidence'!$D$16:$AC$26,5,FALSE)</f>
        <v>0.08</v>
      </c>
      <c r="AC558" s="147">
        <f>VLOOKUP(I558,'Weights and Confidence'!$D$16:$AC$26,6,FALSE)</f>
        <v>0.8</v>
      </c>
    </row>
    <row r="559" spans="1:29" x14ac:dyDescent="0.2">
      <c r="A559" s="34" t="s">
        <v>14</v>
      </c>
      <c r="B559" s="34" t="s">
        <v>0</v>
      </c>
      <c r="C559" s="34" t="s">
        <v>57</v>
      </c>
      <c r="D559" s="34" t="s">
        <v>5</v>
      </c>
      <c r="E559" s="34" t="s">
        <v>107</v>
      </c>
      <c r="F559" s="50" t="s">
        <v>140</v>
      </c>
      <c r="G559" s="34">
        <v>2</v>
      </c>
      <c r="H559" s="34" t="s">
        <v>18</v>
      </c>
      <c r="I559" s="34" t="s">
        <v>20</v>
      </c>
      <c r="J559" s="34">
        <v>-1</v>
      </c>
      <c r="K559" s="35">
        <f>AB559/COUNTIFS($B:$B,$B559,$C:$C,$C559,$H:$H,$H559,$I:$I,$I559)</f>
        <v>0.08</v>
      </c>
      <c r="L559" s="36">
        <f t="shared" si="34"/>
        <v>0.8</v>
      </c>
      <c r="M559" s="37">
        <f t="shared" si="36"/>
        <v>-6.4000000000000001E-2</v>
      </c>
      <c r="N559" s="58"/>
      <c r="AA559" s="146">
        <f>AB559/COUNTIFS($B:$B,$B559,$C:$C,$C559,$H:$H,$H559,$I:$I,$I559)</f>
        <v>0.08</v>
      </c>
      <c r="AB559" s="108">
        <f>VLOOKUP(I559,'Weights and Confidence'!$D$16:$AC$26,5,FALSE)</f>
        <v>0.08</v>
      </c>
      <c r="AC559" s="147">
        <f>VLOOKUP(I559,'Weights and Confidence'!$D$16:$AC$26,6,FALSE)</f>
        <v>0.8</v>
      </c>
    </row>
    <row r="560" spans="1:29" x14ac:dyDescent="0.2">
      <c r="A560" s="38" t="s">
        <v>14</v>
      </c>
      <c r="B560" s="38" t="s">
        <v>0</v>
      </c>
      <c r="C560" s="38" t="s">
        <v>57</v>
      </c>
      <c r="D560" s="38" t="s">
        <v>5</v>
      </c>
      <c r="E560" s="38" t="s">
        <v>107</v>
      </c>
      <c r="F560" s="51" t="s">
        <v>140</v>
      </c>
      <c r="G560" s="38">
        <v>3</v>
      </c>
      <c r="H560" s="38" t="s">
        <v>17</v>
      </c>
      <c r="I560" s="38" t="s">
        <v>21</v>
      </c>
      <c r="J560" s="38">
        <v>0</v>
      </c>
      <c r="K560" s="39">
        <f>AB560/COUNTIFS($B:$B,$B560,$C:$C,$C560,$H:$H,$H560,$I:$I,$I560)</f>
        <v>0.05</v>
      </c>
      <c r="L560" s="40">
        <f t="shared" si="34"/>
        <v>1</v>
      </c>
      <c r="M560" s="41">
        <f t="shared" si="36"/>
        <v>0</v>
      </c>
      <c r="N560" s="38"/>
      <c r="AA560" s="146">
        <f>AB560/COUNTIFS($B:$B,$B560,$C:$C,$C560,$H:$H,$H560,$I:$I,$I560)</f>
        <v>0.05</v>
      </c>
      <c r="AB560" s="108">
        <f>VLOOKUP(I560,'Weights and Confidence'!$D$16:$AC$26,5,FALSE)</f>
        <v>0.05</v>
      </c>
      <c r="AC560" s="147">
        <f>VLOOKUP(I560,'Weights and Confidence'!$D$16:$AC$26,6,FALSE)</f>
        <v>1</v>
      </c>
    </row>
    <row r="561" spans="1:29" x14ac:dyDescent="0.2">
      <c r="A561" s="34" t="s">
        <v>14</v>
      </c>
      <c r="B561" s="34" t="s">
        <v>0</v>
      </c>
      <c r="C561" s="34" t="s">
        <v>57</v>
      </c>
      <c r="D561" s="34" t="s">
        <v>5</v>
      </c>
      <c r="E561" s="34" t="s">
        <v>107</v>
      </c>
      <c r="F561" s="50" t="s">
        <v>140</v>
      </c>
      <c r="G561" s="34">
        <v>3</v>
      </c>
      <c r="H561" s="34" t="s">
        <v>18</v>
      </c>
      <c r="I561" s="34" t="s">
        <v>21</v>
      </c>
      <c r="J561" s="34">
        <v>-1</v>
      </c>
      <c r="K561" s="35">
        <f>AB561/COUNTIFS($B:$B,$B561,$C:$C,$C561,$H:$H,$H561,$I:$I,$I561)</f>
        <v>0.05</v>
      </c>
      <c r="L561" s="36">
        <f t="shared" si="34"/>
        <v>1</v>
      </c>
      <c r="M561" s="37">
        <f t="shared" si="36"/>
        <v>-0.05</v>
      </c>
      <c r="N561" s="58" t="s">
        <v>76</v>
      </c>
      <c r="AA561" s="146">
        <f>AB561/COUNTIFS($B:$B,$B561,$C:$C,$C561,$H:$H,$H561,$I:$I,$I561)</f>
        <v>0.05</v>
      </c>
      <c r="AB561" s="108">
        <f>VLOOKUP(I561,'Weights and Confidence'!$D$16:$AC$26,5,FALSE)</f>
        <v>0.05</v>
      </c>
      <c r="AC561" s="147">
        <f>VLOOKUP(I561,'Weights and Confidence'!$D$16:$AC$26,6,FALSE)</f>
        <v>1</v>
      </c>
    </row>
    <row r="562" spans="1:29" x14ac:dyDescent="0.2">
      <c r="A562" s="38" t="s">
        <v>14</v>
      </c>
      <c r="B562" s="38" t="s">
        <v>0</v>
      </c>
      <c r="C562" s="38" t="s">
        <v>57</v>
      </c>
      <c r="D562" s="38" t="s">
        <v>5</v>
      </c>
      <c r="E562" s="38" t="s">
        <v>107</v>
      </c>
      <c r="F562" s="51" t="s">
        <v>140</v>
      </c>
      <c r="G562" s="38">
        <v>4</v>
      </c>
      <c r="H562" s="38" t="s">
        <v>17</v>
      </c>
      <c r="I562" s="38" t="s">
        <v>22</v>
      </c>
      <c r="J562" s="38">
        <v>-1</v>
      </c>
      <c r="K562" s="39">
        <f>AB562/COUNTIFS($B:$B,$B562,$C:$C,$C562,$H:$H,$H562,$I:$I,$I562)</f>
        <v>0.14000000000000001</v>
      </c>
      <c r="L562" s="40">
        <f t="shared" si="34"/>
        <v>1</v>
      </c>
      <c r="M562" s="41">
        <f t="shared" si="36"/>
        <v>-0.14000000000000001</v>
      </c>
      <c r="N562" s="38"/>
      <c r="AA562" s="146">
        <f>AB562/COUNTIFS($B:$B,$B562,$C:$C,$C562,$H:$H,$H562,$I:$I,$I562)</f>
        <v>0.14000000000000001</v>
      </c>
      <c r="AB562" s="108">
        <f>VLOOKUP(I562,'Weights and Confidence'!$D$16:$AC$26,5,FALSE)</f>
        <v>0.14000000000000001</v>
      </c>
      <c r="AC562" s="147">
        <f>VLOOKUP(I562,'Weights and Confidence'!$D$16:$AC$26,6,FALSE)</f>
        <v>1</v>
      </c>
    </row>
    <row r="563" spans="1:29" x14ac:dyDescent="0.2">
      <c r="A563" s="34" t="s">
        <v>14</v>
      </c>
      <c r="B563" s="34" t="s">
        <v>0</v>
      </c>
      <c r="C563" s="34" t="s">
        <v>57</v>
      </c>
      <c r="D563" s="34" t="s">
        <v>5</v>
      </c>
      <c r="E563" s="34" t="s">
        <v>107</v>
      </c>
      <c r="F563" s="50" t="s">
        <v>140</v>
      </c>
      <c r="G563" s="34">
        <v>4</v>
      </c>
      <c r="H563" s="34" t="s">
        <v>18</v>
      </c>
      <c r="I563" s="34" t="s">
        <v>22</v>
      </c>
      <c r="J563" s="34">
        <v>-1</v>
      </c>
      <c r="K563" s="35">
        <f>AB563/COUNTIFS($B:$B,$B563,$C:$C,$C563,$H:$H,$H563,$I:$I,$I563)</f>
        <v>0.14000000000000001</v>
      </c>
      <c r="L563" s="36">
        <f t="shared" si="34"/>
        <v>1</v>
      </c>
      <c r="M563" s="37">
        <f t="shared" si="36"/>
        <v>-0.14000000000000001</v>
      </c>
      <c r="N563" s="58" t="s">
        <v>83</v>
      </c>
      <c r="AA563" s="146">
        <f>AB563/COUNTIFS($B:$B,$B563,$C:$C,$C563,$H:$H,$H563,$I:$I,$I563)</f>
        <v>0.14000000000000001</v>
      </c>
      <c r="AB563" s="108">
        <f>VLOOKUP(I563,'Weights and Confidence'!$D$16:$AC$26,5,FALSE)</f>
        <v>0.14000000000000001</v>
      </c>
      <c r="AC563" s="147">
        <f>VLOOKUP(I563,'Weights and Confidence'!$D$16:$AC$26,6,FALSE)</f>
        <v>1</v>
      </c>
    </row>
    <row r="564" spans="1:29" x14ac:dyDescent="0.2">
      <c r="A564" s="38" t="s">
        <v>14</v>
      </c>
      <c r="B564" s="38" t="s">
        <v>0</v>
      </c>
      <c r="C564" s="38" t="s">
        <v>57</v>
      </c>
      <c r="D564" s="38" t="s">
        <v>5</v>
      </c>
      <c r="E564" s="38" t="s">
        <v>107</v>
      </c>
      <c r="F564" s="51" t="s">
        <v>140</v>
      </c>
      <c r="G564" s="38">
        <v>5</v>
      </c>
      <c r="H564" s="38" t="s">
        <v>17</v>
      </c>
      <c r="I564" s="38" t="s">
        <v>23</v>
      </c>
      <c r="J564" s="38">
        <v>-1</v>
      </c>
      <c r="K564" s="39">
        <f>AB564/COUNTIFS($B:$B,$B564,$C:$C,$C564,$H:$H,$H564,$I:$I,$I564)</f>
        <v>0.11</v>
      </c>
      <c r="L564" s="40">
        <f t="shared" si="34"/>
        <v>1</v>
      </c>
      <c r="M564" s="41">
        <f t="shared" si="36"/>
        <v>-0.11</v>
      </c>
      <c r="N564" s="38"/>
      <c r="P564" s="20"/>
      <c r="AA564" s="146">
        <f>AB564/COUNTIFS($B:$B,$B564,$C:$C,$C564,$H:$H,$H564,$I:$I,$I564)</f>
        <v>0.11</v>
      </c>
      <c r="AB564" s="108">
        <f>VLOOKUP(I564,'Weights and Confidence'!$D$16:$AC$26,5,FALSE)</f>
        <v>0.11</v>
      </c>
      <c r="AC564" s="147">
        <f>VLOOKUP(I564,'Weights and Confidence'!$D$16:$AC$26,6,FALSE)</f>
        <v>1</v>
      </c>
    </row>
    <row r="565" spans="1:29" x14ac:dyDescent="0.2">
      <c r="A565" s="34" t="s">
        <v>14</v>
      </c>
      <c r="B565" s="34" t="s">
        <v>0</v>
      </c>
      <c r="C565" s="34" t="s">
        <v>57</v>
      </c>
      <c r="D565" s="34" t="s">
        <v>5</v>
      </c>
      <c r="E565" s="34" t="s">
        <v>107</v>
      </c>
      <c r="F565" s="50" t="s">
        <v>140</v>
      </c>
      <c r="G565" s="34">
        <v>5</v>
      </c>
      <c r="H565" s="34" t="s">
        <v>18</v>
      </c>
      <c r="I565" s="34" t="s">
        <v>23</v>
      </c>
      <c r="J565" s="34">
        <v>-1</v>
      </c>
      <c r="K565" s="35">
        <f>AB565/COUNTIFS($B:$B,$B565,$C:$C,$C565,$H:$H,$H565,$I:$I,$I565)</f>
        <v>0.11</v>
      </c>
      <c r="L565" s="36">
        <f t="shared" si="34"/>
        <v>1</v>
      </c>
      <c r="M565" s="37">
        <f t="shared" si="36"/>
        <v>-0.11</v>
      </c>
      <c r="N565" s="58"/>
      <c r="AA565" s="146">
        <f>AB565/COUNTIFS($B:$B,$B565,$C:$C,$C565,$H:$H,$H565,$I:$I,$I565)</f>
        <v>0.11</v>
      </c>
      <c r="AB565" s="108">
        <f>VLOOKUP(I565,'Weights and Confidence'!$D$16:$AC$26,5,FALSE)</f>
        <v>0.11</v>
      </c>
      <c r="AC565" s="147">
        <f>VLOOKUP(I565,'Weights and Confidence'!$D$16:$AC$26,6,FALSE)</f>
        <v>1</v>
      </c>
    </row>
    <row r="566" spans="1:29" x14ac:dyDescent="0.2">
      <c r="A566" s="38" t="s">
        <v>14</v>
      </c>
      <c r="B566" s="38" t="s">
        <v>0</v>
      </c>
      <c r="C566" s="38" t="s">
        <v>57</v>
      </c>
      <c r="D566" s="38" t="s">
        <v>5</v>
      </c>
      <c r="E566" s="38" t="s">
        <v>107</v>
      </c>
      <c r="F566" s="51" t="s">
        <v>140</v>
      </c>
      <c r="G566" s="38">
        <v>6</v>
      </c>
      <c r="H566" s="38" t="s">
        <v>17</v>
      </c>
      <c r="I566" s="38" t="s">
        <v>24</v>
      </c>
      <c r="J566" s="38">
        <v>0</v>
      </c>
      <c r="K566" s="39">
        <f>AB566/COUNTIFS($B:$B,$B566,$C:$C,$C566,$H:$H,$H566,$I:$I,$I566)</f>
        <v>0.15</v>
      </c>
      <c r="L566" s="40">
        <f t="shared" si="34"/>
        <v>1</v>
      </c>
      <c r="M566" s="41">
        <f t="shared" si="36"/>
        <v>0</v>
      </c>
      <c r="N566" s="59"/>
      <c r="AA566" s="146">
        <f>AB566/COUNTIFS($B:$B,$B566,$C:$C,$C566,$H:$H,$H566,$I:$I,$I566)</f>
        <v>0.15</v>
      </c>
      <c r="AB566" s="108">
        <f>VLOOKUP(I566,'Weights and Confidence'!$D$16:$AC$26,5,FALSE)</f>
        <v>0.15</v>
      </c>
      <c r="AC566" s="147">
        <f>VLOOKUP(I566,'Weights and Confidence'!$D$16:$AC$26,6,FALSE)</f>
        <v>1</v>
      </c>
    </row>
    <row r="567" spans="1:29" x14ac:dyDescent="0.2">
      <c r="A567" s="34" t="s">
        <v>14</v>
      </c>
      <c r="B567" s="34" t="s">
        <v>0</v>
      </c>
      <c r="C567" s="34" t="s">
        <v>57</v>
      </c>
      <c r="D567" s="34" t="s">
        <v>5</v>
      </c>
      <c r="E567" s="34" t="s">
        <v>107</v>
      </c>
      <c r="F567" s="50" t="s">
        <v>140</v>
      </c>
      <c r="G567" s="34">
        <v>6</v>
      </c>
      <c r="H567" s="34" t="s">
        <v>18</v>
      </c>
      <c r="I567" s="34" t="s">
        <v>24</v>
      </c>
      <c r="J567" s="34">
        <v>-1</v>
      </c>
      <c r="K567" s="35">
        <f>AB567/COUNTIFS($B:$B,$B567,$C:$C,$C567,$H:$H,$H567,$I:$I,$I567)</f>
        <v>0.15</v>
      </c>
      <c r="L567" s="36">
        <f t="shared" si="34"/>
        <v>1</v>
      </c>
      <c r="M567" s="37">
        <f t="shared" si="36"/>
        <v>-0.15</v>
      </c>
      <c r="N567" s="58" t="s">
        <v>141</v>
      </c>
      <c r="AA567" s="146">
        <f>AB567/COUNTIFS($B:$B,$B567,$C:$C,$C567,$H:$H,$H567,$I:$I,$I567)</f>
        <v>0.15</v>
      </c>
      <c r="AB567" s="108">
        <f>VLOOKUP(I567,'Weights and Confidence'!$D$16:$AC$26,5,FALSE)</f>
        <v>0.15</v>
      </c>
      <c r="AC567" s="147">
        <f>VLOOKUP(I567,'Weights and Confidence'!$D$16:$AC$26,6,FALSE)</f>
        <v>1</v>
      </c>
    </row>
    <row r="568" spans="1:29" x14ac:dyDescent="0.2">
      <c r="A568" s="38" t="s">
        <v>14</v>
      </c>
      <c r="B568" s="38" t="s">
        <v>0</v>
      </c>
      <c r="C568" s="38" t="s">
        <v>57</v>
      </c>
      <c r="D568" s="38" t="s">
        <v>5</v>
      </c>
      <c r="E568" s="38" t="s">
        <v>107</v>
      </c>
      <c r="F568" s="51" t="s">
        <v>140</v>
      </c>
      <c r="G568" s="38">
        <v>7</v>
      </c>
      <c r="H568" s="38" t="s">
        <v>17</v>
      </c>
      <c r="I568" s="38" t="s">
        <v>25</v>
      </c>
      <c r="J568" s="38">
        <v>0</v>
      </c>
      <c r="K568" s="39">
        <f>AB568/COUNTIFS($B:$B,$B568,$C:$C,$C568,$H:$H,$H568,$I:$I,$I568)</f>
        <v>0.1</v>
      </c>
      <c r="L568" s="40">
        <f t="shared" si="34"/>
        <v>1</v>
      </c>
      <c r="M568" s="41">
        <f t="shared" si="36"/>
        <v>0</v>
      </c>
      <c r="N568" s="38"/>
      <c r="AA568" s="146">
        <f>AB568/COUNTIFS($B:$B,$B568,$C:$C,$C568,$H:$H,$H568,$I:$I,$I568)</f>
        <v>0.1</v>
      </c>
      <c r="AB568" s="108">
        <f>VLOOKUP(I568,'Weights and Confidence'!$D$16:$AC$26,5,FALSE)</f>
        <v>0.1</v>
      </c>
      <c r="AC568" s="147">
        <f>VLOOKUP(I568,'Weights and Confidence'!$D$16:$AC$26,6,FALSE)</f>
        <v>1</v>
      </c>
    </row>
    <row r="569" spans="1:29" x14ac:dyDescent="0.2">
      <c r="A569" s="34" t="s">
        <v>14</v>
      </c>
      <c r="B569" s="34" t="s">
        <v>0</v>
      </c>
      <c r="C569" s="34" t="s">
        <v>57</v>
      </c>
      <c r="D569" s="34" t="s">
        <v>5</v>
      </c>
      <c r="E569" s="34" t="s">
        <v>107</v>
      </c>
      <c r="F569" s="50" t="s">
        <v>140</v>
      </c>
      <c r="G569" s="34">
        <v>7</v>
      </c>
      <c r="H569" s="34" t="s">
        <v>18</v>
      </c>
      <c r="I569" s="34" t="s">
        <v>25</v>
      </c>
      <c r="J569" s="34">
        <v>-1</v>
      </c>
      <c r="K569" s="35">
        <f>AB569/COUNTIFS($B:$B,$B569,$C:$C,$C569,$H:$H,$H569,$I:$I,$I569)</f>
        <v>0.1</v>
      </c>
      <c r="L569" s="36">
        <f t="shared" si="34"/>
        <v>1</v>
      </c>
      <c r="M569" s="37">
        <f t="shared" si="36"/>
        <v>-0.1</v>
      </c>
      <c r="N569" s="58" t="s">
        <v>142</v>
      </c>
      <c r="AA569" s="146">
        <f>AB569/COUNTIFS($B:$B,$B569,$C:$C,$C569,$H:$H,$H569,$I:$I,$I569)</f>
        <v>0.1</v>
      </c>
      <c r="AB569" s="108">
        <f>VLOOKUP(I569,'Weights and Confidence'!$D$16:$AC$26,5,FALSE)</f>
        <v>0.1</v>
      </c>
      <c r="AC569" s="147">
        <f>VLOOKUP(I569,'Weights and Confidence'!$D$16:$AC$26,6,FALSE)</f>
        <v>1</v>
      </c>
    </row>
    <row r="570" spans="1:29" x14ac:dyDescent="0.2">
      <c r="A570" s="38" t="s">
        <v>14</v>
      </c>
      <c r="B570" s="38" t="s">
        <v>0</v>
      </c>
      <c r="C570" s="38" t="s">
        <v>57</v>
      </c>
      <c r="D570" s="38" t="s">
        <v>5</v>
      </c>
      <c r="E570" s="38" t="s">
        <v>107</v>
      </c>
      <c r="F570" s="51" t="s">
        <v>140</v>
      </c>
      <c r="G570" s="38">
        <v>8</v>
      </c>
      <c r="H570" s="38" t="s">
        <v>17</v>
      </c>
      <c r="I570" s="38" t="s">
        <v>26</v>
      </c>
      <c r="J570" s="38">
        <v>0</v>
      </c>
      <c r="K570" s="39">
        <f>AB570/COUNTIFS($B:$B,$B570,$C:$C,$C570,$H:$H,$H570,$I:$I,$I570)</f>
        <v>0.1</v>
      </c>
      <c r="L570" s="40">
        <f t="shared" si="34"/>
        <v>1</v>
      </c>
      <c r="M570" s="41">
        <f t="shared" si="36"/>
        <v>0</v>
      </c>
      <c r="N570" s="38"/>
      <c r="AA570" s="146">
        <f>AB570/COUNTIFS($B:$B,$B570,$C:$C,$C570,$H:$H,$H570,$I:$I,$I570)</f>
        <v>0.1</v>
      </c>
      <c r="AB570" s="108">
        <f>VLOOKUP(I570,'Weights and Confidence'!$D$16:$AC$26,5,FALSE)</f>
        <v>0.1</v>
      </c>
      <c r="AC570" s="147">
        <f>VLOOKUP(I570,'Weights and Confidence'!$D$16:$AC$26,6,FALSE)</f>
        <v>1</v>
      </c>
    </row>
    <row r="571" spans="1:29" x14ac:dyDescent="0.2">
      <c r="A571" s="34" t="s">
        <v>14</v>
      </c>
      <c r="B571" s="34" t="s">
        <v>0</v>
      </c>
      <c r="C571" s="34" t="s">
        <v>57</v>
      </c>
      <c r="D571" s="34" t="s">
        <v>5</v>
      </c>
      <c r="E571" s="34" t="s">
        <v>107</v>
      </c>
      <c r="F571" s="50" t="s">
        <v>140</v>
      </c>
      <c r="G571" s="34">
        <v>8</v>
      </c>
      <c r="H571" s="34" t="s">
        <v>18</v>
      </c>
      <c r="I571" s="34" t="s">
        <v>26</v>
      </c>
      <c r="J571" s="34">
        <v>-1</v>
      </c>
      <c r="K571" s="35">
        <f>AB571/COUNTIFS($B:$B,$B571,$C:$C,$C571,$H:$H,$H571,$I:$I,$I571)</f>
        <v>0.1</v>
      </c>
      <c r="L571" s="36">
        <f t="shared" si="34"/>
        <v>1</v>
      </c>
      <c r="M571" s="37">
        <f t="shared" si="36"/>
        <v>-0.1</v>
      </c>
      <c r="N571" s="58"/>
      <c r="AA571" s="146">
        <f>AB571/COUNTIFS($B:$B,$B571,$C:$C,$C571,$H:$H,$H571,$I:$I,$I571)</f>
        <v>0.1</v>
      </c>
      <c r="AB571" s="108">
        <f>VLOOKUP(I571,'Weights and Confidence'!$D$16:$AC$26,5,FALSE)</f>
        <v>0.1</v>
      </c>
      <c r="AC571" s="147">
        <f>VLOOKUP(I571,'Weights and Confidence'!$D$16:$AC$26,6,FALSE)</f>
        <v>1</v>
      </c>
    </row>
    <row r="572" spans="1:29" x14ac:dyDescent="0.2">
      <c r="A572" s="38" t="s">
        <v>14</v>
      </c>
      <c r="B572" s="38" t="s">
        <v>0</v>
      </c>
      <c r="C572" s="38" t="s">
        <v>57</v>
      </c>
      <c r="D572" s="38" t="s">
        <v>5</v>
      </c>
      <c r="E572" s="38" t="s">
        <v>107</v>
      </c>
      <c r="F572" s="51" t="s">
        <v>140</v>
      </c>
      <c r="G572" s="38">
        <v>9</v>
      </c>
      <c r="H572" s="38" t="s">
        <v>17</v>
      </c>
      <c r="I572" s="38" t="s">
        <v>27</v>
      </c>
      <c r="J572" s="38">
        <v>-1</v>
      </c>
      <c r="K572" s="39">
        <f>AB572/COUNTIFS($B:$B,$B572,$C:$C,$C572,$H:$H,$H572,$I:$I,$I572)</f>
        <v>0.05</v>
      </c>
      <c r="L572" s="40">
        <f t="shared" si="34"/>
        <v>0.85</v>
      </c>
      <c r="M572" s="41">
        <f t="shared" si="36"/>
        <v>-4.2500000000000003E-2</v>
      </c>
      <c r="N572" s="38"/>
      <c r="AA572" s="146">
        <f>AB572/COUNTIFS($B:$B,$B572,$C:$C,$C572,$H:$H,$H572,$I:$I,$I572)</f>
        <v>0.05</v>
      </c>
      <c r="AB572" s="108">
        <f>VLOOKUP(I572,'Weights and Confidence'!$D$16:$AC$26,5,FALSE)</f>
        <v>0.1</v>
      </c>
      <c r="AC572" s="147">
        <f>VLOOKUP(I572,'Weights and Confidence'!$D$16:$AC$26,6,FALSE)</f>
        <v>0.85</v>
      </c>
    </row>
    <row r="573" spans="1:29" x14ac:dyDescent="0.2">
      <c r="A573" s="34" t="s">
        <v>14</v>
      </c>
      <c r="B573" s="34" t="s">
        <v>0</v>
      </c>
      <c r="C573" s="34" t="s">
        <v>57</v>
      </c>
      <c r="D573" s="34" t="s">
        <v>5</v>
      </c>
      <c r="E573" s="34" t="s">
        <v>107</v>
      </c>
      <c r="F573" s="50" t="s">
        <v>140</v>
      </c>
      <c r="G573" s="34">
        <v>9</v>
      </c>
      <c r="H573" s="34" t="s">
        <v>18</v>
      </c>
      <c r="I573" s="34" t="s">
        <v>27</v>
      </c>
      <c r="J573" s="34">
        <v>0</v>
      </c>
      <c r="K573" s="35">
        <f>AB573/COUNTIFS($B:$B,$B573,$C:$C,$C573,$H:$H,$H573,$I:$I,$I573)</f>
        <v>0.05</v>
      </c>
      <c r="L573" s="36">
        <f t="shared" si="34"/>
        <v>0.85</v>
      </c>
      <c r="M573" s="37">
        <f t="shared" si="36"/>
        <v>0</v>
      </c>
      <c r="N573" s="34"/>
      <c r="AA573" s="146">
        <f>AB573/COUNTIFS($B:$B,$B573,$C:$C,$C573,$H:$H,$H573,$I:$I,$I573)</f>
        <v>0.05</v>
      </c>
      <c r="AB573" s="108">
        <f>VLOOKUP(I573,'Weights and Confidence'!$D$16:$AC$26,5,FALSE)</f>
        <v>0.1</v>
      </c>
      <c r="AC573" s="147">
        <f>VLOOKUP(I573,'Weights and Confidence'!$D$16:$AC$26,6,FALSE)</f>
        <v>0.85</v>
      </c>
    </row>
    <row r="574" spans="1:29" x14ac:dyDescent="0.2">
      <c r="A574" s="38" t="s">
        <v>14</v>
      </c>
      <c r="B574" s="38" t="s">
        <v>0</v>
      </c>
      <c r="C574" s="38" t="s">
        <v>57</v>
      </c>
      <c r="D574" s="38" t="s">
        <v>5</v>
      </c>
      <c r="E574" s="38" t="s">
        <v>107</v>
      </c>
      <c r="F574" s="51" t="s">
        <v>140</v>
      </c>
      <c r="G574" s="38">
        <v>10</v>
      </c>
      <c r="H574" s="38" t="s">
        <v>17</v>
      </c>
      <c r="I574" s="38" t="s">
        <v>27</v>
      </c>
      <c r="J574" s="38">
        <v>0</v>
      </c>
      <c r="K574" s="39">
        <f>AB574/COUNTIFS($B:$B,$B574,$C:$C,$C574,$H:$H,$H574,$I:$I,$I574)</f>
        <v>0.05</v>
      </c>
      <c r="L574" s="40">
        <f t="shared" si="34"/>
        <v>0.85</v>
      </c>
      <c r="M574" s="41">
        <f t="shared" si="36"/>
        <v>0</v>
      </c>
      <c r="N574" s="38"/>
      <c r="AA574" s="146">
        <f>AB574/COUNTIFS($B:$B,$B574,$C:$C,$C574,$H:$H,$H574,$I:$I,$I574)</f>
        <v>0.05</v>
      </c>
      <c r="AB574" s="108">
        <f>VLOOKUP(I574,'Weights and Confidence'!$D$16:$AC$26,5,FALSE)</f>
        <v>0.1</v>
      </c>
      <c r="AC574" s="147">
        <f>VLOOKUP(I574,'Weights and Confidence'!$D$16:$AC$26,6,FALSE)</f>
        <v>0.85</v>
      </c>
    </row>
    <row r="575" spans="1:29" x14ac:dyDescent="0.2">
      <c r="A575" s="34" t="s">
        <v>14</v>
      </c>
      <c r="B575" s="34" t="s">
        <v>0</v>
      </c>
      <c r="C575" s="34" t="s">
        <v>57</v>
      </c>
      <c r="D575" s="34" t="s">
        <v>5</v>
      </c>
      <c r="E575" s="34" t="s">
        <v>107</v>
      </c>
      <c r="F575" s="50" t="s">
        <v>140</v>
      </c>
      <c r="G575" s="34">
        <v>10</v>
      </c>
      <c r="H575" s="34" t="s">
        <v>18</v>
      </c>
      <c r="I575" s="34" t="s">
        <v>27</v>
      </c>
      <c r="J575" s="34">
        <v>0</v>
      </c>
      <c r="K575" s="35">
        <f>AB575/COUNTIFS($B:$B,$B575,$C:$C,$C575,$H:$H,$H575,$I:$I,$I575)</f>
        <v>0.05</v>
      </c>
      <c r="L575" s="36">
        <f t="shared" si="34"/>
        <v>0.85</v>
      </c>
      <c r="M575" s="37">
        <f t="shared" si="36"/>
        <v>0</v>
      </c>
      <c r="N575" s="34"/>
      <c r="AA575" s="146">
        <f>AB575/COUNTIFS($B:$B,$B575,$C:$C,$C575,$H:$H,$H575,$I:$I,$I575)</f>
        <v>0.05</v>
      </c>
      <c r="AB575" s="108">
        <f>VLOOKUP(I575,'Weights and Confidence'!$D$16:$AC$26,5,FALSE)</f>
        <v>0.1</v>
      </c>
      <c r="AC575" s="147">
        <f>VLOOKUP(I575,'Weights and Confidence'!$D$16:$AC$26,6,FALSE)</f>
        <v>0.85</v>
      </c>
    </row>
    <row r="576" spans="1:29" x14ac:dyDescent="0.2">
      <c r="A576" s="38" t="s">
        <v>14</v>
      </c>
      <c r="B576" s="38" t="s">
        <v>0</v>
      </c>
      <c r="C576" s="38" t="s">
        <v>57</v>
      </c>
      <c r="D576" s="38" t="s">
        <v>5</v>
      </c>
      <c r="E576" s="38" t="s">
        <v>107</v>
      </c>
      <c r="F576" s="51" t="s">
        <v>140</v>
      </c>
      <c r="G576" s="38">
        <v>11</v>
      </c>
      <c r="H576" s="38" t="s">
        <v>17</v>
      </c>
      <c r="I576" s="38" t="s">
        <v>28</v>
      </c>
      <c r="J576" s="38">
        <v>-1</v>
      </c>
      <c r="K576" s="39">
        <f>AB576/COUNTIFS($B:$B,$B576,$C:$C,$C576,$H:$H,$H576,$I:$I,$I576)</f>
        <v>0.05</v>
      </c>
      <c r="L576" s="40">
        <f t="shared" si="34"/>
        <v>1</v>
      </c>
      <c r="M576" s="41">
        <f t="shared" si="36"/>
        <v>-0.05</v>
      </c>
      <c r="N576" s="38"/>
      <c r="AA576" s="146">
        <f>AB576/COUNTIFS($B:$B,$B576,$C:$C,$C576,$H:$H,$H576,$I:$I,$I576)</f>
        <v>0.05</v>
      </c>
      <c r="AB576" s="108">
        <f>VLOOKUP(I576,'Weights and Confidence'!$D$16:$AC$26,5,FALSE)</f>
        <v>0.05</v>
      </c>
      <c r="AC576" s="147">
        <f>VLOOKUP(I576,'Weights and Confidence'!$D$16:$AC$26,6,FALSE)</f>
        <v>1</v>
      </c>
    </row>
    <row r="577" spans="1:29" ht="17" thickBot="1" x14ac:dyDescent="0.25">
      <c r="A577" s="34" t="s">
        <v>14</v>
      </c>
      <c r="B577" s="34" t="s">
        <v>0</v>
      </c>
      <c r="C577" s="34" t="s">
        <v>57</v>
      </c>
      <c r="D577" s="34" t="s">
        <v>5</v>
      </c>
      <c r="E577" s="34" t="s">
        <v>107</v>
      </c>
      <c r="F577" s="50" t="s">
        <v>140</v>
      </c>
      <c r="G577" s="34">
        <v>11</v>
      </c>
      <c r="H577" s="34" t="s">
        <v>18</v>
      </c>
      <c r="I577" s="34" t="s">
        <v>28</v>
      </c>
      <c r="J577" s="34">
        <v>-1</v>
      </c>
      <c r="K577" s="35">
        <f>AB577/COUNTIFS($B:$B,$B577,$C:$C,$C577,$H:$H,$H577,$I:$I,$I577)</f>
        <v>0.05</v>
      </c>
      <c r="L577" s="36">
        <f t="shared" si="34"/>
        <v>1</v>
      </c>
      <c r="M577" s="37">
        <f t="shared" si="36"/>
        <v>-0.05</v>
      </c>
      <c r="N577" s="58" t="s">
        <v>143</v>
      </c>
      <c r="AA577" s="140">
        <f>AB577/COUNTIFS($B:$B,$B577,$C:$C,$C577,$H:$H,$H577,$I:$I,$I577)</f>
        <v>0.05</v>
      </c>
      <c r="AB577" s="141">
        <f>VLOOKUP(I577,'Weights and Confidence'!$D$16:$AC$26,5,FALSE)</f>
        <v>0.05</v>
      </c>
      <c r="AC577" s="142">
        <f>VLOOKUP(I577,'Weights and Confidence'!$D$16:$AC$26,6,FALSE)</f>
        <v>1</v>
      </c>
    </row>
    <row r="578" spans="1:29" ht="17" thickTop="1" x14ac:dyDescent="0.2">
      <c r="A578" s="42" t="s">
        <v>14</v>
      </c>
      <c r="B578" s="42" t="s">
        <v>0</v>
      </c>
      <c r="C578" s="42" t="s">
        <v>59</v>
      </c>
      <c r="D578" s="42" t="s">
        <v>5</v>
      </c>
      <c r="E578" s="42" t="s">
        <v>103</v>
      </c>
      <c r="F578" s="49" t="s">
        <v>60</v>
      </c>
      <c r="G578" s="42">
        <v>1</v>
      </c>
      <c r="H578" s="42" t="s">
        <v>17</v>
      </c>
      <c r="I578" s="42" t="s">
        <v>19</v>
      </c>
      <c r="J578" s="42">
        <v>0</v>
      </c>
      <c r="K578" s="44">
        <f>AB578/COUNTIFS($B:$B,$B578,$C:$C,$C578,$H:$H,$H578,$I:$I,$I578)</f>
        <v>0.12</v>
      </c>
      <c r="L578" s="45">
        <f t="shared" si="34"/>
        <v>1</v>
      </c>
      <c r="M578" s="46">
        <f t="shared" ref="M578:M599" si="37">J578*K578*L578</f>
        <v>0</v>
      </c>
      <c r="N578" s="29"/>
      <c r="AA578" s="143">
        <f>AB578/COUNTIFS($B:$B,$B578,$C:$C,$C578,$H:$H,$H578,$I:$I,$I578)</f>
        <v>0.12</v>
      </c>
      <c r="AB578" s="144">
        <f>VLOOKUP(I578,'Weights and Confidence'!$D$16:$AC$26,5,FALSE)</f>
        <v>0.12</v>
      </c>
      <c r="AC578" s="145">
        <f>VLOOKUP(I578,'Weights and Confidence'!$D$16:$AC$26,6,FALSE)</f>
        <v>1</v>
      </c>
    </row>
    <row r="579" spans="1:29" x14ac:dyDescent="0.2">
      <c r="A579" s="34" t="s">
        <v>14</v>
      </c>
      <c r="B579" s="34" t="s">
        <v>0</v>
      </c>
      <c r="C579" s="34" t="s">
        <v>59</v>
      </c>
      <c r="D579" s="34" t="s">
        <v>5</v>
      </c>
      <c r="E579" s="34" t="s">
        <v>103</v>
      </c>
      <c r="F579" s="50" t="s">
        <v>60</v>
      </c>
      <c r="G579" s="34">
        <v>1</v>
      </c>
      <c r="H579" s="34" t="s">
        <v>18</v>
      </c>
      <c r="I579" s="34" t="s">
        <v>19</v>
      </c>
      <c r="J579" s="34">
        <v>1</v>
      </c>
      <c r="K579" s="35">
        <f>AB579/COUNTIFS($B:$B,$B579,$C:$C,$C579,$H:$H,$H579,$I:$I,$I579)</f>
        <v>0.12</v>
      </c>
      <c r="L579" s="36">
        <f t="shared" si="34"/>
        <v>1</v>
      </c>
      <c r="M579" s="37">
        <f t="shared" si="37"/>
        <v>0.12</v>
      </c>
      <c r="N579" s="58"/>
      <c r="AA579" s="146">
        <f>AB579/COUNTIFS($B:$B,$B579,$C:$C,$C579,$H:$H,$H579,$I:$I,$I579)</f>
        <v>0.12</v>
      </c>
      <c r="AB579" s="108">
        <f>VLOOKUP(I579,'Weights and Confidence'!$D$16:$AC$26,5,FALSE)</f>
        <v>0.12</v>
      </c>
      <c r="AC579" s="147">
        <f>VLOOKUP(I579,'Weights and Confidence'!$D$16:$AC$26,6,FALSE)</f>
        <v>1</v>
      </c>
    </row>
    <row r="580" spans="1:29" x14ac:dyDescent="0.2">
      <c r="A580" s="38" t="s">
        <v>14</v>
      </c>
      <c r="B580" s="38" t="s">
        <v>0</v>
      </c>
      <c r="C580" s="38" t="s">
        <v>59</v>
      </c>
      <c r="D580" s="38" t="s">
        <v>5</v>
      </c>
      <c r="E580" s="38" t="s">
        <v>103</v>
      </c>
      <c r="F580" s="51" t="s">
        <v>60</v>
      </c>
      <c r="G580" s="38">
        <v>2</v>
      </c>
      <c r="H580" s="38" t="s">
        <v>17</v>
      </c>
      <c r="I580" s="38" t="s">
        <v>20</v>
      </c>
      <c r="J580" s="38">
        <v>0</v>
      </c>
      <c r="K580" s="39">
        <f>AB580/COUNTIFS($B:$B,$B580,$C:$C,$C580,$H:$H,$H580,$I:$I,$I580)</f>
        <v>0.08</v>
      </c>
      <c r="L580" s="40">
        <f t="shared" si="34"/>
        <v>0.8</v>
      </c>
      <c r="M580" s="41">
        <f t="shared" si="37"/>
        <v>0</v>
      </c>
      <c r="N580" s="38"/>
      <c r="AA580" s="146">
        <f>AB580/COUNTIFS($B:$B,$B580,$C:$C,$C580,$H:$H,$H580,$I:$I,$I580)</f>
        <v>0.08</v>
      </c>
      <c r="AB580" s="108">
        <f>VLOOKUP(I580,'Weights and Confidence'!$D$16:$AC$26,5,FALSE)</f>
        <v>0.08</v>
      </c>
      <c r="AC580" s="147">
        <f>VLOOKUP(I580,'Weights and Confidence'!$D$16:$AC$26,6,FALSE)</f>
        <v>0.8</v>
      </c>
    </row>
    <row r="581" spans="1:29" x14ac:dyDescent="0.2">
      <c r="A581" s="34" t="s">
        <v>14</v>
      </c>
      <c r="B581" s="34" t="s">
        <v>0</v>
      </c>
      <c r="C581" s="34" t="s">
        <v>59</v>
      </c>
      <c r="D581" s="34" t="s">
        <v>5</v>
      </c>
      <c r="E581" s="34" t="s">
        <v>103</v>
      </c>
      <c r="F581" s="50" t="s">
        <v>60</v>
      </c>
      <c r="G581" s="34">
        <v>2</v>
      </c>
      <c r="H581" s="34" t="s">
        <v>18</v>
      </c>
      <c r="I581" s="34" t="s">
        <v>20</v>
      </c>
      <c r="J581" s="34">
        <v>1</v>
      </c>
      <c r="K581" s="35">
        <f>AB581/COUNTIFS($B:$B,$B581,$C:$C,$C581,$H:$H,$H581,$I:$I,$I581)</f>
        <v>0.08</v>
      </c>
      <c r="L581" s="36">
        <f t="shared" si="34"/>
        <v>0.8</v>
      </c>
      <c r="M581" s="37">
        <f t="shared" si="37"/>
        <v>6.4000000000000001E-2</v>
      </c>
      <c r="N581" s="58"/>
      <c r="AA581" s="146">
        <f>AB581/COUNTIFS($B:$B,$B581,$C:$C,$C581,$H:$H,$H581,$I:$I,$I581)</f>
        <v>0.08</v>
      </c>
      <c r="AB581" s="108">
        <f>VLOOKUP(I581,'Weights and Confidence'!$D$16:$AC$26,5,FALSE)</f>
        <v>0.08</v>
      </c>
      <c r="AC581" s="147">
        <f>VLOOKUP(I581,'Weights and Confidence'!$D$16:$AC$26,6,FALSE)</f>
        <v>0.8</v>
      </c>
    </row>
    <row r="582" spans="1:29" x14ac:dyDescent="0.2">
      <c r="A582" s="38" t="s">
        <v>14</v>
      </c>
      <c r="B582" s="38" t="s">
        <v>0</v>
      </c>
      <c r="C582" s="38" t="s">
        <v>59</v>
      </c>
      <c r="D582" s="38" t="s">
        <v>5</v>
      </c>
      <c r="E582" s="38" t="s">
        <v>103</v>
      </c>
      <c r="F582" s="51" t="s">
        <v>60</v>
      </c>
      <c r="G582" s="38">
        <v>3</v>
      </c>
      <c r="H582" s="38" t="s">
        <v>17</v>
      </c>
      <c r="I582" s="38" t="s">
        <v>21</v>
      </c>
      <c r="J582" s="38">
        <v>1</v>
      </c>
      <c r="K582" s="39">
        <f>AB582/COUNTIFS($B:$B,$B582,$C:$C,$C582,$H:$H,$H582,$I:$I,$I582)</f>
        <v>0.05</v>
      </c>
      <c r="L582" s="40">
        <f t="shared" ref="L582:L645" si="38">AC582</f>
        <v>1</v>
      </c>
      <c r="M582" s="41">
        <f t="shared" si="37"/>
        <v>0.05</v>
      </c>
      <c r="N582" s="38"/>
      <c r="AA582" s="146">
        <f>AB582/COUNTIFS($B:$B,$B582,$C:$C,$C582,$H:$H,$H582,$I:$I,$I582)</f>
        <v>0.05</v>
      </c>
      <c r="AB582" s="108">
        <f>VLOOKUP(I582,'Weights and Confidence'!$D$16:$AC$26,5,FALSE)</f>
        <v>0.05</v>
      </c>
      <c r="AC582" s="147">
        <f>VLOOKUP(I582,'Weights and Confidence'!$D$16:$AC$26,6,FALSE)</f>
        <v>1</v>
      </c>
    </row>
    <row r="583" spans="1:29" x14ac:dyDescent="0.2">
      <c r="A583" s="34" t="s">
        <v>14</v>
      </c>
      <c r="B583" s="34" t="s">
        <v>0</v>
      </c>
      <c r="C583" s="34" t="s">
        <v>59</v>
      </c>
      <c r="D583" s="34" t="s">
        <v>5</v>
      </c>
      <c r="E583" s="34" t="s">
        <v>103</v>
      </c>
      <c r="F583" s="50" t="s">
        <v>60</v>
      </c>
      <c r="G583" s="34">
        <v>3</v>
      </c>
      <c r="H583" s="34" t="s">
        <v>18</v>
      </c>
      <c r="I583" s="34" t="s">
        <v>21</v>
      </c>
      <c r="J583" s="34">
        <v>1</v>
      </c>
      <c r="K583" s="35">
        <f>AB583/COUNTIFS($B:$B,$B583,$C:$C,$C583,$H:$H,$H583,$I:$I,$I583)</f>
        <v>0.05</v>
      </c>
      <c r="L583" s="36">
        <f t="shared" si="38"/>
        <v>1</v>
      </c>
      <c r="M583" s="37">
        <f t="shared" si="37"/>
        <v>0.05</v>
      </c>
      <c r="N583" s="58"/>
      <c r="AA583" s="146">
        <f>AB583/COUNTIFS($B:$B,$B583,$C:$C,$C583,$H:$H,$H583,$I:$I,$I583)</f>
        <v>0.05</v>
      </c>
      <c r="AB583" s="108">
        <f>VLOOKUP(I583,'Weights and Confidence'!$D$16:$AC$26,5,FALSE)</f>
        <v>0.05</v>
      </c>
      <c r="AC583" s="147">
        <f>VLOOKUP(I583,'Weights and Confidence'!$D$16:$AC$26,6,FALSE)</f>
        <v>1</v>
      </c>
    </row>
    <row r="584" spans="1:29" x14ac:dyDescent="0.2">
      <c r="A584" s="38" t="s">
        <v>14</v>
      </c>
      <c r="B584" s="38" t="s">
        <v>0</v>
      </c>
      <c r="C584" s="38" t="s">
        <v>59</v>
      </c>
      <c r="D584" s="38" t="s">
        <v>5</v>
      </c>
      <c r="E584" s="38" t="s">
        <v>103</v>
      </c>
      <c r="F584" s="51" t="s">
        <v>60</v>
      </c>
      <c r="G584" s="38">
        <v>4</v>
      </c>
      <c r="H584" s="38" t="s">
        <v>17</v>
      </c>
      <c r="I584" s="38" t="s">
        <v>22</v>
      </c>
      <c r="J584" s="38">
        <v>1</v>
      </c>
      <c r="K584" s="39">
        <f>AB584/COUNTIFS($B:$B,$B584,$C:$C,$C584,$H:$H,$H584,$I:$I,$I584)</f>
        <v>0.14000000000000001</v>
      </c>
      <c r="L584" s="40">
        <f t="shared" si="38"/>
        <v>1</v>
      </c>
      <c r="M584" s="41">
        <f t="shared" si="37"/>
        <v>0.14000000000000001</v>
      </c>
      <c r="N584" s="38"/>
      <c r="AA584" s="146">
        <f>AB584/COUNTIFS($B:$B,$B584,$C:$C,$C584,$H:$H,$H584,$I:$I,$I584)</f>
        <v>0.14000000000000001</v>
      </c>
      <c r="AB584" s="108">
        <f>VLOOKUP(I584,'Weights and Confidence'!$D$16:$AC$26,5,FALSE)</f>
        <v>0.14000000000000001</v>
      </c>
      <c r="AC584" s="147">
        <f>VLOOKUP(I584,'Weights and Confidence'!$D$16:$AC$26,6,FALSE)</f>
        <v>1</v>
      </c>
    </row>
    <row r="585" spans="1:29" x14ac:dyDescent="0.2">
      <c r="A585" s="34" t="s">
        <v>14</v>
      </c>
      <c r="B585" s="34" t="s">
        <v>0</v>
      </c>
      <c r="C585" s="34" t="s">
        <v>59</v>
      </c>
      <c r="D585" s="34" t="s">
        <v>5</v>
      </c>
      <c r="E585" s="34" t="s">
        <v>103</v>
      </c>
      <c r="F585" s="50" t="s">
        <v>60</v>
      </c>
      <c r="G585" s="34">
        <v>4</v>
      </c>
      <c r="H585" s="34" t="s">
        <v>18</v>
      </c>
      <c r="I585" s="34" t="s">
        <v>22</v>
      </c>
      <c r="J585" s="34">
        <v>1</v>
      </c>
      <c r="K585" s="35">
        <f>AB585/COUNTIFS($B:$B,$B585,$C:$C,$C585,$H:$H,$H585,$I:$I,$I585)</f>
        <v>0.14000000000000001</v>
      </c>
      <c r="L585" s="36">
        <f t="shared" si="38"/>
        <v>1</v>
      </c>
      <c r="M585" s="37">
        <f t="shared" si="37"/>
        <v>0.14000000000000001</v>
      </c>
      <c r="N585" s="58"/>
      <c r="AA585" s="146">
        <f>AB585/COUNTIFS($B:$B,$B585,$C:$C,$C585,$H:$H,$H585,$I:$I,$I585)</f>
        <v>0.14000000000000001</v>
      </c>
      <c r="AB585" s="108">
        <f>VLOOKUP(I585,'Weights and Confidence'!$D$16:$AC$26,5,FALSE)</f>
        <v>0.14000000000000001</v>
      </c>
      <c r="AC585" s="147">
        <f>VLOOKUP(I585,'Weights and Confidence'!$D$16:$AC$26,6,FALSE)</f>
        <v>1</v>
      </c>
    </row>
    <row r="586" spans="1:29" x14ac:dyDescent="0.2">
      <c r="A586" s="38" t="s">
        <v>14</v>
      </c>
      <c r="B586" s="38" t="s">
        <v>0</v>
      </c>
      <c r="C586" s="38" t="s">
        <v>59</v>
      </c>
      <c r="D586" s="38" t="s">
        <v>5</v>
      </c>
      <c r="E586" s="38" t="s">
        <v>103</v>
      </c>
      <c r="F586" s="51" t="s">
        <v>60</v>
      </c>
      <c r="G586" s="38">
        <v>5</v>
      </c>
      <c r="H586" s="38" t="s">
        <v>17</v>
      </c>
      <c r="I586" s="38" t="s">
        <v>23</v>
      </c>
      <c r="J586" s="38">
        <v>1</v>
      </c>
      <c r="K586" s="39">
        <f>AB586/COUNTIFS($B:$B,$B586,$C:$C,$C586,$H:$H,$H586,$I:$I,$I586)</f>
        <v>0.11</v>
      </c>
      <c r="L586" s="40">
        <f t="shared" si="38"/>
        <v>1</v>
      </c>
      <c r="M586" s="41">
        <f t="shared" si="37"/>
        <v>0.11</v>
      </c>
      <c r="N586" s="38"/>
      <c r="AA586" s="146">
        <f>AB586/COUNTIFS($B:$B,$B586,$C:$C,$C586,$H:$H,$H586,$I:$I,$I586)</f>
        <v>0.11</v>
      </c>
      <c r="AB586" s="108">
        <f>VLOOKUP(I586,'Weights and Confidence'!$D$16:$AC$26,5,FALSE)</f>
        <v>0.11</v>
      </c>
      <c r="AC586" s="147">
        <f>VLOOKUP(I586,'Weights and Confidence'!$D$16:$AC$26,6,FALSE)</f>
        <v>1</v>
      </c>
    </row>
    <row r="587" spans="1:29" x14ac:dyDescent="0.2">
      <c r="A587" s="34" t="s">
        <v>14</v>
      </c>
      <c r="B587" s="34" t="s">
        <v>0</v>
      </c>
      <c r="C587" s="34" t="s">
        <v>59</v>
      </c>
      <c r="D587" s="34" t="s">
        <v>5</v>
      </c>
      <c r="E587" s="34" t="s">
        <v>103</v>
      </c>
      <c r="F587" s="50" t="s">
        <v>60</v>
      </c>
      <c r="G587" s="34">
        <v>5</v>
      </c>
      <c r="H587" s="34" t="s">
        <v>18</v>
      </c>
      <c r="I587" s="34" t="s">
        <v>23</v>
      </c>
      <c r="J587" s="34">
        <v>1</v>
      </c>
      <c r="K587" s="35">
        <f>AB587/COUNTIFS($B:$B,$B587,$C:$C,$C587,$H:$H,$H587,$I:$I,$I587)</f>
        <v>0.11</v>
      </c>
      <c r="L587" s="36">
        <f t="shared" si="38"/>
        <v>1</v>
      </c>
      <c r="M587" s="37">
        <f t="shared" si="37"/>
        <v>0.11</v>
      </c>
      <c r="N587" s="58"/>
      <c r="AA587" s="146">
        <f>AB587/COUNTIFS($B:$B,$B587,$C:$C,$C587,$H:$H,$H587,$I:$I,$I587)</f>
        <v>0.11</v>
      </c>
      <c r="AB587" s="108">
        <f>VLOOKUP(I587,'Weights and Confidence'!$D$16:$AC$26,5,FALSE)</f>
        <v>0.11</v>
      </c>
      <c r="AC587" s="147">
        <f>VLOOKUP(I587,'Weights and Confidence'!$D$16:$AC$26,6,FALSE)</f>
        <v>1</v>
      </c>
    </row>
    <row r="588" spans="1:29" x14ac:dyDescent="0.2">
      <c r="A588" s="38" t="s">
        <v>14</v>
      </c>
      <c r="B588" s="38" t="s">
        <v>0</v>
      </c>
      <c r="C588" s="38" t="s">
        <v>59</v>
      </c>
      <c r="D588" s="38" t="s">
        <v>5</v>
      </c>
      <c r="E588" s="38" t="s">
        <v>103</v>
      </c>
      <c r="F588" s="51" t="s">
        <v>60</v>
      </c>
      <c r="G588" s="38">
        <v>6</v>
      </c>
      <c r="H588" s="38" t="s">
        <v>17</v>
      </c>
      <c r="I588" s="38" t="s">
        <v>24</v>
      </c>
      <c r="J588" s="38">
        <v>1</v>
      </c>
      <c r="K588" s="39">
        <f>AB588/COUNTIFS($B:$B,$B588,$C:$C,$C588,$H:$H,$H588,$I:$I,$I588)</f>
        <v>0.15</v>
      </c>
      <c r="L588" s="40">
        <f t="shared" si="38"/>
        <v>1</v>
      </c>
      <c r="M588" s="41">
        <f t="shared" si="37"/>
        <v>0.15</v>
      </c>
      <c r="N588" s="59"/>
      <c r="AA588" s="146">
        <f>AB588/COUNTIFS($B:$B,$B588,$C:$C,$C588,$H:$H,$H588,$I:$I,$I588)</f>
        <v>0.15</v>
      </c>
      <c r="AB588" s="108">
        <f>VLOOKUP(I588,'Weights and Confidence'!$D$16:$AC$26,5,FALSE)</f>
        <v>0.15</v>
      </c>
      <c r="AC588" s="147">
        <f>VLOOKUP(I588,'Weights and Confidence'!$D$16:$AC$26,6,FALSE)</f>
        <v>1</v>
      </c>
    </row>
    <row r="589" spans="1:29" x14ac:dyDescent="0.2">
      <c r="A589" s="34" t="s">
        <v>14</v>
      </c>
      <c r="B589" s="34" t="s">
        <v>0</v>
      </c>
      <c r="C589" s="34" t="s">
        <v>59</v>
      </c>
      <c r="D589" s="34" t="s">
        <v>5</v>
      </c>
      <c r="E589" s="34" t="s">
        <v>103</v>
      </c>
      <c r="F589" s="50" t="s">
        <v>60</v>
      </c>
      <c r="G589" s="34">
        <v>6</v>
      </c>
      <c r="H589" s="34" t="s">
        <v>18</v>
      </c>
      <c r="I589" s="34" t="s">
        <v>24</v>
      </c>
      <c r="J589" s="34">
        <v>1</v>
      </c>
      <c r="K589" s="35">
        <f>AB589/COUNTIFS($B:$B,$B589,$C:$C,$C589,$H:$H,$H589,$I:$I,$I589)</f>
        <v>0.15</v>
      </c>
      <c r="L589" s="36">
        <f t="shared" si="38"/>
        <v>1</v>
      </c>
      <c r="M589" s="37">
        <f t="shared" si="37"/>
        <v>0.15</v>
      </c>
      <c r="N589" s="58"/>
      <c r="AA589" s="146">
        <f>AB589/COUNTIFS($B:$B,$B589,$C:$C,$C589,$H:$H,$H589,$I:$I,$I589)</f>
        <v>0.15</v>
      </c>
      <c r="AB589" s="108">
        <f>VLOOKUP(I589,'Weights and Confidence'!$D$16:$AC$26,5,FALSE)</f>
        <v>0.15</v>
      </c>
      <c r="AC589" s="147">
        <f>VLOOKUP(I589,'Weights and Confidence'!$D$16:$AC$26,6,FALSE)</f>
        <v>1</v>
      </c>
    </row>
    <row r="590" spans="1:29" x14ac:dyDescent="0.2">
      <c r="A590" s="38" t="s">
        <v>14</v>
      </c>
      <c r="B590" s="38" t="s">
        <v>0</v>
      </c>
      <c r="C590" s="38" t="s">
        <v>59</v>
      </c>
      <c r="D590" s="38" t="s">
        <v>5</v>
      </c>
      <c r="E590" s="38" t="s">
        <v>103</v>
      </c>
      <c r="F590" s="51" t="s">
        <v>60</v>
      </c>
      <c r="G590" s="38">
        <v>7</v>
      </c>
      <c r="H590" s="38" t="s">
        <v>17</v>
      </c>
      <c r="I590" s="38" t="s">
        <v>25</v>
      </c>
      <c r="J590" s="38">
        <v>1</v>
      </c>
      <c r="K590" s="39">
        <f>AB590/COUNTIFS($B:$B,$B590,$C:$C,$C590,$H:$H,$H590,$I:$I,$I590)</f>
        <v>0.1</v>
      </c>
      <c r="L590" s="40">
        <f t="shared" si="38"/>
        <v>1</v>
      </c>
      <c r="M590" s="41">
        <f t="shared" si="37"/>
        <v>0.1</v>
      </c>
      <c r="N590" s="38"/>
      <c r="AA590" s="146">
        <f>AB590/COUNTIFS($B:$B,$B590,$C:$C,$C590,$H:$H,$H590,$I:$I,$I590)</f>
        <v>0.1</v>
      </c>
      <c r="AB590" s="108">
        <f>VLOOKUP(I590,'Weights and Confidence'!$D$16:$AC$26,5,FALSE)</f>
        <v>0.1</v>
      </c>
      <c r="AC590" s="147">
        <f>VLOOKUP(I590,'Weights and Confidence'!$D$16:$AC$26,6,FALSE)</f>
        <v>1</v>
      </c>
    </row>
    <row r="591" spans="1:29" x14ac:dyDescent="0.2">
      <c r="A591" s="34" t="s">
        <v>14</v>
      </c>
      <c r="B591" s="34" t="s">
        <v>0</v>
      </c>
      <c r="C591" s="34" t="s">
        <v>59</v>
      </c>
      <c r="D591" s="34" t="s">
        <v>5</v>
      </c>
      <c r="E591" s="34" t="s">
        <v>103</v>
      </c>
      <c r="F591" s="50" t="s">
        <v>60</v>
      </c>
      <c r="G591" s="34">
        <v>7</v>
      </c>
      <c r="H591" s="34" t="s">
        <v>18</v>
      </c>
      <c r="I591" s="34" t="s">
        <v>25</v>
      </c>
      <c r="J591" s="34">
        <v>1</v>
      </c>
      <c r="K591" s="35">
        <f>AB591/COUNTIFS($B:$B,$B591,$C:$C,$C591,$H:$H,$H591,$I:$I,$I591)</f>
        <v>0.1</v>
      </c>
      <c r="L591" s="36">
        <f t="shared" si="38"/>
        <v>1</v>
      </c>
      <c r="M591" s="37">
        <f t="shared" si="37"/>
        <v>0.1</v>
      </c>
      <c r="N591" s="58"/>
      <c r="AA591" s="146">
        <f>AB591/COUNTIFS($B:$B,$B591,$C:$C,$C591,$H:$H,$H591,$I:$I,$I591)</f>
        <v>0.1</v>
      </c>
      <c r="AB591" s="108">
        <f>VLOOKUP(I591,'Weights and Confidence'!$D$16:$AC$26,5,FALSE)</f>
        <v>0.1</v>
      </c>
      <c r="AC591" s="147">
        <f>VLOOKUP(I591,'Weights and Confidence'!$D$16:$AC$26,6,FALSE)</f>
        <v>1</v>
      </c>
    </row>
    <row r="592" spans="1:29" x14ac:dyDescent="0.2">
      <c r="A592" s="38" t="s">
        <v>14</v>
      </c>
      <c r="B592" s="38" t="s">
        <v>0</v>
      </c>
      <c r="C592" s="38" t="s">
        <v>59</v>
      </c>
      <c r="D592" s="38" t="s">
        <v>5</v>
      </c>
      <c r="E592" s="38" t="s">
        <v>103</v>
      </c>
      <c r="F592" s="51" t="s">
        <v>60</v>
      </c>
      <c r="G592" s="38">
        <v>8</v>
      </c>
      <c r="H592" s="38" t="s">
        <v>17</v>
      </c>
      <c r="I592" s="38" t="s">
        <v>26</v>
      </c>
      <c r="J592" s="38">
        <v>1</v>
      </c>
      <c r="K592" s="39">
        <f>AB592/COUNTIFS($B:$B,$B592,$C:$C,$C592,$H:$H,$H592,$I:$I,$I592)</f>
        <v>0.1</v>
      </c>
      <c r="L592" s="40">
        <f t="shared" si="38"/>
        <v>1</v>
      </c>
      <c r="M592" s="41">
        <f t="shared" si="37"/>
        <v>0.1</v>
      </c>
      <c r="N592" s="38"/>
      <c r="AA592" s="146">
        <f>AB592/COUNTIFS($B:$B,$B592,$C:$C,$C592,$H:$H,$H592,$I:$I,$I592)</f>
        <v>0.1</v>
      </c>
      <c r="AB592" s="108">
        <f>VLOOKUP(I592,'Weights and Confidence'!$D$16:$AC$26,5,FALSE)</f>
        <v>0.1</v>
      </c>
      <c r="AC592" s="147">
        <f>VLOOKUP(I592,'Weights and Confidence'!$D$16:$AC$26,6,FALSE)</f>
        <v>1</v>
      </c>
    </row>
    <row r="593" spans="1:29" x14ac:dyDescent="0.2">
      <c r="A593" s="34" t="s">
        <v>14</v>
      </c>
      <c r="B593" s="34" t="s">
        <v>0</v>
      </c>
      <c r="C593" s="34" t="s">
        <v>59</v>
      </c>
      <c r="D593" s="34" t="s">
        <v>5</v>
      </c>
      <c r="E593" s="34" t="s">
        <v>103</v>
      </c>
      <c r="F593" s="50" t="s">
        <v>60</v>
      </c>
      <c r="G593" s="34">
        <v>8</v>
      </c>
      <c r="H593" s="34" t="s">
        <v>18</v>
      </c>
      <c r="I593" s="34" t="s">
        <v>26</v>
      </c>
      <c r="J593" s="34">
        <v>1</v>
      </c>
      <c r="K593" s="35">
        <f>AB593/COUNTIFS($B:$B,$B593,$C:$C,$C593,$H:$H,$H593,$I:$I,$I593)</f>
        <v>0.1</v>
      </c>
      <c r="L593" s="36">
        <f t="shared" si="38"/>
        <v>1</v>
      </c>
      <c r="M593" s="37">
        <f t="shared" si="37"/>
        <v>0.1</v>
      </c>
      <c r="N593" s="58"/>
      <c r="AA593" s="146">
        <f>AB593/COUNTIFS($B:$B,$B593,$C:$C,$C593,$H:$H,$H593,$I:$I,$I593)</f>
        <v>0.1</v>
      </c>
      <c r="AB593" s="108">
        <f>VLOOKUP(I593,'Weights and Confidence'!$D$16:$AC$26,5,FALSE)</f>
        <v>0.1</v>
      </c>
      <c r="AC593" s="147">
        <f>VLOOKUP(I593,'Weights and Confidence'!$D$16:$AC$26,6,FALSE)</f>
        <v>1</v>
      </c>
    </row>
    <row r="594" spans="1:29" x14ac:dyDescent="0.2">
      <c r="A594" s="38" t="s">
        <v>14</v>
      </c>
      <c r="B594" s="38" t="s">
        <v>0</v>
      </c>
      <c r="C594" s="38" t="s">
        <v>59</v>
      </c>
      <c r="D594" s="38" t="s">
        <v>5</v>
      </c>
      <c r="E594" s="38" t="s">
        <v>103</v>
      </c>
      <c r="F594" s="51" t="s">
        <v>60</v>
      </c>
      <c r="G594" s="38">
        <v>9</v>
      </c>
      <c r="H594" s="38" t="s">
        <v>17</v>
      </c>
      <c r="I594" s="38" t="s">
        <v>27</v>
      </c>
      <c r="J594" s="38">
        <v>1</v>
      </c>
      <c r="K594" s="39">
        <f>AB594/COUNTIFS($B:$B,$B594,$C:$C,$C594,$H:$H,$H594,$I:$I,$I594)</f>
        <v>0.05</v>
      </c>
      <c r="L594" s="40">
        <f t="shared" si="38"/>
        <v>0.85</v>
      </c>
      <c r="M594" s="41">
        <f t="shared" si="37"/>
        <v>4.2500000000000003E-2</v>
      </c>
      <c r="N594" s="38"/>
      <c r="AA594" s="146">
        <f>AB594/COUNTIFS($B:$B,$B594,$C:$C,$C594,$H:$H,$H594,$I:$I,$I594)</f>
        <v>0.05</v>
      </c>
      <c r="AB594" s="108">
        <f>VLOOKUP(I594,'Weights and Confidence'!$D$16:$AC$26,5,FALSE)</f>
        <v>0.1</v>
      </c>
      <c r="AC594" s="147">
        <f>VLOOKUP(I594,'Weights and Confidence'!$D$16:$AC$26,6,FALSE)</f>
        <v>0.85</v>
      </c>
    </row>
    <row r="595" spans="1:29" x14ac:dyDescent="0.2">
      <c r="A595" s="34" t="s">
        <v>14</v>
      </c>
      <c r="B595" s="34" t="s">
        <v>0</v>
      </c>
      <c r="C595" s="34" t="s">
        <v>59</v>
      </c>
      <c r="D595" s="34" t="s">
        <v>5</v>
      </c>
      <c r="E595" s="34" t="s">
        <v>103</v>
      </c>
      <c r="F595" s="50" t="s">
        <v>60</v>
      </c>
      <c r="G595" s="34">
        <v>9</v>
      </c>
      <c r="H595" s="34" t="s">
        <v>18</v>
      </c>
      <c r="I595" s="34" t="s">
        <v>27</v>
      </c>
      <c r="J595" s="34">
        <v>1</v>
      </c>
      <c r="K595" s="35">
        <f>AB595/COUNTIFS($B:$B,$B595,$C:$C,$C595,$H:$H,$H595,$I:$I,$I595)</f>
        <v>0.05</v>
      </c>
      <c r="L595" s="36">
        <f t="shared" si="38"/>
        <v>0.85</v>
      </c>
      <c r="M595" s="37">
        <f t="shared" si="37"/>
        <v>4.2500000000000003E-2</v>
      </c>
      <c r="N595" s="34"/>
      <c r="AA595" s="146">
        <f>AB595/COUNTIFS($B:$B,$B595,$C:$C,$C595,$H:$H,$H595,$I:$I,$I595)</f>
        <v>0.05</v>
      </c>
      <c r="AB595" s="108">
        <f>VLOOKUP(I595,'Weights and Confidence'!$D$16:$AC$26,5,FALSE)</f>
        <v>0.1</v>
      </c>
      <c r="AC595" s="147">
        <f>VLOOKUP(I595,'Weights and Confidence'!$D$16:$AC$26,6,FALSE)</f>
        <v>0.85</v>
      </c>
    </row>
    <row r="596" spans="1:29" x14ac:dyDescent="0.2">
      <c r="A596" s="38" t="s">
        <v>14</v>
      </c>
      <c r="B596" s="38" t="s">
        <v>0</v>
      </c>
      <c r="C596" s="38" t="s">
        <v>59</v>
      </c>
      <c r="D596" s="38" t="s">
        <v>5</v>
      </c>
      <c r="E596" s="38" t="s">
        <v>103</v>
      </c>
      <c r="F596" s="51" t="s">
        <v>60</v>
      </c>
      <c r="G596" s="38">
        <v>10</v>
      </c>
      <c r="H596" s="38" t="s">
        <v>17</v>
      </c>
      <c r="I596" s="38" t="s">
        <v>27</v>
      </c>
      <c r="J596" s="38">
        <v>0</v>
      </c>
      <c r="K596" s="39">
        <f>AB596/COUNTIFS($B:$B,$B596,$C:$C,$C596,$H:$H,$H596,$I:$I,$I596)</f>
        <v>0.05</v>
      </c>
      <c r="L596" s="40">
        <f t="shared" si="38"/>
        <v>0.85</v>
      </c>
      <c r="M596" s="41">
        <f t="shared" si="37"/>
        <v>0</v>
      </c>
      <c r="N596" s="38"/>
      <c r="AA596" s="146">
        <f>AB596/COUNTIFS($B:$B,$B596,$C:$C,$C596,$H:$H,$H596,$I:$I,$I596)</f>
        <v>0.05</v>
      </c>
      <c r="AB596" s="108">
        <f>VLOOKUP(I596,'Weights and Confidence'!$D$16:$AC$26,5,FALSE)</f>
        <v>0.1</v>
      </c>
      <c r="AC596" s="147">
        <f>VLOOKUP(I596,'Weights and Confidence'!$D$16:$AC$26,6,FALSE)</f>
        <v>0.85</v>
      </c>
    </row>
    <row r="597" spans="1:29" x14ac:dyDescent="0.2">
      <c r="A597" s="34" t="s">
        <v>14</v>
      </c>
      <c r="B597" s="34" t="s">
        <v>0</v>
      </c>
      <c r="C597" s="34" t="s">
        <v>59</v>
      </c>
      <c r="D597" s="34" t="s">
        <v>5</v>
      </c>
      <c r="E597" s="34" t="s">
        <v>103</v>
      </c>
      <c r="F597" s="50" t="s">
        <v>60</v>
      </c>
      <c r="G597" s="34">
        <v>10</v>
      </c>
      <c r="H597" s="34" t="s">
        <v>18</v>
      </c>
      <c r="I597" s="34" t="s">
        <v>27</v>
      </c>
      <c r="J597" s="34">
        <v>1</v>
      </c>
      <c r="K597" s="35">
        <f>AB597/COUNTIFS($B:$B,$B597,$C:$C,$C597,$H:$H,$H597,$I:$I,$I597)</f>
        <v>0.05</v>
      </c>
      <c r="L597" s="36">
        <f t="shared" si="38"/>
        <v>0.85</v>
      </c>
      <c r="M597" s="37">
        <f t="shared" si="37"/>
        <v>4.2500000000000003E-2</v>
      </c>
      <c r="N597" s="34"/>
      <c r="AA597" s="146">
        <f>AB597/COUNTIFS($B:$B,$B597,$C:$C,$C597,$H:$H,$H597,$I:$I,$I597)</f>
        <v>0.05</v>
      </c>
      <c r="AB597" s="108">
        <f>VLOOKUP(I597,'Weights and Confidence'!$D$16:$AC$26,5,FALSE)</f>
        <v>0.1</v>
      </c>
      <c r="AC597" s="147">
        <f>VLOOKUP(I597,'Weights and Confidence'!$D$16:$AC$26,6,FALSE)</f>
        <v>0.85</v>
      </c>
    </row>
    <row r="598" spans="1:29" x14ac:dyDescent="0.2">
      <c r="A598" s="38" t="s">
        <v>14</v>
      </c>
      <c r="B598" s="38" t="s">
        <v>0</v>
      </c>
      <c r="C598" s="38" t="s">
        <v>59</v>
      </c>
      <c r="D598" s="38" t="s">
        <v>5</v>
      </c>
      <c r="E598" s="38" t="s">
        <v>103</v>
      </c>
      <c r="F598" s="51" t="s">
        <v>60</v>
      </c>
      <c r="G598" s="38">
        <v>11</v>
      </c>
      <c r="H598" s="38" t="s">
        <v>17</v>
      </c>
      <c r="I598" s="38" t="s">
        <v>28</v>
      </c>
      <c r="J598" s="38">
        <v>1</v>
      </c>
      <c r="K598" s="39">
        <f>AB598/COUNTIFS($B:$B,$B598,$C:$C,$C598,$H:$H,$H598,$I:$I,$I598)</f>
        <v>0.05</v>
      </c>
      <c r="L598" s="40">
        <f t="shared" si="38"/>
        <v>1</v>
      </c>
      <c r="M598" s="41">
        <f t="shared" si="37"/>
        <v>0.05</v>
      </c>
      <c r="N598" s="38"/>
      <c r="AA598" s="146">
        <f>AB598/COUNTIFS($B:$B,$B598,$C:$C,$C598,$H:$H,$H598,$I:$I,$I598)</f>
        <v>0.05</v>
      </c>
      <c r="AB598" s="108">
        <f>VLOOKUP(I598,'Weights and Confidence'!$D$16:$AC$26,5,FALSE)</f>
        <v>0.05</v>
      </c>
      <c r="AC598" s="147">
        <f>VLOOKUP(I598,'Weights and Confidence'!$D$16:$AC$26,6,FALSE)</f>
        <v>1</v>
      </c>
    </row>
    <row r="599" spans="1:29" ht="17" thickBot="1" x14ac:dyDescent="0.25">
      <c r="A599" s="34" t="s">
        <v>14</v>
      </c>
      <c r="B599" s="34" t="s">
        <v>0</v>
      </c>
      <c r="C599" s="34" t="s">
        <v>59</v>
      </c>
      <c r="D599" s="34" t="s">
        <v>5</v>
      </c>
      <c r="E599" s="34" t="s">
        <v>103</v>
      </c>
      <c r="F599" s="50" t="s">
        <v>60</v>
      </c>
      <c r="G599" s="34">
        <v>11</v>
      </c>
      <c r="H599" s="34" t="s">
        <v>18</v>
      </c>
      <c r="I599" s="34" t="s">
        <v>28</v>
      </c>
      <c r="J599" s="34">
        <v>1</v>
      </c>
      <c r="K599" s="35">
        <f>AB599/COUNTIFS($B:$B,$B599,$C:$C,$C599,$H:$H,$H599,$I:$I,$I599)</f>
        <v>0.05</v>
      </c>
      <c r="L599" s="36">
        <f t="shared" si="38"/>
        <v>1</v>
      </c>
      <c r="M599" s="37">
        <f t="shared" si="37"/>
        <v>0.05</v>
      </c>
      <c r="N599" s="58" t="s">
        <v>125</v>
      </c>
      <c r="AA599" s="140">
        <f>AB599/COUNTIFS($B:$B,$B599,$C:$C,$C599,$H:$H,$H599,$I:$I,$I599)</f>
        <v>0.05</v>
      </c>
      <c r="AB599" s="141">
        <f>VLOOKUP(I599,'Weights and Confidence'!$D$16:$AC$26,5,FALSE)</f>
        <v>0.05</v>
      </c>
      <c r="AC599" s="142">
        <f>VLOOKUP(I599,'Weights and Confidence'!$D$16:$AC$26,6,FALSE)</f>
        <v>1</v>
      </c>
    </row>
    <row r="600" spans="1:29" ht="17" thickTop="1" x14ac:dyDescent="0.2">
      <c r="A600" s="42" t="s">
        <v>14</v>
      </c>
      <c r="B600" s="42" t="s">
        <v>0</v>
      </c>
      <c r="C600" s="42" t="s">
        <v>144</v>
      </c>
      <c r="D600" s="42" t="s">
        <v>5</v>
      </c>
      <c r="E600" s="42"/>
      <c r="F600" s="49" t="s">
        <v>145</v>
      </c>
      <c r="G600" s="42">
        <v>1</v>
      </c>
      <c r="H600" s="42" t="s">
        <v>17</v>
      </c>
      <c r="I600" s="42" t="s">
        <v>19</v>
      </c>
      <c r="J600" s="42">
        <v>1</v>
      </c>
      <c r="K600" s="44">
        <f>AB600/COUNTIFS($B:$B,$B600,$C:$C,$C600,$H:$H,$H600,$I:$I,$I600)</f>
        <v>0.12</v>
      </c>
      <c r="L600" s="45">
        <f t="shared" si="38"/>
        <v>1</v>
      </c>
      <c r="M600" s="46">
        <f t="shared" ref="M600:M621" si="39">J600*K600*L600</f>
        <v>0.12</v>
      </c>
      <c r="N600" s="29"/>
      <c r="AA600" s="143">
        <f>AB600/COUNTIFS($B:$B,$B600,$C:$C,$C600,$H:$H,$H600,$I:$I,$I600)</f>
        <v>0.12</v>
      </c>
      <c r="AB600" s="144">
        <f>VLOOKUP(I600,'Weights and Confidence'!$D$16:$AC$26,5,FALSE)</f>
        <v>0.12</v>
      </c>
      <c r="AC600" s="145">
        <f>VLOOKUP(I600,'Weights and Confidence'!$D$16:$AC$26,6,FALSE)</f>
        <v>1</v>
      </c>
    </row>
    <row r="601" spans="1:29" x14ac:dyDescent="0.2">
      <c r="A601" s="34" t="s">
        <v>14</v>
      </c>
      <c r="B601" s="34" t="s">
        <v>0</v>
      </c>
      <c r="C601" s="34" t="s">
        <v>144</v>
      </c>
      <c r="D601" s="34" t="s">
        <v>5</v>
      </c>
      <c r="E601" s="34"/>
      <c r="F601" s="50" t="s">
        <v>145</v>
      </c>
      <c r="G601" s="34">
        <v>1</v>
      </c>
      <c r="H601" s="34" t="s">
        <v>18</v>
      </c>
      <c r="I601" s="34" t="s">
        <v>19</v>
      </c>
      <c r="J601" s="34">
        <v>1</v>
      </c>
      <c r="K601" s="35">
        <f>AB601/COUNTIFS($B:$B,$B601,$C:$C,$C601,$H:$H,$H601,$I:$I,$I601)</f>
        <v>0.12</v>
      </c>
      <c r="L601" s="36">
        <f t="shared" si="38"/>
        <v>1</v>
      </c>
      <c r="M601" s="37">
        <f t="shared" si="39"/>
        <v>0.12</v>
      </c>
      <c r="N601" s="58"/>
      <c r="AA601" s="146">
        <f>AB601/COUNTIFS($B:$B,$B601,$C:$C,$C601,$H:$H,$H601,$I:$I,$I601)</f>
        <v>0.12</v>
      </c>
      <c r="AB601" s="108">
        <f>VLOOKUP(I601,'Weights and Confidence'!$D$16:$AC$26,5,FALSE)</f>
        <v>0.12</v>
      </c>
      <c r="AC601" s="147">
        <f>VLOOKUP(I601,'Weights and Confidence'!$D$16:$AC$26,6,FALSE)</f>
        <v>1</v>
      </c>
    </row>
    <row r="602" spans="1:29" x14ac:dyDescent="0.2">
      <c r="A602" s="38" t="s">
        <v>14</v>
      </c>
      <c r="B602" s="38" t="s">
        <v>0</v>
      </c>
      <c r="C602" s="38" t="s">
        <v>144</v>
      </c>
      <c r="D602" s="38" t="s">
        <v>5</v>
      </c>
      <c r="E602" s="38"/>
      <c r="F602" s="51" t="s">
        <v>145</v>
      </c>
      <c r="G602" s="38">
        <v>2</v>
      </c>
      <c r="H602" s="38" t="s">
        <v>17</v>
      </c>
      <c r="I602" s="38" t="s">
        <v>20</v>
      </c>
      <c r="J602" s="38">
        <v>1</v>
      </c>
      <c r="K602" s="39">
        <f>AB602/COUNTIFS($B:$B,$B602,$C:$C,$C602,$H:$H,$H602,$I:$I,$I602)</f>
        <v>0.08</v>
      </c>
      <c r="L602" s="40">
        <f t="shared" si="38"/>
        <v>0.8</v>
      </c>
      <c r="M602" s="41">
        <f t="shared" si="39"/>
        <v>6.4000000000000001E-2</v>
      </c>
      <c r="N602" s="38"/>
      <c r="AA602" s="146">
        <f>AB602/COUNTIFS($B:$B,$B602,$C:$C,$C602,$H:$H,$H602,$I:$I,$I602)</f>
        <v>0.08</v>
      </c>
      <c r="AB602" s="108">
        <f>VLOOKUP(I602,'Weights and Confidence'!$D$16:$AC$26,5,FALSE)</f>
        <v>0.08</v>
      </c>
      <c r="AC602" s="147">
        <f>VLOOKUP(I602,'Weights and Confidence'!$D$16:$AC$26,6,FALSE)</f>
        <v>0.8</v>
      </c>
    </row>
    <row r="603" spans="1:29" x14ac:dyDescent="0.2">
      <c r="A603" s="34" t="s">
        <v>14</v>
      </c>
      <c r="B603" s="34" t="s">
        <v>0</v>
      </c>
      <c r="C603" s="34" t="s">
        <v>144</v>
      </c>
      <c r="D603" s="34" t="s">
        <v>5</v>
      </c>
      <c r="E603" s="34"/>
      <c r="F603" s="50" t="s">
        <v>145</v>
      </c>
      <c r="G603" s="34">
        <v>2</v>
      </c>
      <c r="H603" s="34" t="s">
        <v>18</v>
      </c>
      <c r="I603" s="34" t="s">
        <v>20</v>
      </c>
      <c r="J603" s="34">
        <v>1</v>
      </c>
      <c r="K603" s="35">
        <f>AB603/COUNTIFS($B:$B,$B603,$C:$C,$C603,$H:$H,$H603,$I:$I,$I603)</f>
        <v>0.08</v>
      </c>
      <c r="L603" s="36">
        <f t="shared" si="38"/>
        <v>0.8</v>
      </c>
      <c r="M603" s="37">
        <f t="shared" si="39"/>
        <v>6.4000000000000001E-2</v>
      </c>
      <c r="N603" s="58"/>
      <c r="AA603" s="146">
        <f>AB603/COUNTIFS($B:$B,$B603,$C:$C,$C603,$H:$H,$H603,$I:$I,$I603)</f>
        <v>0.08</v>
      </c>
      <c r="AB603" s="108">
        <f>VLOOKUP(I603,'Weights and Confidence'!$D$16:$AC$26,5,FALSE)</f>
        <v>0.08</v>
      </c>
      <c r="AC603" s="147">
        <f>VLOOKUP(I603,'Weights and Confidence'!$D$16:$AC$26,6,FALSE)</f>
        <v>0.8</v>
      </c>
    </row>
    <row r="604" spans="1:29" x14ac:dyDescent="0.2">
      <c r="A604" s="38" t="s">
        <v>14</v>
      </c>
      <c r="B604" s="38" t="s">
        <v>0</v>
      </c>
      <c r="C604" s="38" t="s">
        <v>144</v>
      </c>
      <c r="D604" s="38" t="s">
        <v>5</v>
      </c>
      <c r="E604" s="38"/>
      <c r="F604" s="51" t="s">
        <v>145</v>
      </c>
      <c r="G604" s="38">
        <v>3</v>
      </c>
      <c r="H604" s="38" t="s">
        <v>17</v>
      </c>
      <c r="I604" s="38" t="s">
        <v>21</v>
      </c>
      <c r="J604" s="38">
        <v>1</v>
      </c>
      <c r="K604" s="39">
        <f>AB604/COUNTIFS($B:$B,$B604,$C:$C,$C604,$H:$H,$H604,$I:$I,$I604)</f>
        <v>0.05</v>
      </c>
      <c r="L604" s="40">
        <f t="shared" si="38"/>
        <v>1</v>
      </c>
      <c r="M604" s="41">
        <f t="shared" si="39"/>
        <v>0.05</v>
      </c>
      <c r="N604" s="38"/>
      <c r="AA604" s="146">
        <f>AB604/COUNTIFS($B:$B,$B604,$C:$C,$C604,$H:$H,$H604,$I:$I,$I604)</f>
        <v>0.05</v>
      </c>
      <c r="AB604" s="108">
        <f>VLOOKUP(I604,'Weights and Confidence'!$D$16:$AC$26,5,FALSE)</f>
        <v>0.05</v>
      </c>
      <c r="AC604" s="147">
        <f>VLOOKUP(I604,'Weights and Confidence'!$D$16:$AC$26,6,FALSE)</f>
        <v>1</v>
      </c>
    </row>
    <row r="605" spans="1:29" x14ac:dyDescent="0.2">
      <c r="A605" s="34" t="s">
        <v>14</v>
      </c>
      <c r="B605" s="34" t="s">
        <v>0</v>
      </c>
      <c r="C605" s="34" t="s">
        <v>144</v>
      </c>
      <c r="D605" s="34" t="s">
        <v>5</v>
      </c>
      <c r="E605" s="34"/>
      <c r="F605" s="50" t="s">
        <v>145</v>
      </c>
      <c r="G605" s="34">
        <v>3</v>
      </c>
      <c r="H605" s="34" t="s">
        <v>18</v>
      </c>
      <c r="I605" s="34" t="s">
        <v>21</v>
      </c>
      <c r="J605" s="34">
        <v>1</v>
      </c>
      <c r="K605" s="35">
        <f>AB605/COUNTIFS($B:$B,$B605,$C:$C,$C605,$H:$H,$H605,$I:$I,$I605)</f>
        <v>0.05</v>
      </c>
      <c r="L605" s="36">
        <f t="shared" si="38"/>
        <v>1</v>
      </c>
      <c r="M605" s="37">
        <f t="shared" si="39"/>
        <v>0.05</v>
      </c>
      <c r="N605" s="58" t="s">
        <v>146</v>
      </c>
      <c r="AA605" s="146">
        <f>AB605/COUNTIFS($B:$B,$B605,$C:$C,$C605,$H:$H,$H605,$I:$I,$I605)</f>
        <v>0.05</v>
      </c>
      <c r="AB605" s="108">
        <f>VLOOKUP(I605,'Weights and Confidence'!$D$16:$AC$26,5,FALSE)</f>
        <v>0.05</v>
      </c>
      <c r="AC605" s="147">
        <f>VLOOKUP(I605,'Weights and Confidence'!$D$16:$AC$26,6,FALSE)</f>
        <v>1</v>
      </c>
    </row>
    <row r="606" spans="1:29" x14ac:dyDescent="0.2">
      <c r="A606" s="38" t="s">
        <v>14</v>
      </c>
      <c r="B606" s="38" t="s">
        <v>0</v>
      </c>
      <c r="C606" s="38" t="s">
        <v>144</v>
      </c>
      <c r="D606" s="38" t="s">
        <v>5</v>
      </c>
      <c r="E606" s="38"/>
      <c r="F606" s="51" t="s">
        <v>145</v>
      </c>
      <c r="G606" s="38">
        <v>4</v>
      </c>
      <c r="H606" s="38" t="s">
        <v>17</v>
      </c>
      <c r="I606" s="38" t="s">
        <v>22</v>
      </c>
      <c r="J606" s="38">
        <v>1</v>
      </c>
      <c r="K606" s="39">
        <f>AB606/COUNTIFS($B:$B,$B606,$C:$C,$C606,$H:$H,$H606,$I:$I,$I606)</f>
        <v>0.14000000000000001</v>
      </c>
      <c r="L606" s="40">
        <f t="shared" si="38"/>
        <v>1</v>
      </c>
      <c r="M606" s="41">
        <f t="shared" si="39"/>
        <v>0.14000000000000001</v>
      </c>
      <c r="N606" s="38"/>
      <c r="AA606" s="146">
        <f>AB606/COUNTIFS($B:$B,$B606,$C:$C,$C606,$H:$H,$H606,$I:$I,$I606)</f>
        <v>0.14000000000000001</v>
      </c>
      <c r="AB606" s="108">
        <f>VLOOKUP(I606,'Weights and Confidence'!$D$16:$AC$26,5,FALSE)</f>
        <v>0.14000000000000001</v>
      </c>
      <c r="AC606" s="147">
        <f>VLOOKUP(I606,'Weights and Confidence'!$D$16:$AC$26,6,FALSE)</f>
        <v>1</v>
      </c>
    </row>
    <row r="607" spans="1:29" x14ac:dyDescent="0.2">
      <c r="A607" s="34" t="s">
        <v>14</v>
      </c>
      <c r="B607" s="34" t="s">
        <v>0</v>
      </c>
      <c r="C607" s="34" t="s">
        <v>144</v>
      </c>
      <c r="D607" s="34" t="s">
        <v>5</v>
      </c>
      <c r="E607" s="34"/>
      <c r="F607" s="50" t="s">
        <v>145</v>
      </c>
      <c r="G607" s="34">
        <v>4</v>
      </c>
      <c r="H607" s="34" t="s">
        <v>18</v>
      </c>
      <c r="I607" s="34" t="s">
        <v>22</v>
      </c>
      <c r="J607" s="34">
        <v>1</v>
      </c>
      <c r="K607" s="35">
        <f>AB607/COUNTIFS($B:$B,$B607,$C:$C,$C607,$H:$H,$H607,$I:$I,$I607)</f>
        <v>0.14000000000000001</v>
      </c>
      <c r="L607" s="36">
        <f t="shared" si="38"/>
        <v>1</v>
      </c>
      <c r="M607" s="37">
        <f t="shared" si="39"/>
        <v>0.14000000000000001</v>
      </c>
      <c r="N607" s="58"/>
      <c r="AA607" s="146">
        <f>AB607/COUNTIFS($B:$B,$B607,$C:$C,$C607,$H:$H,$H607,$I:$I,$I607)</f>
        <v>0.14000000000000001</v>
      </c>
      <c r="AB607" s="108">
        <f>VLOOKUP(I607,'Weights and Confidence'!$D$16:$AC$26,5,FALSE)</f>
        <v>0.14000000000000001</v>
      </c>
      <c r="AC607" s="147">
        <f>VLOOKUP(I607,'Weights and Confidence'!$D$16:$AC$26,6,FALSE)</f>
        <v>1</v>
      </c>
    </row>
    <row r="608" spans="1:29" x14ac:dyDescent="0.2">
      <c r="A608" s="38" t="s">
        <v>14</v>
      </c>
      <c r="B608" s="38" t="s">
        <v>0</v>
      </c>
      <c r="C608" s="38" t="s">
        <v>144</v>
      </c>
      <c r="D608" s="38" t="s">
        <v>5</v>
      </c>
      <c r="E608" s="38"/>
      <c r="F608" s="51" t="s">
        <v>145</v>
      </c>
      <c r="G608" s="38">
        <v>5</v>
      </c>
      <c r="H608" s="38" t="s">
        <v>17</v>
      </c>
      <c r="I608" s="38" t="s">
        <v>23</v>
      </c>
      <c r="J608" s="38">
        <v>1</v>
      </c>
      <c r="K608" s="39">
        <f>AB608/COUNTIFS($B:$B,$B608,$C:$C,$C608,$H:$H,$H608,$I:$I,$I608)</f>
        <v>0.11</v>
      </c>
      <c r="L608" s="40">
        <f t="shared" si="38"/>
        <v>1</v>
      </c>
      <c r="M608" s="41">
        <f t="shared" si="39"/>
        <v>0.11</v>
      </c>
      <c r="N608" s="38"/>
      <c r="AA608" s="146">
        <f>AB608/COUNTIFS($B:$B,$B608,$C:$C,$C608,$H:$H,$H608,$I:$I,$I608)</f>
        <v>0.11</v>
      </c>
      <c r="AB608" s="108">
        <f>VLOOKUP(I608,'Weights and Confidence'!$D$16:$AC$26,5,FALSE)</f>
        <v>0.11</v>
      </c>
      <c r="AC608" s="147">
        <f>VLOOKUP(I608,'Weights and Confidence'!$D$16:$AC$26,6,FALSE)</f>
        <v>1</v>
      </c>
    </row>
    <row r="609" spans="1:29" x14ac:dyDescent="0.2">
      <c r="A609" s="34" t="s">
        <v>14</v>
      </c>
      <c r="B609" s="34" t="s">
        <v>0</v>
      </c>
      <c r="C609" s="34" t="s">
        <v>144</v>
      </c>
      <c r="D609" s="34" t="s">
        <v>5</v>
      </c>
      <c r="E609" s="34"/>
      <c r="F609" s="50" t="s">
        <v>145</v>
      </c>
      <c r="G609" s="34">
        <v>5</v>
      </c>
      <c r="H609" s="34" t="s">
        <v>18</v>
      </c>
      <c r="I609" s="34" t="s">
        <v>23</v>
      </c>
      <c r="J609" s="34">
        <v>1</v>
      </c>
      <c r="K609" s="35">
        <f>AB609/COUNTIFS($B:$B,$B609,$C:$C,$C609,$H:$H,$H609,$I:$I,$I609)</f>
        <v>0.11</v>
      </c>
      <c r="L609" s="36">
        <f t="shared" si="38"/>
        <v>1</v>
      </c>
      <c r="M609" s="37">
        <f t="shared" si="39"/>
        <v>0.11</v>
      </c>
      <c r="N609" s="58"/>
      <c r="AA609" s="146">
        <f>AB609/COUNTIFS($B:$B,$B609,$C:$C,$C609,$H:$H,$H609,$I:$I,$I609)</f>
        <v>0.11</v>
      </c>
      <c r="AB609" s="108">
        <f>VLOOKUP(I609,'Weights and Confidence'!$D$16:$AC$26,5,FALSE)</f>
        <v>0.11</v>
      </c>
      <c r="AC609" s="147">
        <f>VLOOKUP(I609,'Weights and Confidence'!$D$16:$AC$26,6,FALSE)</f>
        <v>1</v>
      </c>
    </row>
    <row r="610" spans="1:29" x14ac:dyDescent="0.2">
      <c r="A610" s="38" t="s">
        <v>14</v>
      </c>
      <c r="B610" s="38" t="s">
        <v>0</v>
      </c>
      <c r="C610" s="38" t="s">
        <v>144</v>
      </c>
      <c r="D610" s="38" t="s">
        <v>5</v>
      </c>
      <c r="E610" s="38"/>
      <c r="F610" s="51" t="s">
        <v>145</v>
      </c>
      <c r="G610" s="38">
        <v>6</v>
      </c>
      <c r="H610" s="38" t="s">
        <v>17</v>
      </c>
      <c r="I610" s="38" t="s">
        <v>24</v>
      </c>
      <c r="J610" s="38">
        <v>1</v>
      </c>
      <c r="K610" s="39">
        <f>AB610/COUNTIFS($B:$B,$B610,$C:$C,$C610,$H:$H,$H610,$I:$I,$I610)</f>
        <v>0.15</v>
      </c>
      <c r="L610" s="40">
        <f t="shared" si="38"/>
        <v>1</v>
      </c>
      <c r="M610" s="41">
        <f t="shared" si="39"/>
        <v>0.15</v>
      </c>
      <c r="N610" s="59"/>
      <c r="AA610" s="146">
        <f>AB610/COUNTIFS($B:$B,$B610,$C:$C,$C610,$H:$H,$H610,$I:$I,$I610)</f>
        <v>0.15</v>
      </c>
      <c r="AB610" s="108">
        <f>VLOOKUP(I610,'Weights and Confidence'!$D$16:$AC$26,5,FALSE)</f>
        <v>0.15</v>
      </c>
      <c r="AC610" s="147">
        <f>VLOOKUP(I610,'Weights and Confidence'!$D$16:$AC$26,6,FALSE)</f>
        <v>1</v>
      </c>
    </row>
    <row r="611" spans="1:29" x14ac:dyDescent="0.2">
      <c r="A611" s="34" t="s">
        <v>14</v>
      </c>
      <c r="B611" s="34" t="s">
        <v>0</v>
      </c>
      <c r="C611" s="34" t="s">
        <v>144</v>
      </c>
      <c r="D611" s="34" t="s">
        <v>5</v>
      </c>
      <c r="E611" s="34"/>
      <c r="F611" s="50" t="s">
        <v>145</v>
      </c>
      <c r="G611" s="34">
        <v>6</v>
      </c>
      <c r="H611" s="34" t="s">
        <v>18</v>
      </c>
      <c r="I611" s="34" t="s">
        <v>24</v>
      </c>
      <c r="J611" s="34">
        <v>0</v>
      </c>
      <c r="K611" s="35">
        <f>AB611/COUNTIFS($B:$B,$B611,$C:$C,$C611,$H:$H,$H611,$I:$I,$I611)</f>
        <v>0.15</v>
      </c>
      <c r="L611" s="36">
        <f t="shared" si="38"/>
        <v>1</v>
      </c>
      <c r="M611" s="37">
        <f t="shared" si="39"/>
        <v>0</v>
      </c>
      <c r="N611" s="58" t="s">
        <v>147</v>
      </c>
      <c r="AA611" s="146">
        <f>AB611/COUNTIFS($B:$B,$B611,$C:$C,$C611,$H:$H,$H611,$I:$I,$I611)</f>
        <v>0.15</v>
      </c>
      <c r="AB611" s="108">
        <f>VLOOKUP(I611,'Weights and Confidence'!$D$16:$AC$26,5,FALSE)</f>
        <v>0.15</v>
      </c>
      <c r="AC611" s="147">
        <f>VLOOKUP(I611,'Weights and Confidence'!$D$16:$AC$26,6,FALSE)</f>
        <v>1</v>
      </c>
    </row>
    <row r="612" spans="1:29" x14ac:dyDescent="0.2">
      <c r="A612" s="38" t="s">
        <v>14</v>
      </c>
      <c r="B612" s="38" t="s">
        <v>0</v>
      </c>
      <c r="C612" s="38" t="s">
        <v>144</v>
      </c>
      <c r="D612" s="38" t="s">
        <v>5</v>
      </c>
      <c r="E612" s="38"/>
      <c r="F612" s="51" t="s">
        <v>145</v>
      </c>
      <c r="G612" s="38">
        <v>7</v>
      </c>
      <c r="H612" s="38" t="s">
        <v>17</v>
      </c>
      <c r="I612" s="38" t="s">
        <v>25</v>
      </c>
      <c r="J612" s="38">
        <v>1</v>
      </c>
      <c r="K612" s="39">
        <f>AB612/COUNTIFS($B:$B,$B612,$C:$C,$C612,$H:$H,$H612,$I:$I,$I612)</f>
        <v>0.1</v>
      </c>
      <c r="L612" s="40">
        <f t="shared" si="38"/>
        <v>1</v>
      </c>
      <c r="M612" s="41">
        <f t="shared" si="39"/>
        <v>0.1</v>
      </c>
      <c r="N612" s="38"/>
      <c r="AA612" s="146">
        <f>AB612/COUNTIFS($B:$B,$B612,$C:$C,$C612,$H:$H,$H612,$I:$I,$I612)</f>
        <v>0.1</v>
      </c>
      <c r="AB612" s="108">
        <f>VLOOKUP(I612,'Weights and Confidence'!$D$16:$AC$26,5,FALSE)</f>
        <v>0.1</v>
      </c>
      <c r="AC612" s="147">
        <f>VLOOKUP(I612,'Weights and Confidence'!$D$16:$AC$26,6,FALSE)</f>
        <v>1</v>
      </c>
    </row>
    <row r="613" spans="1:29" x14ac:dyDescent="0.2">
      <c r="A613" s="34" t="s">
        <v>14</v>
      </c>
      <c r="B613" s="34" t="s">
        <v>0</v>
      </c>
      <c r="C613" s="34" t="s">
        <v>144</v>
      </c>
      <c r="D613" s="34" t="s">
        <v>5</v>
      </c>
      <c r="E613" s="34"/>
      <c r="F613" s="50" t="s">
        <v>145</v>
      </c>
      <c r="G613" s="34">
        <v>7</v>
      </c>
      <c r="H613" s="34" t="s">
        <v>18</v>
      </c>
      <c r="I613" s="34" t="s">
        <v>25</v>
      </c>
      <c r="J613" s="34">
        <v>1</v>
      </c>
      <c r="K613" s="35">
        <f>AB613/COUNTIFS($B:$B,$B613,$C:$C,$C613,$H:$H,$H613,$I:$I,$I613)</f>
        <v>0.1</v>
      </c>
      <c r="L613" s="36">
        <f t="shared" si="38"/>
        <v>1</v>
      </c>
      <c r="M613" s="37">
        <f t="shared" si="39"/>
        <v>0.1</v>
      </c>
      <c r="N613" s="58"/>
      <c r="AA613" s="146">
        <f>AB613/COUNTIFS($B:$B,$B613,$C:$C,$C613,$H:$H,$H613,$I:$I,$I613)</f>
        <v>0.1</v>
      </c>
      <c r="AB613" s="108">
        <f>VLOOKUP(I613,'Weights and Confidence'!$D$16:$AC$26,5,FALSE)</f>
        <v>0.1</v>
      </c>
      <c r="AC613" s="147">
        <f>VLOOKUP(I613,'Weights and Confidence'!$D$16:$AC$26,6,FALSE)</f>
        <v>1</v>
      </c>
    </row>
    <row r="614" spans="1:29" x14ac:dyDescent="0.2">
      <c r="A614" s="38" t="s">
        <v>14</v>
      </c>
      <c r="B614" s="38" t="s">
        <v>0</v>
      </c>
      <c r="C614" s="38" t="s">
        <v>144</v>
      </c>
      <c r="D614" s="38" t="s">
        <v>5</v>
      </c>
      <c r="E614" s="38"/>
      <c r="F614" s="51" t="s">
        <v>145</v>
      </c>
      <c r="G614" s="38">
        <v>8</v>
      </c>
      <c r="H614" s="38" t="s">
        <v>17</v>
      </c>
      <c r="I614" s="38" t="s">
        <v>26</v>
      </c>
      <c r="J614" s="38">
        <v>0</v>
      </c>
      <c r="K614" s="39">
        <f>AB614/COUNTIFS($B:$B,$B614,$C:$C,$C614,$H:$H,$H614,$I:$I,$I614)</f>
        <v>0.1</v>
      </c>
      <c r="L614" s="40">
        <f t="shared" si="38"/>
        <v>1</v>
      </c>
      <c r="M614" s="41">
        <f t="shared" si="39"/>
        <v>0</v>
      </c>
      <c r="N614" s="38"/>
      <c r="AA614" s="146">
        <f>AB614/COUNTIFS($B:$B,$B614,$C:$C,$C614,$H:$H,$H614,$I:$I,$I614)</f>
        <v>0.1</v>
      </c>
      <c r="AB614" s="108">
        <f>VLOOKUP(I614,'Weights and Confidence'!$D$16:$AC$26,5,FALSE)</f>
        <v>0.1</v>
      </c>
      <c r="AC614" s="147">
        <f>VLOOKUP(I614,'Weights and Confidence'!$D$16:$AC$26,6,FALSE)</f>
        <v>1</v>
      </c>
    </row>
    <row r="615" spans="1:29" x14ac:dyDescent="0.2">
      <c r="A615" s="34" t="s">
        <v>14</v>
      </c>
      <c r="B615" s="34" t="s">
        <v>0</v>
      </c>
      <c r="C615" s="34" t="s">
        <v>144</v>
      </c>
      <c r="D615" s="34" t="s">
        <v>5</v>
      </c>
      <c r="E615" s="34"/>
      <c r="F615" s="50" t="s">
        <v>145</v>
      </c>
      <c r="G615" s="34">
        <v>8</v>
      </c>
      <c r="H615" s="34" t="s">
        <v>18</v>
      </c>
      <c r="I615" s="34" t="s">
        <v>26</v>
      </c>
      <c r="J615" s="34">
        <v>1</v>
      </c>
      <c r="K615" s="35">
        <f>AB615/COUNTIFS($B:$B,$B615,$C:$C,$C615,$H:$H,$H615,$I:$I,$I615)</f>
        <v>0.1</v>
      </c>
      <c r="L615" s="36">
        <f t="shared" si="38"/>
        <v>1</v>
      </c>
      <c r="M615" s="37">
        <f t="shared" si="39"/>
        <v>0.1</v>
      </c>
      <c r="N615" s="58"/>
      <c r="AA615" s="146">
        <f>AB615/COUNTIFS($B:$B,$B615,$C:$C,$C615,$H:$H,$H615,$I:$I,$I615)</f>
        <v>0.1</v>
      </c>
      <c r="AB615" s="108">
        <f>VLOOKUP(I615,'Weights and Confidence'!$D$16:$AC$26,5,FALSE)</f>
        <v>0.1</v>
      </c>
      <c r="AC615" s="147">
        <f>VLOOKUP(I615,'Weights and Confidence'!$D$16:$AC$26,6,FALSE)</f>
        <v>1</v>
      </c>
    </row>
    <row r="616" spans="1:29" x14ac:dyDescent="0.2">
      <c r="A616" s="38" t="s">
        <v>14</v>
      </c>
      <c r="B616" s="38" t="s">
        <v>0</v>
      </c>
      <c r="C616" s="38" t="s">
        <v>144</v>
      </c>
      <c r="D616" s="38" t="s">
        <v>5</v>
      </c>
      <c r="E616" s="38"/>
      <c r="F616" s="51" t="s">
        <v>145</v>
      </c>
      <c r="G616" s="38">
        <v>9</v>
      </c>
      <c r="H616" s="38" t="s">
        <v>17</v>
      </c>
      <c r="I616" s="38" t="s">
        <v>27</v>
      </c>
      <c r="J616" s="38">
        <v>0</v>
      </c>
      <c r="K616" s="39">
        <f>AB616/COUNTIFS($B:$B,$B616,$C:$C,$C616,$H:$H,$H616,$I:$I,$I616)</f>
        <v>0.05</v>
      </c>
      <c r="L616" s="40">
        <f t="shared" si="38"/>
        <v>0.85</v>
      </c>
      <c r="M616" s="41">
        <f t="shared" si="39"/>
        <v>0</v>
      </c>
      <c r="N616" s="38"/>
      <c r="AA616" s="146">
        <f>AB616/COUNTIFS($B:$B,$B616,$C:$C,$C616,$H:$H,$H616,$I:$I,$I616)</f>
        <v>0.05</v>
      </c>
      <c r="AB616" s="108">
        <f>VLOOKUP(I616,'Weights and Confidence'!$D$16:$AC$26,5,FALSE)</f>
        <v>0.1</v>
      </c>
      <c r="AC616" s="147">
        <f>VLOOKUP(I616,'Weights and Confidence'!$D$16:$AC$26,6,FALSE)</f>
        <v>0.85</v>
      </c>
    </row>
    <row r="617" spans="1:29" x14ac:dyDescent="0.2">
      <c r="A617" s="34" t="s">
        <v>14</v>
      </c>
      <c r="B617" s="34" t="s">
        <v>0</v>
      </c>
      <c r="C617" s="34" t="s">
        <v>144</v>
      </c>
      <c r="D617" s="34" t="s">
        <v>5</v>
      </c>
      <c r="E617" s="34"/>
      <c r="F617" s="50" t="s">
        <v>145</v>
      </c>
      <c r="G617" s="34">
        <v>9</v>
      </c>
      <c r="H617" s="34" t="s">
        <v>18</v>
      </c>
      <c r="I617" s="34" t="s">
        <v>27</v>
      </c>
      <c r="J617" s="34">
        <v>1</v>
      </c>
      <c r="K617" s="35">
        <f>AB617/COUNTIFS($B:$B,$B617,$C:$C,$C617,$H:$H,$H617,$I:$I,$I617)</f>
        <v>0.05</v>
      </c>
      <c r="L617" s="36">
        <f t="shared" si="38"/>
        <v>0.85</v>
      </c>
      <c r="M617" s="37">
        <f t="shared" si="39"/>
        <v>4.2500000000000003E-2</v>
      </c>
      <c r="N617" s="34"/>
      <c r="AA617" s="146">
        <f>AB617/COUNTIFS($B:$B,$B617,$C:$C,$C617,$H:$H,$H617,$I:$I,$I617)</f>
        <v>0.05</v>
      </c>
      <c r="AB617" s="108">
        <f>VLOOKUP(I617,'Weights and Confidence'!$D$16:$AC$26,5,FALSE)</f>
        <v>0.1</v>
      </c>
      <c r="AC617" s="147">
        <f>VLOOKUP(I617,'Weights and Confidence'!$D$16:$AC$26,6,FALSE)</f>
        <v>0.85</v>
      </c>
    </row>
    <row r="618" spans="1:29" x14ac:dyDescent="0.2">
      <c r="A618" s="38" t="s">
        <v>14</v>
      </c>
      <c r="B618" s="38" t="s">
        <v>0</v>
      </c>
      <c r="C618" s="38" t="s">
        <v>144</v>
      </c>
      <c r="D618" s="38" t="s">
        <v>5</v>
      </c>
      <c r="E618" s="38"/>
      <c r="F618" s="51" t="s">
        <v>145</v>
      </c>
      <c r="G618" s="38">
        <v>10</v>
      </c>
      <c r="H618" s="38" t="s">
        <v>17</v>
      </c>
      <c r="I618" s="38" t="s">
        <v>27</v>
      </c>
      <c r="J618" s="38">
        <v>0</v>
      </c>
      <c r="K618" s="39">
        <f>AB618/COUNTIFS($B:$B,$B618,$C:$C,$C618,$H:$H,$H618,$I:$I,$I618)</f>
        <v>0.05</v>
      </c>
      <c r="L618" s="40">
        <f t="shared" si="38"/>
        <v>0.85</v>
      </c>
      <c r="M618" s="41">
        <f t="shared" si="39"/>
        <v>0</v>
      </c>
      <c r="N618" s="38"/>
      <c r="AA618" s="146">
        <f>AB618/COUNTIFS($B:$B,$B618,$C:$C,$C618,$H:$H,$H618,$I:$I,$I618)</f>
        <v>0.05</v>
      </c>
      <c r="AB618" s="108">
        <f>VLOOKUP(I618,'Weights and Confidence'!$D$16:$AC$26,5,FALSE)</f>
        <v>0.1</v>
      </c>
      <c r="AC618" s="147">
        <f>VLOOKUP(I618,'Weights and Confidence'!$D$16:$AC$26,6,FALSE)</f>
        <v>0.85</v>
      </c>
    </row>
    <row r="619" spans="1:29" x14ac:dyDescent="0.2">
      <c r="A619" s="34" t="s">
        <v>14</v>
      </c>
      <c r="B619" s="34" t="s">
        <v>0</v>
      </c>
      <c r="C619" s="34" t="s">
        <v>144</v>
      </c>
      <c r="D619" s="34" t="s">
        <v>5</v>
      </c>
      <c r="E619" s="34"/>
      <c r="F619" s="50" t="s">
        <v>145</v>
      </c>
      <c r="G619" s="34">
        <v>10</v>
      </c>
      <c r="H619" s="34" t="s">
        <v>18</v>
      </c>
      <c r="I619" s="34" t="s">
        <v>27</v>
      </c>
      <c r="J619" s="34">
        <v>1</v>
      </c>
      <c r="K619" s="35">
        <f>AB619/COUNTIFS($B:$B,$B619,$C:$C,$C619,$H:$H,$H619,$I:$I,$I619)</f>
        <v>0.05</v>
      </c>
      <c r="L619" s="36">
        <f t="shared" si="38"/>
        <v>0.85</v>
      </c>
      <c r="M619" s="37">
        <f t="shared" si="39"/>
        <v>4.2500000000000003E-2</v>
      </c>
      <c r="N619" s="34"/>
      <c r="AA619" s="146">
        <f>AB619/COUNTIFS($B:$B,$B619,$C:$C,$C619,$H:$H,$H619,$I:$I,$I619)</f>
        <v>0.05</v>
      </c>
      <c r="AB619" s="108">
        <f>VLOOKUP(I619,'Weights and Confidence'!$D$16:$AC$26,5,FALSE)</f>
        <v>0.1</v>
      </c>
      <c r="AC619" s="147">
        <f>VLOOKUP(I619,'Weights and Confidence'!$D$16:$AC$26,6,FALSE)</f>
        <v>0.85</v>
      </c>
    </row>
    <row r="620" spans="1:29" x14ac:dyDescent="0.2">
      <c r="A620" s="38" t="s">
        <v>14</v>
      </c>
      <c r="B620" s="38" t="s">
        <v>0</v>
      </c>
      <c r="C620" s="38" t="s">
        <v>144</v>
      </c>
      <c r="D620" s="38" t="s">
        <v>5</v>
      </c>
      <c r="E620" s="38"/>
      <c r="F620" s="51" t="s">
        <v>145</v>
      </c>
      <c r="G620" s="38">
        <v>11</v>
      </c>
      <c r="H620" s="38" t="s">
        <v>17</v>
      </c>
      <c r="I620" s="38" t="s">
        <v>28</v>
      </c>
      <c r="J620" s="38">
        <v>0</v>
      </c>
      <c r="K620" s="39">
        <f>AB620/COUNTIFS($B:$B,$B620,$C:$C,$C620,$H:$H,$H620,$I:$I,$I620)</f>
        <v>0.05</v>
      </c>
      <c r="L620" s="40">
        <f t="shared" si="38"/>
        <v>1</v>
      </c>
      <c r="M620" s="41">
        <f t="shared" si="39"/>
        <v>0</v>
      </c>
      <c r="N620" s="38"/>
      <c r="AA620" s="146">
        <f>AB620/COUNTIFS($B:$B,$B620,$C:$C,$C620,$H:$H,$H620,$I:$I,$I620)</f>
        <v>0.05</v>
      </c>
      <c r="AB620" s="108">
        <f>VLOOKUP(I620,'Weights and Confidence'!$D$16:$AC$26,5,FALSE)</f>
        <v>0.05</v>
      </c>
      <c r="AC620" s="147">
        <f>VLOOKUP(I620,'Weights and Confidence'!$D$16:$AC$26,6,FALSE)</f>
        <v>1</v>
      </c>
    </row>
    <row r="621" spans="1:29" ht="17" thickBot="1" x14ac:dyDescent="0.25">
      <c r="A621" s="34" t="s">
        <v>14</v>
      </c>
      <c r="B621" s="34" t="s">
        <v>0</v>
      </c>
      <c r="C621" s="34" t="s">
        <v>144</v>
      </c>
      <c r="D621" s="34" t="s">
        <v>5</v>
      </c>
      <c r="E621" s="34"/>
      <c r="F621" s="50" t="s">
        <v>145</v>
      </c>
      <c r="G621" s="34">
        <v>11</v>
      </c>
      <c r="H621" s="34" t="s">
        <v>18</v>
      </c>
      <c r="I621" s="34" t="s">
        <v>28</v>
      </c>
      <c r="J621" s="34">
        <v>0</v>
      </c>
      <c r="K621" s="35">
        <f>AB621/COUNTIFS($B:$B,$B621,$C:$C,$C621,$H:$H,$H621,$I:$I,$I621)</f>
        <v>0.05</v>
      </c>
      <c r="L621" s="36">
        <f t="shared" si="38"/>
        <v>1</v>
      </c>
      <c r="M621" s="37">
        <f t="shared" si="39"/>
        <v>0</v>
      </c>
      <c r="N621" s="58" t="s">
        <v>148</v>
      </c>
      <c r="AA621" s="140">
        <f>AB621/COUNTIFS($B:$B,$B621,$C:$C,$C621,$H:$H,$H621,$I:$I,$I621)</f>
        <v>0.05</v>
      </c>
      <c r="AB621" s="141">
        <f>VLOOKUP(I621,'Weights and Confidence'!$D$16:$AC$26,5,FALSE)</f>
        <v>0.05</v>
      </c>
      <c r="AC621" s="142">
        <f>VLOOKUP(I621,'Weights and Confidence'!$D$16:$AC$26,6,FALSE)</f>
        <v>1</v>
      </c>
    </row>
    <row r="622" spans="1:29" ht="17" thickTop="1" x14ac:dyDescent="0.2">
      <c r="A622" s="42" t="s">
        <v>14</v>
      </c>
      <c r="B622" s="42" t="s">
        <v>0</v>
      </c>
      <c r="C622" s="42" t="s">
        <v>149</v>
      </c>
      <c r="D622" s="42" t="s">
        <v>5</v>
      </c>
      <c r="E622" s="42"/>
      <c r="F622" s="49" t="s">
        <v>150</v>
      </c>
      <c r="G622" s="42">
        <v>1</v>
      </c>
      <c r="H622" s="42" t="s">
        <v>17</v>
      </c>
      <c r="I622" s="42" t="s">
        <v>19</v>
      </c>
      <c r="J622" s="42">
        <v>0</v>
      </c>
      <c r="K622" s="44">
        <f>AB622/COUNTIFS($B:$B,$B622,$C:$C,$C622,$H:$H,$H622,$I:$I,$I622)</f>
        <v>0.12</v>
      </c>
      <c r="L622" s="45">
        <f t="shared" si="38"/>
        <v>1</v>
      </c>
      <c r="M622" s="46">
        <f t="shared" ref="M622:M643" si="40">J622*K622*L622</f>
        <v>0</v>
      </c>
      <c r="N622" s="42"/>
      <c r="AA622" s="143">
        <f>AB622/COUNTIFS($B:$B,$B622,$C:$C,$C622,$H:$H,$H622,$I:$I,$I622)</f>
        <v>0.12</v>
      </c>
      <c r="AB622" s="144">
        <f>VLOOKUP(I622,'Weights and Confidence'!$D$16:$AC$26,5,FALSE)</f>
        <v>0.12</v>
      </c>
      <c r="AC622" s="145">
        <f>VLOOKUP(I622,'Weights and Confidence'!$D$16:$AC$26,6,FALSE)</f>
        <v>1</v>
      </c>
    </row>
    <row r="623" spans="1:29" x14ac:dyDescent="0.2">
      <c r="A623" s="34" t="s">
        <v>14</v>
      </c>
      <c r="B623" s="34" t="s">
        <v>0</v>
      </c>
      <c r="C623" s="34" t="s">
        <v>149</v>
      </c>
      <c r="D623" s="34" t="s">
        <v>5</v>
      </c>
      <c r="E623" s="34"/>
      <c r="F623" s="50" t="s">
        <v>150</v>
      </c>
      <c r="G623" s="34">
        <v>1</v>
      </c>
      <c r="H623" s="34" t="s">
        <v>18</v>
      </c>
      <c r="I623" s="34" t="s">
        <v>19</v>
      </c>
      <c r="J623" s="34">
        <v>1</v>
      </c>
      <c r="K623" s="35">
        <f>AB623/COUNTIFS($B:$B,$B623,$C:$C,$C623,$H:$H,$H623,$I:$I,$I623)</f>
        <v>0.12</v>
      </c>
      <c r="L623" s="36">
        <f t="shared" si="38"/>
        <v>1</v>
      </c>
      <c r="M623" s="37">
        <f t="shared" si="40"/>
        <v>0.12</v>
      </c>
      <c r="N623" s="58"/>
      <c r="AA623" s="146">
        <f>AB623/COUNTIFS($B:$B,$B623,$C:$C,$C623,$H:$H,$H623,$I:$I,$I623)</f>
        <v>0.12</v>
      </c>
      <c r="AB623" s="108">
        <f>VLOOKUP(I623,'Weights and Confidence'!$D$16:$AC$26,5,FALSE)</f>
        <v>0.12</v>
      </c>
      <c r="AC623" s="147">
        <f>VLOOKUP(I623,'Weights and Confidence'!$D$16:$AC$26,6,FALSE)</f>
        <v>1</v>
      </c>
    </row>
    <row r="624" spans="1:29" x14ac:dyDescent="0.2">
      <c r="A624" s="38" t="s">
        <v>14</v>
      </c>
      <c r="B624" s="38" t="s">
        <v>0</v>
      </c>
      <c r="C624" s="38" t="s">
        <v>149</v>
      </c>
      <c r="D624" s="38" t="s">
        <v>5</v>
      </c>
      <c r="E624" s="38"/>
      <c r="F624" s="51" t="s">
        <v>150</v>
      </c>
      <c r="G624" s="38">
        <v>2</v>
      </c>
      <c r="H624" s="38" t="s">
        <v>17</v>
      </c>
      <c r="I624" s="38" t="s">
        <v>20</v>
      </c>
      <c r="J624" s="38">
        <v>0</v>
      </c>
      <c r="K624" s="39">
        <f>AB624/COUNTIFS($B:$B,$B624,$C:$C,$C624,$H:$H,$H624,$I:$I,$I624)</f>
        <v>0.08</v>
      </c>
      <c r="L624" s="40">
        <f t="shared" si="38"/>
        <v>0.8</v>
      </c>
      <c r="M624" s="41">
        <f t="shared" si="40"/>
        <v>0</v>
      </c>
      <c r="N624" s="38"/>
      <c r="AA624" s="146">
        <f>AB624/COUNTIFS($B:$B,$B624,$C:$C,$C624,$H:$H,$H624,$I:$I,$I624)</f>
        <v>0.08</v>
      </c>
      <c r="AB624" s="108">
        <f>VLOOKUP(I624,'Weights and Confidence'!$D$16:$AC$26,5,FALSE)</f>
        <v>0.08</v>
      </c>
      <c r="AC624" s="147">
        <f>VLOOKUP(I624,'Weights and Confidence'!$D$16:$AC$26,6,FALSE)</f>
        <v>0.8</v>
      </c>
    </row>
    <row r="625" spans="1:29" x14ac:dyDescent="0.2">
      <c r="A625" s="34" t="s">
        <v>14</v>
      </c>
      <c r="B625" s="34" t="s">
        <v>0</v>
      </c>
      <c r="C625" s="34" t="s">
        <v>149</v>
      </c>
      <c r="D625" s="34" t="s">
        <v>5</v>
      </c>
      <c r="E625" s="34"/>
      <c r="F625" s="50" t="s">
        <v>150</v>
      </c>
      <c r="G625" s="34">
        <v>2</v>
      </c>
      <c r="H625" s="34" t="s">
        <v>18</v>
      </c>
      <c r="I625" s="34" t="s">
        <v>20</v>
      </c>
      <c r="J625" s="34">
        <v>1</v>
      </c>
      <c r="K625" s="35">
        <f>AB625/COUNTIFS($B:$B,$B625,$C:$C,$C625,$H:$H,$H625,$I:$I,$I625)</f>
        <v>0.08</v>
      </c>
      <c r="L625" s="36">
        <f t="shared" si="38"/>
        <v>0.8</v>
      </c>
      <c r="M625" s="37">
        <f t="shared" si="40"/>
        <v>6.4000000000000001E-2</v>
      </c>
      <c r="N625" s="58"/>
      <c r="AA625" s="146">
        <f>AB625/COUNTIFS($B:$B,$B625,$C:$C,$C625,$H:$H,$H625,$I:$I,$I625)</f>
        <v>0.08</v>
      </c>
      <c r="AB625" s="108">
        <f>VLOOKUP(I625,'Weights and Confidence'!$D$16:$AC$26,5,FALSE)</f>
        <v>0.08</v>
      </c>
      <c r="AC625" s="147">
        <f>VLOOKUP(I625,'Weights and Confidence'!$D$16:$AC$26,6,FALSE)</f>
        <v>0.8</v>
      </c>
    </row>
    <row r="626" spans="1:29" x14ac:dyDescent="0.2">
      <c r="A626" s="38" t="s">
        <v>14</v>
      </c>
      <c r="B626" s="38" t="s">
        <v>0</v>
      </c>
      <c r="C626" s="38" t="s">
        <v>149</v>
      </c>
      <c r="D626" s="38" t="s">
        <v>5</v>
      </c>
      <c r="E626" s="38"/>
      <c r="F626" s="51" t="s">
        <v>150</v>
      </c>
      <c r="G626" s="38">
        <v>3</v>
      </c>
      <c r="H626" s="38" t="s">
        <v>17</v>
      </c>
      <c r="I626" s="38" t="s">
        <v>21</v>
      </c>
      <c r="J626" s="38">
        <v>1</v>
      </c>
      <c r="K626" s="39">
        <f>AB626/COUNTIFS($B:$B,$B626,$C:$C,$C626,$H:$H,$H626,$I:$I,$I626)</f>
        <v>0.05</v>
      </c>
      <c r="L626" s="40">
        <f t="shared" si="38"/>
        <v>1</v>
      </c>
      <c r="M626" s="41">
        <f t="shared" si="40"/>
        <v>0.05</v>
      </c>
      <c r="N626" s="38"/>
      <c r="AA626" s="146">
        <f>AB626/COUNTIFS($B:$B,$B626,$C:$C,$C626,$H:$H,$H626,$I:$I,$I626)</f>
        <v>0.05</v>
      </c>
      <c r="AB626" s="108">
        <f>VLOOKUP(I626,'Weights and Confidence'!$D$16:$AC$26,5,FALSE)</f>
        <v>0.05</v>
      </c>
      <c r="AC626" s="147">
        <f>VLOOKUP(I626,'Weights and Confidence'!$D$16:$AC$26,6,FALSE)</f>
        <v>1</v>
      </c>
    </row>
    <row r="627" spans="1:29" x14ac:dyDescent="0.2">
      <c r="A627" s="34" t="s">
        <v>14</v>
      </c>
      <c r="B627" s="34" t="s">
        <v>0</v>
      </c>
      <c r="C627" s="34" t="s">
        <v>149</v>
      </c>
      <c r="D627" s="34" t="s">
        <v>5</v>
      </c>
      <c r="E627" s="34"/>
      <c r="F627" s="50" t="s">
        <v>150</v>
      </c>
      <c r="G627" s="34">
        <v>3</v>
      </c>
      <c r="H627" s="34" t="s">
        <v>18</v>
      </c>
      <c r="I627" s="34" t="s">
        <v>21</v>
      </c>
      <c r="J627" s="34">
        <v>1</v>
      </c>
      <c r="K627" s="35">
        <f>AB627/COUNTIFS($B:$B,$B627,$C:$C,$C627,$H:$H,$H627,$I:$I,$I627)</f>
        <v>0.05</v>
      </c>
      <c r="L627" s="36">
        <f t="shared" si="38"/>
        <v>1</v>
      </c>
      <c r="M627" s="37">
        <f t="shared" si="40"/>
        <v>0.05</v>
      </c>
      <c r="N627" s="58"/>
      <c r="AA627" s="146">
        <f>AB627/COUNTIFS($B:$B,$B627,$C:$C,$C627,$H:$H,$H627,$I:$I,$I627)</f>
        <v>0.05</v>
      </c>
      <c r="AB627" s="108">
        <f>VLOOKUP(I627,'Weights and Confidence'!$D$16:$AC$26,5,FALSE)</f>
        <v>0.05</v>
      </c>
      <c r="AC627" s="147">
        <f>VLOOKUP(I627,'Weights and Confidence'!$D$16:$AC$26,6,FALSE)</f>
        <v>1</v>
      </c>
    </row>
    <row r="628" spans="1:29" x14ac:dyDescent="0.2">
      <c r="A628" s="38" t="s">
        <v>14</v>
      </c>
      <c r="B628" s="38" t="s">
        <v>0</v>
      </c>
      <c r="C628" s="38" t="s">
        <v>149</v>
      </c>
      <c r="D628" s="38" t="s">
        <v>5</v>
      </c>
      <c r="E628" s="38"/>
      <c r="F628" s="51" t="s">
        <v>150</v>
      </c>
      <c r="G628" s="38">
        <v>4</v>
      </c>
      <c r="H628" s="38" t="s">
        <v>17</v>
      </c>
      <c r="I628" s="38" t="s">
        <v>22</v>
      </c>
      <c r="J628" s="38">
        <v>0</v>
      </c>
      <c r="K628" s="39">
        <f>AB628/COUNTIFS($B:$B,$B628,$C:$C,$C628,$H:$H,$H628,$I:$I,$I628)</f>
        <v>0.14000000000000001</v>
      </c>
      <c r="L628" s="40">
        <f t="shared" si="38"/>
        <v>1</v>
      </c>
      <c r="M628" s="41">
        <f t="shared" si="40"/>
        <v>0</v>
      </c>
      <c r="N628" s="38"/>
      <c r="AA628" s="146">
        <f>AB628/COUNTIFS($B:$B,$B628,$C:$C,$C628,$H:$H,$H628,$I:$I,$I628)</f>
        <v>0.14000000000000001</v>
      </c>
      <c r="AB628" s="108">
        <f>VLOOKUP(I628,'Weights and Confidence'!$D$16:$AC$26,5,FALSE)</f>
        <v>0.14000000000000001</v>
      </c>
      <c r="AC628" s="147">
        <f>VLOOKUP(I628,'Weights and Confidence'!$D$16:$AC$26,6,FALSE)</f>
        <v>1</v>
      </c>
    </row>
    <row r="629" spans="1:29" x14ac:dyDescent="0.2">
      <c r="A629" s="34" t="s">
        <v>14</v>
      </c>
      <c r="B629" s="34" t="s">
        <v>0</v>
      </c>
      <c r="C629" s="34" t="s">
        <v>149</v>
      </c>
      <c r="D629" s="34" t="s">
        <v>5</v>
      </c>
      <c r="E629" s="34"/>
      <c r="F629" s="50" t="s">
        <v>150</v>
      </c>
      <c r="G629" s="34">
        <v>4</v>
      </c>
      <c r="H629" s="34" t="s">
        <v>18</v>
      </c>
      <c r="I629" s="34" t="s">
        <v>22</v>
      </c>
      <c r="J629" s="34">
        <v>1</v>
      </c>
      <c r="K629" s="35">
        <f>AB629/COUNTIFS($B:$B,$B629,$C:$C,$C629,$H:$H,$H629,$I:$I,$I629)</f>
        <v>0.14000000000000001</v>
      </c>
      <c r="L629" s="36">
        <f t="shared" si="38"/>
        <v>1</v>
      </c>
      <c r="M629" s="37">
        <f t="shared" si="40"/>
        <v>0.14000000000000001</v>
      </c>
      <c r="N629" s="58"/>
      <c r="AA629" s="146">
        <f>AB629/COUNTIFS($B:$B,$B629,$C:$C,$C629,$H:$H,$H629,$I:$I,$I629)</f>
        <v>0.14000000000000001</v>
      </c>
      <c r="AB629" s="108">
        <f>VLOOKUP(I629,'Weights and Confidence'!$D$16:$AC$26,5,FALSE)</f>
        <v>0.14000000000000001</v>
      </c>
      <c r="AC629" s="147">
        <f>VLOOKUP(I629,'Weights and Confidence'!$D$16:$AC$26,6,FALSE)</f>
        <v>1</v>
      </c>
    </row>
    <row r="630" spans="1:29" x14ac:dyDescent="0.2">
      <c r="A630" s="38" t="s">
        <v>14</v>
      </c>
      <c r="B630" s="38" t="s">
        <v>0</v>
      </c>
      <c r="C630" s="38" t="s">
        <v>149</v>
      </c>
      <c r="D630" s="38" t="s">
        <v>5</v>
      </c>
      <c r="E630" s="38"/>
      <c r="F630" s="51" t="s">
        <v>150</v>
      </c>
      <c r="G630" s="38">
        <v>5</v>
      </c>
      <c r="H630" s="38" t="s">
        <v>17</v>
      </c>
      <c r="I630" s="38" t="s">
        <v>23</v>
      </c>
      <c r="J630" s="38">
        <v>-1</v>
      </c>
      <c r="K630" s="39">
        <f>AB630/COUNTIFS($B:$B,$B630,$C:$C,$C630,$H:$H,$H630,$I:$I,$I630)</f>
        <v>0.11</v>
      </c>
      <c r="L630" s="40">
        <f t="shared" si="38"/>
        <v>1</v>
      </c>
      <c r="M630" s="41">
        <f t="shared" si="40"/>
        <v>-0.11</v>
      </c>
      <c r="N630" s="38"/>
      <c r="AA630" s="146">
        <f>AB630/COUNTIFS($B:$B,$B630,$C:$C,$C630,$H:$H,$H630,$I:$I,$I630)</f>
        <v>0.11</v>
      </c>
      <c r="AB630" s="108">
        <f>VLOOKUP(I630,'Weights and Confidence'!$D$16:$AC$26,5,FALSE)</f>
        <v>0.11</v>
      </c>
      <c r="AC630" s="147">
        <f>VLOOKUP(I630,'Weights and Confidence'!$D$16:$AC$26,6,FALSE)</f>
        <v>1</v>
      </c>
    </row>
    <row r="631" spans="1:29" x14ac:dyDescent="0.2">
      <c r="A631" s="34" t="s">
        <v>14</v>
      </c>
      <c r="B631" s="34" t="s">
        <v>0</v>
      </c>
      <c r="C631" s="34" t="s">
        <v>149</v>
      </c>
      <c r="D631" s="34" t="s">
        <v>5</v>
      </c>
      <c r="E631" s="34"/>
      <c r="F631" s="50" t="s">
        <v>150</v>
      </c>
      <c r="G631" s="34">
        <v>5</v>
      </c>
      <c r="H631" s="34" t="s">
        <v>18</v>
      </c>
      <c r="I631" s="34" t="s">
        <v>23</v>
      </c>
      <c r="J631" s="34">
        <v>0</v>
      </c>
      <c r="K631" s="35">
        <f>AB631/COUNTIFS($B:$B,$B631,$C:$C,$C631,$H:$H,$H631,$I:$I,$I631)</f>
        <v>0.11</v>
      </c>
      <c r="L631" s="36">
        <f t="shared" si="38"/>
        <v>1</v>
      </c>
      <c r="M631" s="37">
        <f t="shared" si="40"/>
        <v>0</v>
      </c>
      <c r="N631" s="58"/>
      <c r="AA631" s="146">
        <f>AB631/COUNTIFS($B:$B,$B631,$C:$C,$C631,$H:$H,$H631,$I:$I,$I631)</f>
        <v>0.11</v>
      </c>
      <c r="AB631" s="108">
        <f>VLOOKUP(I631,'Weights and Confidence'!$D$16:$AC$26,5,FALSE)</f>
        <v>0.11</v>
      </c>
      <c r="AC631" s="147">
        <f>VLOOKUP(I631,'Weights and Confidence'!$D$16:$AC$26,6,FALSE)</f>
        <v>1</v>
      </c>
    </row>
    <row r="632" spans="1:29" x14ac:dyDescent="0.2">
      <c r="A632" s="38" t="s">
        <v>14</v>
      </c>
      <c r="B632" s="38" t="s">
        <v>0</v>
      </c>
      <c r="C632" s="38" t="s">
        <v>149</v>
      </c>
      <c r="D632" s="38" t="s">
        <v>5</v>
      </c>
      <c r="E632" s="38"/>
      <c r="F632" s="51" t="s">
        <v>150</v>
      </c>
      <c r="G632" s="38">
        <v>6</v>
      </c>
      <c r="H632" s="38" t="s">
        <v>17</v>
      </c>
      <c r="I632" s="38" t="s">
        <v>24</v>
      </c>
      <c r="J632" s="38">
        <v>0</v>
      </c>
      <c r="K632" s="39">
        <f>AB632/COUNTIFS($B:$B,$B632,$C:$C,$C632,$H:$H,$H632,$I:$I,$I632)</f>
        <v>0.15</v>
      </c>
      <c r="L632" s="40">
        <f t="shared" si="38"/>
        <v>1</v>
      </c>
      <c r="M632" s="41">
        <f t="shared" si="40"/>
        <v>0</v>
      </c>
      <c r="N632" s="59"/>
      <c r="AA632" s="146">
        <f>AB632/COUNTIFS($B:$B,$B632,$C:$C,$C632,$H:$H,$H632,$I:$I,$I632)</f>
        <v>0.15</v>
      </c>
      <c r="AB632" s="108">
        <f>VLOOKUP(I632,'Weights and Confidence'!$D$16:$AC$26,5,FALSE)</f>
        <v>0.15</v>
      </c>
      <c r="AC632" s="147">
        <f>VLOOKUP(I632,'Weights and Confidence'!$D$16:$AC$26,6,FALSE)</f>
        <v>1</v>
      </c>
    </row>
    <row r="633" spans="1:29" x14ac:dyDescent="0.2">
      <c r="A633" s="34" t="s">
        <v>14</v>
      </c>
      <c r="B633" s="34" t="s">
        <v>0</v>
      </c>
      <c r="C633" s="34" t="s">
        <v>149</v>
      </c>
      <c r="D633" s="34" t="s">
        <v>5</v>
      </c>
      <c r="E633" s="34"/>
      <c r="F633" s="50" t="s">
        <v>150</v>
      </c>
      <c r="G633" s="34">
        <v>6</v>
      </c>
      <c r="H633" s="34" t="s">
        <v>18</v>
      </c>
      <c r="I633" s="34" t="s">
        <v>24</v>
      </c>
      <c r="J633" s="34">
        <v>1</v>
      </c>
      <c r="K633" s="35">
        <f>AB633/COUNTIFS($B:$B,$B633,$C:$C,$C633,$H:$H,$H633,$I:$I,$I633)</f>
        <v>0.15</v>
      </c>
      <c r="L633" s="36">
        <f t="shared" si="38"/>
        <v>1</v>
      </c>
      <c r="M633" s="37">
        <f t="shared" si="40"/>
        <v>0.15</v>
      </c>
      <c r="N633" s="58"/>
      <c r="AA633" s="146">
        <f>AB633/COUNTIFS($B:$B,$B633,$C:$C,$C633,$H:$H,$H633,$I:$I,$I633)</f>
        <v>0.15</v>
      </c>
      <c r="AB633" s="108">
        <f>VLOOKUP(I633,'Weights and Confidence'!$D$16:$AC$26,5,FALSE)</f>
        <v>0.15</v>
      </c>
      <c r="AC633" s="147">
        <f>VLOOKUP(I633,'Weights and Confidence'!$D$16:$AC$26,6,FALSE)</f>
        <v>1</v>
      </c>
    </row>
    <row r="634" spans="1:29" x14ac:dyDescent="0.2">
      <c r="A634" s="38" t="s">
        <v>14</v>
      </c>
      <c r="B634" s="38" t="s">
        <v>0</v>
      </c>
      <c r="C634" s="38" t="s">
        <v>149</v>
      </c>
      <c r="D634" s="38" t="s">
        <v>5</v>
      </c>
      <c r="E634" s="38"/>
      <c r="F634" s="51" t="s">
        <v>150</v>
      </c>
      <c r="G634" s="38">
        <v>7</v>
      </c>
      <c r="H634" s="38" t="s">
        <v>17</v>
      </c>
      <c r="I634" s="38" t="s">
        <v>25</v>
      </c>
      <c r="J634" s="38">
        <v>0</v>
      </c>
      <c r="K634" s="39">
        <f>AB634/COUNTIFS($B:$B,$B634,$C:$C,$C634,$H:$H,$H634,$I:$I,$I634)</f>
        <v>0.1</v>
      </c>
      <c r="L634" s="40">
        <f t="shared" si="38"/>
        <v>1</v>
      </c>
      <c r="M634" s="41">
        <f t="shared" si="40"/>
        <v>0</v>
      </c>
      <c r="N634" s="38"/>
      <c r="AA634" s="146">
        <f>AB634/COUNTIFS($B:$B,$B634,$C:$C,$C634,$H:$H,$H634,$I:$I,$I634)</f>
        <v>0.1</v>
      </c>
      <c r="AB634" s="108">
        <f>VLOOKUP(I634,'Weights and Confidence'!$D$16:$AC$26,5,FALSE)</f>
        <v>0.1</v>
      </c>
      <c r="AC634" s="147">
        <f>VLOOKUP(I634,'Weights and Confidence'!$D$16:$AC$26,6,FALSE)</f>
        <v>1</v>
      </c>
    </row>
    <row r="635" spans="1:29" x14ac:dyDescent="0.2">
      <c r="A635" s="34" t="s">
        <v>14</v>
      </c>
      <c r="B635" s="34" t="s">
        <v>0</v>
      </c>
      <c r="C635" s="34" t="s">
        <v>149</v>
      </c>
      <c r="D635" s="34" t="s">
        <v>5</v>
      </c>
      <c r="E635" s="34"/>
      <c r="F635" s="50" t="s">
        <v>150</v>
      </c>
      <c r="G635" s="34">
        <v>7</v>
      </c>
      <c r="H635" s="34" t="s">
        <v>18</v>
      </c>
      <c r="I635" s="34" t="s">
        <v>25</v>
      </c>
      <c r="J635" s="34">
        <v>1</v>
      </c>
      <c r="K635" s="35">
        <f>AB635/COUNTIFS($B:$B,$B635,$C:$C,$C635,$H:$H,$H635,$I:$I,$I635)</f>
        <v>0.1</v>
      </c>
      <c r="L635" s="36">
        <f t="shared" si="38"/>
        <v>1</v>
      </c>
      <c r="M635" s="37">
        <f t="shared" si="40"/>
        <v>0.1</v>
      </c>
      <c r="N635" s="58" t="s">
        <v>151</v>
      </c>
      <c r="AA635" s="146">
        <f>AB635/COUNTIFS($B:$B,$B635,$C:$C,$C635,$H:$H,$H635,$I:$I,$I635)</f>
        <v>0.1</v>
      </c>
      <c r="AB635" s="108">
        <f>VLOOKUP(I635,'Weights and Confidence'!$D$16:$AC$26,5,FALSE)</f>
        <v>0.1</v>
      </c>
      <c r="AC635" s="147">
        <f>VLOOKUP(I635,'Weights and Confidence'!$D$16:$AC$26,6,FALSE)</f>
        <v>1</v>
      </c>
    </row>
    <row r="636" spans="1:29" x14ac:dyDescent="0.2">
      <c r="A636" s="38" t="s">
        <v>14</v>
      </c>
      <c r="B636" s="38" t="s">
        <v>0</v>
      </c>
      <c r="C636" s="38" t="s">
        <v>149</v>
      </c>
      <c r="D636" s="38" t="s">
        <v>5</v>
      </c>
      <c r="E636" s="38"/>
      <c r="F636" s="51" t="s">
        <v>150</v>
      </c>
      <c r="G636" s="38">
        <v>8</v>
      </c>
      <c r="H636" s="38" t="s">
        <v>17</v>
      </c>
      <c r="I636" s="38" t="s">
        <v>26</v>
      </c>
      <c r="J636" s="38">
        <v>0</v>
      </c>
      <c r="K636" s="39">
        <f>AB636/COUNTIFS($B:$B,$B636,$C:$C,$C636,$H:$H,$H636,$I:$I,$I636)</f>
        <v>0.1</v>
      </c>
      <c r="L636" s="40">
        <f t="shared" si="38"/>
        <v>1</v>
      </c>
      <c r="M636" s="41">
        <f t="shared" si="40"/>
        <v>0</v>
      </c>
      <c r="N636" s="38"/>
      <c r="AA636" s="146">
        <f>AB636/COUNTIFS($B:$B,$B636,$C:$C,$C636,$H:$H,$H636,$I:$I,$I636)</f>
        <v>0.1</v>
      </c>
      <c r="AB636" s="108">
        <f>VLOOKUP(I636,'Weights and Confidence'!$D$16:$AC$26,5,FALSE)</f>
        <v>0.1</v>
      </c>
      <c r="AC636" s="147">
        <f>VLOOKUP(I636,'Weights and Confidence'!$D$16:$AC$26,6,FALSE)</f>
        <v>1</v>
      </c>
    </row>
    <row r="637" spans="1:29" x14ac:dyDescent="0.2">
      <c r="A637" s="34" t="s">
        <v>14</v>
      </c>
      <c r="B637" s="34" t="s">
        <v>0</v>
      </c>
      <c r="C637" s="34" t="s">
        <v>149</v>
      </c>
      <c r="D637" s="34" t="s">
        <v>5</v>
      </c>
      <c r="E637" s="34"/>
      <c r="F637" s="50" t="s">
        <v>150</v>
      </c>
      <c r="G637" s="34">
        <v>8</v>
      </c>
      <c r="H637" s="34" t="s">
        <v>18</v>
      </c>
      <c r="I637" s="34" t="s">
        <v>26</v>
      </c>
      <c r="J637" s="34">
        <v>1</v>
      </c>
      <c r="K637" s="35">
        <f>AB637/COUNTIFS($B:$B,$B637,$C:$C,$C637,$H:$H,$H637,$I:$I,$I637)</f>
        <v>0.1</v>
      </c>
      <c r="L637" s="36">
        <f t="shared" si="38"/>
        <v>1</v>
      </c>
      <c r="M637" s="37">
        <f t="shared" si="40"/>
        <v>0.1</v>
      </c>
      <c r="N637" s="58" t="s">
        <v>152</v>
      </c>
      <c r="AA637" s="146">
        <f>AB637/COUNTIFS($B:$B,$B637,$C:$C,$C637,$H:$H,$H637,$I:$I,$I637)</f>
        <v>0.1</v>
      </c>
      <c r="AB637" s="108">
        <f>VLOOKUP(I637,'Weights and Confidence'!$D$16:$AC$26,5,FALSE)</f>
        <v>0.1</v>
      </c>
      <c r="AC637" s="147">
        <f>VLOOKUP(I637,'Weights and Confidence'!$D$16:$AC$26,6,FALSE)</f>
        <v>1</v>
      </c>
    </row>
    <row r="638" spans="1:29" x14ac:dyDescent="0.2">
      <c r="A638" s="38" t="s">
        <v>14</v>
      </c>
      <c r="B638" s="38" t="s">
        <v>0</v>
      </c>
      <c r="C638" s="38" t="s">
        <v>149</v>
      </c>
      <c r="D638" s="38" t="s">
        <v>5</v>
      </c>
      <c r="E638" s="38"/>
      <c r="F638" s="51" t="s">
        <v>150</v>
      </c>
      <c r="G638" s="38">
        <v>9</v>
      </c>
      <c r="H638" s="38" t="s">
        <v>17</v>
      </c>
      <c r="I638" s="38" t="s">
        <v>27</v>
      </c>
      <c r="J638" s="38">
        <v>-1</v>
      </c>
      <c r="K638" s="39">
        <f>AB638/COUNTIFS($B:$B,$B638,$C:$C,$C638,$H:$H,$H638,$I:$I,$I638)</f>
        <v>0.05</v>
      </c>
      <c r="L638" s="40">
        <f t="shared" si="38"/>
        <v>0.85</v>
      </c>
      <c r="M638" s="41">
        <f t="shared" si="40"/>
        <v>-4.2500000000000003E-2</v>
      </c>
      <c r="N638" s="38"/>
      <c r="AA638" s="146">
        <f>AB638/COUNTIFS($B:$B,$B638,$C:$C,$C638,$H:$H,$H638,$I:$I,$I638)</f>
        <v>0.05</v>
      </c>
      <c r="AB638" s="108">
        <f>VLOOKUP(I638,'Weights and Confidence'!$D$16:$AC$26,5,FALSE)</f>
        <v>0.1</v>
      </c>
      <c r="AC638" s="147">
        <f>VLOOKUP(I638,'Weights and Confidence'!$D$16:$AC$26,6,FALSE)</f>
        <v>0.85</v>
      </c>
    </row>
    <row r="639" spans="1:29" x14ac:dyDescent="0.2">
      <c r="A639" s="34" t="s">
        <v>14</v>
      </c>
      <c r="B639" s="34" t="s">
        <v>0</v>
      </c>
      <c r="C639" s="34" t="s">
        <v>149</v>
      </c>
      <c r="D639" s="34" t="s">
        <v>5</v>
      </c>
      <c r="E639" s="34"/>
      <c r="F639" s="50" t="s">
        <v>150</v>
      </c>
      <c r="G639" s="34">
        <v>9</v>
      </c>
      <c r="H639" s="34" t="s">
        <v>18</v>
      </c>
      <c r="I639" s="34" t="s">
        <v>27</v>
      </c>
      <c r="J639" s="34">
        <v>0</v>
      </c>
      <c r="K639" s="35">
        <f>AB639/COUNTIFS($B:$B,$B639,$C:$C,$C639,$H:$H,$H639,$I:$I,$I639)</f>
        <v>0.05</v>
      </c>
      <c r="L639" s="36">
        <f t="shared" si="38"/>
        <v>0.85</v>
      </c>
      <c r="M639" s="37">
        <f t="shared" si="40"/>
        <v>0</v>
      </c>
      <c r="N639" s="34"/>
      <c r="AA639" s="146">
        <f>AB639/COUNTIFS($B:$B,$B639,$C:$C,$C639,$H:$H,$H639,$I:$I,$I639)</f>
        <v>0.05</v>
      </c>
      <c r="AB639" s="108">
        <f>VLOOKUP(I639,'Weights and Confidence'!$D$16:$AC$26,5,FALSE)</f>
        <v>0.1</v>
      </c>
      <c r="AC639" s="147">
        <f>VLOOKUP(I639,'Weights and Confidence'!$D$16:$AC$26,6,FALSE)</f>
        <v>0.85</v>
      </c>
    </row>
    <row r="640" spans="1:29" x14ac:dyDescent="0.2">
      <c r="A640" s="38" t="s">
        <v>14</v>
      </c>
      <c r="B640" s="38" t="s">
        <v>0</v>
      </c>
      <c r="C640" s="38" t="s">
        <v>149</v>
      </c>
      <c r="D640" s="38" t="s">
        <v>5</v>
      </c>
      <c r="E640" s="38"/>
      <c r="F640" s="51" t="s">
        <v>150</v>
      </c>
      <c r="G640" s="38">
        <v>10</v>
      </c>
      <c r="H640" s="38" t="s">
        <v>17</v>
      </c>
      <c r="I640" s="38" t="s">
        <v>27</v>
      </c>
      <c r="J640" s="38">
        <v>0</v>
      </c>
      <c r="K640" s="39">
        <f>AB640/COUNTIFS($B:$B,$B640,$C:$C,$C640,$H:$H,$H640,$I:$I,$I640)</f>
        <v>0.05</v>
      </c>
      <c r="L640" s="40">
        <f t="shared" si="38"/>
        <v>0.85</v>
      </c>
      <c r="M640" s="41">
        <f t="shared" si="40"/>
        <v>0</v>
      </c>
      <c r="N640" s="38"/>
      <c r="AA640" s="146">
        <f>AB640/COUNTIFS($B:$B,$B640,$C:$C,$C640,$H:$H,$H640,$I:$I,$I640)</f>
        <v>0.05</v>
      </c>
      <c r="AB640" s="108">
        <f>VLOOKUP(I640,'Weights and Confidence'!$D$16:$AC$26,5,FALSE)</f>
        <v>0.1</v>
      </c>
      <c r="AC640" s="147">
        <f>VLOOKUP(I640,'Weights and Confidence'!$D$16:$AC$26,6,FALSE)</f>
        <v>0.85</v>
      </c>
    </row>
    <row r="641" spans="1:29" x14ac:dyDescent="0.2">
      <c r="A641" s="34" t="s">
        <v>14</v>
      </c>
      <c r="B641" s="34" t="s">
        <v>0</v>
      </c>
      <c r="C641" s="34" t="s">
        <v>149</v>
      </c>
      <c r="D641" s="34" t="s">
        <v>5</v>
      </c>
      <c r="E641" s="34"/>
      <c r="F641" s="50" t="s">
        <v>150</v>
      </c>
      <c r="G641" s="34">
        <v>10</v>
      </c>
      <c r="H641" s="34" t="s">
        <v>18</v>
      </c>
      <c r="I641" s="34" t="s">
        <v>27</v>
      </c>
      <c r="J641" s="34">
        <v>1</v>
      </c>
      <c r="K641" s="35">
        <f>AB641/COUNTIFS($B:$B,$B641,$C:$C,$C641,$H:$H,$H641,$I:$I,$I641)</f>
        <v>0.05</v>
      </c>
      <c r="L641" s="36">
        <f t="shared" si="38"/>
        <v>0.85</v>
      </c>
      <c r="M641" s="37">
        <f t="shared" si="40"/>
        <v>4.2500000000000003E-2</v>
      </c>
      <c r="N641" s="34"/>
      <c r="AA641" s="146">
        <f>AB641/COUNTIFS($B:$B,$B641,$C:$C,$C641,$H:$H,$H641,$I:$I,$I641)</f>
        <v>0.05</v>
      </c>
      <c r="AB641" s="108">
        <f>VLOOKUP(I641,'Weights and Confidence'!$D$16:$AC$26,5,FALSE)</f>
        <v>0.1</v>
      </c>
      <c r="AC641" s="147">
        <f>VLOOKUP(I641,'Weights and Confidence'!$D$16:$AC$26,6,FALSE)</f>
        <v>0.85</v>
      </c>
    </row>
    <row r="642" spans="1:29" x14ac:dyDescent="0.2">
      <c r="A642" s="38" t="s">
        <v>14</v>
      </c>
      <c r="B642" s="38" t="s">
        <v>0</v>
      </c>
      <c r="C642" s="38" t="s">
        <v>149</v>
      </c>
      <c r="D642" s="38" t="s">
        <v>5</v>
      </c>
      <c r="E642" s="38"/>
      <c r="F642" s="51" t="s">
        <v>150</v>
      </c>
      <c r="G642" s="38">
        <v>11</v>
      </c>
      <c r="H642" s="38" t="s">
        <v>17</v>
      </c>
      <c r="I642" s="38" t="s">
        <v>28</v>
      </c>
      <c r="J642" s="38">
        <v>0</v>
      </c>
      <c r="K642" s="39">
        <f>AB642/COUNTIFS($B:$B,$B642,$C:$C,$C642,$H:$H,$H642,$I:$I,$I642)</f>
        <v>0.05</v>
      </c>
      <c r="L642" s="40">
        <f t="shared" si="38"/>
        <v>1</v>
      </c>
      <c r="M642" s="41">
        <f t="shared" si="40"/>
        <v>0</v>
      </c>
      <c r="N642" s="38"/>
      <c r="AA642" s="146">
        <f>AB642/COUNTIFS($B:$B,$B642,$C:$C,$C642,$H:$H,$H642,$I:$I,$I642)</f>
        <v>0.05</v>
      </c>
      <c r="AB642" s="108">
        <f>VLOOKUP(I642,'Weights and Confidence'!$D$16:$AC$26,5,FALSE)</f>
        <v>0.05</v>
      </c>
      <c r="AC642" s="147">
        <f>VLOOKUP(I642,'Weights and Confidence'!$D$16:$AC$26,6,FALSE)</f>
        <v>1</v>
      </c>
    </row>
    <row r="643" spans="1:29" ht="17" thickBot="1" x14ac:dyDescent="0.25">
      <c r="A643" s="34" t="s">
        <v>14</v>
      </c>
      <c r="B643" s="34" t="s">
        <v>0</v>
      </c>
      <c r="C643" s="34" t="s">
        <v>149</v>
      </c>
      <c r="D643" s="34" t="s">
        <v>5</v>
      </c>
      <c r="E643" s="34"/>
      <c r="F643" s="50" t="s">
        <v>150</v>
      </c>
      <c r="G643" s="34">
        <v>11</v>
      </c>
      <c r="H643" s="34" t="s">
        <v>18</v>
      </c>
      <c r="I643" s="34" t="s">
        <v>28</v>
      </c>
      <c r="J643" s="34">
        <v>1</v>
      </c>
      <c r="K643" s="35">
        <f>AB643/COUNTIFS($B:$B,$B643,$C:$C,$C643,$H:$H,$H643,$I:$I,$I643)</f>
        <v>0.05</v>
      </c>
      <c r="L643" s="36">
        <f t="shared" si="38"/>
        <v>1</v>
      </c>
      <c r="M643" s="37">
        <f t="shared" si="40"/>
        <v>0.05</v>
      </c>
      <c r="N643" s="58" t="s">
        <v>153</v>
      </c>
      <c r="AA643" s="140">
        <f>AB643/COUNTIFS($B:$B,$B643,$C:$C,$C643,$H:$H,$H643,$I:$I,$I643)</f>
        <v>0.05</v>
      </c>
      <c r="AB643" s="141">
        <f>VLOOKUP(I643,'Weights and Confidence'!$D$16:$AC$26,5,FALSE)</f>
        <v>0.05</v>
      </c>
      <c r="AC643" s="142">
        <f>VLOOKUP(I643,'Weights and Confidence'!$D$16:$AC$26,6,FALSE)</f>
        <v>1</v>
      </c>
    </row>
    <row r="644" spans="1:29" ht="17" thickTop="1" x14ac:dyDescent="0.2">
      <c r="A644" s="42" t="s">
        <v>14</v>
      </c>
      <c r="B644" s="42" t="s">
        <v>0</v>
      </c>
      <c r="C644" s="42" t="s">
        <v>154</v>
      </c>
      <c r="D644" s="42" t="s">
        <v>5</v>
      </c>
      <c r="E644" s="42"/>
      <c r="F644" s="49" t="s">
        <v>155</v>
      </c>
      <c r="G644" s="42">
        <v>1</v>
      </c>
      <c r="H644" s="42" t="s">
        <v>17</v>
      </c>
      <c r="I644" s="42" t="s">
        <v>19</v>
      </c>
      <c r="J644" s="42">
        <v>1</v>
      </c>
      <c r="K644" s="44">
        <f>AB644/COUNTIFS($B:$B,$B644,$C:$C,$C644,$H:$H,$H644,$I:$I,$I644)</f>
        <v>0.12</v>
      </c>
      <c r="L644" s="45">
        <f t="shared" si="38"/>
        <v>1</v>
      </c>
      <c r="M644" s="46">
        <f t="shared" ref="M644:M665" si="41">J644*K644*L644</f>
        <v>0.12</v>
      </c>
      <c r="N644" s="42"/>
      <c r="AA644" s="143">
        <f>AB644/COUNTIFS($B:$B,$B644,$C:$C,$C644,$H:$H,$H644,$I:$I,$I644)</f>
        <v>0.12</v>
      </c>
      <c r="AB644" s="144">
        <f>VLOOKUP(I644,'Weights and Confidence'!$D$16:$AC$26,5,FALSE)</f>
        <v>0.12</v>
      </c>
      <c r="AC644" s="145">
        <f>VLOOKUP(I644,'Weights and Confidence'!$D$16:$AC$26,6,FALSE)</f>
        <v>1</v>
      </c>
    </row>
    <row r="645" spans="1:29" x14ac:dyDescent="0.2">
      <c r="A645" s="34" t="s">
        <v>14</v>
      </c>
      <c r="B645" s="34" t="s">
        <v>0</v>
      </c>
      <c r="C645" s="34" t="s">
        <v>154</v>
      </c>
      <c r="D645" s="34" t="s">
        <v>5</v>
      </c>
      <c r="E645" s="34"/>
      <c r="F645" s="50" t="s">
        <v>155</v>
      </c>
      <c r="G645" s="34">
        <v>1</v>
      </c>
      <c r="H645" s="34" t="s">
        <v>18</v>
      </c>
      <c r="I645" s="34" t="s">
        <v>19</v>
      </c>
      <c r="J645" s="34">
        <v>1</v>
      </c>
      <c r="K645" s="35">
        <f>AB645/COUNTIFS($B:$B,$B645,$C:$C,$C645,$H:$H,$H645,$I:$I,$I645)</f>
        <v>0.12</v>
      </c>
      <c r="L645" s="36">
        <f t="shared" si="38"/>
        <v>1</v>
      </c>
      <c r="M645" s="37">
        <f t="shared" si="41"/>
        <v>0.12</v>
      </c>
      <c r="N645" s="58"/>
      <c r="AA645" s="146">
        <f>AB645/COUNTIFS($B:$B,$B645,$C:$C,$C645,$H:$H,$H645,$I:$I,$I645)</f>
        <v>0.12</v>
      </c>
      <c r="AB645" s="108">
        <f>VLOOKUP(I645,'Weights and Confidence'!$D$16:$AC$26,5,FALSE)</f>
        <v>0.12</v>
      </c>
      <c r="AC645" s="147">
        <f>VLOOKUP(I645,'Weights and Confidence'!$D$16:$AC$26,6,FALSE)</f>
        <v>1</v>
      </c>
    </row>
    <row r="646" spans="1:29" x14ac:dyDescent="0.2">
      <c r="A646" s="38" t="s">
        <v>14</v>
      </c>
      <c r="B646" s="38" t="s">
        <v>0</v>
      </c>
      <c r="C646" s="38" t="s">
        <v>154</v>
      </c>
      <c r="D646" s="38" t="s">
        <v>5</v>
      </c>
      <c r="E646" s="38"/>
      <c r="F646" s="51" t="s">
        <v>155</v>
      </c>
      <c r="G646" s="38">
        <v>2</v>
      </c>
      <c r="H646" s="38" t="s">
        <v>17</v>
      </c>
      <c r="I646" s="38" t="s">
        <v>20</v>
      </c>
      <c r="J646" s="38">
        <v>1</v>
      </c>
      <c r="K646" s="39">
        <f>AB646/COUNTIFS($B:$B,$B646,$C:$C,$C646,$H:$H,$H646,$I:$I,$I646)</f>
        <v>0.08</v>
      </c>
      <c r="L646" s="40">
        <f t="shared" ref="L646:L709" si="42">AC646</f>
        <v>0.8</v>
      </c>
      <c r="M646" s="41">
        <f t="shared" si="41"/>
        <v>6.4000000000000001E-2</v>
      </c>
      <c r="N646" s="38"/>
      <c r="AA646" s="146">
        <f>AB646/COUNTIFS($B:$B,$B646,$C:$C,$C646,$H:$H,$H646,$I:$I,$I646)</f>
        <v>0.08</v>
      </c>
      <c r="AB646" s="108">
        <f>VLOOKUP(I646,'Weights and Confidence'!$D$16:$AC$26,5,FALSE)</f>
        <v>0.08</v>
      </c>
      <c r="AC646" s="147">
        <f>VLOOKUP(I646,'Weights and Confidence'!$D$16:$AC$26,6,FALSE)</f>
        <v>0.8</v>
      </c>
    </row>
    <row r="647" spans="1:29" x14ac:dyDescent="0.2">
      <c r="A647" s="34" t="s">
        <v>14</v>
      </c>
      <c r="B647" s="34" t="s">
        <v>0</v>
      </c>
      <c r="C647" s="34" t="s">
        <v>154</v>
      </c>
      <c r="D647" s="34" t="s">
        <v>5</v>
      </c>
      <c r="E647" s="34"/>
      <c r="F647" s="50" t="s">
        <v>155</v>
      </c>
      <c r="G647" s="34">
        <v>2</v>
      </c>
      <c r="H647" s="34" t="s">
        <v>18</v>
      </c>
      <c r="I647" s="34" t="s">
        <v>20</v>
      </c>
      <c r="J647" s="34">
        <v>1</v>
      </c>
      <c r="K647" s="35">
        <f>AB647/COUNTIFS($B:$B,$B647,$C:$C,$C647,$H:$H,$H647,$I:$I,$I647)</f>
        <v>0.08</v>
      </c>
      <c r="L647" s="36">
        <f t="shared" si="42"/>
        <v>0.8</v>
      </c>
      <c r="M647" s="37">
        <f t="shared" si="41"/>
        <v>6.4000000000000001E-2</v>
      </c>
      <c r="N647" s="58"/>
      <c r="AA647" s="146">
        <f>AB647/COUNTIFS($B:$B,$B647,$C:$C,$C647,$H:$H,$H647,$I:$I,$I647)</f>
        <v>0.08</v>
      </c>
      <c r="AB647" s="108">
        <f>VLOOKUP(I647,'Weights and Confidence'!$D$16:$AC$26,5,FALSE)</f>
        <v>0.08</v>
      </c>
      <c r="AC647" s="147">
        <f>VLOOKUP(I647,'Weights and Confidence'!$D$16:$AC$26,6,FALSE)</f>
        <v>0.8</v>
      </c>
    </row>
    <row r="648" spans="1:29" x14ac:dyDescent="0.2">
      <c r="A648" s="38" t="s">
        <v>14</v>
      </c>
      <c r="B648" s="38" t="s">
        <v>0</v>
      </c>
      <c r="C648" s="38" t="s">
        <v>154</v>
      </c>
      <c r="D648" s="38" t="s">
        <v>5</v>
      </c>
      <c r="E648" s="38"/>
      <c r="F648" s="51" t="s">
        <v>155</v>
      </c>
      <c r="G648" s="38">
        <v>3</v>
      </c>
      <c r="H648" s="38" t="s">
        <v>17</v>
      </c>
      <c r="I648" s="38" t="s">
        <v>21</v>
      </c>
      <c r="J648" s="38">
        <v>1</v>
      </c>
      <c r="K648" s="39">
        <f>AB648/COUNTIFS($B:$B,$B648,$C:$C,$C648,$H:$H,$H648,$I:$I,$I648)</f>
        <v>0.05</v>
      </c>
      <c r="L648" s="40">
        <f t="shared" si="42"/>
        <v>1</v>
      </c>
      <c r="M648" s="41">
        <f t="shared" si="41"/>
        <v>0.05</v>
      </c>
      <c r="N648" s="38"/>
      <c r="AA648" s="146">
        <f>AB648/COUNTIFS($B:$B,$B648,$C:$C,$C648,$H:$H,$H648,$I:$I,$I648)</f>
        <v>0.05</v>
      </c>
      <c r="AB648" s="108">
        <f>VLOOKUP(I648,'Weights and Confidence'!$D$16:$AC$26,5,FALSE)</f>
        <v>0.05</v>
      </c>
      <c r="AC648" s="147">
        <f>VLOOKUP(I648,'Weights and Confidence'!$D$16:$AC$26,6,FALSE)</f>
        <v>1</v>
      </c>
    </row>
    <row r="649" spans="1:29" x14ac:dyDescent="0.2">
      <c r="A649" s="34" t="s">
        <v>14</v>
      </c>
      <c r="B649" s="34" t="s">
        <v>0</v>
      </c>
      <c r="C649" s="34" t="s">
        <v>154</v>
      </c>
      <c r="D649" s="34" t="s">
        <v>5</v>
      </c>
      <c r="E649" s="34"/>
      <c r="F649" s="50" t="s">
        <v>155</v>
      </c>
      <c r="G649" s="34">
        <v>3</v>
      </c>
      <c r="H649" s="34" t="s">
        <v>18</v>
      </c>
      <c r="I649" s="34" t="s">
        <v>21</v>
      </c>
      <c r="J649" s="34">
        <v>0</v>
      </c>
      <c r="K649" s="35">
        <f>AB649/COUNTIFS($B:$B,$B649,$C:$C,$C649,$H:$H,$H649,$I:$I,$I649)</f>
        <v>0.05</v>
      </c>
      <c r="L649" s="36">
        <f t="shared" si="42"/>
        <v>1</v>
      </c>
      <c r="M649" s="37">
        <f t="shared" si="41"/>
        <v>0</v>
      </c>
      <c r="N649" s="58" t="s">
        <v>156</v>
      </c>
      <c r="AA649" s="146">
        <f>AB649/COUNTIFS($B:$B,$B649,$C:$C,$C649,$H:$H,$H649,$I:$I,$I649)</f>
        <v>0.05</v>
      </c>
      <c r="AB649" s="108">
        <f>VLOOKUP(I649,'Weights and Confidence'!$D$16:$AC$26,5,FALSE)</f>
        <v>0.05</v>
      </c>
      <c r="AC649" s="147">
        <f>VLOOKUP(I649,'Weights and Confidence'!$D$16:$AC$26,6,FALSE)</f>
        <v>1</v>
      </c>
    </row>
    <row r="650" spans="1:29" x14ac:dyDescent="0.2">
      <c r="A650" s="38" t="s">
        <v>14</v>
      </c>
      <c r="B650" s="38" t="s">
        <v>0</v>
      </c>
      <c r="C650" s="38" t="s">
        <v>154</v>
      </c>
      <c r="D650" s="38" t="s">
        <v>5</v>
      </c>
      <c r="E650" s="38"/>
      <c r="F650" s="51" t="s">
        <v>155</v>
      </c>
      <c r="G650" s="38">
        <v>4</v>
      </c>
      <c r="H650" s="38" t="s">
        <v>17</v>
      </c>
      <c r="I650" s="38" t="s">
        <v>22</v>
      </c>
      <c r="J650" s="38">
        <v>1</v>
      </c>
      <c r="K650" s="39">
        <f>AB650/COUNTIFS($B:$B,$B650,$C:$C,$C650,$H:$H,$H650,$I:$I,$I650)</f>
        <v>0.14000000000000001</v>
      </c>
      <c r="L650" s="40">
        <f t="shared" si="42"/>
        <v>1</v>
      </c>
      <c r="M650" s="41">
        <f t="shared" si="41"/>
        <v>0.14000000000000001</v>
      </c>
      <c r="N650" s="38"/>
      <c r="AA650" s="146">
        <f>AB650/COUNTIFS($B:$B,$B650,$C:$C,$C650,$H:$H,$H650,$I:$I,$I650)</f>
        <v>0.14000000000000001</v>
      </c>
      <c r="AB650" s="108">
        <f>VLOOKUP(I650,'Weights and Confidence'!$D$16:$AC$26,5,FALSE)</f>
        <v>0.14000000000000001</v>
      </c>
      <c r="AC650" s="147">
        <f>VLOOKUP(I650,'Weights and Confidence'!$D$16:$AC$26,6,FALSE)</f>
        <v>1</v>
      </c>
    </row>
    <row r="651" spans="1:29" x14ac:dyDescent="0.2">
      <c r="A651" s="34" t="s">
        <v>14</v>
      </c>
      <c r="B651" s="34" t="s">
        <v>0</v>
      </c>
      <c r="C651" s="34" t="s">
        <v>154</v>
      </c>
      <c r="D651" s="34" t="s">
        <v>5</v>
      </c>
      <c r="E651" s="34"/>
      <c r="F651" s="50" t="s">
        <v>155</v>
      </c>
      <c r="G651" s="34">
        <v>4</v>
      </c>
      <c r="H651" s="34" t="s">
        <v>18</v>
      </c>
      <c r="I651" s="34" t="s">
        <v>22</v>
      </c>
      <c r="J651" s="34">
        <v>0</v>
      </c>
      <c r="K651" s="35">
        <f>AB651/COUNTIFS($B:$B,$B651,$C:$C,$C651,$H:$H,$H651,$I:$I,$I651)</f>
        <v>0.14000000000000001</v>
      </c>
      <c r="L651" s="36">
        <f t="shared" si="42"/>
        <v>1</v>
      </c>
      <c r="M651" s="37">
        <f t="shared" si="41"/>
        <v>0</v>
      </c>
      <c r="N651" s="58" t="s">
        <v>157</v>
      </c>
      <c r="AA651" s="146">
        <f>AB651/COUNTIFS($B:$B,$B651,$C:$C,$C651,$H:$H,$H651,$I:$I,$I651)</f>
        <v>0.14000000000000001</v>
      </c>
      <c r="AB651" s="108">
        <f>VLOOKUP(I651,'Weights and Confidence'!$D$16:$AC$26,5,FALSE)</f>
        <v>0.14000000000000001</v>
      </c>
      <c r="AC651" s="147">
        <f>VLOOKUP(I651,'Weights and Confidence'!$D$16:$AC$26,6,FALSE)</f>
        <v>1</v>
      </c>
    </row>
    <row r="652" spans="1:29" x14ac:dyDescent="0.2">
      <c r="A652" s="38" t="s">
        <v>14</v>
      </c>
      <c r="B652" s="38" t="s">
        <v>0</v>
      </c>
      <c r="C652" s="38" t="s">
        <v>154</v>
      </c>
      <c r="D652" s="38" t="s">
        <v>5</v>
      </c>
      <c r="E652" s="38"/>
      <c r="F652" s="51" t="s">
        <v>155</v>
      </c>
      <c r="G652" s="38">
        <v>5</v>
      </c>
      <c r="H652" s="38" t="s">
        <v>17</v>
      </c>
      <c r="I652" s="38" t="s">
        <v>23</v>
      </c>
      <c r="J652" s="38">
        <v>0</v>
      </c>
      <c r="K652" s="39">
        <f>AB652/COUNTIFS($B:$B,$B652,$C:$C,$C652,$H:$H,$H652,$I:$I,$I652)</f>
        <v>0.11</v>
      </c>
      <c r="L652" s="40">
        <f t="shared" si="42"/>
        <v>1</v>
      </c>
      <c r="M652" s="41">
        <f t="shared" si="41"/>
        <v>0</v>
      </c>
      <c r="N652" s="38"/>
      <c r="AA652" s="146">
        <f>AB652/COUNTIFS($B:$B,$B652,$C:$C,$C652,$H:$H,$H652,$I:$I,$I652)</f>
        <v>0.11</v>
      </c>
      <c r="AB652" s="108">
        <f>VLOOKUP(I652,'Weights and Confidence'!$D$16:$AC$26,5,FALSE)</f>
        <v>0.11</v>
      </c>
      <c r="AC652" s="147">
        <f>VLOOKUP(I652,'Weights and Confidence'!$D$16:$AC$26,6,FALSE)</f>
        <v>1</v>
      </c>
    </row>
    <row r="653" spans="1:29" x14ac:dyDescent="0.2">
      <c r="A653" s="34" t="s">
        <v>14</v>
      </c>
      <c r="B653" s="34" t="s">
        <v>0</v>
      </c>
      <c r="C653" s="34" t="s">
        <v>154</v>
      </c>
      <c r="D653" s="34" t="s">
        <v>5</v>
      </c>
      <c r="E653" s="34"/>
      <c r="F653" s="50" t="s">
        <v>155</v>
      </c>
      <c r="G653" s="34">
        <v>5</v>
      </c>
      <c r="H653" s="34" t="s">
        <v>18</v>
      </c>
      <c r="I653" s="34" t="s">
        <v>23</v>
      </c>
      <c r="J653" s="34">
        <v>0</v>
      </c>
      <c r="K653" s="35">
        <f>AB653/COUNTIFS($B:$B,$B653,$C:$C,$C653,$H:$H,$H653,$I:$I,$I653)</f>
        <v>0.11</v>
      </c>
      <c r="L653" s="36">
        <f t="shared" si="42"/>
        <v>1</v>
      </c>
      <c r="M653" s="37">
        <f t="shared" si="41"/>
        <v>0</v>
      </c>
      <c r="N653" s="58" t="s">
        <v>158</v>
      </c>
      <c r="AA653" s="146">
        <f>AB653/COUNTIFS($B:$B,$B653,$C:$C,$C653,$H:$H,$H653,$I:$I,$I653)</f>
        <v>0.11</v>
      </c>
      <c r="AB653" s="108">
        <f>VLOOKUP(I653,'Weights and Confidence'!$D$16:$AC$26,5,FALSE)</f>
        <v>0.11</v>
      </c>
      <c r="AC653" s="147">
        <f>VLOOKUP(I653,'Weights and Confidence'!$D$16:$AC$26,6,FALSE)</f>
        <v>1</v>
      </c>
    </row>
    <row r="654" spans="1:29" x14ac:dyDescent="0.2">
      <c r="A654" s="38" t="s">
        <v>14</v>
      </c>
      <c r="B654" s="38" t="s">
        <v>0</v>
      </c>
      <c r="C654" s="38" t="s">
        <v>154</v>
      </c>
      <c r="D654" s="38" t="s">
        <v>5</v>
      </c>
      <c r="E654" s="38"/>
      <c r="F654" s="51" t="s">
        <v>155</v>
      </c>
      <c r="G654" s="38">
        <v>6</v>
      </c>
      <c r="H654" s="38" t="s">
        <v>17</v>
      </c>
      <c r="I654" s="38" t="s">
        <v>24</v>
      </c>
      <c r="J654" s="38">
        <v>1</v>
      </c>
      <c r="K654" s="39">
        <f>AB654/COUNTIFS($B:$B,$B654,$C:$C,$C654,$H:$H,$H654,$I:$I,$I654)</f>
        <v>0.15</v>
      </c>
      <c r="L654" s="40">
        <f t="shared" si="42"/>
        <v>1</v>
      </c>
      <c r="M654" s="41">
        <f t="shared" si="41"/>
        <v>0.15</v>
      </c>
      <c r="N654" s="59"/>
      <c r="AA654" s="146">
        <f>AB654/COUNTIFS($B:$B,$B654,$C:$C,$C654,$H:$H,$H654,$I:$I,$I654)</f>
        <v>0.15</v>
      </c>
      <c r="AB654" s="108">
        <f>VLOOKUP(I654,'Weights and Confidence'!$D$16:$AC$26,5,FALSE)</f>
        <v>0.15</v>
      </c>
      <c r="AC654" s="147">
        <f>VLOOKUP(I654,'Weights and Confidence'!$D$16:$AC$26,6,FALSE)</f>
        <v>1</v>
      </c>
    </row>
    <row r="655" spans="1:29" x14ac:dyDescent="0.2">
      <c r="A655" s="34" t="s">
        <v>14</v>
      </c>
      <c r="B655" s="34" t="s">
        <v>0</v>
      </c>
      <c r="C655" s="34" t="s">
        <v>154</v>
      </c>
      <c r="D655" s="34" t="s">
        <v>5</v>
      </c>
      <c r="E655" s="34"/>
      <c r="F655" s="50" t="s">
        <v>155</v>
      </c>
      <c r="G655" s="34">
        <v>6</v>
      </c>
      <c r="H655" s="34" t="s">
        <v>18</v>
      </c>
      <c r="I655" s="34" t="s">
        <v>24</v>
      </c>
      <c r="J655" s="34">
        <v>0</v>
      </c>
      <c r="K655" s="35">
        <f>AB655/COUNTIFS($B:$B,$B655,$C:$C,$C655,$H:$H,$H655,$I:$I,$I655)</f>
        <v>0.15</v>
      </c>
      <c r="L655" s="36">
        <f t="shared" si="42"/>
        <v>1</v>
      </c>
      <c r="M655" s="37">
        <f t="shared" si="41"/>
        <v>0</v>
      </c>
      <c r="N655" s="58" t="s">
        <v>159</v>
      </c>
      <c r="AA655" s="146">
        <f>AB655/COUNTIFS($B:$B,$B655,$C:$C,$C655,$H:$H,$H655,$I:$I,$I655)</f>
        <v>0.15</v>
      </c>
      <c r="AB655" s="108">
        <f>VLOOKUP(I655,'Weights and Confidence'!$D$16:$AC$26,5,FALSE)</f>
        <v>0.15</v>
      </c>
      <c r="AC655" s="147">
        <f>VLOOKUP(I655,'Weights and Confidence'!$D$16:$AC$26,6,FALSE)</f>
        <v>1</v>
      </c>
    </row>
    <row r="656" spans="1:29" x14ac:dyDescent="0.2">
      <c r="A656" s="38" t="s">
        <v>14</v>
      </c>
      <c r="B656" s="38" t="s">
        <v>0</v>
      </c>
      <c r="C656" s="38" t="s">
        <v>154</v>
      </c>
      <c r="D656" s="38" t="s">
        <v>5</v>
      </c>
      <c r="E656" s="38"/>
      <c r="F656" s="51" t="s">
        <v>155</v>
      </c>
      <c r="G656" s="38">
        <v>7</v>
      </c>
      <c r="H656" s="38" t="s">
        <v>17</v>
      </c>
      <c r="I656" s="38" t="s">
        <v>25</v>
      </c>
      <c r="J656" s="38">
        <v>0</v>
      </c>
      <c r="K656" s="39">
        <f>AB656/COUNTIFS($B:$B,$B656,$C:$C,$C656,$H:$H,$H656,$I:$I,$I656)</f>
        <v>0.1</v>
      </c>
      <c r="L656" s="40">
        <f t="shared" si="42"/>
        <v>1</v>
      </c>
      <c r="M656" s="41">
        <f t="shared" si="41"/>
        <v>0</v>
      </c>
      <c r="N656" s="38"/>
      <c r="AA656" s="146">
        <f>AB656/COUNTIFS($B:$B,$B656,$C:$C,$C656,$H:$H,$H656,$I:$I,$I656)</f>
        <v>0.1</v>
      </c>
      <c r="AB656" s="108">
        <f>VLOOKUP(I656,'Weights and Confidence'!$D$16:$AC$26,5,FALSE)</f>
        <v>0.1</v>
      </c>
      <c r="AC656" s="147">
        <f>VLOOKUP(I656,'Weights and Confidence'!$D$16:$AC$26,6,FALSE)</f>
        <v>1</v>
      </c>
    </row>
    <row r="657" spans="1:29" x14ac:dyDescent="0.2">
      <c r="A657" s="34" t="s">
        <v>14</v>
      </c>
      <c r="B657" s="34" t="s">
        <v>0</v>
      </c>
      <c r="C657" s="34" t="s">
        <v>154</v>
      </c>
      <c r="D657" s="34" t="s">
        <v>5</v>
      </c>
      <c r="E657" s="34"/>
      <c r="F657" s="50" t="s">
        <v>155</v>
      </c>
      <c r="G657" s="34">
        <v>7</v>
      </c>
      <c r="H657" s="34" t="s">
        <v>18</v>
      </c>
      <c r="I657" s="34" t="s">
        <v>25</v>
      </c>
      <c r="J657" s="34">
        <v>0</v>
      </c>
      <c r="K657" s="35">
        <f>AB657/COUNTIFS($B:$B,$B657,$C:$C,$C657,$H:$H,$H657,$I:$I,$I657)</f>
        <v>0.1</v>
      </c>
      <c r="L657" s="36">
        <f t="shared" si="42"/>
        <v>1</v>
      </c>
      <c r="M657" s="37">
        <f t="shared" si="41"/>
        <v>0</v>
      </c>
      <c r="N657" s="58" t="s">
        <v>160</v>
      </c>
      <c r="AA657" s="146">
        <f>AB657/COUNTIFS($B:$B,$B657,$C:$C,$C657,$H:$H,$H657,$I:$I,$I657)</f>
        <v>0.1</v>
      </c>
      <c r="AB657" s="108">
        <f>VLOOKUP(I657,'Weights and Confidence'!$D$16:$AC$26,5,FALSE)</f>
        <v>0.1</v>
      </c>
      <c r="AC657" s="147">
        <f>VLOOKUP(I657,'Weights and Confidence'!$D$16:$AC$26,6,FALSE)</f>
        <v>1</v>
      </c>
    </row>
    <row r="658" spans="1:29" x14ac:dyDescent="0.2">
      <c r="A658" s="38" t="s">
        <v>14</v>
      </c>
      <c r="B658" s="38" t="s">
        <v>0</v>
      </c>
      <c r="C658" s="38" t="s">
        <v>154</v>
      </c>
      <c r="D658" s="38" t="s">
        <v>5</v>
      </c>
      <c r="E658" s="38"/>
      <c r="F658" s="51" t="s">
        <v>155</v>
      </c>
      <c r="G658" s="38">
        <v>8</v>
      </c>
      <c r="H658" s="38" t="s">
        <v>17</v>
      </c>
      <c r="I658" s="38" t="s">
        <v>26</v>
      </c>
      <c r="J658" s="38">
        <v>0</v>
      </c>
      <c r="K658" s="39">
        <f>AB658/COUNTIFS($B:$B,$B658,$C:$C,$C658,$H:$H,$H658,$I:$I,$I658)</f>
        <v>0.1</v>
      </c>
      <c r="L658" s="40">
        <f t="shared" si="42"/>
        <v>1</v>
      </c>
      <c r="M658" s="41">
        <f t="shared" si="41"/>
        <v>0</v>
      </c>
      <c r="N658" s="38"/>
      <c r="AA658" s="146">
        <f>AB658/COUNTIFS($B:$B,$B658,$C:$C,$C658,$H:$H,$H658,$I:$I,$I658)</f>
        <v>0.1</v>
      </c>
      <c r="AB658" s="108">
        <f>VLOOKUP(I658,'Weights and Confidence'!$D$16:$AC$26,5,FALSE)</f>
        <v>0.1</v>
      </c>
      <c r="AC658" s="147">
        <f>VLOOKUP(I658,'Weights and Confidence'!$D$16:$AC$26,6,FALSE)</f>
        <v>1</v>
      </c>
    </row>
    <row r="659" spans="1:29" x14ac:dyDescent="0.2">
      <c r="A659" s="34" t="s">
        <v>14</v>
      </c>
      <c r="B659" s="34" t="s">
        <v>0</v>
      </c>
      <c r="C659" s="34" t="s">
        <v>154</v>
      </c>
      <c r="D659" s="34" t="s">
        <v>5</v>
      </c>
      <c r="E659" s="34"/>
      <c r="F659" s="50" t="s">
        <v>155</v>
      </c>
      <c r="G659" s="34">
        <v>8</v>
      </c>
      <c r="H659" s="34" t="s">
        <v>18</v>
      </c>
      <c r="I659" s="34" t="s">
        <v>26</v>
      </c>
      <c r="J659" s="34">
        <v>0</v>
      </c>
      <c r="K659" s="35">
        <f>AB659/COUNTIFS($B:$B,$B659,$C:$C,$C659,$H:$H,$H659,$I:$I,$I659)</f>
        <v>0.1</v>
      </c>
      <c r="L659" s="36">
        <f t="shared" si="42"/>
        <v>1</v>
      </c>
      <c r="M659" s="37">
        <f t="shared" si="41"/>
        <v>0</v>
      </c>
      <c r="N659" s="58" t="s">
        <v>138</v>
      </c>
      <c r="AA659" s="146">
        <f>AB659/COUNTIFS($B:$B,$B659,$C:$C,$C659,$H:$H,$H659,$I:$I,$I659)</f>
        <v>0.1</v>
      </c>
      <c r="AB659" s="108">
        <f>VLOOKUP(I659,'Weights and Confidence'!$D$16:$AC$26,5,FALSE)</f>
        <v>0.1</v>
      </c>
      <c r="AC659" s="147">
        <f>VLOOKUP(I659,'Weights and Confidence'!$D$16:$AC$26,6,FALSE)</f>
        <v>1</v>
      </c>
    </row>
    <row r="660" spans="1:29" x14ac:dyDescent="0.2">
      <c r="A660" s="38" t="s">
        <v>14</v>
      </c>
      <c r="B660" s="38" t="s">
        <v>0</v>
      </c>
      <c r="C660" s="38" t="s">
        <v>154</v>
      </c>
      <c r="D660" s="38" t="s">
        <v>5</v>
      </c>
      <c r="E660" s="38"/>
      <c r="F660" s="51" t="s">
        <v>155</v>
      </c>
      <c r="G660" s="38">
        <v>9</v>
      </c>
      <c r="H660" s="38" t="s">
        <v>17</v>
      </c>
      <c r="I660" s="38" t="s">
        <v>27</v>
      </c>
      <c r="J660" s="38">
        <v>1</v>
      </c>
      <c r="K660" s="39">
        <f>AB660/COUNTIFS($B:$B,$B660,$C:$C,$C660,$H:$H,$H660,$I:$I,$I660)</f>
        <v>0.05</v>
      </c>
      <c r="L660" s="40">
        <f t="shared" si="42"/>
        <v>0.85</v>
      </c>
      <c r="M660" s="41">
        <f t="shared" si="41"/>
        <v>4.2500000000000003E-2</v>
      </c>
      <c r="N660" s="38"/>
      <c r="AA660" s="146">
        <f>AB660/COUNTIFS($B:$B,$B660,$C:$C,$C660,$H:$H,$H660,$I:$I,$I660)</f>
        <v>0.05</v>
      </c>
      <c r="AB660" s="108">
        <f>VLOOKUP(I660,'Weights and Confidence'!$D$16:$AC$26,5,FALSE)</f>
        <v>0.1</v>
      </c>
      <c r="AC660" s="147">
        <f>VLOOKUP(I660,'Weights and Confidence'!$D$16:$AC$26,6,FALSE)</f>
        <v>0.85</v>
      </c>
    </row>
    <row r="661" spans="1:29" x14ac:dyDescent="0.2">
      <c r="A661" s="34" t="s">
        <v>14</v>
      </c>
      <c r="B661" s="34" t="s">
        <v>0</v>
      </c>
      <c r="C661" s="34" t="s">
        <v>154</v>
      </c>
      <c r="D661" s="34" t="s">
        <v>5</v>
      </c>
      <c r="E661" s="34"/>
      <c r="F661" s="50" t="s">
        <v>155</v>
      </c>
      <c r="G661" s="34">
        <v>9</v>
      </c>
      <c r="H661" s="34" t="s">
        <v>18</v>
      </c>
      <c r="I661" s="34" t="s">
        <v>27</v>
      </c>
      <c r="J661" s="34">
        <v>0</v>
      </c>
      <c r="K661" s="35">
        <f>AB661/COUNTIFS($B:$B,$B661,$C:$C,$C661,$H:$H,$H661,$I:$I,$I661)</f>
        <v>0.05</v>
      </c>
      <c r="L661" s="36">
        <f t="shared" si="42"/>
        <v>0.85</v>
      </c>
      <c r="M661" s="37">
        <f t="shared" si="41"/>
        <v>0</v>
      </c>
      <c r="N661" s="58" t="s">
        <v>138</v>
      </c>
      <c r="AA661" s="146">
        <f>AB661/COUNTIFS($B:$B,$B661,$C:$C,$C661,$H:$H,$H661,$I:$I,$I661)</f>
        <v>0.05</v>
      </c>
      <c r="AB661" s="108">
        <f>VLOOKUP(I661,'Weights and Confidence'!$D$16:$AC$26,5,FALSE)</f>
        <v>0.1</v>
      </c>
      <c r="AC661" s="147">
        <f>VLOOKUP(I661,'Weights and Confidence'!$D$16:$AC$26,6,FALSE)</f>
        <v>0.85</v>
      </c>
    </row>
    <row r="662" spans="1:29" x14ac:dyDescent="0.2">
      <c r="A662" s="38" t="s">
        <v>14</v>
      </c>
      <c r="B662" s="38" t="s">
        <v>0</v>
      </c>
      <c r="C662" s="38" t="s">
        <v>154</v>
      </c>
      <c r="D662" s="38" t="s">
        <v>5</v>
      </c>
      <c r="E662" s="38"/>
      <c r="F662" s="51" t="s">
        <v>155</v>
      </c>
      <c r="G662" s="38">
        <v>10</v>
      </c>
      <c r="H662" s="38" t="s">
        <v>17</v>
      </c>
      <c r="I662" s="38" t="s">
        <v>27</v>
      </c>
      <c r="J662" s="38">
        <v>0</v>
      </c>
      <c r="K662" s="39">
        <f>AB662/COUNTIFS($B:$B,$B662,$C:$C,$C662,$H:$H,$H662,$I:$I,$I662)</f>
        <v>0.05</v>
      </c>
      <c r="L662" s="40">
        <f t="shared" si="42"/>
        <v>0.85</v>
      </c>
      <c r="M662" s="41">
        <f t="shared" si="41"/>
        <v>0</v>
      </c>
      <c r="N662" s="38"/>
      <c r="AA662" s="146">
        <f>AB662/COUNTIFS($B:$B,$B662,$C:$C,$C662,$H:$H,$H662,$I:$I,$I662)</f>
        <v>0.05</v>
      </c>
      <c r="AB662" s="108">
        <f>VLOOKUP(I662,'Weights and Confidence'!$D$16:$AC$26,5,FALSE)</f>
        <v>0.1</v>
      </c>
      <c r="AC662" s="147">
        <f>VLOOKUP(I662,'Weights and Confidence'!$D$16:$AC$26,6,FALSE)</f>
        <v>0.85</v>
      </c>
    </row>
    <row r="663" spans="1:29" x14ac:dyDescent="0.2">
      <c r="A663" s="34" t="s">
        <v>14</v>
      </c>
      <c r="B663" s="34" t="s">
        <v>0</v>
      </c>
      <c r="C663" s="34" t="s">
        <v>154</v>
      </c>
      <c r="D663" s="34" t="s">
        <v>5</v>
      </c>
      <c r="E663" s="34"/>
      <c r="F663" s="50" t="s">
        <v>155</v>
      </c>
      <c r="G663" s="34">
        <v>10</v>
      </c>
      <c r="H663" s="34" t="s">
        <v>18</v>
      </c>
      <c r="I663" s="34" t="s">
        <v>27</v>
      </c>
      <c r="J663" s="34">
        <v>0</v>
      </c>
      <c r="K663" s="35">
        <f>AB663/COUNTIFS($B:$B,$B663,$C:$C,$C663,$H:$H,$H663,$I:$I,$I663)</f>
        <v>0.05</v>
      </c>
      <c r="L663" s="36">
        <f t="shared" si="42"/>
        <v>0.85</v>
      </c>
      <c r="M663" s="37">
        <f t="shared" si="41"/>
        <v>0</v>
      </c>
      <c r="N663" s="34" t="s">
        <v>99</v>
      </c>
      <c r="AA663" s="146">
        <f>AB663/COUNTIFS($B:$B,$B663,$C:$C,$C663,$H:$H,$H663,$I:$I,$I663)</f>
        <v>0.05</v>
      </c>
      <c r="AB663" s="108">
        <f>VLOOKUP(I663,'Weights and Confidence'!$D$16:$AC$26,5,FALSE)</f>
        <v>0.1</v>
      </c>
      <c r="AC663" s="147">
        <f>VLOOKUP(I663,'Weights and Confidence'!$D$16:$AC$26,6,FALSE)</f>
        <v>0.85</v>
      </c>
    </row>
    <row r="664" spans="1:29" x14ac:dyDescent="0.2">
      <c r="A664" s="38" t="s">
        <v>14</v>
      </c>
      <c r="B664" s="38" t="s">
        <v>0</v>
      </c>
      <c r="C664" s="38" t="s">
        <v>154</v>
      </c>
      <c r="D664" s="38" t="s">
        <v>5</v>
      </c>
      <c r="E664" s="38"/>
      <c r="F664" s="51" t="s">
        <v>155</v>
      </c>
      <c r="G664" s="38">
        <v>11</v>
      </c>
      <c r="H664" s="38" t="s">
        <v>17</v>
      </c>
      <c r="I664" s="38" t="s">
        <v>28</v>
      </c>
      <c r="J664" s="38">
        <v>0</v>
      </c>
      <c r="K664" s="39">
        <f>AB664/COUNTIFS($B:$B,$B664,$C:$C,$C664,$H:$H,$H664,$I:$I,$I664)</f>
        <v>0.05</v>
      </c>
      <c r="L664" s="40">
        <f t="shared" si="42"/>
        <v>1</v>
      </c>
      <c r="M664" s="41">
        <f t="shared" si="41"/>
        <v>0</v>
      </c>
      <c r="N664" s="38"/>
      <c r="AA664" s="146">
        <f>AB664/COUNTIFS($B:$B,$B664,$C:$C,$C664,$H:$H,$H664,$I:$I,$I664)</f>
        <v>0.05</v>
      </c>
      <c r="AB664" s="108">
        <f>VLOOKUP(I664,'Weights and Confidence'!$D$16:$AC$26,5,FALSE)</f>
        <v>0.05</v>
      </c>
      <c r="AC664" s="147">
        <f>VLOOKUP(I664,'Weights and Confidence'!$D$16:$AC$26,6,FALSE)</f>
        <v>1</v>
      </c>
    </row>
    <row r="665" spans="1:29" ht="17" thickBot="1" x14ac:dyDescent="0.25">
      <c r="A665" s="34" t="s">
        <v>14</v>
      </c>
      <c r="B665" s="34" t="s">
        <v>0</v>
      </c>
      <c r="C665" s="34" t="s">
        <v>154</v>
      </c>
      <c r="D665" s="34" t="s">
        <v>5</v>
      </c>
      <c r="E665" s="34"/>
      <c r="F665" s="50" t="s">
        <v>155</v>
      </c>
      <c r="G665" s="34">
        <v>11</v>
      </c>
      <c r="H665" s="34" t="s">
        <v>18</v>
      </c>
      <c r="I665" s="34" t="s">
        <v>28</v>
      </c>
      <c r="J665" s="34">
        <v>-1</v>
      </c>
      <c r="K665" s="35">
        <f>AB665/COUNTIFS($B:$B,$B665,$C:$C,$C665,$H:$H,$H665,$I:$I,$I665)</f>
        <v>0.05</v>
      </c>
      <c r="L665" s="36">
        <f t="shared" si="42"/>
        <v>1</v>
      </c>
      <c r="M665" s="37">
        <f t="shared" si="41"/>
        <v>-0.05</v>
      </c>
      <c r="N665" s="58" t="s">
        <v>161</v>
      </c>
      <c r="AA665" s="140">
        <f>AB665/COUNTIFS($B:$B,$B665,$C:$C,$C665,$H:$H,$H665,$I:$I,$I665)</f>
        <v>0.05</v>
      </c>
      <c r="AB665" s="141">
        <f>VLOOKUP(I665,'Weights and Confidence'!$D$16:$AC$26,5,FALSE)</f>
        <v>0.05</v>
      </c>
      <c r="AC665" s="142">
        <f>VLOOKUP(I665,'Weights and Confidence'!$D$16:$AC$26,6,FALSE)</f>
        <v>1</v>
      </c>
    </row>
    <row r="666" spans="1:29" ht="17" thickTop="1" x14ac:dyDescent="0.2">
      <c r="A666" s="42" t="s">
        <v>14</v>
      </c>
      <c r="B666" s="42" t="s">
        <v>0</v>
      </c>
      <c r="C666" s="42" t="s">
        <v>162</v>
      </c>
      <c r="D666" s="42" t="s">
        <v>65</v>
      </c>
      <c r="E666" s="42"/>
      <c r="F666" s="49" t="s">
        <v>163</v>
      </c>
      <c r="G666" s="42">
        <v>1</v>
      </c>
      <c r="H666" s="42" t="s">
        <v>17</v>
      </c>
      <c r="I666" s="42" t="s">
        <v>19</v>
      </c>
      <c r="J666" s="42">
        <v>1</v>
      </c>
      <c r="K666" s="44">
        <f>AB666/COUNTIFS($B:$B,$B666,$C:$C,$C666,$H:$H,$H666,$I:$I,$I666)</f>
        <v>0.12</v>
      </c>
      <c r="L666" s="45">
        <f t="shared" si="42"/>
        <v>1</v>
      </c>
      <c r="M666" s="46">
        <f t="shared" ref="M666:M687" si="43">J666*K666*L666</f>
        <v>0.12</v>
      </c>
      <c r="N666" s="42"/>
      <c r="AA666" s="143">
        <f>AB666/COUNTIFS($B:$B,$B666,$C:$C,$C666,$H:$H,$H666,$I:$I,$I666)</f>
        <v>0.12</v>
      </c>
      <c r="AB666" s="144">
        <f>VLOOKUP(I666,'Weights and Confidence'!$D$16:$AC$26,5,FALSE)</f>
        <v>0.12</v>
      </c>
      <c r="AC666" s="145">
        <f>VLOOKUP(I666,'Weights and Confidence'!$D$16:$AC$26,6,FALSE)</f>
        <v>1</v>
      </c>
    </row>
    <row r="667" spans="1:29" x14ac:dyDescent="0.2">
      <c r="A667" s="34" t="s">
        <v>14</v>
      </c>
      <c r="B667" s="34" t="s">
        <v>0</v>
      </c>
      <c r="C667" s="34" t="s">
        <v>162</v>
      </c>
      <c r="D667" s="34" t="s">
        <v>65</v>
      </c>
      <c r="E667" s="34"/>
      <c r="F667" s="50" t="s">
        <v>163</v>
      </c>
      <c r="G667" s="34">
        <v>1</v>
      </c>
      <c r="H667" s="34" t="s">
        <v>18</v>
      </c>
      <c r="I667" s="34" t="s">
        <v>19</v>
      </c>
      <c r="J667" s="34">
        <v>1</v>
      </c>
      <c r="K667" s="35">
        <f>AB667/COUNTIFS($B:$B,$B667,$C:$C,$C667,$H:$H,$H667,$I:$I,$I667)</f>
        <v>0.12</v>
      </c>
      <c r="L667" s="36">
        <f t="shared" si="42"/>
        <v>1</v>
      </c>
      <c r="M667" s="37">
        <f t="shared" si="43"/>
        <v>0.12</v>
      </c>
      <c r="N667" s="58"/>
      <c r="AA667" s="146">
        <f>AB667/COUNTIFS($B:$B,$B667,$C:$C,$C667,$H:$H,$H667,$I:$I,$I667)</f>
        <v>0.12</v>
      </c>
      <c r="AB667" s="108">
        <f>VLOOKUP(I667,'Weights and Confidence'!$D$16:$AC$26,5,FALSE)</f>
        <v>0.12</v>
      </c>
      <c r="AC667" s="147">
        <f>VLOOKUP(I667,'Weights and Confidence'!$D$16:$AC$26,6,FALSE)</f>
        <v>1</v>
      </c>
    </row>
    <row r="668" spans="1:29" x14ac:dyDescent="0.2">
      <c r="A668" s="38" t="s">
        <v>14</v>
      </c>
      <c r="B668" s="38" t="s">
        <v>0</v>
      </c>
      <c r="C668" s="38" t="s">
        <v>162</v>
      </c>
      <c r="D668" s="38" t="s">
        <v>65</v>
      </c>
      <c r="E668" s="38"/>
      <c r="F668" s="51" t="s">
        <v>163</v>
      </c>
      <c r="G668" s="38">
        <v>2</v>
      </c>
      <c r="H668" s="38" t="s">
        <v>17</v>
      </c>
      <c r="I668" s="38" t="s">
        <v>20</v>
      </c>
      <c r="J668" s="38">
        <v>1</v>
      </c>
      <c r="K668" s="39">
        <f>AB668/COUNTIFS($B:$B,$B668,$C:$C,$C668,$H:$H,$H668,$I:$I,$I668)</f>
        <v>0.08</v>
      </c>
      <c r="L668" s="40">
        <f t="shared" si="42"/>
        <v>0.8</v>
      </c>
      <c r="M668" s="41">
        <f t="shared" si="43"/>
        <v>6.4000000000000001E-2</v>
      </c>
      <c r="N668" s="38"/>
      <c r="AA668" s="146">
        <f>AB668/COUNTIFS($B:$B,$B668,$C:$C,$C668,$H:$H,$H668,$I:$I,$I668)</f>
        <v>0.08</v>
      </c>
      <c r="AB668" s="108">
        <f>VLOOKUP(I668,'Weights and Confidence'!$D$16:$AC$26,5,FALSE)</f>
        <v>0.08</v>
      </c>
      <c r="AC668" s="147">
        <f>VLOOKUP(I668,'Weights and Confidence'!$D$16:$AC$26,6,FALSE)</f>
        <v>0.8</v>
      </c>
    </row>
    <row r="669" spans="1:29" x14ac:dyDescent="0.2">
      <c r="A669" s="34" t="s">
        <v>14</v>
      </c>
      <c r="B669" s="34" t="s">
        <v>0</v>
      </c>
      <c r="C669" s="34" t="s">
        <v>162</v>
      </c>
      <c r="D669" s="34" t="s">
        <v>65</v>
      </c>
      <c r="E669" s="34"/>
      <c r="F669" s="50" t="s">
        <v>163</v>
      </c>
      <c r="G669" s="34">
        <v>2</v>
      </c>
      <c r="H669" s="34" t="s">
        <v>18</v>
      </c>
      <c r="I669" s="34" t="s">
        <v>20</v>
      </c>
      <c r="J669" s="34">
        <v>0</v>
      </c>
      <c r="K669" s="35">
        <f>AB669/COUNTIFS($B:$B,$B669,$C:$C,$C669,$H:$H,$H669,$I:$I,$I669)</f>
        <v>0.08</v>
      </c>
      <c r="L669" s="36">
        <f t="shared" si="42"/>
        <v>0.8</v>
      </c>
      <c r="M669" s="37">
        <f t="shared" si="43"/>
        <v>0</v>
      </c>
      <c r="N669" s="58"/>
      <c r="AA669" s="146">
        <f>AB669/COUNTIFS($B:$B,$B669,$C:$C,$C669,$H:$H,$H669,$I:$I,$I669)</f>
        <v>0.08</v>
      </c>
      <c r="AB669" s="108">
        <f>VLOOKUP(I669,'Weights and Confidence'!$D$16:$AC$26,5,FALSE)</f>
        <v>0.08</v>
      </c>
      <c r="AC669" s="147">
        <f>VLOOKUP(I669,'Weights and Confidence'!$D$16:$AC$26,6,FALSE)</f>
        <v>0.8</v>
      </c>
    </row>
    <row r="670" spans="1:29" x14ac:dyDescent="0.2">
      <c r="A670" s="38" t="s">
        <v>14</v>
      </c>
      <c r="B670" s="38" t="s">
        <v>0</v>
      </c>
      <c r="C670" s="38" t="s">
        <v>162</v>
      </c>
      <c r="D670" s="38" t="s">
        <v>65</v>
      </c>
      <c r="E670" s="38"/>
      <c r="F670" s="51" t="s">
        <v>163</v>
      </c>
      <c r="G670" s="38">
        <v>3</v>
      </c>
      <c r="H670" s="38" t="s">
        <v>17</v>
      </c>
      <c r="I670" s="38" t="s">
        <v>21</v>
      </c>
      <c r="J670" s="38">
        <v>1</v>
      </c>
      <c r="K670" s="39">
        <f>AB670/COUNTIFS($B:$B,$B670,$C:$C,$C670,$H:$H,$H670,$I:$I,$I670)</f>
        <v>0.05</v>
      </c>
      <c r="L670" s="40">
        <f t="shared" si="42"/>
        <v>1</v>
      </c>
      <c r="M670" s="41">
        <f t="shared" si="43"/>
        <v>0.05</v>
      </c>
      <c r="N670" s="38"/>
      <c r="AA670" s="146">
        <f>AB670/COUNTIFS($B:$B,$B670,$C:$C,$C670,$H:$H,$H670,$I:$I,$I670)</f>
        <v>0.05</v>
      </c>
      <c r="AB670" s="108">
        <f>VLOOKUP(I670,'Weights and Confidence'!$D$16:$AC$26,5,FALSE)</f>
        <v>0.05</v>
      </c>
      <c r="AC670" s="147">
        <f>VLOOKUP(I670,'Weights and Confidence'!$D$16:$AC$26,6,FALSE)</f>
        <v>1</v>
      </c>
    </row>
    <row r="671" spans="1:29" x14ac:dyDescent="0.2">
      <c r="A671" s="34" t="s">
        <v>14</v>
      </c>
      <c r="B671" s="34" t="s">
        <v>0</v>
      </c>
      <c r="C671" s="34" t="s">
        <v>162</v>
      </c>
      <c r="D671" s="34" t="s">
        <v>65</v>
      </c>
      <c r="E671" s="34"/>
      <c r="F671" s="50" t="s">
        <v>163</v>
      </c>
      <c r="G671" s="34">
        <v>3</v>
      </c>
      <c r="H671" s="34" t="s">
        <v>18</v>
      </c>
      <c r="I671" s="34" t="s">
        <v>21</v>
      </c>
      <c r="J671" s="34">
        <v>0</v>
      </c>
      <c r="K671" s="35">
        <f>AB671/COUNTIFS($B:$B,$B671,$C:$C,$C671,$H:$H,$H671,$I:$I,$I671)</f>
        <v>0.05</v>
      </c>
      <c r="L671" s="36">
        <f t="shared" si="42"/>
        <v>1</v>
      </c>
      <c r="M671" s="37">
        <f t="shared" si="43"/>
        <v>0</v>
      </c>
      <c r="N671" s="58"/>
      <c r="AA671" s="146">
        <f>AB671/COUNTIFS($B:$B,$B671,$C:$C,$C671,$H:$H,$H671,$I:$I,$I671)</f>
        <v>0.05</v>
      </c>
      <c r="AB671" s="108">
        <f>VLOOKUP(I671,'Weights and Confidence'!$D$16:$AC$26,5,FALSE)</f>
        <v>0.05</v>
      </c>
      <c r="AC671" s="147">
        <f>VLOOKUP(I671,'Weights and Confidence'!$D$16:$AC$26,6,FALSE)</f>
        <v>1</v>
      </c>
    </row>
    <row r="672" spans="1:29" x14ac:dyDescent="0.2">
      <c r="A672" s="38" t="s">
        <v>14</v>
      </c>
      <c r="B672" s="38" t="s">
        <v>0</v>
      </c>
      <c r="C672" s="38" t="s">
        <v>162</v>
      </c>
      <c r="D672" s="38" t="s">
        <v>65</v>
      </c>
      <c r="E672" s="38"/>
      <c r="F672" s="51" t="s">
        <v>163</v>
      </c>
      <c r="G672" s="38">
        <v>4</v>
      </c>
      <c r="H672" s="38" t="s">
        <v>17</v>
      </c>
      <c r="I672" s="38" t="s">
        <v>22</v>
      </c>
      <c r="J672" s="38">
        <v>0</v>
      </c>
      <c r="K672" s="39">
        <f>AB672/COUNTIFS($B:$B,$B672,$C:$C,$C672,$H:$H,$H672,$I:$I,$I672)</f>
        <v>0.14000000000000001</v>
      </c>
      <c r="L672" s="40">
        <f t="shared" si="42"/>
        <v>1</v>
      </c>
      <c r="M672" s="41">
        <f t="shared" si="43"/>
        <v>0</v>
      </c>
      <c r="N672" s="38"/>
      <c r="AA672" s="146">
        <f>AB672/COUNTIFS($B:$B,$B672,$C:$C,$C672,$H:$H,$H672,$I:$I,$I672)</f>
        <v>0.14000000000000001</v>
      </c>
      <c r="AB672" s="108">
        <f>VLOOKUP(I672,'Weights and Confidence'!$D$16:$AC$26,5,FALSE)</f>
        <v>0.14000000000000001</v>
      </c>
      <c r="AC672" s="147">
        <f>VLOOKUP(I672,'Weights and Confidence'!$D$16:$AC$26,6,FALSE)</f>
        <v>1</v>
      </c>
    </row>
    <row r="673" spans="1:29" x14ac:dyDescent="0.2">
      <c r="A673" s="34" t="s">
        <v>14</v>
      </c>
      <c r="B673" s="34" t="s">
        <v>0</v>
      </c>
      <c r="C673" s="34" t="s">
        <v>162</v>
      </c>
      <c r="D673" s="34" t="s">
        <v>65</v>
      </c>
      <c r="E673" s="34"/>
      <c r="F673" s="50" t="s">
        <v>163</v>
      </c>
      <c r="G673" s="34">
        <v>4</v>
      </c>
      <c r="H673" s="34" t="s">
        <v>18</v>
      </c>
      <c r="I673" s="34" t="s">
        <v>22</v>
      </c>
      <c r="J673" s="34">
        <v>-1</v>
      </c>
      <c r="K673" s="35">
        <f>AB673/COUNTIFS($B:$B,$B673,$C:$C,$C673,$H:$H,$H673,$I:$I,$I673)</f>
        <v>0.14000000000000001</v>
      </c>
      <c r="L673" s="36">
        <f t="shared" si="42"/>
        <v>1</v>
      </c>
      <c r="M673" s="37">
        <f t="shared" si="43"/>
        <v>-0.14000000000000001</v>
      </c>
      <c r="N673" s="58"/>
      <c r="AA673" s="146">
        <f>AB673/COUNTIFS($B:$B,$B673,$C:$C,$C673,$H:$H,$H673,$I:$I,$I673)</f>
        <v>0.14000000000000001</v>
      </c>
      <c r="AB673" s="108">
        <f>VLOOKUP(I673,'Weights and Confidence'!$D$16:$AC$26,5,FALSE)</f>
        <v>0.14000000000000001</v>
      </c>
      <c r="AC673" s="147">
        <f>VLOOKUP(I673,'Weights and Confidence'!$D$16:$AC$26,6,FALSE)</f>
        <v>1</v>
      </c>
    </row>
    <row r="674" spans="1:29" x14ac:dyDescent="0.2">
      <c r="A674" s="38" t="s">
        <v>14</v>
      </c>
      <c r="B674" s="38" t="s">
        <v>0</v>
      </c>
      <c r="C674" s="38" t="s">
        <v>162</v>
      </c>
      <c r="D674" s="38" t="s">
        <v>65</v>
      </c>
      <c r="E674" s="38"/>
      <c r="F674" s="51" t="s">
        <v>163</v>
      </c>
      <c r="G674" s="38">
        <v>5</v>
      </c>
      <c r="H674" s="38" t="s">
        <v>17</v>
      </c>
      <c r="I674" s="38" t="s">
        <v>23</v>
      </c>
      <c r="J674" s="38">
        <v>0</v>
      </c>
      <c r="K674" s="39">
        <f>AB674/COUNTIFS($B:$B,$B674,$C:$C,$C674,$H:$H,$H674,$I:$I,$I674)</f>
        <v>0.11</v>
      </c>
      <c r="L674" s="40">
        <f t="shared" si="42"/>
        <v>1</v>
      </c>
      <c r="M674" s="41">
        <f t="shared" si="43"/>
        <v>0</v>
      </c>
      <c r="N674" s="38"/>
      <c r="AA674" s="146">
        <f>AB674/COUNTIFS($B:$B,$B674,$C:$C,$C674,$H:$H,$H674,$I:$I,$I674)</f>
        <v>0.11</v>
      </c>
      <c r="AB674" s="108">
        <f>VLOOKUP(I674,'Weights and Confidence'!$D$16:$AC$26,5,FALSE)</f>
        <v>0.11</v>
      </c>
      <c r="AC674" s="147">
        <f>VLOOKUP(I674,'Weights and Confidence'!$D$16:$AC$26,6,FALSE)</f>
        <v>1</v>
      </c>
    </row>
    <row r="675" spans="1:29" x14ac:dyDescent="0.2">
      <c r="A675" s="34" t="s">
        <v>14</v>
      </c>
      <c r="B675" s="34" t="s">
        <v>0</v>
      </c>
      <c r="C675" s="34" t="s">
        <v>162</v>
      </c>
      <c r="D675" s="34" t="s">
        <v>65</v>
      </c>
      <c r="E675" s="34"/>
      <c r="F675" s="50" t="s">
        <v>163</v>
      </c>
      <c r="G675" s="34">
        <v>5</v>
      </c>
      <c r="H675" s="34" t="s">
        <v>18</v>
      </c>
      <c r="I675" s="34" t="s">
        <v>23</v>
      </c>
      <c r="J675" s="34">
        <v>-1</v>
      </c>
      <c r="K675" s="35">
        <f>AB675/COUNTIFS($B:$B,$B675,$C:$C,$C675,$H:$H,$H675,$I:$I,$I675)</f>
        <v>0.11</v>
      </c>
      <c r="L675" s="36">
        <f t="shared" si="42"/>
        <v>1</v>
      </c>
      <c r="M675" s="37">
        <f t="shared" si="43"/>
        <v>-0.11</v>
      </c>
      <c r="N675" s="58"/>
      <c r="AA675" s="146">
        <f>AB675/COUNTIFS($B:$B,$B675,$C:$C,$C675,$H:$H,$H675,$I:$I,$I675)</f>
        <v>0.11</v>
      </c>
      <c r="AB675" s="108">
        <f>VLOOKUP(I675,'Weights and Confidence'!$D$16:$AC$26,5,FALSE)</f>
        <v>0.11</v>
      </c>
      <c r="AC675" s="147">
        <f>VLOOKUP(I675,'Weights and Confidence'!$D$16:$AC$26,6,FALSE)</f>
        <v>1</v>
      </c>
    </row>
    <row r="676" spans="1:29" x14ac:dyDescent="0.2">
      <c r="A676" s="38" t="s">
        <v>14</v>
      </c>
      <c r="B676" s="38" t="s">
        <v>0</v>
      </c>
      <c r="C676" s="38" t="s">
        <v>162</v>
      </c>
      <c r="D676" s="38" t="s">
        <v>65</v>
      </c>
      <c r="E676" s="38"/>
      <c r="F676" s="51" t="s">
        <v>163</v>
      </c>
      <c r="G676" s="38">
        <v>6</v>
      </c>
      <c r="H676" s="38" t="s">
        <v>17</v>
      </c>
      <c r="I676" s="38" t="s">
        <v>24</v>
      </c>
      <c r="J676" s="38">
        <v>1</v>
      </c>
      <c r="K676" s="39">
        <f>AB676/COUNTIFS($B:$B,$B676,$C:$C,$C676,$H:$H,$H676,$I:$I,$I676)</f>
        <v>0.15</v>
      </c>
      <c r="L676" s="40">
        <f t="shared" si="42"/>
        <v>1</v>
      </c>
      <c r="M676" s="41">
        <f t="shared" si="43"/>
        <v>0.15</v>
      </c>
      <c r="N676" s="59"/>
      <c r="AA676" s="146">
        <f>AB676/COUNTIFS($B:$B,$B676,$C:$C,$C676,$H:$H,$H676,$I:$I,$I676)</f>
        <v>0.15</v>
      </c>
      <c r="AB676" s="108">
        <f>VLOOKUP(I676,'Weights and Confidence'!$D$16:$AC$26,5,FALSE)</f>
        <v>0.15</v>
      </c>
      <c r="AC676" s="147">
        <f>VLOOKUP(I676,'Weights and Confidence'!$D$16:$AC$26,6,FALSE)</f>
        <v>1</v>
      </c>
    </row>
    <row r="677" spans="1:29" x14ac:dyDescent="0.2">
      <c r="A677" s="34" t="s">
        <v>14</v>
      </c>
      <c r="B677" s="34" t="s">
        <v>0</v>
      </c>
      <c r="C677" s="34" t="s">
        <v>162</v>
      </c>
      <c r="D677" s="34" t="s">
        <v>65</v>
      </c>
      <c r="E677" s="34"/>
      <c r="F677" s="50" t="s">
        <v>163</v>
      </c>
      <c r="G677" s="34">
        <v>6</v>
      </c>
      <c r="H677" s="34" t="s">
        <v>18</v>
      </c>
      <c r="I677" s="34" t="s">
        <v>24</v>
      </c>
      <c r="J677" s="34">
        <v>-1</v>
      </c>
      <c r="K677" s="35">
        <f>AB677/COUNTIFS($B:$B,$B677,$C:$C,$C677,$H:$H,$H677,$I:$I,$I677)</f>
        <v>0.15</v>
      </c>
      <c r="L677" s="36">
        <f t="shared" si="42"/>
        <v>1</v>
      </c>
      <c r="M677" s="37">
        <f t="shared" si="43"/>
        <v>-0.15</v>
      </c>
      <c r="N677" s="58"/>
      <c r="AA677" s="146">
        <f>AB677/COUNTIFS($B:$B,$B677,$C:$C,$C677,$H:$H,$H677,$I:$I,$I677)</f>
        <v>0.15</v>
      </c>
      <c r="AB677" s="108">
        <f>VLOOKUP(I677,'Weights and Confidence'!$D$16:$AC$26,5,FALSE)</f>
        <v>0.15</v>
      </c>
      <c r="AC677" s="147">
        <f>VLOOKUP(I677,'Weights and Confidence'!$D$16:$AC$26,6,FALSE)</f>
        <v>1</v>
      </c>
    </row>
    <row r="678" spans="1:29" x14ac:dyDescent="0.2">
      <c r="A678" s="38" t="s">
        <v>14</v>
      </c>
      <c r="B678" s="38" t="s">
        <v>0</v>
      </c>
      <c r="C678" s="38" t="s">
        <v>162</v>
      </c>
      <c r="D678" s="38" t="s">
        <v>65</v>
      </c>
      <c r="E678" s="38"/>
      <c r="F678" s="51" t="s">
        <v>163</v>
      </c>
      <c r="G678" s="38">
        <v>7</v>
      </c>
      <c r="H678" s="38" t="s">
        <v>17</v>
      </c>
      <c r="I678" s="38" t="s">
        <v>25</v>
      </c>
      <c r="J678" s="38">
        <v>0</v>
      </c>
      <c r="K678" s="39">
        <f>AB678/COUNTIFS($B:$B,$B678,$C:$C,$C678,$H:$H,$H678,$I:$I,$I678)</f>
        <v>0.1</v>
      </c>
      <c r="L678" s="40">
        <f t="shared" si="42"/>
        <v>1</v>
      </c>
      <c r="M678" s="41">
        <f t="shared" si="43"/>
        <v>0</v>
      </c>
      <c r="N678" s="38"/>
      <c r="AA678" s="146">
        <f>AB678/COUNTIFS($B:$B,$B678,$C:$C,$C678,$H:$H,$H678,$I:$I,$I678)</f>
        <v>0.1</v>
      </c>
      <c r="AB678" s="108">
        <f>VLOOKUP(I678,'Weights and Confidence'!$D$16:$AC$26,5,FALSE)</f>
        <v>0.1</v>
      </c>
      <c r="AC678" s="147">
        <f>VLOOKUP(I678,'Weights and Confidence'!$D$16:$AC$26,6,FALSE)</f>
        <v>1</v>
      </c>
    </row>
    <row r="679" spans="1:29" x14ac:dyDescent="0.2">
      <c r="A679" s="34" t="s">
        <v>14</v>
      </c>
      <c r="B679" s="34" t="s">
        <v>0</v>
      </c>
      <c r="C679" s="34" t="s">
        <v>162</v>
      </c>
      <c r="D679" s="34" t="s">
        <v>65</v>
      </c>
      <c r="E679" s="34"/>
      <c r="F679" s="50" t="s">
        <v>163</v>
      </c>
      <c r="G679" s="34">
        <v>7</v>
      </c>
      <c r="H679" s="34" t="s">
        <v>18</v>
      </c>
      <c r="I679" s="34" t="s">
        <v>25</v>
      </c>
      <c r="J679" s="34">
        <v>-1</v>
      </c>
      <c r="K679" s="35">
        <f>AB679/COUNTIFS($B:$B,$B679,$C:$C,$C679,$H:$H,$H679,$I:$I,$I679)</f>
        <v>0.1</v>
      </c>
      <c r="L679" s="36">
        <f t="shared" si="42"/>
        <v>1</v>
      </c>
      <c r="M679" s="37">
        <f t="shared" si="43"/>
        <v>-0.1</v>
      </c>
      <c r="N679" s="58"/>
      <c r="AA679" s="146">
        <f>AB679/COUNTIFS($B:$B,$B679,$C:$C,$C679,$H:$H,$H679,$I:$I,$I679)</f>
        <v>0.1</v>
      </c>
      <c r="AB679" s="108">
        <f>VLOOKUP(I679,'Weights and Confidence'!$D$16:$AC$26,5,FALSE)</f>
        <v>0.1</v>
      </c>
      <c r="AC679" s="147">
        <f>VLOOKUP(I679,'Weights and Confidence'!$D$16:$AC$26,6,FALSE)</f>
        <v>1</v>
      </c>
    </row>
    <row r="680" spans="1:29" x14ac:dyDescent="0.2">
      <c r="A680" s="38" t="s">
        <v>14</v>
      </c>
      <c r="B680" s="38" t="s">
        <v>0</v>
      </c>
      <c r="C680" s="38" t="s">
        <v>162</v>
      </c>
      <c r="D680" s="38" t="s">
        <v>65</v>
      </c>
      <c r="E680" s="38"/>
      <c r="F680" s="51" t="s">
        <v>163</v>
      </c>
      <c r="G680" s="38">
        <v>8</v>
      </c>
      <c r="H680" s="38" t="s">
        <v>17</v>
      </c>
      <c r="I680" s="38" t="s">
        <v>26</v>
      </c>
      <c r="J680" s="38">
        <v>1</v>
      </c>
      <c r="K680" s="39">
        <f>AB680/COUNTIFS($B:$B,$B680,$C:$C,$C680,$H:$H,$H680,$I:$I,$I680)</f>
        <v>0.1</v>
      </c>
      <c r="L680" s="40">
        <f t="shared" si="42"/>
        <v>1</v>
      </c>
      <c r="M680" s="41">
        <f t="shared" si="43"/>
        <v>0.1</v>
      </c>
      <c r="N680" s="38"/>
      <c r="AA680" s="146">
        <f>AB680/COUNTIFS($B:$B,$B680,$C:$C,$C680,$H:$H,$H680,$I:$I,$I680)</f>
        <v>0.1</v>
      </c>
      <c r="AB680" s="108">
        <f>VLOOKUP(I680,'Weights and Confidence'!$D$16:$AC$26,5,FALSE)</f>
        <v>0.1</v>
      </c>
      <c r="AC680" s="147">
        <f>VLOOKUP(I680,'Weights and Confidence'!$D$16:$AC$26,6,FALSE)</f>
        <v>1</v>
      </c>
    </row>
    <row r="681" spans="1:29" x14ac:dyDescent="0.2">
      <c r="A681" s="34" t="s">
        <v>14</v>
      </c>
      <c r="B681" s="34" t="s">
        <v>0</v>
      </c>
      <c r="C681" s="34" t="s">
        <v>162</v>
      </c>
      <c r="D681" s="34" t="s">
        <v>65</v>
      </c>
      <c r="E681" s="34"/>
      <c r="F681" s="50" t="s">
        <v>163</v>
      </c>
      <c r="G681" s="34">
        <v>8</v>
      </c>
      <c r="H681" s="34" t="s">
        <v>18</v>
      </c>
      <c r="I681" s="34" t="s">
        <v>26</v>
      </c>
      <c r="J681" s="34">
        <v>-1</v>
      </c>
      <c r="K681" s="35">
        <f>AB681/COUNTIFS($B:$B,$B681,$C:$C,$C681,$H:$H,$H681,$I:$I,$I681)</f>
        <v>0.1</v>
      </c>
      <c r="L681" s="36">
        <f t="shared" si="42"/>
        <v>1</v>
      </c>
      <c r="M681" s="37">
        <f t="shared" si="43"/>
        <v>-0.1</v>
      </c>
      <c r="N681" s="58"/>
      <c r="AA681" s="146">
        <f>AB681/COUNTIFS($B:$B,$B681,$C:$C,$C681,$H:$H,$H681,$I:$I,$I681)</f>
        <v>0.1</v>
      </c>
      <c r="AB681" s="108">
        <f>VLOOKUP(I681,'Weights and Confidence'!$D$16:$AC$26,5,FALSE)</f>
        <v>0.1</v>
      </c>
      <c r="AC681" s="147">
        <f>VLOOKUP(I681,'Weights and Confidence'!$D$16:$AC$26,6,FALSE)</f>
        <v>1</v>
      </c>
    </row>
    <row r="682" spans="1:29" x14ac:dyDescent="0.2">
      <c r="A682" s="38" t="s">
        <v>14</v>
      </c>
      <c r="B682" s="38" t="s">
        <v>0</v>
      </c>
      <c r="C682" s="38" t="s">
        <v>162</v>
      </c>
      <c r="D682" s="38" t="s">
        <v>65</v>
      </c>
      <c r="E682" s="38"/>
      <c r="F682" s="51" t="s">
        <v>163</v>
      </c>
      <c r="G682" s="38">
        <v>9</v>
      </c>
      <c r="H682" s="38" t="s">
        <v>17</v>
      </c>
      <c r="I682" s="38" t="s">
        <v>27</v>
      </c>
      <c r="J682" s="38">
        <v>1</v>
      </c>
      <c r="K682" s="39">
        <f>AB682/COUNTIFS($B:$B,$B682,$C:$C,$C682,$H:$H,$H682,$I:$I,$I682)</f>
        <v>0.05</v>
      </c>
      <c r="L682" s="40">
        <f t="shared" si="42"/>
        <v>0.85</v>
      </c>
      <c r="M682" s="41">
        <f t="shared" si="43"/>
        <v>4.2500000000000003E-2</v>
      </c>
      <c r="N682" s="38"/>
      <c r="AA682" s="146">
        <f>AB682/COUNTIFS($B:$B,$B682,$C:$C,$C682,$H:$H,$H682,$I:$I,$I682)</f>
        <v>0.05</v>
      </c>
      <c r="AB682" s="108">
        <f>VLOOKUP(I682,'Weights and Confidence'!$D$16:$AC$26,5,FALSE)</f>
        <v>0.1</v>
      </c>
      <c r="AC682" s="147">
        <f>VLOOKUP(I682,'Weights and Confidence'!$D$16:$AC$26,6,FALSE)</f>
        <v>0.85</v>
      </c>
    </row>
    <row r="683" spans="1:29" x14ac:dyDescent="0.2">
      <c r="A683" s="34" t="s">
        <v>14</v>
      </c>
      <c r="B683" s="34" t="s">
        <v>0</v>
      </c>
      <c r="C683" s="34" t="s">
        <v>162</v>
      </c>
      <c r="D683" s="34" t="s">
        <v>65</v>
      </c>
      <c r="E683" s="34"/>
      <c r="F683" s="50" t="s">
        <v>163</v>
      </c>
      <c r="G683" s="34">
        <v>9</v>
      </c>
      <c r="H683" s="34" t="s">
        <v>18</v>
      </c>
      <c r="I683" s="34" t="s">
        <v>27</v>
      </c>
      <c r="J683" s="34">
        <v>0</v>
      </c>
      <c r="K683" s="35">
        <f>AB683/COUNTIFS($B:$B,$B683,$C:$C,$C683,$H:$H,$H683,$I:$I,$I683)</f>
        <v>0.05</v>
      </c>
      <c r="L683" s="36">
        <f t="shared" si="42"/>
        <v>0.85</v>
      </c>
      <c r="M683" s="37">
        <f t="shared" si="43"/>
        <v>0</v>
      </c>
      <c r="N683" s="58"/>
      <c r="AA683" s="146">
        <f>AB683/COUNTIFS($B:$B,$B683,$C:$C,$C683,$H:$H,$H683,$I:$I,$I683)</f>
        <v>0.05</v>
      </c>
      <c r="AB683" s="108">
        <f>VLOOKUP(I683,'Weights and Confidence'!$D$16:$AC$26,5,FALSE)</f>
        <v>0.1</v>
      </c>
      <c r="AC683" s="147">
        <f>VLOOKUP(I683,'Weights and Confidence'!$D$16:$AC$26,6,FALSE)</f>
        <v>0.85</v>
      </c>
    </row>
    <row r="684" spans="1:29" x14ac:dyDescent="0.2">
      <c r="A684" s="38" t="s">
        <v>14</v>
      </c>
      <c r="B684" s="38" t="s">
        <v>0</v>
      </c>
      <c r="C684" s="38" t="s">
        <v>162</v>
      </c>
      <c r="D684" s="38" t="s">
        <v>65</v>
      </c>
      <c r="E684" s="38"/>
      <c r="F684" s="51" t="s">
        <v>163</v>
      </c>
      <c r="G684" s="38">
        <v>10</v>
      </c>
      <c r="H684" s="38" t="s">
        <v>17</v>
      </c>
      <c r="I684" s="38" t="s">
        <v>27</v>
      </c>
      <c r="J684" s="38">
        <v>1</v>
      </c>
      <c r="K684" s="39">
        <f>AB684/COUNTIFS($B:$B,$B684,$C:$C,$C684,$H:$H,$H684,$I:$I,$I684)</f>
        <v>0.05</v>
      </c>
      <c r="L684" s="40">
        <f t="shared" si="42"/>
        <v>0.85</v>
      </c>
      <c r="M684" s="41">
        <f t="shared" si="43"/>
        <v>4.2500000000000003E-2</v>
      </c>
      <c r="N684" s="38"/>
      <c r="AA684" s="146">
        <f>AB684/COUNTIFS($B:$B,$B684,$C:$C,$C684,$H:$H,$H684,$I:$I,$I684)</f>
        <v>0.05</v>
      </c>
      <c r="AB684" s="108">
        <f>VLOOKUP(I684,'Weights and Confidence'!$D$16:$AC$26,5,FALSE)</f>
        <v>0.1</v>
      </c>
      <c r="AC684" s="147">
        <f>VLOOKUP(I684,'Weights and Confidence'!$D$16:$AC$26,6,FALSE)</f>
        <v>0.85</v>
      </c>
    </row>
    <row r="685" spans="1:29" x14ac:dyDescent="0.2">
      <c r="A685" s="34" t="s">
        <v>14</v>
      </c>
      <c r="B685" s="34" t="s">
        <v>0</v>
      </c>
      <c r="C685" s="34" t="s">
        <v>162</v>
      </c>
      <c r="D685" s="34" t="s">
        <v>65</v>
      </c>
      <c r="E685" s="34"/>
      <c r="F685" s="50" t="s">
        <v>163</v>
      </c>
      <c r="G685" s="34">
        <v>10</v>
      </c>
      <c r="H685" s="34" t="s">
        <v>18</v>
      </c>
      <c r="I685" s="34" t="s">
        <v>27</v>
      </c>
      <c r="J685" s="34">
        <v>-1</v>
      </c>
      <c r="K685" s="35">
        <f>AB685/COUNTIFS($B:$B,$B685,$C:$C,$C685,$H:$H,$H685,$I:$I,$I685)</f>
        <v>0.05</v>
      </c>
      <c r="L685" s="36">
        <f t="shared" si="42"/>
        <v>0.85</v>
      </c>
      <c r="M685" s="37">
        <f t="shared" si="43"/>
        <v>-4.2500000000000003E-2</v>
      </c>
      <c r="N685" s="34"/>
      <c r="AA685" s="146">
        <f>AB685/COUNTIFS($B:$B,$B685,$C:$C,$C685,$H:$H,$H685,$I:$I,$I685)</f>
        <v>0.05</v>
      </c>
      <c r="AB685" s="108">
        <f>VLOOKUP(I685,'Weights and Confidence'!$D$16:$AC$26,5,FALSE)</f>
        <v>0.1</v>
      </c>
      <c r="AC685" s="147">
        <f>VLOOKUP(I685,'Weights and Confidence'!$D$16:$AC$26,6,FALSE)</f>
        <v>0.85</v>
      </c>
    </row>
    <row r="686" spans="1:29" x14ac:dyDescent="0.2">
      <c r="A686" s="38" t="s">
        <v>14</v>
      </c>
      <c r="B686" s="38" t="s">
        <v>0</v>
      </c>
      <c r="C686" s="38" t="s">
        <v>162</v>
      </c>
      <c r="D686" s="38" t="s">
        <v>65</v>
      </c>
      <c r="E686" s="38"/>
      <c r="F686" s="51" t="s">
        <v>163</v>
      </c>
      <c r="G686" s="38">
        <v>11</v>
      </c>
      <c r="H686" s="38" t="s">
        <v>17</v>
      </c>
      <c r="I686" s="38" t="s">
        <v>28</v>
      </c>
      <c r="J686" s="38">
        <v>1</v>
      </c>
      <c r="K686" s="39">
        <f>AB686/COUNTIFS($B:$B,$B686,$C:$C,$C686,$H:$H,$H686,$I:$I,$I686)</f>
        <v>0.05</v>
      </c>
      <c r="L686" s="40">
        <f t="shared" si="42"/>
        <v>1</v>
      </c>
      <c r="M686" s="41">
        <f t="shared" si="43"/>
        <v>0.05</v>
      </c>
      <c r="N686" s="38"/>
      <c r="AA686" s="146">
        <f>AB686/COUNTIFS($B:$B,$B686,$C:$C,$C686,$H:$H,$H686,$I:$I,$I686)</f>
        <v>0.05</v>
      </c>
      <c r="AB686" s="108">
        <f>VLOOKUP(I686,'Weights and Confidence'!$D$16:$AC$26,5,FALSE)</f>
        <v>0.05</v>
      </c>
      <c r="AC686" s="147">
        <f>VLOOKUP(I686,'Weights and Confidence'!$D$16:$AC$26,6,FALSE)</f>
        <v>1</v>
      </c>
    </row>
    <row r="687" spans="1:29" ht="17" thickBot="1" x14ac:dyDescent="0.25">
      <c r="A687" s="34" t="s">
        <v>14</v>
      </c>
      <c r="B687" s="34" t="s">
        <v>0</v>
      </c>
      <c r="C687" s="34" t="s">
        <v>162</v>
      </c>
      <c r="D687" s="34" t="s">
        <v>65</v>
      </c>
      <c r="E687" s="34"/>
      <c r="F687" s="50" t="s">
        <v>163</v>
      </c>
      <c r="G687" s="34">
        <v>11</v>
      </c>
      <c r="H687" s="34" t="s">
        <v>18</v>
      </c>
      <c r="I687" s="34" t="s">
        <v>28</v>
      </c>
      <c r="J687" s="34">
        <v>-1</v>
      </c>
      <c r="K687" s="35">
        <f>AB687/COUNTIFS($B:$B,$B687,$C:$C,$C687,$H:$H,$H687,$I:$I,$I687)</f>
        <v>0.05</v>
      </c>
      <c r="L687" s="36">
        <f t="shared" si="42"/>
        <v>1</v>
      </c>
      <c r="M687" s="37">
        <f t="shared" si="43"/>
        <v>-0.05</v>
      </c>
      <c r="N687" s="58" t="s">
        <v>161</v>
      </c>
      <c r="AA687" s="140">
        <f>AB687/COUNTIFS($B:$B,$B687,$C:$C,$C687,$H:$H,$H687,$I:$I,$I687)</f>
        <v>0.05</v>
      </c>
      <c r="AB687" s="141">
        <f>VLOOKUP(I687,'Weights and Confidence'!$D$16:$AC$26,5,FALSE)</f>
        <v>0.05</v>
      </c>
      <c r="AC687" s="142">
        <f>VLOOKUP(I687,'Weights and Confidence'!$D$16:$AC$26,6,FALSE)</f>
        <v>1</v>
      </c>
    </row>
    <row r="688" spans="1:29" ht="17" thickTop="1" x14ac:dyDescent="0.2">
      <c r="A688" s="42" t="s">
        <v>14</v>
      </c>
      <c r="B688" s="42" t="s">
        <v>0</v>
      </c>
      <c r="C688" s="42" t="s">
        <v>164</v>
      </c>
      <c r="D688" s="42" t="s">
        <v>65</v>
      </c>
      <c r="E688" s="42"/>
      <c r="F688" s="49" t="s">
        <v>165</v>
      </c>
      <c r="G688" s="42">
        <v>1</v>
      </c>
      <c r="H688" s="42" t="s">
        <v>17</v>
      </c>
      <c r="I688" s="42" t="s">
        <v>19</v>
      </c>
      <c r="J688" s="42">
        <v>0</v>
      </c>
      <c r="K688" s="44">
        <f>AB688/COUNTIFS($B:$B,$B688,$C:$C,$C688,$H:$H,$H688,$I:$I,$I688)</f>
        <v>0.12</v>
      </c>
      <c r="L688" s="45">
        <f t="shared" si="42"/>
        <v>1</v>
      </c>
      <c r="M688" s="46">
        <f t="shared" ref="M688:M709" si="44">J688*K688*L688</f>
        <v>0</v>
      </c>
      <c r="N688" s="42"/>
      <c r="AA688" s="143">
        <f>AB688/COUNTIFS($B:$B,$B688,$C:$C,$C688,$H:$H,$H688,$I:$I,$I688)</f>
        <v>0.12</v>
      </c>
      <c r="AB688" s="144">
        <f>VLOOKUP(I688,'Weights and Confidence'!$D$16:$AC$26,5,FALSE)</f>
        <v>0.12</v>
      </c>
      <c r="AC688" s="145">
        <f>VLOOKUP(I688,'Weights and Confidence'!$D$16:$AC$26,6,FALSE)</f>
        <v>1</v>
      </c>
    </row>
    <row r="689" spans="1:29" x14ac:dyDescent="0.2">
      <c r="A689" s="34" t="s">
        <v>14</v>
      </c>
      <c r="B689" s="34" t="s">
        <v>0</v>
      </c>
      <c r="C689" s="34" t="s">
        <v>164</v>
      </c>
      <c r="D689" s="34" t="s">
        <v>65</v>
      </c>
      <c r="E689" s="34"/>
      <c r="F689" s="50" t="s">
        <v>165</v>
      </c>
      <c r="G689" s="34">
        <v>1</v>
      </c>
      <c r="H689" s="34" t="s">
        <v>18</v>
      </c>
      <c r="I689" s="34" t="s">
        <v>19</v>
      </c>
      <c r="J689" s="34">
        <v>0</v>
      </c>
      <c r="K689" s="35">
        <f>AB689/COUNTIFS($B:$B,$B689,$C:$C,$C689,$H:$H,$H689,$I:$I,$I689)</f>
        <v>0.12</v>
      </c>
      <c r="L689" s="36">
        <f t="shared" si="42"/>
        <v>1</v>
      </c>
      <c r="M689" s="37">
        <f t="shared" si="44"/>
        <v>0</v>
      </c>
      <c r="N689" s="58" t="s">
        <v>166</v>
      </c>
      <c r="AA689" s="146">
        <f>AB689/COUNTIFS($B:$B,$B689,$C:$C,$C689,$H:$H,$H689,$I:$I,$I689)</f>
        <v>0.12</v>
      </c>
      <c r="AB689" s="108">
        <f>VLOOKUP(I689,'Weights and Confidence'!$D$16:$AC$26,5,FALSE)</f>
        <v>0.12</v>
      </c>
      <c r="AC689" s="147">
        <f>VLOOKUP(I689,'Weights and Confidence'!$D$16:$AC$26,6,FALSE)</f>
        <v>1</v>
      </c>
    </row>
    <row r="690" spans="1:29" x14ac:dyDescent="0.2">
      <c r="A690" s="38" t="s">
        <v>14</v>
      </c>
      <c r="B690" s="38" t="s">
        <v>0</v>
      </c>
      <c r="C690" s="38" t="s">
        <v>164</v>
      </c>
      <c r="D690" s="38" t="s">
        <v>65</v>
      </c>
      <c r="E690" s="38"/>
      <c r="F690" s="51" t="s">
        <v>165</v>
      </c>
      <c r="G690" s="38">
        <v>2</v>
      </c>
      <c r="H690" s="38" t="s">
        <v>17</v>
      </c>
      <c r="I690" s="38" t="s">
        <v>20</v>
      </c>
      <c r="J690" s="38">
        <v>-1</v>
      </c>
      <c r="K690" s="39">
        <f>AB690/COUNTIFS($B:$B,$B690,$C:$C,$C690,$H:$H,$H690,$I:$I,$I690)</f>
        <v>0.08</v>
      </c>
      <c r="L690" s="40">
        <f t="shared" si="42"/>
        <v>0.8</v>
      </c>
      <c r="M690" s="41">
        <f t="shared" si="44"/>
        <v>-6.4000000000000001E-2</v>
      </c>
      <c r="N690" s="38"/>
      <c r="AA690" s="146">
        <f>AB690/COUNTIFS($B:$B,$B690,$C:$C,$C690,$H:$H,$H690,$I:$I,$I690)</f>
        <v>0.08</v>
      </c>
      <c r="AB690" s="108">
        <f>VLOOKUP(I690,'Weights and Confidence'!$D$16:$AC$26,5,FALSE)</f>
        <v>0.08</v>
      </c>
      <c r="AC690" s="147">
        <f>VLOOKUP(I690,'Weights and Confidence'!$D$16:$AC$26,6,FALSE)</f>
        <v>0.8</v>
      </c>
    </row>
    <row r="691" spans="1:29" x14ac:dyDescent="0.2">
      <c r="A691" s="34" t="s">
        <v>14</v>
      </c>
      <c r="B691" s="34" t="s">
        <v>0</v>
      </c>
      <c r="C691" s="34" t="s">
        <v>164</v>
      </c>
      <c r="D691" s="34" t="s">
        <v>65</v>
      </c>
      <c r="E691" s="34"/>
      <c r="F691" s="50" t="s">
        <v>165</v>
      </c>
      <c r="G691" s="34">
        <v>2</v>
      </c>
      <c r="H691" s="34" t="s">
        <v>18</v>
      </c>
      <c r="I691" s="34" t="s">
        <v>20</v>
      </c>
      <c r="J691" s="34">
        <v>0</v>
      </c>
      <c r="K691" s="35">
        <f>AB691/COUNTIFS($B:$B,$B691,$C:$C,$C691,$H:$H,$H691,$I:$I,$I691)</f>
        <v>0.08</v>
      </c>
      <c r="L691" s="36">
        <f t="shared" si="42"/>
        <v>0.8</v>
      </c>
      <c r="M691" s="37">
        <f t="shared" si="44"/>
        <v>0</v>
      </c>
      <c r="N691" s="58"/>
      <c r="AA691" s="146">
        <f>AB691/COUNTIFS($B:$B,$B691,$C:$C,$C691,$H:$H,$H691,$I:$I,$I691)</f>
        <v>0.08</v>
      </c>
      <c r="AB691" s="108">
        <f>VLOOKUP(I691,'Weights and Confidence'!$D$16:$AC$26,5,FALSE)</f>
        <v>0.08</v>
      </c>
      <c r="AC691" s="147">
        <f>VLOOKUP(I691,'Weights and Confidence'!$D$16:$AC$26,6,FALSE)</f>
        <v>0.8</v>
      </c>
    </row>
    <row r="692" spans="1:29" x14ac:dyDescent="0.2">
      <c r="A692" s="38" t="s">
        <v>14</v>
      </c>
      <c r="B692" s="38" t="s">
        <v>0</v>
      </c>
      <c r="C692" s="38" t="s">
        <v>164</v>
      </c>
      <c r="D692" s="38" t="s">
        <v>65</v>
      </c>
      <c r="E692" s="38"/>
      <c r="F692" s="51" t="s">
        <v>165</v>
      </c>
      <c r="G692" s="38">
        <v>3</v>
      </c>
      <c r="H692" s="38" t="s">
        <v>17</v>
      </c>
      <c r="I692" s="38" t="s">
        <v>21</v>
      </c>
      <c r="J692" s="38">
        <v>0</v>
      </c>
      <c r="K692" s="39">
        <f>AB692/COUNTIFS($B:$B,$B692,$C:$C,$C692,$H:$H,$H692,$I:$I,$I692)</f>
        <v>0.05</v>
      </c>
      <c r="L692" s="40">
        <f t="shared" si="42"/>
        <v>1</v>
      </c>
      <c r="M692" s="41">
        <f t="shared" si="44"/>
        <v>0</v>
      </c>
      <c r="N692" s="38"/>
      <c r="AA692" s="146">
        <f>AB692/COUNTIFS($B:$B,$B692,$C:$C,$C692,$H:$H,$H692,$I:$I,$I692)</f>
        <v>0.05</v>
      </c>
      <c r="AB692" s="108">
        <f>VLOOKUP(I692,'Weights and Confidence'!$D$16:$AC$26,5,FALSE)</f>
        <v>0.05</v>
      </c>
      <c r="AC692" s="147">
        <f>VLOOKUP(I692,'Weights and Confidence'!$D$16:$AC$26,6,FALSE)</f>
        <v>1</v>
      </c>
    </row>
    <row r="693" spans="1:29" x14ac:dyDescent="0.2">
      <c r="A693" s="34" t="s">
        <v>14</v>
      </c>
      <c r="B693" s="34" t="s">
        <v>0</v>
      </c>
      <c r="C693" s="34" t="s">
        <v>164</v>
      </c>
      <c r="D693" s="34" t="s">
        <v>65</v>
      </c>
      <c r="E693" s="34"/>
      <c r="F693" s="50" t="s">
        <v>165</v>
      </c>
      <c r="G693" s="34">
        <v>3</v>
      </c>
      <c r="H693" s="34" t="s">
        <v>18</v>
      </c>
      <c r="I693" s="34" t="s">
        <v>21</v>
      </c>
      <c r="J693" s="34">
        <v>0</v>
      </c>
      <c r="K693" s="35">
        <f>AB693/COUNTIFS($B:$B,$B693,$C:$C,$C693,$H:$H,$H693,$I:$I,$I693)</f>
        <v>0.05</v>
      </c>
      <c r="L693" s="36">
        <f t="shared" si="42"/>
        <v>1</v>
      </c>
      <c r="M693" s="37">
        <f t="shared" si="44"/>
        <v>0</v>
      </c>
      <c r="N693" s="58"/>
      <c r="AA693" s="146">
        <f>AB693/COUNTIFS($B:$B,$B693,$C:$C,$C693,$H:$H,$H693,$I:$I,$I693)</f>
        <v>0.05</v>
      </c>
      <c r="AB693" s="108">
        <f>VLOOKUP(I693,'Weights and Confidence'!$D$16:$AC$26,5,FALSE)</f>
        <v>0.05</v>
      </c>
      <c r="AC693" s="147">
        <f>VLOOKUP(I693,'Weights and Confidence'!$D$16:$AC$26,6,FALSE)</f>
        <v>1</v>
      </c>
    </row>
    <row r="694" spans="1:29" x14ac:dyDescent="0.2">
      <c r="A694" s="38" t="s">
        <v>14</v>
      </c>
      <c r="B694" s="38" t="s">
        <v>0</v>
      </c>
      <c r="C694" s="38" t="s">
        <v>164</v>
      </c>
      <c r="D694" s="38" t="s">
        <v>65</v>
      </c>
      <c r="E694" s="38"/>
      <c r="F694" s="51" t="s">
        <v>165</v>
      </c>
      <c r="G694" s="38">
        <v>4</v>
      </c>
      <c r="H694" s="38" t="s">
        <v>17</v>
      </c>
      <c r="I694" s="38" t="s">
        <v>22</v>
      </c>
      <c r="J694" s="38">
        <v>-1</v>
      </c>
      <c r="K694" s="39">
        <f>AB694/COUNTIFS($B:$B,$B694,$C:$C,$C694,$H:$H,$H694,$I:$I,$I694)</f>
        <v>0.14000000000000001</v>
      </c>
      <c r="L694" s="40">
        <f t="shared" si="42"/>
        <v>1</v>
      </c>
      <c r="M694" s="41">
        <f t="shared" si="44"/>
        <v>-0.14000000000000001</v>
      </c>
      <c r="N694" s="38"/>
      <c r="AA694" s="146">
        <f>AB694/COUNTIFS($B:$B,$B694,$C:$C,$C694,$H:$H,$H694,$I:$I,$I694)</f>
        <v>0.14000000000000001</v>
      </c>
      <c r="AB694" s="108">
        <f>VLOOKUP(I694,'Weights and Confidence'!$D$16:$AC$26,5,FALSE)</f>
        <v>0.14000000000000001</v>
      </c>
      <c r="AC694" s="147">
        <f>VLOOKUP(I694,'Weights and Confidence'!$D$16:$AC$26,6,FALSE)</f>
        <v>1</v>
      </c>
    </row>
    <row r="695" spans="1:29" x14ac:dyDescent="0.2">
      <c r="A695" s="34" t="s">
        <v>14</v>
      </c>
      <c r="B695" s="34" t="s">
        <v>0</v>
      </c>
      <c r="C695" s="34" t="s">
        <v>164</v>
      </c>
      <c r="D695" s="34" t="s">
        <v>65</v>
      </c>
      <c r="E695" s="34"/>
      <c r="F695" s="50" t="s">
        <v>165</v>
      </c>
      <c r="G695" s="34">
        <v>4</v>
      </c>
      <c r="H695" s="34" t="s">
        <v>18</v>
      </c>
      <c r="I695" s="34" t="s">
        <v>22</v>
      </c>
      <c r="J695" s="34">
        <v>-1</v>
      </c>
      <c r="K695" s="35">
        <f>AB695/COUNTIFS($B:$B,$B695,$C:$C,$C695,$H:$H,$H695,$I:$I,$I695)</f>
        <v>0.14000000000000001</v>
      </c>
      <c r="L695" s="36">
        <f t="shared" si="42"/>
        <v>1</v>
      </c>
      <c r="M695" s="37">
        <f t="shared" si="44"/>
        <v>-0.14000000000000001</v>
      </c>
      <c r="N695" s="58"/>
      <c r="AA695" s="146">
        <f>AB695/COUNTIFS($B:$B,$B695,$C:$C,$C695,$H:$H,$H695,$I:$I,$I695)</f>
        <v>0.14000000000000001</v>
      </c>
      <c r="AB695" s="108">
        <f>VLOOKUP(I695,'Weights and Confidence'!$D$16:$AC$26,5,FALSE)</f>
        <v>0.14000000000000001</v>
      </c>
      <c r="AC695" s="147">
        <f>VLOOKUP(I695,'Weights and Confidence'!$D$16:$AC$26,6,FALSE)</f>
        <v>1</v>
      </c>
    </row>
    <row r="696" spans="1:29" x14ac:dyDescent="0.2">
      <c r="A696" s="38" t="s">
        <v>14</v>
      </c>
      <c r="B696" s="38" t="s">
        <v>0</v>
      </c>
      <c r="C696" s="38" t="s">
        <v>164</v>
      </c>
      <c r="D696" s="38" t="s">
        <v>65</v>
      </c>
      <c r="E696" s="38"/>
      <c r="F696" s="51" t="s">
        <v>165</v>
      </c>
      <c r="G696" s="38">
        <v>5</v>
      </c>
      <c r="H696" s="38" t="s">
        <v>17</v>
      </c>
      <c r="I696" s="38" t="s">
        <v>23</v>
      </c>
      <c r="J696" s="38">
        <v>-1</v>
      </c>
      <c r="K696" s="39">
        <f>AB696/COUNTIFS($B:$B,$B696,$C:$C,$C696,$H:$H,$H696,$I:$I,$I696)</f>
        <v>0.11</v>
      </c>
      <c r="L696" s="40">
        <f t="shared" si="42"/>
        <v>1</v>
      </c>
      <c r="M696" s="41">
        <f t="shared" si="44"/>
        <v>-0.11</v>
      </c>
      <c r="N696" s="38"/>
      <c r="AA696" s="146">
        <f>AB696/COUNTIFS($B:$B,$B696,$C:$C,$C696,$H:$H,$H696,$I:$I,$I696)</f>
        <v>0.11</v>
      </c>
      <c r="AB696" s="108">
        <f>VLOOKUP(I696,'Weights and Confidence'!$D$16:$AC$26,5,FALSE)</f>
        <v>0.11</v>
      </c>
      <c r="AC696" s="147">
        <f>VLOOKUP(I696,'Weights and Confidence'!$D$16:$AC$26,6,FALSE)</f>
        <v>1</v>
      </c>
    </row>
    <row r="697" spans="1:29" x14ac:dyDescent="0.2">
      <c r="A697" s="34" t="s">
        <v>14</v>
      </c>
      <c r="B697" s="34" t="s">
        <v>0</v>
      </c>
      <c r="C697" s="34" t="s">
        <v>164</v>
      </c>
      <c r="D697" s="34" t="s">
        <v>65</v>
      </c>
      <c r="E697" s="34"/>
      <c r="F697" s="50" t="s">
        <v>165</v>
      </c>
      <c r="G697" s="34">
        <v>5</v>
      </c>
      <c r="H697" s="34" t="s">
        <v>18</v>
      </c>
      <c r="I697" s="34" t="s">
        <v>23</v>
      </c>
      <c r="J697" s="34">
        <v>-1</v>
      </c>
      <c r="K697" s="35">
        <f>AB697/COUNTIFS($B:$B,$B697,$C:$C,$C697,$H:$H,$H697,$I:$I,$I697)</f>
        <v>0.11</v>
      </c>
      <c r="L697" s="36">
        <f t="shared" si="42"/>
        <v>1</v>
      </c>
      <c r="M697" s="37">
        <f t="shared" si="44"/>
        <v>-0.11</v>
      </c>
      <c r="N697" s="58"/>
      <c r="AA697" s="146">
        <f>AB697/COUNTIFS($B:$B,$B697,$C:$C,$C697,$H:$H,$H697,$I:$I,$I697)</f>
        <v>0.11</v>
      </c>
      <c r="AB697" s="108">
        <f>VLOOKUP(I697,'Weights and Confidence'!$D$16:$AC$26,5,FALSE)</f>
        <v>0.11</v>
      </c>
      <c r="AC697" s="147">
        <f>VLOOKUP(I697,'Weights and Confidence'!$D$16:$AC$26,6,FALSE)</f>
        <v>1</v>
      </c>
    </row>
    <row r="698" spans="1:29" x14ac:dyDescent="0.2">
      <c r="A698" s="38" t="s">
        <v>14</v>
      </c>
      <c r="B698" s="38" t="s">
        <v>0</v>
      </c>
      <c r="C698" s="38" t="s">
        <v>164</v>
      </c>
      <c r="D698" s="38" t="s">
        <v>65</v>
      </c>
      <c r="E698" s="38"/>
      <c r="F698" s="51" t="s">
        <v>165</v>
      </c>
      <c r="G698" s="38">
        <v>6</v>
      </c>
      <c r="H698" s="38" t="s">
        <v>17</v>
      </c>
      <c r="I698" s="38" t="s">
        <v>24</v>
      </c>
      <c r="J698" s="38">
        <v>-1</v>
      </c>
      <c r="K698" s="39">
        <f>AB698/COUNTIFS($B:$B,$B698,$C:$C,$C698,$H:$H,$H698,$I:$I,$I698)</f>
        <v>0.15</v>
      </c>
      <c r="L698" s="40">
        <f t="shared" si="42"/>
        <v>1</v>
      </c>
      <c r="M698" s="41">
        <f t="shared" si="44"/>
        <v>-0.15</v>
      </c>
      <c r="N698" s="59"/>
      <c r="AA698" s="146">
        <f>AB698/COUNTIFS($B:$B,$B698,$C:$C,$C698,$H:$H,$H698,$I:$I,$I698)</f>
        <v>0.15</v>
      </c>
      <c r="AB698" s="108">
        <f>VLOOKUP(I698,'Weights and Confidence'!$D$16:$AC$26,5,FALSE)</f>
        <v>0.15</v>
      </c>
      <c r="AC698" s="147">
        <f>VLOOKUP(I698,'Weights and Confidence'!$D$16:$AC$26,6,FALSE)</f>
        <v>1</v>
      </c>
    </row>
    <row r="699" spans="1:29" x14ac:dyDescent="0.2">
      <c r="A699" s="34" t="s">
        <v>14</v>
      </c>
      <c r="B699" s="34" t="s">
        <v>0</v>
      </c>
      <c r="C699" s="34" t="s">
        <v>164</v>
      </c>
      <c r="D699" s="34" t="s">
        <v>65</v>
      </c>
      <c r="E699" s="34"/>
      <c r="F699" s="50" t="s">
        <v>165</v>
      </c>
      <c r="G699" s="34">
        <v>6</v>
      </c>
      <c r="H699" s="34" t="s">
        <v>18</v>
      </c>
      <c r="I699" s="34" t="s">
        <v>24</v>
      </c>
      <c r="J699" s="34">
        <v>-1</v>
      </c>
      <c r="K699" s="35">
        <f>AB699/COUNTIFS($B:$B,$B699,$C:$C,$C699,$H:$H,$H699,$I:$I,$I699)</f>
        <v>0.15</v>
      </c>
      <c r="L699" s="36">
        <f t="shared" si="42"/>
        <v>1</v>
      </c>
      <c r="M699" s="37">
        <f t="shared" si="44"/>
        <v>-0.15</v>
      </c>
      <c r="N699" s="58"/>
      <c r="AA699" s="146">
        <f>AB699/COUNTIFS($B:$B,$B699,$C:$C,$C699,$H:$H,$H699,$I:$I,$I699)</f>
        <v>0.15</v>
      </c>
      <c r="AB699" s="108">
        <f>VLOOKUP(I699,'Weights and Confidence'!$D$16:$AC$26,5,FALSE)</f>
        <v>0.15</v>
      </c>
      <c r="AC699" s="147">
        <f>VLOOKUP(I699,'Weights and Confidence'!$D$16:$AC$26,6,FALSE)</f>
        <v>1</v>
      </c>
    </row>
    <row r="700" spans="1:29" x14ac:dyDescent="0.2">
      <c r="A700" s="38" t="s">
        <v>14</v>
      </c>
      <c r="B700" s="38" t="s">
        <v>0</v>
      </c>
      <c r="C700" s="38" t="s">
        <v>164</v>
      </c>
      <c r="D700" s="38" t="s">
        <v>65</v>
      </c>
      <c r="E700" s="38"/>
      <c r="F700" s="51" t="s">
        <v>165</v>
      </c>
      <c r="G700" s="38">
        <v>7</v>
      </c>
      <c r="H700" s="38" t="s">
        <v>17</v>
      </c>
      <c r="I700" s="38" t="s">
        <v>25</v>
      </c>
      <c r="J700" s="38">
        <v>-1</v>
      </c>
      <c r="K700" s="39">
        <f>AB700/COUNTIFS($B:$B,$B700,$C:$C,$C700,$H:$H,$H700,$I:$I,$I700)</f>
        <v>0.1</v>
      </c>
      <c r="L700" s="40">
        <f t="shared" si="42"/>
        <v>1</v>
      </c>
      <c r="M700" s="41">
        <f t="shared" si="44"/>
        <v>-0.1</v>
      </c>
      <c r="N700" s="38"/>
      <c r="AA700" s="146">
        <f>AB700/COUNTIFS($B:$B,$B700,$C:$C,$C700,$H:$H,$H700,$I:$I,$I700)</f>
        <v>0.1</v>
      </c>
      <c r="AB700" s="108">
        <f>VLOOKUP(I700,'Weights and Confidence'!$D$16:$AC$26,5,FALSE)</f>
        <v>0.1</v>
      </c>
      <c r="AC700" s="147">
        <f>VLOOKUP(I700,'Weights and Confidence'!$D$16:$AC$26,6,FALSE)</f>
        <v>1</v>
      </c>
    </row>
    <row r="701" spans="1:29" x14ac:dyDescent="0.2">
      <c r="A701" s="34" t="s">
        <v>14</v>
      </c>
      <c r="B701" s="34" t="s">
        <v>0</v>
      </c>
      <c r="C701" s="34" t="s">
        <v>164</v>
      </c>
      <c r="D701" s="34" t="s">
        <v>65</v>
      </c>
      <c r="E701" s="34"/>
      <c r="F701" s="50" t="s">
        <v>165</v>
      </c>
      <c r="G701" s="34">
        <v>7</v>
      </c>
      <c r="H701" s="34" t="s">
        <v>18</v>
      </c>
      <c r="I701" s="34" t="s">
        <v>25</v>
      </c>
      <c r="J701" s="34">
        <v>-1</v>
      </c>
      <c r="K701" s="35">
        <f>AB701/COUNTIFS($B:$B,$B701,$C:$C,$C701,$H:$H,$H701,$I:$I,$I701)</f>
        <v>0.1</v>
      </c>
      <c r="L701" s="36">
        <f t="shared" si="42"/>
        <v>1</v>
      </c>
      <c r="M701" s="37">
        <f t="shared" si="44"/>
        <v>-0.1</v>
      </c>
      <c r="N701" s="58"/>
      <c r="AA701" s="146">
        <f>AB701/COUNTIFS($B:$B,$B701,$C:$C,$C701,$H:$H,$H701,$I:$I,$I701)</f>
        <v>0.1</v>
      </c>
      <c r="AB701" s="108">
        <f>VLOOKUP(I701,'Weights and Confidence'!$D$16:$AC$26,5,FALSE)</f>
        <v>0.1</v>
      </c>
      <c r="AC701" s="147">
        <f>VLOOKUP(I701,'Weights and Confidence'!$D$16:$AC$26,6,FALSE)</f>
        <v>1</v>
      </c>
    </row>
    <row r="702" spans="1:29" x14ac:dyDescent="0.2">
      <c r="A702" s="38" t="s">
        <v>14</v>
      </c>
      <c r="B702" s="38" t="s">
        <v>0</v>
      </c>
      <c r="C702" s="38" t="s">
        <v>164</v>
      </c>
      <c r="D702" s="38" t="s">
        <v>65</v>
      </c>
      <c r="E702" s="38"/>
      <c r="F702" s="51" t="s">
        <v>165</v>
      </c>
      <c r="G702" s="38">
        <v>8</v>
      </c>
      <c r="H702" s="38" t="s">
        <v>17</v>
      </c>
      <c r="I702" s="38" t="s">
        <v>26</v>
      </c>
      <c r="J702" s="38">
        <v>-1</v>
      </c>
      <c r="K702" s="39">
        <f>AB702/COUNTIFS($B:$B,$B702,$C:$C,$C702,$H:$H,$H702,$I:$I,$I702)</f>
        <v>0.1</v>
      </c>
      <c r="L702" s="40">
        <f t="shared" si="42"/>
        <v>1</v>
      </c>
      <c r="M702" s="41">
        <f t="shared" si="44"/>
        <v>-0.1</v>
      </c>
      <c r="N702" s="38"/>
      <c r="AA702" s="146">
        <f>AB702/COUNTIFS($B:$B,$B702,$C:$C,$C702,$H:$H,$H702,$I:$I,$I702)</f>
        <v>0.1</v>
      </c>
      <c r="AB702" s="108">
        <f>VLOOKUP(I702,'Weights and Confidence'!$D$16:$AC$26,5,FALSE)</f>
        <v>0.1</v>
      </c>
      <c r="AC702" s="147">
        <f>VLOOKUP(I702,'Weights and Confidence'!$D$16:$AC$26,6,FALSE)</f>
        <v>1</v>
      </c>
    </row>
    <row r="703" spans="1:29" x14ac:dyDescent="0.2">
      <c r="A703" s="34" t="s">
        <v>14</v>
      </c>
      <c r="B703" s="34" t="s">
        <v>0</v>
      </c>
      <c r="C703" s="34" t="s">
        <v>164</v>
      </c>
      <c r="D703" s="34" t="s">
        <v>65</v>
      </c>
      <c r="E703" s="34"/>
      <c r="F703" s="50" t="s">
        <v>165</v>
      </c>
      <c r="G703" s="34">
        <v>8</v>
      </c>
      <c r="H703" s="34" t="s">
        <v>18</v>
      </c>
      <c r="I703" s="34" t="s">
        <v>26</v>
      </c>
      <c r="J703" s="34">
        <v>-1</v>
      </c>
      <c r="K703" s="35">
        <f>AB703/COUNTIFS($B:$B,$B703,$C:$C,$C703,$H:$H,$H703,$I:$I,$I703)</f>
        <v>0.1</v>
      </c>
      <c r="L703" s="36">
        <f t="shared" si="42"/>
        <v>1</v>
      </c>
      <c r="M703" s="37">
        <f t="shared" si="44"/>
        <v>-0.1</v>
      </c>
      <c r="N703" s="58"/>
      <c r="AA703" s="146">
        <f>AB703/COUNTIFS($B:$B,$B703,$C:$C,$C703,$H:$H,$H703,$I:$I,$I703)</f>
        <v>0.1</v>
      </c>
      <c r="AB703" s="108">
        <f>VLOOKUP(I703,'Weights and Confidence'!$D$16:$AC$26,5,FALSE)</f>
        <v>0.1</v>
      </c>
      <c r="AC703" s="147">
        <f>VLOOKUP(I703,'Weights and Confidence'!$D$16:$AC$26,6,FALSE)</f>
        <v>1</v>
      </c>
    </row>
    <row r="704" spans="1:29" x14ac:dyDescent="0.2">
      <c r="A704" s="38" t="s">
        <v>14</v>
      </c>
      <c r="B704" s="38" t="s">
        <v>0</v>
      </c>
      <c r="C704" s="38" t="s">
        <v>164</v>
      </c>
      <c r="D704" s="38" t="s">
        <v>65</v>
      </c>
      <c r="E704" s="38"/>
      <c r="F704" s="51" t="s">
        <v>165</v>
      </c>
      <c r="G704" s="38">
        <v>9</v>
      </c>
      <c r="H704" s="38" t="s">
        <v>17</v>
      </c>
      <c r="I704" s="38" t="s">
        <v>27</v>
      </c>
      <c r="J704" s="38">
        <v>-1</v>
      </c>
      <c r="K704" s="39">
        <f>AB704/COUNTIFS($B:$B,$B704,$C:$C,$C704,$H:$H,$H704,$I:$I,$I704)</f>
        <v>0.05</v>
      </c>
      <c r="L704" s="40">
        <f t="shared" si="42"/>
        <v>0.85</v>
      </c>
      <c r="M704" s="41">
        <f t="shared" si="44"/>
        <v>-4.2500000000000003E-2</v>
      </c>
      <c r="N704" s="38"/>
      <c r="AA704" s="146">
        <f>AB704/COUNTIFS($B:$B,$B704,$C:$C,$C704,$H:$H,$H704,$I:$I,$I704)</f>
        <v>0.05</v>
      </c>
      <c r="AB704" s="108">
        <f>VLOOKUP(I704,'Weights and Confidence'!$D$16:$AC$26,5,FALSE)</f>
        <v>0.1</v>
      </c>
      <c r="AC704" s="147">
        <f>VLOOKUP(I704,'Weights and Confidence'!$D$16:$AC$26,6,FALSE)</f>
        <v>0.85</v>
      </c>
    </row>
    <row r="705" spans="1:29" x14ac:dyDescent="0.2">
      <c r="A705" s="34" t="s">
        <v>14</v>
      </c>
      <c r="B705" s="34" t="s">
        <v>0</v>
      </c>
      <c r="C705" s="34" t="s">
        <v>164</v>
      </c>
      <c r="D705" s="34" t="s">
        <v>65</v>
      </c>
      <c r="E705" s="34"/>
      <c r="F705" s="50" t="s">
        <v>165</v>
      </c>
      <c r="G705" s="34">
        <v>9</v>
      </c>
      <c r="H705" s="34" t="s">
        <v>18</v>
      </c>
      <c r="I705" s="34" t="s">
        <v>27</v>
      </c>
      <c r="J705" s="34">
        <v>-1</v>
      </c>
      <c r="K705" s="35">
        <f>AB705/COUNTIFS($B:$B,$B705,$C:$C,$C705,$H:$H,$H705,$I:$I,$I705)</f>
        <v>0.05</v>
      </c>
      <c r="L705" s="36">
        <f t="shared" si="42"/>
        <v>0.85</v>
      </c>
      <c r="M705" s="37">
        <f t="shared" si="44"/>
        <v>-4.2500000000000003E-2</v>
      </c>
      <c r="N705" s="58"/>
      <c r="AA705" s="146">
        <f>AB705/COUNTIFS($B:$B,$B705,$C:$C,$C705,$H:$H,$H705,$I:$I,$I705)</f>
        <v>0.05</v>
      </c>
      <c r="AB705" s="108">
        <f>VLOOKUP(I705,'Weights and Confidence'!$D$16:$AC$26,5,FALSE)</f>
        <v>0.1</v>
      </c>
      <c r="AC705" s="147">
        <f>VLOOKUP(I705,'Weights and Confidence'!$D$16:$AC$26,6,FALSE)</f>
        <v>0.85</v>
      </c>
    </row>
    <row r="706" spans="1:29" x14ac:dyDescent="0.2">
      <c r="A706" s="38" t="s">
        <v>14</v>
      </c>
      <c r="B706" s="38" t="s">
        <v>0</v>
      </c>
      <c r="C706" s="38" t="s">
        <v>164</v>
      </c>
      <c r="D706" s="38" t="s">
        <v>65</v>
      </c>
      <c r="E706" s="38"/>
      <c r="F706" s="51" t="s">
        <v>165</v>
      </c>
      <c r="G706" s="38">
        <v>10</v>
      </c>
      <c r="H706" s="38" t="s">
        <v>17</v>
      </c>
      <c r="I706" s="38" t="s">
        <v>27</v>
      </c>
      <c r="J706" s="38">
        <v>-1</v>
      </c>
      <c r="K706" s="39">
        <f>AB706/COUNTIFS($B:$B,$B706,$C:$C,$C706,$H:$H,$H706,$I:$I,$I706)</f>
        <v>0.05</v>
      </c>
      <c r="L706" s="40">
        <f t="shared" si="42"/>
        <v>0.85</v>
      </c>
      <c r="M706" s="41">
        <f t="shared" si="44"/>
        <v>-4.2500000000000003E-2</v>
      </c>
      <c r="N706" s="38"/>
      <c r="AA706" s="146">
        <f>AB706/COUNTIFS($B:$B,$B706,$C:$C,$C706,$H:$H,$H706,$I:$I,$I706)</f>
        <v>0.05</v>
      </c>
      <c r="AB706" s="108">
        <f>VLOOKUP(I706,'Weights and Confidence'!$D$16:$AC$26,5,FALSE)</f>
        <v>0.1</v>
      </c>
      <c r="AC706" s="147">
        <f>VLOOKUP(I706,'Weights and Confidence'!$D$16:$AC$26,6,FALSE)</f>
        <v>0.85</v>
      </c>
    </row>
    <row r="707" spans="1:29" x14ac:dyDescent="0.2">
      <c r="A707" s="34" t="s">
        <v>14</v>
      </c>
      <c r="B707" s="34" t="s">
        <v>0</v>
      </c>
      <c r="C707" s="34" t="s">
        <v>164</v>
      </c>
      <c r="D707" s="34" t="s">
        <v>65</v>
      </c>
      <c r="E707" s="34"/>
      <c r="F707" s="50" t="s">
        <v>165</v>
      </c>
      <c r="G707" s="34">
        <v>10</v>
      </c>
      <c r="H707" s="34" t="s">
        <v>18</v>
      </c>
      <c r="I707" s="34" t="s">
        <v>27</v>
      </c>
      <c r="J707" s="34">
        <v>0</v>
      </c>
      <c r="K707" s="35">
        <f>AB707/COUNTIFS($B:$B,$B707,$C:$C,$C707,$H:$H,$H707,$I:$I,$I707)</f>
        <v>0.05</v>
      </c>
      <c r="L707" s="36">
        <f t="shared" si="42"/>
        <v>0.85</v>
      </c>
      <c r="M707" s="37">
        <f t="shared" si="44"/>
        <v>0</v>
      </c>
      <c r="N707" s="34"/>
      <c r="AA707" s="146">
        <f>AB707/COUNTIFS($B:$B,$B707,$C:$C,$C707,$H:$H,$H707,$I:$I,$I707)</f>
        <v>0.05</v>
      </c>
      <c r="AB707" s="108">
        <f>VLOOKUP(I707,'Weights and Confidence'!$D$16:$AC$26,5,FALSE)</f>
        <v>0.1</v>
      </c>
      <c r="AC707" s="147">
        <f>VLOOKUP(I707,'Weights and Confidence'!$D$16:$AC$26,6,FALSE)</f>
        <v>0.85</v>
      </c>
    </row>
    <row r="708" spans="1:29" x14ac:dyDescent="0.2">
      <c r="A708" s="38" t="s">
        <v>14</v>
      </c>
      <c r="B708" s="38" t="s">
        <v>0</v>
      </c>
      <c r="C708" s="38" t="s">
        <v>164</v>
      </c>
      <c r="D708" s="38" t="s">
        <v>65</v>
      </c>
      <c r="E708" s="38"/>
      <c r="F708" s="51" t="s">
        <v>165</v>
      </c>
      <c r="G708" s="38">
        <v>11</v>
      </c>
      <c r="H708" s="38" t="s">
        <v>17</v>
      </c>
      <c r="I708" s="38" t="s">
        <v>28</v>
      </c>
      <c r="J708" s="38">
        <v>-1</v>
      </c>
      <c r="K708" s="39">
        <f>AB708/COUNTIFS($B:$B,$B708,$C:$C,$C708,$H:$H,$H708,$I:$I,$I708)</f>
        <v>0.05</v>
      </c>
      <c r="L708" s="40">
        <f t="shared" si="42"/>
        <v>1</v>
      </c>
      <c r="M708" s="41">
        <f t="shared" si="44"/>
        <v>-0.05</v>
      </c>
      <c r="N708" s="38"/>
      <c r="AA708" s="146">
        <f>AB708/COUNTIFS($B:$B,$B708,$C:$C,$C708,$H:$H,$H708,$I:$I,$I708)</f>
        <v>0.05</v>
      </c>
      <c r="AB708" s="108">
        <f>VLOOKUP(I708,'Weights and Confidence'!$D$16:$AC$26,5,FALSE)</f>
        <v>0.05</v>
      </c>
      <c r="AC708" s="147">
        <f>VLOOKUP(I708,'Weights and Confidence'!$D$16:$AC$26,6,FALSE)</f>
        <v>1</v>
      </c>
    </row>
    <row r="709" spans="1:29" ht="17" thickBot="1" x14ac:dyDescent="0.25">
      <c r="A709" s="34" t="s">
        <v>14</v>
      </c>
      <c r="B709" s="34" t="s">
        <v>0</v>
      </c>
      <c r="C709" s="34" t="s">
        <v>164</v>
      </c>
      <c r="D709" s="34" t="s">
        <v>65</v>
      </c>
      <c r="E709" s="34"/>
      <c r="F709" s="50" t="s">
        <v>165</v>
      </c>
      <c r="G709" s="34">
        <v>11</v>
      </c>
      <c r="H709" s="34" t="s">
        <v>18</v>
      </c>
      <c r="I709" s="34" t="s">
        <v>28</v>
      </c>
      <c r="J709" s="34">
        <v>-1</v>
      </c>
      <c r="K709" s="35">
        <f>AB709/COUNTIFS($B:$B,$B709,$C:$C,$C709,$H:$H,$H709,$I:$I,$I709)</f>
        <v>0.05</v>
      </c>
      <c r="L709" s="36">
        <f t="shared" si="42"/>
        <v>1</v>
      </c>
      <c r="M709" s="37">
        <f t="shared" si="44"/>
        <v>-0.05</v>
      </c>
      <c r="N709" s="58" t="s">
        <v>167</v>
      </c>
      <c r="AA709" s="140">
        <f>AB709/COUNTIFS($B:$B,$B709,$C:$C,$C709,$H:$H,$H709,$I:$I,$I709)</f>
        <v>0.05</v>
      </c>
      <c r="AB709" s="141">
        <f>VLOOKUP(I709,'Weights and Confidence'!$D$16:$AC$26,5,FALSE)</f>
        <v>0.05</v>
      </c>
      <c r="AC709" s="142">
        <f>VLOOKUP(I709,'Weights and Confidence'!$D$16:$AC$26,6,FALSE)</f>
        <v>1</v>
      </c>
    </row>
    <row r="710" spans="1:29" ht="17" thickTop="1" x14ac:dyDescent="0.2">
      <c r="A710" s="42" t="s">
        <v>14</v>
      </c>
      <c r="B710" s="42" t="s">
        <v>0</v>
      </c>
      <c r="C710" s="42" t="s">
        <v>168</v>
      </c>
      <c r="D710" s="42" t="s">
        <v>65</v>
      </c>
      <c r="E710" s="42"/>
      <c r="F710" s="49" t="s">
        <v>169</v>
      </c>
      <c r="G710" s="42">
        <v>1</v>
      </c>
      <c r="H710" s="42" t="s">
        <v>17</v>
      </c>
      <c r="I710" s="42" t="s">
        <v>19</v>
      </c>
      <c r="J710" s="42">
        <v>0</v>
      </c>
      <c r="K710" s="44">
        <f>AB710/COUNTIFS($B:$B,$B710,$C:$C,$C710,$H:$H,$H710,$I:$I,$I710)</f>
        <v>0.12</v>
      </c>
      <c r="L710" s="45">
        <f t="shared" ref="L710:L773" si="45">AC710</f>
        <v>1</v>
      </c>
      <c r="M710" s="46">
        <f t="shared" ref="M710:M731" si="46">J710*K710*L710</f>
        <v>0</v>
      </c>
      <c r="N710" s="42"/>
      <c r="AA710" s="143">
        <f>AB710/COUNTIFS($B:$B,$B710,$C:$C,$C710,$H:$H,$H710,$I:$I,$I710)</f>
        <v>0.12</v>
      </c>
      <c r="AB710" s="144">
        <f>VLOOKUP(I710,'Weights and Confidence'!$D$16:$AC$26,5,FALSE)</f>
        <v>0.12</v>
      </c>
      <c r="AC710" s="145">
        <f>VLOOKUP(I710,'Weights and Confidence'!$D$16:$AC$26,6,FALSE)</f>
        <v>1</v>
      </c>
    </row>
    <row r="711" spans="1:29" x14ac:dyDescent="0.2">
      <c r="A711" s="34" t="s">
        <v>14</v>
      </c>
      <c r="B711" s="34" t="s">
        <v>0</v>
      </c>
      <c r="C711" s="34" t="s">
        <v>168</v>
      </c>
      <c r="D711" s="34" t="s">
        <v>65</v>
      </c>
      <c r="E711" s="34"/>
      <c r="F711" s="50" t="s">
        <v>169</v>
      </c>
      <c r="G711" s="34">
        <v>1</v>
      </c>
      <c r="H711" s="34" t="s">
        <v>18</v>
      </c>
      <c r="I711" s="34" t="s">
        <v>19</v>
      </c>
      <c r="J711" s="34">
        <v>0</v>
      </c>
      <c r="K711" s="35">
        <f>AB711/COUNTIFS($B:$B,$B711,$C:$C,$C711,$H:$H,$H711,$I:$I,$I711)</f>
        <v>0.12</v>
      </c>
      <c r="L711" s="36">
        <f t="shared" si="45"/>
        <v>1</v>
      </c>
      <c r="M711" s="37">
        <f t="shared" si="46"/>
        <v>0</v>
      </c>
      <c r="N711" s="58"/>
      <c r="AA711" s="146">
        <f>AB711/COUNTIFS($B:$B,$B711,$C:$C,$C711,$H:$H,$H711,$I:$I,$I711)</f>
        <v>0.12</v>
      </c>
      <c r="AB711" s="108">
        <f>VLOOKUP(I711,'Weights and Confidence'!$D$16:$AC$26,5,FALSE)</f>
        <v>0.12</v>
      </c>
      <c r="AC711" s="147">
        <f>VLOOKUP(I711,'Weights and Confidence'!$D$16:$AC$26,6,FALSE)</f>
        <v>1</v>
      </c>
    </row>
    <row r="712" spans="1:29" x14ac:dyDescent="0.2">
      <c r="A712" s="38" t="s">
        <v>14</v>
      </c>
      <c r="B712" s="38" t="s">
        <v>0</v>
      </c>
      <c r="C712" s="38" t="s">
        <v>168</v>
      </c>
      <c r="D712" s="38" t="s">
        <v>65</v>
      </c>
      <c r="E712" s="38"/>
      <c r="F712" s="51" t="s">
        <v>169</v>
      </c>
      <c r="G712" s="38">
        <v>2</v>
      </c>
      <c r="H712" s="38" t="s">
        <v>17</v>
      </c>
      <c r="I712" s="38" t="s">
        <v>20</v>
      </c>
      <c r="J712" s="38">
        <v>0</v>
      </c>
      <c r="K712" s="39">
        <f>AB712/COUNTIFS($B:$B,$B712,$C:$C,$C712,$H:$H,$H712,$I:$I,$I712)</f>
        <v>0.08</v>
      </c>
      <c r="L712" s="40">
        <f t="shared" si="45"/>
        <v>0.8</v>
      </c>
      <c r="M712" s="41">
        <f t="shared" si="46"/>
        <v>0</v>
      </c>
      <c r="N712" s="38"/>
      <c r="AA712" s="146">
        <f>AB712/COUNTIFS($B:$B,$B712,$C:$C,$C712,$H:$H,$H712,$I:$I,$I712)</f>
        <v>0.08</v>
      </c>
      <c r="AB712" s="108">
        <f>VLOOKUP(I712,'Weights and Confidence'!$D$16:$AC$26,5,FALSE)</f>
        <v>0.08</v>
      </c>
      <c r="AC712" s="147">
        <f>VLOOKUP(I712,'Weights and Confidence'!$D$16:$AC$26,6,FALSE)</f>
        <v>0.8</v>
      </c>
    </row>
    <row r="713" spans="1:29" x14ac:dyDescent="0.2">
      <c r="A713" s="34" t="s">
        <v>14</v>
      </c>
      <c r="B713" s="34" t="s">
        <v>0</v>
      </c>
      <c r="C713" s="34" t="s">
        <v>168</v>
      </c>
      <c r="D713" s="34" t="s">
        <v>65</v>
      </c>
      <c r="E713" s="34"/>
      <c r="F713" s="50" t="s">
        <v>169</v>
      </c>
      <c r="G713" s="34">
        <v>2</v>
      </c>
      <c r="H713" s="34" t="s">
        <v>18</v>
      </c>
      <c r="I713" s="34" t="s">
        <v>20</v>
      </c>
      <c r="J713" s="34">
        <v>-1</v>
      </c>
      <c r="K713" s="35">
        <f>AB713/COUNTIFS($B:$B,$B713,$C:$C,$C713,$H:$H,$H713,$I:$I,$I713)</f>
        <v>0.08</v>
      </c>
      <c r="L713" s="36">
        <f t="shared" si="45"/>
        <v>0.8</v>
      </c>
      <c r="M713" s="37">
        <f t="shared" si="46"/>
        <v>-6.4000000000000001E-2</v>
      </c>
      <c r="N713" s="58"/>
      <c r="AA713" s="146">
        <f>AB713/COUNTIFS($B:$B,$B713,$C:$C,$C713,$H:$H,$H713,$I:$I,$I713)</f>
        <v>0.08</v>
      </c>
      <c r="AB713" s="108">
        <f>VLOOKUP(I713,'Weights and Confidence'!$D$16:$AC$26,5,FALSE)</f>
        <v>0.08</v>
      </c>
      <c r="AC713" s="147">
        <f>VLOOKUP(I713,'Weights and Confidence'!$D$16:$AC$26,6,FALSE)</f>
        <v>0.8</v>
      </c>
    </row>
    <row r="714" spans="1:29" x14ac:dyDescent="0.2">
      <c r="A714" s="38" t="s">
        <v>14</v>
      </c>
      <c r="B714" s="38" t="s">
        <v>0</v>
      </c>
      <c r="C714" s="38" t="s">
        <v>168</v>
      </c>
      <c r="D714" s="38" t="s">
        <v>65</v>
      </c>
      <c r="E714" s="38"/>
      <c r="F714" s="51" t="s">
        <v>169</v>
      </c>
      <c r="G714" s="38">
        <v>3</v>
      </c>
      <c r="H714" s="38" t="s">
        <v>17</v>
      </c>
      <c r="I714" s="38" t="s">
        <v>21</v>
      </c>
      <c r="J714" s="38">
        <v>1</v>
      </c>
      <c r="K714" s="39">
        <f>AB714/COUNTIFS($B:$B,$B714,$C:$C,$C714,$H:$H,$H714,$I:$I,$I714)</f>
        <v>0.05</v>
      </c>
      <c r="L714" s="40">
        <f t="shared" si="45"/>
        <v>1</v>
      </c>
      <c r="M714" s="41">
        <f t="shared" si="46"/>
        <v>0.05</v>
      </c>
      <c r="N714" s="38"/>
      <c r="AA714" s="146">
        <f>AB714/COUNTIFS($B:$B,$B714,$C:$C,$C714,$H:$H,$H714,$I:$I,$I714)</f>
        <v>0.05</v>
      </c>
      <c r="AB714" s="108">
        <f>VLOOKUP(I714,'Weights and Confidence'!$D$16:$AC$26,5,FALSE)</f>
        <v>0.05</v>
      </c>
      <c r="AC714" s="147">
        <f>VLOOKUP(I714,'Weights and Confidence'!$D$16:$AC$26,6,FALSE)</f>
        <v>1</v>
      </c>
    </row>
    <row r="715" spans="1:29" x14ac:dyDescent="0.2">
      <c r="A715" s="34" t="s">
        <v>14</v>
      </c>
      <c r="B715" s="34" t="s">
        <v>0</v>
      </c>
      <c r="C715" s="34" t="s">
        <v>168</v>
      </c>
      <c r="D715" s="34" t="s">
        <v>65</v>
      </c>
      <c r="E715" s="34"/>
      <c r="F715" s="50" t="s">
        <v>169</v>
      </c>
      <c r="G715" s="34">
        <v>3</v>
      </c>
      <c r="H715" s="34" t="s">
        <v>18</v>
      </c>
      <c r="I715" s="34" t="s">
        <v>21</v>
      </c>
      <c r="J715" s="34">
        <v>-1</v>
      </c>
      <c r="K715" s="35">
        <f>AB715/COUNTIFS($B:$B,$B715,$C:$C,$C715,$H:$H,$H715,$I:$I,$I715)</f>
        <v>0.05</v>
      </c>
      <c r="L715" s="36">
        <f t="shared" si="45"/>
        <v>1</v>
      </c>
      <c r="M715" s="37">
        <f t="shared" si="46"/>
        <v>-0.05</v>
      </c>
      <c r="N715" s="58" t="s">
        <v>170</v>
      </c>
      <c r="AA715" s="146">
        <f>AB715/COUNTIFS($B:$B,$B715,$C:$C,$C715,$H:$H,$H715,$I:$I,$I715)</f>
        <v>0.05</v>
      </c>
      <c r="AB715" s="108">
        <f>VLOOKUP(I715,'Weights and Confidence'!$D$16:$AC$26,5,FALSE)</f>
        <v>0.05</v>
      </c>
      <c r="AC715" s="147">
        <f>VLOOKUP(I715,'Weights and Confidence'!$D$16:$AC$26,6,FALSE)</f>
        <v>1</v>
      </c>
    </row>
    <row r="716" spans="1:29" x14ac:dyDescent="0.2">
      <c r="A716" s="38" t="s">
        <v>14</v>
      </c>
      <c r="B716" s="38" t="s">
        <v>0</v>
      </c>
      <c r="C716" s="38" t="s">
        <v>168</v>
      </c>
      <c r="D716" s="38" t="s">
        <v>65</v>
      </c>
      <c r="E716" s="38"/>
      <c r="F716" s="51" t="s">
        <v>169</v>
      </c>
      <c r="G716" s="38">
        <v>4</v>
      </c>
      <c r="H716" s="38" t="s">
        <v>17</v>
      </c>
      <c r="I716" s="38" t="s">
        <v>22</v>
      </c>
      <c r="J716" s="38">
        <v>-1</v>
      </c>
      <c r="K716" s="39">
        <f>AB716/COUNTIFS($B:$B,$B716,$C:$C,$C716,$H:$H,$H716,$I:$I,$I716)</f>
        <v>0.14000000000000001</v>
      </c>
      <c r="L716" s="40">
        <f t="shared" si="45"/>
        <v>1</v>
      </c>
      <c r="M716" s="41">
        <f t="shared" si="46"/>
        <v>-0.14000000000000001</v>
      </c>
      <c r="N716" s="38"/>
      <c r="AA716" s="146">
        <f>AB716/COUNTIFS($B:$B,$B716,$C:$C,$C716,$H:$H,$H716,$I:$I,$I716)</f>
        <v>0.14000000000000001</v>
      </c>
      <c r="AB716" s="108">
        <f>VLOOKUP(I716,'Weights and Confidence'!$D$16:$AC$26,5,FALSE)</f>
        <v>0.14000000000000001</v>
      </c>
      <c r="AC716" s="147">
        <f>VLOOKUP(I716,'Weights and Confidence'!$D$16:$AC$26,6,FALSE)</f>
        <v>1</v>
      </c>
    </row>
    <row r="717" spans="1:29" x14ac:dyDescent="0.2">
      <c r="A717" s="34" t="s">
        <v>14</v>
      </c>
      <c r="B717" s="34" t="s">
        <v>0</v>
      </c>
      <c r="C717" s="34" t="s">
        <v>168</v>
      </c>
      <c r="D717" s="34" t="s">
        <v>65</v>
      </c>
      <c r="E717" s="34"/>
      <c r="F717" s="50" t="s">
        <v>169</v>
      </c>
      <c r="G717" s="34">
        <v>4</v>
      </c>
      <c r="H717" s="34" t="s">
        <v>18</v>
      </c>
      <c r="I717" s="34" t="s">
        <v>22</v>
      </c>
      <c r="J717" s="34">
        <v>-1</v>
      </c>
      <c r="K717" s="35">
        <f>AB717/COUNTIFS($B:$B,$B717,$C:$C,$C717,$H:$H,$H717,$I:$I,$I717)</f>
        <v>0.14000000000000001</v>
      </c>
      <c r="L717" s="36">
        <f t="shared" si="45"/>
        <v>1</v>
      </c>
      <c r="M717" s="37">
        <f t="shared" si="46"/>
        <v>-0.14000000000000001</v>
      </c>
      <c r="N717" s="58" t="s">
        <v>171</v>
      </c>
      <c r="AA717" s="146">
        <f>AB717/COUNTIFS($B:$B,$B717,$C:$C,$C717,$H:$H,$H717,$I:$I,$I717)</f>
        <v>0.14000000000000001</v>
      </c>
      <c r="AB717" s="108">
        <f>VLOOKUP(I717,'Weights and Confidence'!$D$16:$AC$26,5,FALSE)</f>
        <v>0.14000000000000001</v>
      </c>
      <c r="AC717" s="147">
        <f>VLOOKUP(I717,'Weights and Confidence'!$D$16:$AC$26,6,FALSE)</f>
        <v>1</v>
      </c>
    </row>
    <row r="718" spans="1:29" x14ac:dyDescent="0.2">
      <c r="A718" s="38" t="s">
        <v>14</v>
      </c>
      <c r="B718" s="38" t="s">
        <v>0</v>
      </c>
      <c r="C718" s="38" t="s">
        <v>168</v>
      </c>
      <c r="D718" s="38" t="s">
        <v>65</v>
      </c>
      <c r="E718" s="38"/>
      <c r="F718" s="51" t="s">
        <v>169</v>
      </c>
      <c r="G718" s="38">
        <v>5</v>
      </c>
      <c r="H718" s="38" t="s">
        <v>17</v>
      </c>
      <c r="I718" s="38" t="s">
        <v>23</v>
      </c>
      <c r="J718" s="38">
        <v>-1</v>
      </c>
      <c r="K718" s="39">
        <f>AB718/COUNTIFS($B:$B,$B718,$C:$C,$C718,$H:$H,$H718,$I:$I,$I718)</f>
        <v>0.11</v>
      </c>
      <c r="L718" s="40">
        <f t="shared" si="45"/>
        <v>1</v>
      </c>
      <c r="M718" s="41">
        <f t="shared" si="46"/>
        <v>-0.11</v>
      </c>
      <c r="N718" s="38"/>
      <c r="AA718" s="146">
        <f>AB718/COUNTIFS($B:$B,$B718,$C:$C,$C718,$H:$H,$H718,$I:$I,$I718)</f>
        <v>0.11</v>
      </c>
      <c r="AB718" s="108">
        <f>VLOOKUP(I718,'Weights and Confidence'!$D$16:$AC$26,5,FALSE)</f>
        <v>0.11</v>
      </c>
      <c r="AC718" s="147">
        <f>VLOOKUP(I718,'Weights and Confidence'!$D$16:$AC$26,6,FALSE)</f>
        <v>1</v>
      </c>
    </row>
    <row r="719" spans="1:29" x14ac:dyDescent="0.2">
      <c r="A719" s="34" t="s">
        <v>14</v>
      </c>
      <c r="B719" s="34" t="s">
        <v>0</v>
      </c>
      <c r="C719" s="34" t="s">
        <v>168</v>
      </c>
      <c r="D719" s="34" t="s">
        <v>65</v>
      </c>
      <c r="E719" s="34"/>
      <c r="F719" s="50" t="s">
        <v>169</v>
      </c>
      <c r="G719" s="34">
        <v>5</v>
      </c>
      <c r="H719" s="34" t="s">
        <v>18</v>
      </c>
      <c r="I719" s="34" t="s">
        <v>23</v>
      </c>
      <c r="J719" s="34">
        <v>-1</v>
      </c>
      <c r="K719" s="35">
        <f>AB719/COUNTIFS($B:$B,$B719,$C:$C,$C719,$H:$H,$H719,$I:$I,$I719)</f>
        <v>0.11</v>
      </c>
      <c r="L719" s="36">
        <f t="shared" si="45"/>
        <v>1</v>
      </c>
      <c r="M719" s="37">
        <f t="shared" si="46"/>
        <v>-0.11</v>
      </c>
      <c r="N719" s="58" t="s">
        <v>141</v>
      </c>
      <c r="AA719" s="146">
        <f>AB719/COUNTIFS($B:$B,$B719,$C:$C,$C719,$H:$H,$H719,$I:$I,$I719)</f>
        <v>0.11</v>
      </c>
      <c r="AB719" s="108">
        <f>VLOOKUP(I719,'Weights and Confidence'!$D$16:$AC$26,5,FALSE)</f>
        <v>0.11</v>
      </c>
      <c r="AC719" s="147">
        <f>VLOOKUP(I719,'Weights and Confidence'!$D$16:$AC$26,6,FALSE)</f>
        <v>1</v>
      </c>
    </row>
    <row r="720" spans="1:29" x14ac:dyDescent="0.2">
      <c r="A720" s="38" t="s">
        <v>14</v>
      </c>
      <c r="B720" s="38" t="s">
        <v>0</v>
      </c>
      <c r="C720" s="38" t="s">
        <v>168</v>
      </c>
      <c r="D720" s="38" t="s">
        <v>65</v>
      </c>
      <c r="E720" s="38"/>
      <c r="F720" s="51" t="s">
        <v>169</v>
      </c>
      <c r="G720" s="38">
        <v>6</v>
      </c>
      <c r="H720" s="38" t="s">
        <v>17</v>
      </c>
      <c r="I720" s="38" t="s">
        <v>24</v>
      </c>
      <c r="J720" s="38">
        <v>-1</v>
      </c>
      <c r="K720" s="39">
        <f>AB720/COUNTIFS($B:$B,$B720,$C:$C,$C720,$H:$H,$H720,$I:$I,$I720)</f>
        <v>0.15</v>
      </c>
      <c r="L720" s="40">
        <f t="shared" si="45"/>
        <v>1</v>
      </c>
      <c r="M720" s="41">
        <f t="shared" si="46"/>
        <v>-0.15</v>
      </c>
      <c r="N720" s="59"/>
      <c r="AA720" s="146">
        <f>AB720/COUNTIFS($B:$B,$B720,$C:$C,$C720,$H:$H,$H720,$I:$I,$I720)</f>
        <v>0.15</v>
      </c>
      <c r="AB720" s="108">
        <f>VLOOKUP(I720,'Weights and Confidence'!$D$16:$AC$26,5,FALSE)</f>
        <v>0.15</v>
      </c>
      <c r="AC720" s="147">
        <f>VLOOKUP(I720,'Weights and Confidence'!$D$16:$AC$26,6,FALSE)</f>
        <v>1</v>
      </c>
    </row>
    <row r="721" spans="1:29" x14ac:dyDescent="0.2">
      <c r="A721" s="34" t="s">
        <v>14</v>
      </c>
      <c r="B721" s="34" t="s">
        <v>0</v>
      </c>
      <c r="C721" s="34" t="s">
        <v>168</v>
      </c>
      <c r="D721" s="34" t="s">
        <v>65</v>
      </c>
      <c r="E721" s="34"/>
      <c r="F721" s="50" t="s">
        <v>169</v>
      </c>
      <c r="G721" s="34">
        <v>6</v>
      </c>
      <c r="H721" s="34" t="s">
        <v>18</v>
      </c>
      <c r="I721" s="34" t="s">
        <v>24</v>
      </c>
      <c r="J721" s="34">
        <v>-1</v>
      </c>
      <c r="K721" s="35">
        <f>AB721/COUNTIFS($B:$B,$B721,$C:$C,$C721,$H:$H,$H721,$I:$I,$I721)</f>
        <v>0.15</v>
      </c>
      <c r="L721" s="36">
        <f t="shared" si="45"/>
        <v>1</v>
      </c>
      <c r="M721" s="37">
        <f t="shared" si="46"/>
        <v>-0.15</v>
      </c>
      <c r="N721" s="58" t="s">
        <v>172</v>
      </c>
      <c r="AA721" s="146">
        <f>AB721/COUNTIFS($B:$B,$B721,$C:$C,$C721,$H:$H,$H721,$I:$I,$I721)</f>
        <v>0.15</v>
      </c>
      <c r="AB721" s="108">
        <f>VLOOKUP(I721,'Weights and Confidence'!$D$16:$AC$26,5,FALSE)</f>
        <v>0.15</v>
      </c>
      <c r="AC721" s="147">
        <f>VLOOKUP(I721,'Weights and Confidence'!$D$16:$AC$26,6,FALSE)</f>
        <v>1</v>
      </c>
    </row>
    <row r="722" spans="1:29" x14ac:dyDescent="0.2">
      <c r="A722" s="38" t="s">
        <v>14</v>
      </c>
      <c r="B722" s="38" t="s">
        <v>0</v>
      </c>
      <c r="C722" s="38" t="s">
        <v>168</v>
      </c>
      <c r="D722" s="38" t="s">
        <v>65</v>
      </c>
      <c r="E722" s="38"/>
      <c r="F722" s="51" t="s">
        <v>169</v>
      </c>
      <c r="G722" s="38">
        <v>7</v>
      </c>
      <c r="H722" s="38" t="s">
        <v>17</v>
      </c>
      <c r="I722" s="38" t="s">
        <v>25</v>
      </c>
      <c r="J722" s="38">
        <v>-1</v>
      </c>
      <c r="K722" s="39">
        <f>AB722/COUNTIFS($B:$B,$B722,$C:$C,$C722,$H:$H,$H722,$I:$I,$I722)</f>
        <v>0.1</v>
      </c>
      <c r="L722" s="40">
        <f t="shared" si="45"/>
        <v>1</v>
      </c>
      <c r="M722" s="41">
        <f t="shared" si="46"/>
        <v>-0.1</v>
      </c>
      <c r="N722" s="38"/>
      <c r="AA722" s="146">
        <f>AB722/COUNTIFS($B:$B,$B722,$C:$C,$C722,$H:$H,$H722,$I:$I,$I722)</f>
        <v>0.1</v>
      </c>
      <c r="AB722" s="108">
        <f>VLOOKUP(I722,'Weights and Confidence'!$D$16:$AC$26,5,FALSE)</f>
        <v>0.1</v>
      </c>
      <c r="AC722" s="147">
        <f>VLOOKUP(I722,'Weights and Confidence'!$D$16:$AC$26,6,FALSE)</f>
        <v>1</v>
      </c>
    </row>
    <row r="723" spans="1:29" x14ac:dyDescent="0.2">
      <c r="A723" s="34" t="s">
        <v>14</v>
      </c>
      <c r="B723" s="34" t="s">
        <v>0</v>
      </c>
      <c r="C723" s="34" t="s">
        <v>168</v>
      </c>
      <c r="D723" s="34" t="s">
        <v>65</v>
      </c>
      <c r="E723" s="34"/>
      <c r="F723" s="50" t="s">
        <v>169</v>
      </c>
      <c r="G723" s="34">
        <v>7</v>
      </c>
      <c r="H723" s="34" t="s">
        <v>18</v>
      </c>
      <c r="I723" s="34" t="s">
        <v>25</v>
      </c>
      <c r="J723" s="34">
        <v>-1</v>
      </c>
      <c r="K723" s="35">
        <f>AB723/COUNTIFS($B:$B,$B723,$C:$C,$C723,$H:$H,$H723,$I:$I,$I723)</f>
        <v>0.1</v>
      </c>
      <c r="L723" s="36">
        <f t="shared" si="45"/>
        <v>1</v>
      </c>
      <c r="M723" s="37">
        <f t="shared" si="46"/>
        <v>-0.1</v>
      </c>
      <c r="N723" s="58"/>
      <c r="AA723" s="146">
        <f>AB723/COUNTIFS($B:$B,$B723,$C:$C,$C723,$H:$H,$H723,$I:$I,$I723)</f>
        <v>0.1</v>
      </c>
      <c r="AB723" s="108">
        <f>VLOOKUP(I723,'Weights and Confidence'!$D$16:$AC$26,5,FALSE)</f>
        <v>0.1</v>
      </c>
      <c r="AC723" s="147">
        <f>VLOOKUP(I723,'Weights and Confidence'!$D$16:$AC$26,6,FALSE)</f>
        <v>1</v>
      </c>
    </row>
    <row r="724" spans="1:29" x14ac:dyDescent="0.2">
      <c r="A724" s="38" t="s">
        <v>14</v>
      </c>
      <c r="B724" s="38" t="s">
        <v>0</v>
      </c>
      <c r="C724" s="38" t="s">
        <v>168</v>
      </c>
      <c r="D724" s="38" t="s">
        <v>65</v>
      </c>
      <c r="E724" s="38"/>
      <c r="F724" s="51" t="s">
        <v>169</v>
      </c>
      <c r="G724" s="38">
        <v>8</v>
      </c>
      <c r="H724" s="38" t="s">
        <v>17</v>
      </c>
      <c r="I724" s="38" t="s">
        <v>26</v>
      </c>
      <c r="J724" s="38">
        <v>-1</v>
      </c>
      <c r="K724" s="39">
        <f>AB724/COUNTIFS($B:$B,$B724,$C:$C,$C724,$H:$H,$H724,$I:$I,$I724)</f>
        <v>0.1</v>
      </c>
      <c r="L724" s="40">
        <f t="shared" si="45"/>
        <v>1</v>
      </c>
      <c r="M724" s="41">
        <f t="shared" si="46"/>
        <v>-0.1</v>
      </c>
      <c r="N724" s="38"/>
      <c r="AA724" s="146">
        <f>AB724/COUNTIFS($B:$B,$B724,$C:$C,$C724,$H:$H,$H724,$I:$I,$I724)</f>
        <v>0.1</v>
      </c>
      <c r="AB724" s="108">
        <f>VLOOKUP(I724,'Weights and Confidence'!$D$16:$AC$26,5,FALSE)</f>
        <v>0.1</v>
      </c>
      <c r="AC724" s="147">
        <f>VLOOKUP(I724,'Weights and Confidence'!$D$16:$AC$26,6,FALSE)</f>
        <v>1</v>
      </c>
    </row>
    <row r="725" spans="1:29" x14ac:dyDescent="0.2">
      <c r="A725" s="34" t="s">
        <v>14</v>
      </c>
      <c r="B725" s="34" t="s">
        <v>0</v>
      </c>
      <c r="C725" s="34" t="s">
        <v>168</v>
      </c>
      <c r="D725" s="34" t="s">
        <v>65</v>
      </c>
      <c r="E725" s="34"/>
      <c r="F725" s="50" t="s">
        <v>169</v>
      </c>
      <c r="G725" s="34">
        <v>8</v>
      </c>
      <c r="H725" s="34" t="s">
        <v>18</v>
      </c>
      <c r="I725" s="34" t="s">
        <v>26</v>
      </c>
      <c r="J725" s="34">
        <v>-1</v>
      </c>
      <c r="K725" s="35">
        <f>AB725/COUNTIFS($B:$B,$B725,$C:$C,$C725,$H:$H,$H725,$I:$I,$I725)</f>
        <v>0.1</v>
      </c>
      <c r="L725" s="36">
        <f t="shared" si="45"/>
        <v>1</v>
      </c>
      <c r="M725" s="37">
        <f t="shared" si="46"/>
        <v>-0.1</v>
      </c>
      <c r="N725" s="58"/>
      <c r="AA725" s="146">
        <f>AB725/COUNTIFS($B:$B,$B725,$C:$C,$C725,$H:$H,$H725,$I:$I,$I725)</f>
        <v>0.1</v>
      </c>
      <c r="AB725" s="108">
        <f>VLOOKUP(I725,'Weights and Confidence'!$D$16:$AC$26,5,FALSE)</f>
        <v>0.1</v>
      </c>
      <c r="AC725" s="147">
        <f>VLOOKUP(I725,'Weights and Confidence'!$D$16:$AC$26,6,FALSE)</f>
        <v>1</v>
      </c>
    </row>
    <row r="726" spans="1:29" x14ac:dyDescent="0.2">
      <c r="A726" s="38" t="s">
        <v>14</v>
      </c>
      <c r="B726" s="38" t="s">
        <v>0</v>
      </c>
      <c r="C726" s="38" t="s">
        <v>168</v>
      </c>
      <c r="D726" s="38" t="s">
        <v>65</v>
      </c>
      <c r="E726" s="38"/>
      <c r="F726" s="51" t="s">
        <v>169</v>
      </c>
      <c r="G726" s="38">
        <v>9</v>
      </c>
      <c r="H726" s="38" t="s">
        <v>17</v>
      </c>
      <c r="I726" s="38" t="s">
        <v>27</v>
      </c>
      <c r="J726" s="38">
        <v>-1</v>
      </c>
      <c r="K726" s="39">
        <f>AB726/COUNTIFS($B:$B,$B726,$C:$C,$C726,$H:$H,$H726,$I:$I,$I726)</f>
        <v>0.05</v>
      </c>
      <c r="L726" s="40">
        <f t="shared" si="45"/>
        <v>0.85</v>
      </c>
      <c r="M726" s="41">
        <f t="shared" si="46"/>
        <v>-4.2500000000000003E-2</v>
      </c>
      <c r="N726" s="38"/>
      <c r="AA726" s="146">
        <f>AB726/COUNTIFS($B:$B,$B726,$C:$C,$C726,$H:$H,$H726,$I:$I,$I726)</f>
        <v>0.05</v>
      </c>
      <c r="AB726" s="108">
        <f>VLOOKUP(I726,'Weights and Confidence'!$D$16:$AC$26,5,FALSE)</f>
        <v>0.1</v>
      </c>
      <c r="AC726" s="147">
        <f>VLOOKUP(I726,'Weights and Confidence'!$D$16:$AC$26,6,FALSE)</f>
        <v>0.85</v>
      </c>
    </row>
    <row r="727" spans="1:29" x14ac:dyDescent="0.2">
      <c r="A727" s="34" t="s">
        <v>14</v>
      </c>
      <c r="B727" s="34" t="s">
        <v>0</v>
      </c>
      <c r="C727" s="34" t="s">
        <v>168</v>
      </c>
      <c r="D727" s="34" t="s">
        <v>65</v>
      </c>
      <c r="E727" s="34"/>
      <c r="F727" s="50" t="s">
        <v>169</v>
      </c>
      <c r="G727" s="34">
        <v>9</v>
      </c>
      <c r="H727" s="34" t="s">
        <v>18</v>
      </c>
      <c r="I727" s="34" t="s">
        <v>27</v>
      </c>
      <c r="J727" s="34">
        <v>0</v>
      </c>
      <c r="K727" s="35">
        <f>AB727/COUNTIFS($B:$B,$B727,$C:$C,$C727,$H:$H,$H727,$I:$I,$I727)</f>
        <v>0.05</v>
      </c>
      <c r="L727" s="36">
        <f t="shared" si="45"/>
        <v>0.85</v>
      </c>
      <c r="M727" s="37">
        <f t="shared" si="46"/>
        <v>0</v>
      </c>
      <c r="N727" s="58"/>
      <c r="AA727" s="146">
        <f>AB727/COUNTIFS($B:$B,$B727,$C:$C,$C727,$H:$H,$H727,$I:$I,$I727)</f>
        <v>0.05</v>
      </c>
      <c r="AB727" s="108">
        <f>VLOOKUP(I727,'Weights and Confidence'!$D$16:$AC$26,5,FALSE)</f>
        <v>0.1</v>
      </c>
      <c r="AC727" s="147">
        <f>VLOOKUP(I727,'Weights and Confidence'!$D$16:$AC$26,6,FALSE)</f>
        <v>0.85</v>
      </c>
    </row>
    <row r="728" spans="1:29" x14ac:dyDescent="0.2">
      <c r="A728" s="38" t="s">
        <v>14</v>
      </c>
      <c r="B728" s="38" t="s">
        <v>0</v>
      </c>
      <c r="C728" s="38" t="s">
        <v>168</v>
      </c>
      <c r="D728" s="38" t="s">
        <v>65</v>
      </c>
      <c r="E728" s="38"/>
      <c r="F728" s="51" t="s">
        <v>169</v>
      </c>
      <c r="G728" s="38">
        <v>10</v>
      </c>
      <c r="H728" s="38" t="s">
        <v>17</v>
      </c>
      <c r="I728" s="38" t="s">
        <v>27</v>
      </c>
      <c r="J728" s="38">
        <v>0</v>
      </c>
      <c r="K728" s="39">
        <f>AB728/COUNTIFS($B:$B,$B728,$C:$C,$C728,$H:$H,$H728,$I:$I,$I728)</f>
        <v>0.05</v>
      </c>
      <c r="L728" s="40">
        <f t="shared" si="45"/>
        <v>0.85</v>
      </c>
      <c r="M728" s="41">
        <f t="shared" si="46"/>
        <v>0</v>
      </c>
      <c r="N728" s="38"/>
      <c r="AA728" s="146">
        <f>AB728/COUNTIFS($B:$B,$B728,$C:$C,$C728,$H:$H,$H728,$I:$I,$I728)</f>
        <v>0.05</v>
      </c>
      <c r="AB728" s="108">
        <f>VLOOKUP(I728,'Weights and Confidence'!$D$16:$AC$26,5,FALSE)</f>
        <v>0.1</v>
      </c>
      <c r="AC728" s="147">
        <f>VLOOKUP(I728,'Weights and Confidence'!$D$16:$AC$26,6,FALSE)</f>
        <v>0.85</v>
      </c>
    </row>
    <row r="729" spans="1:29" x14ac:dyDescent="0.2">
      <c r="A729" s="34" t="s">
        <v>14</v>
      </c>
      <c r="B729" s="34" t="s">
        <v>0</v>
      </c>
      <c r="C729" s="34" t="s">
        <v>168</v>
      </c>
      <c r="D729" s="34" t="s">
        <v>65</v>
      </c>
      <c r="E729" s="34"/>
      <c r="F729" s="50" t="s">
        <v>169</v>
      </c>
      <c r="G729" s="34">
        <v>10</v>
      </c>
      <c r="H729" s="34" t="s">
        <v>18</v>
      </c>
      <c r="I729" s="34" t="s">
        <v>27</v>
      </c>
      <c r="J729" s="34">
        <v>0</v>
      </c>
      <c r="K729" s="35">
        <f>AB729/COUNTIFS($B:$B,$B729,$C:$C,$C729,$H:$H,$H729,$I:$I,$I729)</f>
        <v>0.05</v>
      </c>
      <c r="L729" s="36">
        <f t="shared" si="45"/>
        <v>0.85</v>
      </c>
      <c r="M729" s="37">
        <f t="shared" si="46"/>
        <v>0</v>
      </c>
      <c r="N729" s="34"/>
      <c r="AA729" s="146">
        <f>AB729/COUNTIFS($B:$B,$B729,$C:$C,$C729,$H:$H,$H729,$I:$I,$I729)</f>
        <v>0.05</v>
      </c>
      <c r="AB729" s="108">
        <f>VLOOKUP(I729,'Weights and Confidence'!$D$16:$AC$26,5,FALSE)</f>
        <v>0.1</v>
      </c>
      <c r="AC729" s="147">
        <f>VLOOKUP(I729,'Weights and Confidence'!$D$16:$AC$26,6,FALSE)</f>
        <v>0.85</v>
      </c>
    </row>
    <row r="730" spans="1:29" x14ac:dyDescent="0.2">
      <c r="A730" s="38" t="s">
        <v>14</v>
      </c>
      <c r="B730" s="38" t="s">
        <v>0</v>
      </c>
      <c r="C730" s="38" t="s">
        <v>168</v>
      </c>
      <c r="D730" s="38" t="s">
        <v>65</v>
      </c>
      <c r="E730" s="38"/>
      <c r="F730" s="51" t="s">
        <v>169</v>
      </c>
      <c r="G730" s="38">
        <v>11</v>
      </c>
      <c r="H730" s="38" t="s">
        <v>17</v>
      </c>
      <c r="I730" s="38" t="s">
        <v>28</v>
      </c>
      <c r="J730" s="38">
        <v>-1</v>
      </c>
      <c r="K730" s="39">
        <f>AB730/COUNTIFS($B:$B,$B730,$C:$C,$C730,$H:$H,$H730,$I:$I,$I730)</f>
        <v>0.05</v>
      </c>
      <c r="L730" s="40">
        <f t="shared" si="45"/>
        <v>1</v>
      </c>
      <c r="M730" s="41">
        <f t="shared" si="46"/>
        <v>-0.05</v>
      </c>
      <c r="N730" s="38"/>
      <c r="AA730" s="146">
        <f>AB730/COUNTIFS($B:$B,$B730,$C:$C,$C730,$H:$H,$H730,$I:$I,$I730)</f>
        <v>0.05</v>
      </c>
      <c r="AB730" s="108">
        <f>VLOOKUP(I730,'Weights and Confidence'!$D$16:$AC$26,5,FALSE)</f>
        <v>0.05</v>
      </c>
      <c r="AC730" s="147">
        <f>VLOOKUP(I730,'Weights and Confidence'!$D$16:$AC$26,6,FALSE)</f>
        <v>1</v>
      </c>
    </row>
    <row r="731" spans="1:29" ht="17" thickBot="1" x14ac:dyDescent="0.25">
      <c r="A731" s="34" t="s">
        <v>14</v>
      </c>
      <c r="B731" s="34" t="s">
        <v>0</v>
      </c>
      <c r="C731" s="34" t="s">
        <v>168</v>
      </c>
      <c r="D731" s="34" t="s">
        <v>65</v>
      </c>
      <c r="E731" s="34"/>
      <c r="F731" s="50" t="s">
        <v>169</v>
      </c>
      <c r="G731" s="34">
        <v>11</v>
      </c>
      <c r="H731" s="34" t="s">
        <v>18</v>
      </c>
      <c r="I731" s="34" t="s">
        <v>28</v>
      </c>
      <c r="J731" s="34">
        <v>-1</v>
      </c>
      <c r="K731" s="35">
        <f>AB731/COUNTIFS($B:$B,$B731,$C:$C,$C731,$H:$H,$H731,$I:$I,$I731)</f>
        <v>0.05</v>
      </c>
      <c r="L731" s="36">
        <f t="shared" si="45"/>
        <v>1</v>
      </c>
      <c r="M731" s="37">
        <f t="shared" si="46"/>
        <v>-0.05</v>
      </c>
      <c r="N731" s="58" t="s">
        <v>173</v>
      </c>
      <c r="AA731" s="140">
        <f>AB731/COUNTIFS($B:$B,$B731,$C:$C,$C731,$H:$H,$H731,$I:$I,$I731)</f>
        <v>0.05</v>
      </c>
      <c r="AB731" s="141">
        <f>VLOOKUP(I731,'Weights and Confidence'!$D$16:$AC$26,5,FALSE)</f>
        <v>0.05</v>
      </c>
      <c r="AC731" s="142">
        <f>VLOOKUP(I731,'Weights and Confidence'!$D$16:$AC$26,6,FALSE)</f>
        <v>1</v>
      </c>
    </row>
    <row r="732" spans="1:29" ht="17" thickTop="1" x14ac:dyDescent="0.2">
      <c r="A732" s="42" t="s">
        <v>14</v>
      </c>
      <c r="B732" s="42" t="s">
        <v>0</v>
      </c>
      <c r="C732" s="42" t="s">
        <v>174</v>
      </c>
      <c r="D732" s="42" t="s">
        <v>65</v>
      </c>
      <c r="E732" s="42"/>
      <c r="F732" s="49" t="s">
        <v>175</v>
      </c>
      <c r="G732" s="42">
        <v>1</v>
      </c>
      <c r="H732" s="42" t="s">
        <v>17</v>
      </c>
      <c r="I732" s="42" t="s">
        <v>19</v>
      </c>
      <c r="J732" s="42">
        <v>0</v>
      </c>
      <c r="K732" s="44">
        <f>AB732/COUNTIFS($B:$B,$B732,$C:$C,$C732,$H:$H,$H732,$I:$I,$I732)</f>
        <v>0.12</v>
      </c>
      <c r="L732" s="45">
        <f t="shared" si="45"/>
        <v>1</v>
      </c>
      <c r="M732" s="46">
        <f t="shared" ref="M732:M753" si="47">J732*K732*L732</f>
        <v>0</v>
      </c>
      <c r="N732" s="42"/>
      <c r="AA732" s="143">
        <f>AB732/COUNTIFS($B:$B,$B732,$C:$C,$C732,$H:$H,$H732,$I:$I,$I732)</f>
        <v>0.12</v>
      </c>
      <c r="AB732" s="144">
        <f>VLOOKUP(I732,'Weights and Confidence'!$D$16:$AC$26,5,FALSE)</f>
        <v>0.12</v>
      </c>
      <c r="AC732" s="145">
        <f>VLOOKUP(I732,'Weights and Confidence'!$D$16:$AC$26,6,FALSE)</f>
        <v>1</v>
      </c>
    </row>
    <row r="733" spans="1:29" x14ac:dyDescent="0.2">
      <c r="A733" s="34" t="s">
        <v>14</v>
      </c>
      <c r="B733" s="34" t="s">
        <v>0</v>
      </c>
      <c r="C733" s="34" t="s">
        <v>174</v>
      </c>
      <c r="D733" s="34" t="s">
        <v>65</v>
      </c>
      <c r="E733" s="34"/>
      <c r="F733" s="50" t="s">
        <v>175</v>
      </c>
      <c r="G733" s="34">
        <v>1</v>
      </c>
      <c r="H733" s="34" t="s">
        <v>18</v>
      </c>
      <c r="I733" s="34" t="s">
        <v>19</v>
      </c>
      <c r="J733" s="34">
        <v>0</v>
      </c>
      <c r="K733" s="35">
        <f>AB733/COUNTIFS($B:$B,$B733,$C:$C,$C733,$H:$H,$H733,$I:$I,$I733)</f>
        <v>0.12</v>
      </c>
      <c r="L733" s="36">
        <f t="shared" si="45"/>
        <v>1</v>
      </c>
      <c r="M733" s="37">
        <f t="shared" si="47"/>
        <v>0</v>
      </c>
      <c r="N733" s="58" t="s">
        <v>176</v>
      </c>
      <c r="AA733" s="146">
        <f>AB733/COUNTIFS($B:$B,$B733,$C:$C,$C733,$H:$H,$H733,$I:$I,$I733)</f>
        <v>0.12</v>
      </c>
      <c r="AB733" s="108">
        <f>VLOOKUP(I733,'Weights and Confidence'!$D$16:$AC$26,5,FALSE)</f>
        <v>0.12</v>
      </c>
      <c r="AC733" s="147">
        <f>VLOOKUP(I733,'Weights and Confidence'!$D$16:$AC$26,6,FALSE)</f>
        <v>1</v>
      </c>
    </row>
    <row r="734" spans="1:29" x14ac:dyDescent="0.2">
      <c r="A734" s="38" t="s">
        <v>14</v>
      </c>
      <c r="B734" s="38" t="s">
        <v>0</v>
      </c>
      <c r="C734" s="38" t="s">
        <v>174</v>
      </c>
      <c r="D734" s="38" t="s">
        <v>65</v>
      </c>
      <c r="E734" s="38"/>
      <c r="F734" s="51" t="s">
        <v>175</v>
      </c>
      <c r="G734" s="38">
        <v>2</v>
      </c>
      <c r="H734" s="38" t="s">
        <v>17</v>
      </c>
      <c r="I734" s="38" t="s">
        <v>20</v>
      </c>
      <c r="J734" s="38">
        <v>0</v>
      </c>
      <c r="K734" s="39">
        <f>AB734/COUNTIFS($B:$B,$B734,$C:$C,$C734,$H:$H,$H734,$I:$I,$I734)</f>
        <v>0.08</v>
      </c>
      <c r="L734" s="40">
        <f t="shared" si="45"/>
        <v>0.8</v>
      </c>
      <c r="M734" s="41">
        <f t="shared" si="47"/>
        <v>0</v>
      </c>
      <c r="N734" s="38"/>
      <c r="AA734" s="146">
        <f>AB734/COUNTIFS($B:$B,$B734,$C:$C,$C734,$H:$H,$H734,$I:$I,$I734)</f>
        <v>0.08</v>
      </c>
      <c r="AB734" s="108">
        <f>VLOOKUP(I734,'Weights and Confidence'!$D$16:$AC$26,5,FALSE)</f>
        <v>0.08</v>
      </c>
      <c r="AC734" s="147">
        <f>VLOOKUP(I734,'Weights and Confidence'!$D$16:$AC$26,6,FALSE)</f>
        <v>0.8</v>
      </c>
    </row>
    <row r="735" spans="1:29" x14ac:dyDescent="0.2">
      <c r="A735" s="34" t="s">
        <v>14</v>
      </c>
      <c r="B735" s="34" t="s">
        <v>0</v>
      </c>
      <c r="C735" s="34" t="s">
        <v>174</v>
      </c>
      <c r="D735" s="34" t="s">
        <v>65</v>
      </c>
      <c r="E735" s="34"/>
      <c r="F735" s="50" t="s">
        <v>175</v>
      </c>
      <c r="G735" s="34">
        <v>2</v>
      </c>
      <c r="H735" s="34" t="s">
        <v>18</v>
      </c>
      <c r="I735" s="34" t="s">
        <v>20</v>
      </c>
      <c r="J735" s="34">
        <v>0</v>
      </c>
      <c r="K735" s="35">
        <f>AB735/COUNTIFS($B:$B,$B735,$C:$C,$C735,$H:$H,$H735,$I:$I,$I735)</f>
        <v>0.08</v>
      </c>
      <c r="L735" s="36">
        <f t="shared" si="45"/>
        <v>0.8</v>
      </c>
      <c r="M735" s="37">
        <f t="shared" si="47"/>
        <v>0</v>
      </c>
      <c r="N735" s="58"/>
      <c r="AA735" s="146">
        <f>AB735/COUNTIFS($B:$B,$B735,$C:$C,$C735,$H:$H,$H735,$I:$I,$I735)</f>
        <v>0.08</v>
      </c>
      <c r="AB735" s="108">
        <f>VLOOKUP(I735,'Weights and Confidence'!$D$16:$AC$26,5,FALSE)</f>
        <v>0.08</v>
      </c>
      <c r="AC735" s="147">
        <f>VLOOKUP(I735,'Weights and Confidence'!$D$16:$AC$26,6,FALSE)</f>
        <v>0.8</v>
      </c>
    </row>
    <row r="736" spans="1:29" x14ac:dyDescent="0.2">
      <c r="A736" s="38" t="s">
        <v>14</v>
      </c>
      <c r="B736" s="38" t="s">
        <v>0</v>
      </c>
      <c r="C736" s="38" t="s">
        <v>174</v>
      </c>
      <c r="D736" s="38" t="s">
        <v>65</v>
      </c>
      <c r="E736" s="38"/>
      <c r="F736" s="51" t="s">
        <v>175</v>
      </c>
      <c r="G736" s="38">
        <v>3</v>
      </c>
      <c r="H736" s="38" t="s">
        <v>17</v>
      </c>
      <c r="I736" s="38" t="s">
        <v>21</v>
      </c>
      <c r="J736" s="38">
        <v>1</v>
      </c>
      <c r="K736" s="39">
        <f>AB736/COUNTIFS($B:$B,$B736,$C:$C,$C736,$H:$H,$H736,$I:$I,$I736)</f>
        <v>0.05</v>
      </c>
      <c r="L736" s="40">
        <f t="shared" si="45"/>
        <v>1</v>
      </c>
      <c r="M736" s="41">
        <f t="shared" si="47"/>
        <v>0.05</v>
      </c>
      <c r="N736" s="38"/>
      <c r="AA736" s="146">
        <f>AB736/COUNTIFS($B:$B,$B736,$C:$C,$C736,$H:$H,$H736,$I:$I,$I736)</f>
        <v>0.05</v>
      </c>
      <c r="AB736" s="108">
        <f>VLOOKUP(I736,'Weights and Confidence'!$D$16:$AC$26,5,FALSE)</f>
        <v>0.05</v>
      </c>
      <c r="AC736" s="147">
        <f>VLOOKUP(I736,'Weights and Confidence'!$D$16:$AC$26,6,FALSE)</f>
        <v>1</v>
      </c>
    </row>
    <row r="737" spans="1:29" x14ac:dyDescent="0.2">
      <c r="A737" s="34" t="s">
        <v>14</v>
      </c>
      <c r="B737" s="34" t="s">
        <v>0</v>
      </c>
      <c r="C737" s="34" t="s">
        <v>174</v>
      </c>
      <c r="D737" s="34" t="s">
        <v>65</v>
      </c>
      <c r="E737" s="34"/>
      <c r="F737" s="50" t="s">
        <v>175</v>
      </c>
      <c r="G737" s="34">
        <v>3</v>
      </c>
      <c r="H737" s="34" t="s">
        <v>18</v>
      </c>
      <c r="I737" s="34" t="s">
        <v>21</v>
      </c>
      <c r="J737" s="34">
        <v>0</v>
      </c>
      <c r="K737" s="35">
        <f>AB737/COUNTIFS($B:$B,$B737,$C:$C,$C737,$H:$H,$H737,$I:$I,$I737)</f>
        <v>0.05</v>
      </c>
      <c r="L737" s="36">
        <f t="shared" si="45"/>
        <v>1</v>
      </c>
      <c r="M737" s="37">
        <f t="shared" si="47"/>
        <v>0</v>
      </c>
      <c r="N737" s="58"/>
      <c r="AA737" s="146">
        <f>AB737/COUNTIFS($B:$B,$B737,$C:$C,$C737,$H:$H,$H737,$I:$I,$I737)</f>
        <v>0.05</v>
      </c>
      <c r="AB737" s="108">
        <f>VLOOKUP(I737,'Weights and Confidence'!$D$16:$AC$26,5,FALSE)</f>
        <v>0.05</v>
      </c>
      <c r="AC737" s="147">
        <f>VLOOKUP(I737,'Weights and Confidence'!$D$16:$AC$26,6,FALSE)</f>
        <v>1</v>
      </c>
    </row>
    <row r="738" spans="1:29" x14ac:dyDescent="0.2">
      <c r="A738" s="38" t="s">
        <v>14</v>
      </c>
      <c r="B738" s="38" t="s">
        <v>0</v>
      </c>
      <c r="C738" s="38" t="s">
        <v>174</v>
      </c>
      <c r="D738" s="38" t="s">
        <v>65</v>
      </c>
      <c r="E738" s="38"/>
      <c r="F738" s="51" t="s">
        <v>175</v>
      </c>
      <c r="G738" s="38">
        <v>4</v>
      </c>
      <c r="H738" s="38" t="s">
        <v>17</v>
      </c>
      <c r="I738" s="38" t="s">
        <v>22</v>
      </c>
      <c r="J738" s="38">
        <v>-1</v>
      </c>
      <c r="K738" s="39">
        <f>AB738/COUNTIFS($B:$B,$B738,$C:$C,$C738,$H:$H,$H738,$I:$I,$I738)</f>
        <v>0.14000000000000001</v>
      </c>
      <c r="L738" s="40">
        <f t="shared" si="45"/>
        <v>1</v>
      </c>
      <c r="M738" s="41">
        <f t="shared" si="47"/>
        <v>-0.14000000000000001</v>
      </c>
      <c r="N738" s="38"/>
      <c r="AA738" s="146">
        <f>AB738/COUNTIFS($B:$B,$B738,$C:$C,$C738,$H:$H,$H738,$I:$I,$I738)</f>
        <v>0.14000000000000001</v>
      </c>
      <c r="AB738" s="108">
        <f>VLOOKUP(I738,'Weights and Confidence'!$D$16:$AC$26,5,FALSE)</f>
        <v>0.14000000000000001</v>
      </c>
      <c r="AC738" s="147">
        <f>VLOOKUP(I738,'Weights and Confidence'!$D$16:$AC$26,6,FALSE)</f>
        <v>1</v>
      </c>
    </row>
    <row r="739" spans="1:29" x14ac:dyDescent="0.2">
      <c r="A739" s="34" t="s">
        <v>14</v>
      </c>
      <c r="B739" s="34" t="s">
        <v>0</v>
      </c>
      <c r="C739" s="34" t="s">
        <v>174</v>
      </c>
      <c r="D739" s="34" t="s">
        <v>65</v>
      </c>
      <c r="E739" s="34"/>
      <c r="F739" s="50" t="s">
        <v>175</v>
      </c>
      <c r="G739" s="34">
        <v>4</v>
      </c>
      <c r="H739" s="34" t="s">
        <v>18</v>
      </c>
      <c r="I739" s="34" t="s">
        <v>22</v>
      </c>
      <c r="J739" s="34">
        <v>-1</v>
      </c>
      <c r="K739" s="35">
        <f>AB739/COUNTIFS($B:$B,$B739,$C:$C,$C739,$H:$H,$H739,$I:$I,$I739)</f>
        <v>0.14000000000000001</v>
      </c>
      <c r="L739" s="36">
        <f t="shared" si="45"/>
        <v>1</v>
      </c>
      <c r="M739" s="37">
        <f t="shared" si="47"/>
        <v>-0.14000000000000001</v>
      </c>
      <c r="N739" s="58"/>
      <c r="AA739" s="146">
        <f>AB739/COUNTIFS($B:$B,$B739,$C:$C,$C739,$H:$H,$H739,$I:$I,$I739)</f>
        <v>0.14000000000000001</v>
      </c>
      <c r="AB739" s="108">
        <f>VLOOKUP(I739,'Weights and Confidence'!$D$16:$AC$26,5,FALSE)</f>
        <v>0.14000000000000001</v>
      </c>
      <c r="AC739" s="147">
        <f>VLOOKUP(I739,'Weights and Confidence'!$D$16:$AC$26,6,FALSE)</f>
        <v>1</v>
      </c>
    </row>
    <row r="740" spans="1:29" x14ac:dyDescent="0.2">
      <c r="A740" s="38" t="s">
        <v>14</v>
      </c>
      <c r="B740" s="38" t="s">
        <v>0</v>
      </c>
      <c r="C740" s="38" t="s">
        <v>174</v>
      </c>
      <c r="D740" s="38" t="s">
        <v>65</v>
      </c>
      <c r="E740" s="38"/>
      <c r="F740" s="51" t="s">
        <v>175</v>
      </c>
      <c r="G740" s="38">
        <v>5</v>
      </c>
      <c r="H740" s="38" t="s">
        <v>17</v>
      </c>
      <c r="I740" s="38" t="s">
        <v>23</v>
      </c>
      <c r="J740" s="38">
        <v>-1</v>
      </c>
      <c r="K740" s="39">
        <f>AB740/COUNTIFS($B:$B,$B740,$C:$C,$C740,$H:$H,$H740,$I:$I,$I740)</f>
        <v>0.11</v>
      </c>
      <c r="L740" s="40">
        <f t="shared" si="45"/>
        <v>1</v>
      </c>
      <c r="M740" s="41">
        <f t="shared" si="47"/>
        <v>-0.11</v>
      </c>
      <c r="N740" s="38"/>
      <c r="AA740" s="146">
        <f>AB740/COUNTIFS($B:$B,$B740,$C:$C,$C740,$H:$H,$H740,$I:$I,$I740)</f>
        <v>0.11</v>
      </c>
      <c r="AB740" s="108">
        <f>VLOOKUP(I740,'Weights and Confidence'!$D$16:$AC$26,5,FALSE)</f>
        <v>0.11</v>
      </c>
      <c r="AC740" s="147">
        <f>VLOOKUP(I740,'Weights and Confidence'!$D$16:$AC$26,6,FALSE)</f>
        <v>1</v>
      </c>
    </row>
    <row r="741" spans="1:29" x14ac:dyDescent="0.2">
      <c r="A741" s="34" t="s">
        <v>14</v>
      </c>
      <c r="B741" s="34" t="s">
        <v>0</v>
      </c>
      <c r="C741" s="34" t="s">
        <v>174</v>
      </c>
      <c r="D741" s="34" t="s">
        <v>65</v>
      </c>
      <c r="E741" s="34"/>
      <c r="F741" s="50" t="s">
        <v>175</v>
      </c>
      <c r="G741" s="34">
        <v>5</v>
      </c>
      <c r="H741" s="34" t="s">
        <v>18</v>
      </c>
      <c r="I741" s="34" t="s">
        <v>23</v>
      </c>
      <c r="J741" s="34">
        <v>-1</v>
      </c>
      <c r="K741" s="35">
        <f>AB741/COUNTIFS($B:$B,$B741,$C:$C,$C741,$H:$H,$H741,$I:$I,$I741)</f>
        <v>0.11</v>
      </c>
      <c r="L741" s="36">
        <f t="shared" si="45"/>
        <v>1</v>
      </c>
      <c r="M741" s="37">
        <f t="shared" si="47"/>
        <v>-0.11</v>
      </c>
      <c r="N741" s="58"/>
      <c r="AA741" s="146">
        <f>AB741/COUNTIFS($B:$B,$B741,$C:$C,$C741,$H:$H,$H741,$I:$I,$I741)</f>
        <v>0.11</v>
      </c>
      <c r="AB741" s="108">
        <f>VLOOKUP(I741,'Weights and Confidence'!$D$16:$AC$26,5,FALSE)</f>
        <v>0.11</v>
      </c>
      <c r="AC741" s="147">
        <f>VLOOKUP(I741,'Weights and Confidence'!$D$16:$AC$26,6,FALSE)</f>
        <v>1</v>
      </c>
    </row>
    <row r="742" spans="1:29" x14ac:dyDescent="0.2">
      <c r="A742" s="38" t="s">
        <v>14</v>
      </c>
      <c r="B742" s="38" t="s">
        <v>0</v>
      </c>
      <c r="C742" s="38" t="s">
        <v>174</v>
      </c>
      <c r="D742" s="38" t="s">
        <v>65</v>
      </c>
      <c r="E742" s="38"/>
      <c r="F742" s="51" t="s">
        <v>175</v>
      </c>
      <c r="G742" s="38">
        <v>6</v>
      </c>
      <c r="H742" s="38" t="s">
        <v>17</v>
      </c>
      <c r="I742" s="38" t="s">
        <v>24</v>
      </c>
      <c r="J742" s="38">
        <v>-1</v>
      </c>
      <c r="K742" s="39">
        <f>AB742/COUNTIFS($B:$B,$B742,$C:$C,$C742,$H:$H,$H742,$I:$I,$I742)</f>
        <v>0.15</v>
      </c>
      <c r="L742" s="40">
        <f t="shared" si="45"/>
        <v>1</v>
      </c>
      <c r="M742" s="41">
        <f t="shared" si="47"/>
        <v>-0.15</v>
      </c>
      <c r="N742" s="59"/>
      <c r="AA742" s="146">
        <f>AB742/COUNTIFS($B:$B,$B742,$C:$C,$C742,$H:$H,$H742,$I:$I,$I742)</f>
        <v>0.15</v>
      </c>
      <c r="AB742" s="108">
        <f>VLOOKUP(I742,'Weights and Confidence'!$D$16:$AC$26,5,FALSE)</f>
        <v>0.15</v>
      </c>
      <c r="AC742" s="147">
        <f>VLOOKUP(I742,'Weights and Confidence'!$D$16:$AC$26,6,FALSE)</f>
        <v>1</v>
      </c>
    </row>
    <row r="743" spans="1:29" x14ac:dyDescent="0.2">
      <c r="A743" s="34" t="s">
        <v>14</v>
      </c>
      <c r="B743" s="34" t="s">
        <v>0</v>
      </c>
      <c r="C743" s="34" t="s">
        <v>174</v>
      </c>
      <c r="D743" s="34" t="s">
        <v>65</v>
      </c>
      <c r="E743" s="34"/>
      <c r="F743" s="50" t="s">
        <v>175</v>
      </c>
      <c r="G743" s="34">
        <v>6</v>
      </c>
      <c r="H743" s="34" t="s">
        <v>18</v>
      </c>
      <c r="I743" s="34" t="s">
        <v>24</v>
      </c>
      <c r="J743" s="34">
        <v>-1</v>
      </c>
      <c r="K743" s="35">
        <f>AB743/COUNTIFS($B:$B,$B743,$C:$C,$C743,$H:$H,$H743,$I:$I,$I743)</f>
        <v>0.15</v>
      </c>
      <c r="L743" s="36">
        <f t="shared" si="45"/>
        <v>1</v>
      </c>
      <c r="M743" s="37">
        <f t="shared" si="47"/>
        <v>-0.15</v>
      </c>
      <c r="N743" s="58" t="s">
        <v>177</v>
      </c>
      <c r="AA743" s="146">
        <f>AB743/COUNTIFS($B:$B,$B743,$C:$C,$C743,$H:$H,$H743,$I:$I,$I743)</f>
        <v>0.15</v>
      </c>
      <c r="AB743" s="108">
        <f>VLOOKUP(I743,'Weights and Confidence'!$D$16:$AC$26,5,FALSE)</f>
        <v>0.15</v>
      </c>
      <c r="AC743" s="147">
        <f>VLOOKUP(I743,'Weights and Confidence'!$D$16:$AC$26,6,FALSE)</f>
        <v>1</v>
      </c>
    </row>
    <row r="744" spans="1:29" x14ac:dyDescent="0.2">
      <c r="A744" s="38" t="s">
        <v>14</v>
      </c>
      <c r="B744" s="38" t="s">
        <v>0</v>
      </c>
      <c r="C744" s="38" t="s">
        <v>174</v>
      </c>
      <c r="D744" s="38" t="s">
        <v>65</v>
      </c>
      <c r="E744" s="38"/>
      <c r="F744" s="51" t="s">
        <v>175</v>
      </c>
      <c r="G744" s="38">
        <v>7</v>
      </c>
      <c r="H744" s="38" t="s">
        <v>17</v>
      </c>
      <c r="I744" s="38" t="s">
        <v>25</v>
      </c>
      <c r="J744" s="38">
        <v>0</v>
      </c>
      <c r="K744" s="39">
        <f>AB744/COUNTIFS($B:$B,$B744,$C:$C,$C744,$H:$H,$H744,$I:$I,$I744)</f>
        <v>0.1</v>
      </c>
      <c r="L744" s="40">
        <f t="shared" si="45"/>
        <v>1</v>
      </c>
      <c r="M744" s="41">
        <f t="shared" si="47"/>
        <v>0</v>
      </c>
      <c r="N744" s="38"/>
      <c r="AA744" s="146">
        <f>AB744/COUNTIFS($B:$B,$B744,$C:$C,$C744,$H:$H,$H744,$I:$I,$I744)</f>
        <v>0.1</v>
      </c>
      <c r="AB744" s="108">
        <f>VLOOKUP(I744,'Weights and Confidence'!$D$16:$AC$26,5,FALSE)</f>
        <v>0.1</v>
      </c>
      <c r="AC744" s="147">
        <f>VLOOKUP(I744,'Weights and Confidence'!$D$16:$AC$26,6,FALSE)</f>
        <v>1</v>
      </c>
    </row>
    <row r="745" spans="1:29" x14ac:dyDescent="0.2">
      <c r="A745" s="34" t="s">
        <v>14</v>
      </c>
      <c r="B745" s="34" t="s">
        <v>0</v>
      </c>
      <c r="C745" s="34" t="s">
        <v>174</v>
      </c>
      <c r="D745" s="34" t="s">
        <v>65</v>
      </c>
      <c r="E745" s="34"/>
      <c r="F745" s="50" t="s">
        <v>175</v>
      </c>
      <c r="G745" s="34">
        <v>7</v>
      </c>
      <c r="H745" s="34" t="s">
        <v>18</v>
      </c>
      <c r="I745" s="34" t="s">
        <v>25</v>
      </c>
      <c r="J745" s="34">
        <v>-1</v>
      </c>
      <c r="K745" s="35">
        <f>AB745/COUNTIFS($B:$B,$B745,$C:$C,$C745,$H:$H,$H745,$I:$I,$I745)</f>
        <v>0.1</v>
      </c>
      <c r="L745" s="36">
        <f t="shared" si="45"/>
        <v>1</v>
      </c>
      <c r="M745" s="37">
        <f t="shared" si="47"/>
        <v>-0.1</v>
      </c>
      <c r="N745" s="58"/>
      <c r="AA745" s="146">
        <f>AB745/COUNTIFS($B:$B,$B745,$C:$C,$C745,$H:$H,$H745,$I:$I,$I745)</f>
        <v>0.1</v>
      </c>
      <c r="AB745" s="108">
        <f>VLOOKUP(I745,'Weights and Confidence'!$D$16:$AC$26,5,FALSE)</f>
        <v>0.1</v>
      </c>
      <c r="AC745" s="147">
        <f>VLOOKUP(I745,'Weights and Confidence'!$D$16:$AC$26,6,FALSE)</f>
        <v>1</v>
      </c>
    </row>
    <row r="746" spans="1:29" x14ac:dyDescent="0.2">
      <c r="A746" s="38" t="s">
        <v>14</v>
      </c>
      <c r="B746" s="38" t="s">
        <v>0</v>
      </c>
      <c r="C746" s="38" t="s">
        <v>174</v>
      </c>
      <c r="D746" s="38" t="s">
        <v>65</v>
      </c>
      <c r="E746" s="38"/>
      <c r="F746" s="51" t="s">
        <v>175</v>
      </c>
      <c r="G746" s="38">
        <v>8</v>
      </c>
      <c r="H746" s="38" t="s">
        <v>17</v>
      </c>
      <c r="I746" s="38" t="s">
        <v>26</v>
      </c>
      <c r="J746" s="38">
        <v>0</v>
      </c>
      <c r="K746" s="39">
        <f>AB746/COUNTIFS($B:$B,$B746,$C:$C,$C746,$H:$H,$H746,$I:$I,$I746)</f>
        <v>0.1</v>
      </c>
      <c r="L746" s="40">
        <f t="shared" si="45"/>
        <v>1</v>
      </c>
      <c r="M746" s="41">
        <f t="shared" si="47"/>
        <v>0</v>
      </c>
      <c r="N746" s="38"/>
      <c r="AA746" s="146">
        <f>AB746/COUNTIFS($B:$B,$B746,$C:$C,$C746,$H:$H,$H746,$I:$I,$I746)</f>
        <v>0.1</v>
      </c>
      <c r="AB746" s="108">
        <f>VLOOKUP(I746,'Weights and Confidence'!$D$16:$AC$26,5,FALSE)</f>
        <v>0.1</v>
      </c>
      <c r="AC746" s="147">
        <f>VLOOKUP(I746,'Weights and Confidence'!$D$16:$AC$26,6,FALSE)</f>
        <v>1</v>
      </c>
    </row>
    <row r="747" spans="1:29" x14ac:dyDescent="0.2">
      <c r="A747" s="34" t="s">
        <v>14</v>
      </c>
      <c r="B747" s="34" t="s">
        <v>0</v>
      </c>
      <c r="C747" s="34" t="s">
        <v>174</v>
      </c>
      <c r="D747" s="34" t="s">
        <v>65</v>
      </c>
      <c r="E747" s="34"/>
      <c r="F747" s="50" t="s">
        <v>175</v>
      </c>
      <c r="G747" s="34">
        <v>8</v>
      </c>
      <c r="H747" s="34" t="s">
        <v>18</v>
      </c>
      <c r="I747" s="34" t="s">
        <v>26</v>
      </c>
      <c r="J747" s="34">
        <v>0</v>
      </c>
      <c r="K747" s="35">
        <f>AB747/COUNTIFS($B:$B,$B747,$C:$C,$C747,$H:$H,$H747,$I:$I,$I747)</f>
        <v>0.1</v>
      </c>
      <c r="L747" s="36">
        <f t="shared" si="45"/>
        <v>1</v>
      </c>
      <c r="M747" s="37">
        <f t="shared" si="47"/>
        <v>0</v>
      </c>
      <c r="N747" s="58"/>
      <c r="AA747" s="146">
        <f>AB747/COUNTIFS($B:$B,$B747,$C:$C,$C747,$H:$H,$H747,$I:$I,$I747)</f>
        <v>0.1</v>
      </c>
      <c r="AB747" s="108">
        <f>VLOOKUP(I747,'Weights and Confidence'!$D$16:$AC$26,5,FALSE)</f>
        <v>0.1</v>
      </c>
      <c r="AC747" s="147">
        <f>VLOOKUP(I747,'Weights and Confidence'!$D$16:$AC$26,6,FALSE)</f>
        <v>1</v>
      </c>
    </row>
    <row r="748" spans="1:29" x14ac:dyDescent="0.2">
      <c r="A748" s="38" t="s">
        <v>14</v>
      </c>
      <c r="B748" s="38" t="s">
        <v>0</v>
      </c>
      <c r="C748" s="38" t="s">
        <v>174</v>
      </c>
      <c r="D748" s="38" t="s">
        <v>65</v>
      </c>
      <c r="E748" s="38"/>
      <c r="F748" s="51" t="s">
        <v>175</v>
      </c>
      <c r="G748" s="38">
        <v>9</v>
      </c>
      <c r="H748" s="38" t="s">
        <v>17</v>
      </c>
      <c r="I748" s="38" t="s">
        <v>27</v>
      </c>
      <c r="J748" s="38">
        <v>-1</v>
      </c>
      <c r="K748" s="39">
        <f>AB748/COUNTIFS($B:$B,$B748,$C:$C,$C748,$H:$H,$H748,$I:$I,$I748)</f>
        <v>0.05</v>
      </c>
      <c r="L748" s="40">
        <f t="shared" si="45"/>
        <v>0.85</v>
      </c>
      <c r="M748" s="41">
        <f t="shared" si="47"/>
        <v>-4.2500000000000003E-2</v>
      </c>
      <c r="N748" s="38"/>
      <c r="AA748" s="146">
        <f>AB748/COUNTIFS($B:$B,$B748,$C:$C,$C748,$H:$H,$H748,$I:$I,$I748)</f>
        <v>0.05</v>
      </c>
      <c r="AB748" s="108">
        <f>VLOOKUP(I748,'Weights and Confidence'!$D$16:$AC$26,5,FALSE)</f>
        <v>0.1</v>
      </c>
      <c r="AC748" s="147">
        <f>VLOOKUP(I748,'Weights and Confidence'!$D$16:$AC$26,6,FALSE)</f>
        <v>0.85</v>
      </c>
    </row>
    <row r="749" spans="1:29" x14ac:dyDescent="0.2">
      <c r="A749" s="34" t="s">
        <v>14</v>
      </c>
      <c r="B749" s="34" t="s">
        <v>0</v>
      </c>
      <c r="C749" s="34" t="s">
        <v>174</v>
      </c>
      <c r="D749" s="34" t="s">
        <v>65</v>
      </c>
      <c r="E749" s="34"/>
      <c r="F749" s="50" t="s">
        <v>175</v>
      </c>
      <c r="G749" s="34">
        <v>9</v>
      </c>
      <c r="H749" s="34" t="s">
        <v>18</v>
      </c>
      <c r="I749" s="34" t="s">
        <v>27</v>
      </c>
      <c r="J749" s="34">
        <v>1</v>
      </c>
      <c r="K749" s="35">
        <f>AB749/COUNTIFS($B:$B,$B749,$C:$C,$C749,$H:$H,$H749,$I:$I,$I749)</f>
        <v>0.05</v>
      </c>
      <c r="L749" s="36">
        <f t="shared" si="45"/>
        <v>0.85</v>
      </c>
      <c r="M749" s="37">
        <f t="shared" si="47"/>
        <v>4.2500000000000003E-2</v>
      </c>
      <c r="N749" s="58"/>
      <c r="AA749" s="146">
        <f>AB749/COUNTIFS($B:$B,$B749,$C:$C,$C749,$H:$H,$H749,$I:$I,$I749)</f>
        <v>0.05</v>
      </c>
      <c r="AB749" s="108">
        <f>VLOOKUP(I749,'Weights and Confidence'!$D$16:$AC$26,5,FALSE)</f>
        <v>0.1</v>
      </c>
      <c r="AC749" s="147">
        <f>VLOOKUP(I749,'Weights and Confidence'!$D$16:$AC$26,6,FALSE)</f>
        <v>0.85</v>
      </c>
    </row>
    <row r="750" spans="1:29" x14ac:dyDescent="0.2">
      <c r="A750" s="38" t="s">
        <v>14</v>
      </c>
      <c r="B750" s="38" t="s">
        <v>0</v>
      </c>
      <c r="C750" s="38" t="s">
        <v>174</v>
      </c>
      <c r="D750" s="38" t="s">
        <v>65</v>
      </c>
      <c r="E750" s="38"/>
      <c r="F750" s="51" t="s">
        <v>175</v>
      </c>
      <c r="G750" s="38">
        <v>10</v>
      </c>
      <c r="H750" s="38" t="s">
        <v>17</v>
      </c>
      <c r="I750" s="38" t="s">
        <v>27</v>
      </c>
      <c r="J750" s="38">
        <v>-1</v>
      </c>
      <c r="K750" s="39">
        <f>AB750/COUNTIFS($B:$B,$B750,$C:$C,$C750,$H:$H,$H750,$I:$I,$I750)</f>
        <v>0.05</v>
      </c>
      <c r="L750" s="40">
        <f t="shared" si="45"/>
        <v>0.85</v>
      </c>
      <c r="M750" s="41">
        <f t="shared" si="47"/>
        <v>-4.2500000000000003E-2</v>
      </c>
      <c r="N750" s="38"/>
      <c r="AA750" s="146">
        <f>AB750/COUNTIFS($B:$B,$B750,$C:$C,$C750,$H:$H,$H750,$I:$I,$I750)</f>
        <v>0.05</v>
      </c>
      <c r="AB750" s="108">
        <f>VLOOKUP(I750,'Weights and Confidence'!$D$16:$AC$26,5,FALSE)</f>
        <v>0.1</v>
      </c>
      <c r="AC750" s="147">
        <f>VLOOKUP(I750,'Weights and Confidence'!$D$16:$AC$26,6,FALSE)</f>
        <v>0.85</v>
      </c>
    </row>
    <row r="751" spans="1:29" x14ac:dyDescent="0.2">
      <c r="A751" s="34" t="s">
        <v>14</v>
      </c>
      <c r="B751" s="34" t="s">
        <v>0</v>
      </c>
      <c r="C751" s="34" t="s">
        <v>174</v>
      </c>
      <c r="D751" s="34" t="s">
        <v>65</v>
      </c>
      <c r="E751" s="34"/>
      <c r="F751" s="50" t="s">
        <v>175</v>
      </c>
      <c r="G751" s="34">
        <v>10</v>
      </c>
      <c r="H751" s="34" t="s">
        <v>18</v>
      </c>
      <c r="I751" s="34" t="s">
        <v>27</v>
      </c>
      <c r="J751" s="34">
        <v>1</v>
      </c>
      <c r="K751" s="35">
        <f>AB751/COUNTIFS($B:$B,$B751,$C:$C,$C751,$H:$H,$H751,$I:$I,$I751)</f>
        <v>0.05</v>
      </c>
      <c r="L751" s="36">
        <f t="shared" si="45"/>
        <v>0.85</v>
      </c>
      <c r="M751" s="37">
        <f t="shared" si="47"/>
        <v>4.2500000000000003E-2</v>
      </c>
      <c r="N751" s="34"/>
      <c r="AA751" s="146">
        <f>AB751/COUNTIFS($B:$B,$B751,$C:$C,$C751,$H:$H,$H751,$I:$I,$I751)</f>
        <v>0.05</v>
      </c>
      <c r="AB751" s="108">
        <f>VLOOKUP(I751,'Weights and Confidence'!$D$16:$AC$26,5,FALSE)</f>
        <v>0.1</v>
      </c>
      <c r="AC751" s="147">
        <f>VLOOKUP(I751,'Weights and Confidence'!$D$16:$AC$26,6,FALSE)</f>
        <v>0.85</v>
      </c>
    </row>
    <row r="752" spans="1:29" x14ac:dyDescent="0.2">
      <c r="A752" s="38" t="s">
        <v>14</v>
      </c>
      <c r="B752" s="38" t="s">
        <v>0</v>
      </c>
      <c r="C752" s="38" t="s">
        <v>174</v>
      </c>
      <c r="D752" s="38" t="s">
        <v>65</v>
      </c>
      <c r="E752" s="38"/>
      <c r="F752" s="51" t="s">
        <v>175</v>
      </c>
      <c r="G752" s="38">
        <v>11</v>
      </c>
      <c r="H752" s="38" t="s">
        <v>17</v>
      </c>
      <c r="I752" s="38" t="s">
        <v>28</v>
      </c>
      <c r="J752" s="38">
        <v>-1</v>
      </c>
      <c r="K752" s="39">
        <f>AB752/COUNTIFS($B:$B,$B752,$C:$C,$C752,$H:$H,$H752,$I:$I,$I752)</f>
        <v>0.05</v>
      </c>
      <c r="L752" s="40">
        <f t="shared" si="45"/>
        <v>1</v>
      </c>
      <c r="M752" s="41">
        <f t="shared" si="47"/>
        <v>-0.05</v>
      </c>
      <c r="N752" s="38"/>
      <c r="AA752" s="146">
        <f>AB752/COUNTIFS($B:$B,$B752,$C:$C,$C752,$H:$H,$H752,$I:$I,$I752)</f>
        <v>0.05</v>
      </c>
      <c r="AB752" s="108">
        <f>VLOOKUP(I752,'Weights and Confidence'!$D$16:$AC$26,5,FALSE)</f>
        <v>0.05</v>
      </c>
      <c r="AC752" s="147">
        <f>VLOOKUP(I752,'Weights and Confidence'!$D$16:$AC$26,6,FALSE)</f>
        <v>1</v>
      </c>
    </row>
    <row r="753" spans="1:29" ht="17" thickBot="1" x14ac:dyDescent="0.25">
      <c r="A753" s="34" t="s">
        <v>14</v>
      </c>
      <c r="B753" s="34" t="s">
        <v>0</v>
      </c>
      <c r="C753" s="34" t="s">
        <v>174</v>
      </c>
      <c r="D753" s="34" t="s">
        <v>65</v>
      </c>
      <c r="E753" s="34"/>
      <c r="F753" s="50" t="s">
        <v>175</v>
      </c>
      <c r="G753" s="34">
        <v>11</v>
      </c>
      <c r="H753" s="34" t="s">
        <v>18</v>
      </c>
      <c r="I753" s="34" t="s">
        <v>28</v>
      </c>
      <c r="J753" s="34">
        <v>-1</v>
      </c>
      <c r="K753" s="35">
        <f>AB753/COUNTIFS($B:$B,$B753,$C:$C,$C753,$H:$H,$H753,$I:$I,$I753)</f>
        <v>0.05</v>
      </c>
      <c r="L753" s="36">
        <f t="shared" si="45"/>
        <v>1</v>
      </c>
      <c r="M753" s="37">
        <f t="shared" si="47"/>
        <v>-0.05</v>
      </c>
      <c r="N753" s="58" t="s">
        <v>178</v>
      </c>
      <c r="AA753" s="148">
        <f>AB753/COUNTIFS($B:$B,$B753,$C:$C,$C753,$H:$H,$H753,$I:$I,$I753)</f>
        <v>0.05</v>
      </c>
      <c r="AB753" s="112">
        <f>VLOOKUP(I753,'Weights and Confidence'!$D$16:$AC$26,5,FALSE)</f>
        <v>0.05</v>
      </c>
      <c r="AC753" s="149">
        <f>VLOOKUP(I753,'Weights and Confidence'!$D$16:$AC$26,6,FALSE)</f>
        <v>1</v>
      </c>
    </row>
    <row r="754" spans="1:29" ht="17" thickBot="1" x14ac:dyDescent="0.25">
      <c r="A754" s="29" t="s">
        <v>185</v>
      </c>
      <c r="B754" s="29" t="s">
        <v>86</v>
      </c>
      <c r="C754" s="29" t="s">
        <v>44</v>
      </c>
      <c r="D754" s="29" t="s">
        <v>5</v>
      </c>
      <c r="E754" s="29" t="s">
        <v>103</v>
      </c>
      <c r="F754" s="52" t="s">
        <v>45</v>
      </c>
      <c r="G754" s="29">
        <v>1</v>
      </c>
      <c r="H754" s="29" t="s">
        <v>17</v>
      </c>
      <c r="I754" s="29" t="s">
        <v>19</v>
      </c>
      <c r="J754" s="29">
        <v>0</v>
      </c>
      <c r="K754" s="31">
        <f>AB754/COUNTIFS($B:$B,$B754,$C:$C,$C754,$H:$H,$H754,$I:$I,$I754)</f>
        <v>0.12</v>
      </c>
      <c r="L754" s="32">
        <f t="shared" si="45"/>
        <v>1</v>
      </c>
      <c r="M754" s="33">
        <f t="shared" ref="M754:M775" si="48">J754*K754*L754</f>
        <v>0</v>
      </c>
      <c r="N754" s="29"/>
      <c r="AA754" s="146">
        <f>AB754/COUNTIFS($B:$B,$B754,$C:$C,$C754,$H:$H,$H754,$I:$I,$I754)</f>
        <v>0.12</v>
      </c>
      <c r="AB754" s="108">
        <f>VLOOKUP(I754,'Weights and Confidence'!$D$16:$AC$26,7,FALSE)</f>
        <v>0.12</v>
      </c>
      <c r="AC754" s="147">
        <f>VLOOKUP(I754,'Weights and Confidence'!$D$16:$AC$26,8,FALSE)</f>
        <v>1</v>
      </c>
    </row>
    <row r="755" spans="1:29" x14ac:dyDescent="0.2">
      <c r="A755" s="34" t="s">
        <v>185</v>
      </c>
      <c r="B755" s="34" t="s">
        <v>86</v>
      </c>
      <c r="C755" s="34" t="s">
        <v>44</v>
      </c>
      <c r="D755" s="34" t="s">
        <v>5</v>
      </c>
      <c r="E755" s="34" t="s">
        <v>103</v>
      </c>
      <c r="F755" s="50" t="s">
        <v>45</v>
      </c>
      <c r="G755" s="34">
        <v>1</v>
      </c>
      <c r="H755" s="34" t="s">
        <v>18</v>
      </c>
      <c r="I755" s="34" t="s">
        <v>19</v>
      </c>
      <c r="J755" s="34">
        <v>1</v>
      </c>
      <c r="K755" s="35">
        <f>AB755/COUNTIFS($B:$B,$B755,$C:$C,$C755,$H:$H,$H755,$I:$I,$I755)</f>
        <v>0.12</v>
      </c>
      <c r="L755" s="36">
        <f t="shared" si="45"/>
        <v>1</v>
      </c>
      <c r="M755" s="37">
        <f t="shared" si="48"/>
        <v>0.12</v>
      </c>
      <c r="N755" s="58"/>
      <c r="P755" s="24" t="s">
        <v>199</v>
      </c>
      <c r="Q755" s="10"/>
      <c r="R755" s="10"/>
      <c r="S755" s="10"/>
      <c r="T755" s="10"/>
      <c r="U755" s="10"/>
      <c r="V755" s="10"/>
      <c r="AA755" s="146">
        <f>AB755/COUNTIFS($B:$B,$B755,$C:$C,$C755,$H:$H,$H755,$I:$I,$I755)</f>
        <v>0.12</v>
      </c>
      <c r="AB755" s="108">
        <f>VLOOKUP(I755,'Weights and Confidence'!$D$16:$AC$26,7,FALSE)</f>
        <v>0.12</v>
      </c>
      <c r="AC755" s="147">
        <f>VLOOKUP(I755,'Weights and Confidence'!$D$16:$AC$26,8,FALSE)</f>
        <v>1</v>
      </c>
    </row>
    <row r="756" spans="1:29" x14ac:dyDescent="0.2">
      <c r="A756" s="38" t="s">
        <v>185</v>
      </c>
      <c r="B756" s="38" t="s">
        <v>86</v>
      </c>
      <c r="C756" s="38" t="s">
        <v>44</v>
      </c>
      <c r="D756" s="38" t="s">
        <v>5</v>
      </c>
      <c r="E756" s="38" t="s">
        <v>103</v>
      </c>
      <c r="F756" s="51" t="s">
        <v>45</v>
      </c>
      <c r="G756" s="38">
        <v>2</v>
      </c>
      <c r="H756" s="38" t="s">
        <v>17</v>
      </c>
      <c r="I756" s="38" t="s">
        <v>20</v>
      </c>
      <c r="J756" s="38">
        <v>0</v>
      </c>
      <c r="K756" s="39">
        <f>AB756/COUNTIFS($B:$B,$B756,$C:$C,$C756,$H:$H,$H756,$I:$I,$I756)</f>
        <v>0.08</v>
      </c>
      <c r="L756" s="40">
        <f t="shared" si="45"/>
        <v>0.8</v>
      </c>
      <c r="M756" s="41">
        <f t="shared" si="48"/>
        <v>0</v>
      </c>
      <c r="N756" s="38"/>
      <c r="P756" s="25" t="s">
        <v>200</v>
      </c>
      <c r="AA756" s="146">
        <f>AB756/COUNTIFS($B:$B,$B756,$C:$C,$C756,$H:$H,$H756,$I:$I,$I756)</f>
        <v>0.08</v>
      </c>
      <c r="AB756" s="108">
        <f>VLOOKUP(I756,'Weights and Confidence'!$D$16:$AC$26,7,FALSE)</f>
        <v>0.08</v>
      </c>
      <c r="AC756" s="147">
        <f>VLOOKUP(I756,'Weights and Confidence'!$D$16:$AC$26,8,FALSE)</f>
        <v>0.8</v>
      </c>
    </row>
    <row r="757" spans="1:29" x14ac:dyDescent="0.2">
      <c r="A757" s="34" t="s">
        <v>185</v>
      </c>
      <c r="B757" s="34" t="s">
        <v>86</v>
      </c>
      <c r="C757" s="34" t="s">
        <v>44</v>
      </c>
      <c r="D757" s="34" t="s">
        <v>5</v>
      </c>
      <c r="E757" s="34" t="s">
        <v>103</v>
      </c>
      <c r="F757" s="50" t="s">
        <v>45</v>
      </c>
      <c r="G757" s="34">
        <v>2</v>
      </c>
      <c r="H757" s="34" t="s">
        <v>18</v>
      </c>
      <c r="I757" s="34" t="s">
        <v>20</v>
      </c>
      <c r="J757" s="34">
        <v>1</v>
      </c>
      <c r="K757" s="35">
        <f>AB757/COUNTIFS($B:$B,$B757,$C:$C,$C757,$H:$H,$H757,$I:$I,$I757)</f>
        <v>0.08</v>
      </c>
      <c r="L757" s="36">
        <f t="shared" si="45"/>
        <v>0.8</v>
      </c>
      <c r="M757" s="37">
        <f t="shared" si="48"/>
        <v>6.4000000000000001E-2</v>
      </c>
      <c r="N757" s="58" t="s">
        <v>192</v>
      </c>
      <c r="P757" s="25" t="s">
        <v>201</v>
      </c>
      <c r="AA757" s="146">
        <f>AB757/COUNTIFS($B:$B,$B757,$C:$C,$C757,$H:$H,$H757,$I:$I,$I757)</f>
        <v>0.08</v>
      </c>
      <c r="AB757" s="108">
        <f>VLOOKUP(I757,'Weights and Confidence'!$D$16:$AC$26,7,FALSE)</f>
        <v>0.08</v>
      </c>
      <c r="AC757" s="147">
        <f>VLOOKUP(I757,'Weights and Confidence'!$D$16:$AC$26,8,FALSE)</f>
        <v>0.8</v>
      </c>
    </row>
    <row r="758" spans="1:29" x14ac:dyDescent="0.2">
      <c r="A758" s="38" t="s">
        <v>185</v>
      </c>
      <c r="B758" s="38" t="s">
        <v>86</v>
      </c>
      <c r="C758" s="38" t="s">
        <v>44</v>
      </c>
      <c r="D758" s="38" t="s">
        <v>5</v>
      </c>
      <c r="E758" s="38" t="s">
        <v>103</v>
      </c>
      <c r="F758" s="51" t="s">
        <v>45</v>
      </c>
      <c r="G758" s="38">
        <v>3</v>
      </c>
      <c r="H758" s="38" t="s">
        <v>17</v>
      </c>
      <c r="I758" s="38" t="s">
        <v>21</v>
      </c>
      <c r="J758" s="38">
        <v>1</v>
      </c>
      <c r="K758" s="39">
        <f>AB758/COUNTIFS($B:$B,$B758,$C:$C,$C758,$H:$H,$H758,$I:$I,$I758)</f>
        <v>0.05</v>
      </c>
      <c r="L758" s="40">
        <f t="shared" si="45"/>
        <v>1</v>
      </c>
      <c r="M758" s="41">
        <f t="shared" si="48"/>
        <v>0.05</v>
      </c>
      <c r="N758" s="38"/>
      <c r="P758" s="25" t="s">
        <v>202</v>
      </c>
      <c r="AA758" s="146">
        <f>AB758/COUNTIFS($B:$B,$B758,$C:$C,$C758,$H:$H,$H758,$I:$I,$I758)</f>
        <v>0.05</v>
      </c>
      <c r="AB758" s="108">
        <f>VLOOKUP(I758,'Weights and Confidence'!$D$16:$AC$26,7,FALSE)</f>
        <v>0.05</v>
      </c>
      <c r="AC758" s="147">
        <f>VLOOKUP(I758,'Weights and Confidence'!$D$16:$AC$26,8,FALSE)</f>
        <v>1</v>
      </c>
    </row>
    <row r="759" spans="1:29" x14ac:dyDescent="0.2">
      <c r="A759" s="34" t="s">
        <v>185</v>
      </c>
      <c r="B759" s="34" t="s">
        <v>86</v>
      </c>
      <c r="C759" s="34" t="s">
        <v>44</v>
      </c>
      <c r="D759" s="34" t="s">
        <v>5</v>
      </c>
      <c r="E759" s="34" t="s">
        <v>103</v>
      </c>
      <c r="F759" s="50" t="s">
        <v>45</v>
      </c>
      <c r="G759" s="34">
        <v>3</v>
      </c>
      <c r="H759" s="34" t="s">
        <v>18</v>
      </c>
      <c r="I759" s="34" t="s">
        <v>21</v>
      </c>
      <c r="J759" s="34">
        <v>1</v>
      </c>
      <c r="K759" s="35">
        <f>AB759/COUNTIFS($B:$B,$B759,$C:$C,$C759,$H:$H,$H759,$I:$I,$I759)</f>
        <v>0.05</v>
      </c>
      <c r="L759" s="36">
        <f t="shared" si="45"/>
        <v>1</v>
      </c>
      <c r="M759" s="37">
        <f t="shared" si="48"/>
        <v>0.05</v>
      </c>
      <c r="N759" s="58"/>
      <c r="P759" s="25" t="s">
        <v>203</v>
      </c>
      <c r="AA759" s="146">
        <f>AB759/COUNTIFS($B:$B,$B759,$C:$C,$C759,$H:$H,$H759,$I:$I,$I759)</f>
        <v>0.05</v>
      </c>
      <c r="AB759" s="108">
        <f>VLOOKUP(I759,'Weights and Confidence'!$D$16:$AC$26,7,FALSE)</f>
        <v>0.05</v>
      </c>
      <c r="AC759" s="147">
        <f>VLOOKUP(I759,'Weights and Confidence'!$D$16:$AC$26,8,FALSE)</f>
        <v>1</v>
      </c>
    </row>
    <row r="760" spans="1:29" ht="17" thickBot="1" x14ac:dyDescent="0.25">
      <c r="A760" s="38" t="s">
        <v>185</v>
      </c>
      <c r="B760" s="38" t="s">
        <v>86</v>
      </c>
      <c r="C760" s="38" t="s">
        <v>44</v>
      </c>
      <c r="D760" s="38" t="s">
        <v>5</v>
      </c>
      <c r="E760" s="38" t="s">
        <v>103</v>
      </c>
      <c r="F760" s="51" t="s">
        <v>45</v>
      </c>
      <c r="G760" s="38">
        <v>4</v>
      </c>
      <c r="H760" s="38" t="s">
        <v>17</v>
      </c>
      <c r="I760" s="38" t="s">
        <v>22</v>
      </c>
      <c r="J760" s="38">
        <v>-1</v>
      </c>
      <c r="K760" s="39">
        <f>AB760/COUNTIFS($B:$B,$B760,$C:$C,$C760,$H:$H,$H760,$I:$I,$I760)</f>
        <v>0.14000000000000001</v>
      </c>
      <c r="L760" s="40">
        <f t="shared" si="45"/>
        <v>1</v>
      </c>
      <c r="M760" s="41">
        <f t="shared" si="48"/>
        <v>-0.14000000000000001</v>
      </c>
      <c r="N760" s="38"/>
      <c r="P760" s="26" t="s">
        <v>204</v>
      </c>
      <c r="Q760" s="2"/>
      <c r="R760" s="2"/>
      <c r="S760" s="2"/>
      <c r="T760" s="2"/>
      <c r="U760" s="2"/>
      <c r="V760" s="2"/>
      <c r="AA760" s="146">
        <f>AB760/COUNTIFS($B:$B,$B760,$C:$C,$C760,$H:$H,$H760,$I:$I,$I760)</f>
        <v>0.14000000000000001</v>
      </c>
      <c r="AB760" s="108">
        <f>VLOOKUP(I760,'Weights and Confidence'!$D$16:$AC$26,7,FALSE)</f>
        <v>0.14000000000000001</v>
      </c>
      <c r="AC760" s="147">
        <f>VLOOKUP(I760,'Weights and Confidence'!$D$16:$AC$26,8,FALSE)</f>
        <v>1</v>
      </c>
    </row>
    <row r="761" spans="1:29" x14ac:dyDescent="0.2">
      <c r="A761" s="34" t="s">
        <v>185</v>
      </c>
      <c r="B761" s="34" t="s">
        <v>86</v>
      </c>
      <c r="C761" s="34" t="s">
        <v>44</v>
      </c>
      <c r="D761" s="34" t="s">
        <v>5</v>
      </c>
      <c r="E761" s="34" t="s">
        <v>103</v>
      </c>
      <c r="F761" s="50" t="s">
        <v>45</v>
      </c>
      <c r="G761" s="34">
        <v>4</v>
      </c>
      <c r="H761" s="34" t="s">
        <v>18</v>
      </c>
      <c r="I761" s="34" t="s">
        <v>22</v>
      </c>
      <c r="J761" s="34">
        <v>0</v>
      </c>
      <c r="K761" s="35">
        <f>AB761/COUNTIFS($B:$B,$B761,$C:$C,$C761,$H:$H,$H761,$I:$I,$I761)</f>
        <v>0.14000000000000001</v>
      </c>
      <c r="L761" s="36">
        <f t="shared" si="45"/>
        <v>1</v>
      </c>
      <c r="M761" s="37">
        <f t="shared" si="48"/>
        <v>0</v>
      </c>
      <c r="N761" s="58" t="s">
        <v>193</v>
      </c>
      <c r="AA761" s="146">
        <f>AB761/COUNTIFS($B:$B,$B761,$C:$C,$C761,$H:$H,$H761,$I:$I,$I761)</f>
        <v>0.14000000000000001</v>
      </c>
      <c r="AB761" s="108">
        <f>VLOOKUP(I761,'Weights and Confidence'!$D$16:$AC$26,7,FALSE)</f>
        <v>0.14000000000000001</v>
      </c>
      <c r="AC761" s="147">
        <f>VLOOKUP(I761,'Weights and Confidence'!$D$16:$AC$26,8,FALSE)</f>
        <v>1</v>
      </c>
    </row>
    <row r="762" spans="1:29" x14ac:dyDescent="0.2">
      <c r="A762" s="38" t="s">
        <v>185</v>
      </c>
      <c r="B762" s="38" t="s">
        <v>86</v>
      </c>
      <c r="C762" s="38" t="s">
        <v>44</v>
      </c>
      <c r="D762" s="38" t="s">
        <v>5</v>
      </c>
      <c r="E762" s="38" t="s">
        <v>103</v>
      </c>
      <c r="F762" s="51" t="s">
        <v>45</v>
      </c>
      <c r="G762" s="38">
        <v>5</v>
      </c>
      <c r="H762" s="38" t="s">
        <v>17</v>
      </c>
      <c r="I762" s="38" t="s">
        <v>23</v>
      </c>
      <c r="J762" s="38">
        <v>0</v>
      </c>
      <c r="K762" s="39">
        <f>AB762/COUNTIFS($B:$B,$B762,$C:$C,$C762,$H:$H,$H762,$I:$I,$I762)</f>
        <v>0.11</v>
      </c>
      <c r="L762" s="40">
        <f t="shared" si="45"/>
        <v>1</v>
      </c>
      <c r="M762" s="41">
        <f t="shared" si="48"/>
        <v>0</v>
      </c>
      <c r="N762" s="38"/>
      <c r="AA762" s="146">
        <f>AB762/COUNTIFS($B:$B,$B762,$C:$C,$C762,$H:$H,$H762,$I:$I,$I762)</f>
        <v>0.11</v>
      </c>
      <c r="AB762" s="108">
        <f>VLOOKUP(I762,'Weights and Confidence'!$D$16:$AC$26,7,FALSE)</f>
        <v>0.11</v>
      </c>
      <c r="AC762" s="147">
        <f>VLOOKUP(I762,'Weights and Confidence'!$D$16:$AC$26,8,FALSE)</f>
        <v>1</v>
      </c>
    </row>
    <row r="763" spans="1:29" x14ac:dyDescent="0.2">
      <c r="A763" s="34" t="s">
        <v>185</v>
      </c>
      <c r="B763" s="34" t="s">
        <v>86</v>
      </c>
      <c r="C763" s="34" t="s">
        <v>44</v>
      </c>
      <c r="D763" s="34" t="s">
        <v>5</v>
      </c>
      <c r="E763" s="34" t="s">
        <v>103</v>
      </c>
      <c r="F763" s="50" t="s">
        <v>45</v>
      </c>
      <c r="G763" s="34">
        <v>5</v>
      </c>
      <c r="H763" s="34" t="s">
        <v>18</v>
      </c>
      <c r="I763" s="34" t="s">
        <v>23</v>
      </c>
      <c r="J763" s="34">
        <v>0</v>
      </c>
      <c r="K763" s="35">
        <f>AB763/COUNTIFS($B:$B,$B763,$C:$C,$C763,$H:$H,$H763,$I:$I,$I763)</f>
        <v>0.11</v>
      </c>
      <c r="L763" s="36">
        <f t="shared" si="45"/>
        <v>1</v>
      </c>
      <c r="M763" s="37">
        <f t="shared" si="48"/>
        <v>0</v>
      </c>
      <c r="N763" s="58" t="s">
        <v>194</v>
      </c>
      <c r="AA763" s="146">
        <f>AB763/COUNTIFS($B:$B,$B763,$C:$C,$C763,$H:$H,$H763,$I:$I,$I763)</f>
        <v>0.11</v>
      </c>
      <c r="AB763" s="108">
        <f>VLOOKUP(I763,'Weights and Confidence'!$D$16:$AC$26,7,FALSE)</f>
        <v>0.11</v>
      </c>
      <c r="AC763" s="147">
        <f>VLOOKUP(I763,'Weights and Confidence'!$D$16:$AC$26,8,FALSE)</f>
        <v>1</v>
      </c>
    </row>
    <row r="764" spans="1:29" x14ac:dyDescent="0.2">
      <c r="A764" s="38" t="s">
        <v>185</v>
      </c>
      <c r="B764" s="38" t="s">
        <v>86</v>
      </c>
      <c r="C764" s="38" t="s">
        <v>44</v>
      </c>
      <c r="D764" s="38" t="s">
        <v>5</v>
      </c>
      <c r="E764" s="38" t="s">
        <v>103</v>
      </c>
      <c r="F764" s="51" t="s">
        <v>45</v>
      </c>
      <c r="G764" s="38">
        <v>6</v>
      </c>
      <c r="H764" s="38" t="s">
        <v>17</v>
      </c>
      <c r="I764" s="38" t="s">
        <v>24</v>
      </c>
      <c r="J764" s="38">
        <v>-1</v>
      </c>
      <c r="K764" s="39">
        <f>AB764/COUNTIFS($B:$B,$B764,$C:$C,$C764,$H:$H,$H764,$I:$I,$I764)</f>
        <v>0.15</v>
      </c>
      <c r="L764" s="40">
        <f t="shared" si="45"/>
        <v>1</v>
      </c>
      <c r="M764" s="41">
        <f t="shared" si="48"/>
        <v>-0.15</v>
      </c>
      <c r="N764" s="59"/>
      <c r="AA764" s="146">
        <f>AB764/COUNTIFS($B:$B,$B764,$C:$C,$C764,$H:$H,$H764,$I:$I,$I764)</f>
        <v>0.15</v>
      </c>
      <c r="AB764" s="108">
        <f>VLOOKUP(I764,'Weights and Confidence'!$D$16:$AC$26,7,FALSE)</f>
        <v>0.15</v>
      </c>
      <c r="AC764" s="147">
        <f>VLOOKUP(I764,'Weights and Confidence'!$D$16:$AC$26,8,FALSE)</f>
        <v>1</v>
      </c>
    </row>
    <row r="765" spans="1:29" x14ac:dyDescent="0.2">
      <c r="A765" s="34" t="s">
        <v>185</v>
      </c>
      <c r="B765" s="34" t="s">
        <v>86</v>
      </c>
      <c r="C765" s="34" t="s">
        <v>44</v>
      </c>
      <c r="D765" s="34" t="s">
        <v>5</v>
      </c>
      <c r="E765" s="34" t="s">
        <v>103</v>
      </c>
      <c r="F765" s="50" t="s">
        <v>45</v>
      </c>
      <c r="G765" s="34">
        <v>6</v>
      </c>
      <c r="H765" s="34" t="s">
        <v>18</v>
      </c>
      <c r="I765" s="34" t="s">
        <v>24</v>
      </c>
      <c r="J765" s="34">
        <v>0</v>
      </c>
      <c r="K765" s="35">
        <f>AB765/COUNTIFS($B:$B,$B765,$C:$C,$C765,$H:$H,$H765,$I:$I,$I765)</f>
        <v>0.15</v>
      </c>
      <c r="L765" s="36">
        <f t="shared" si="45"/>
        <v>1</v>
      </c>
      <c r="M765" s="37">
        <f t="shared" si="48"/>
        <v>0</v>
      </c>
      <c r="N765" s="58" t="s">
        <v>195</v>
      </c>
      <c r="AA765" s="146">
        <f>AB765/COUNTIFS($B:$B,$B765,$C:$C,$C765,$H:$H,$H765,$I:$I,$I765)</f>
        <v>0.15</v>
      </c>
      <c r="AB765" s="108">
        <f>VLOOKUP(I765,'Weights and Confidence'!$D$16:$AC$26,7,FALSE)</f>
        <v>0.15</v>
      </c>
      <c r="AC765" s="147">
        <f>VLOOKUP(I765,'Weights and Confidence'!$D$16:$AC$26,8,FALSE)</f>
        <v>1</v>
      </c>
    </row>
    <row r="766" spans="1:29" x14ac:dyDescent="0.2">
      <c r="A766" s="38" t="s">
        <v>185</v>
      </c>
      <c r="B766" s="38" t="s">
        <v>86</v>
      </c>
      <c r="C766" s="38" t="s">
        <v>44</v>
      </c>
      <c r="D766" s="38" t="s">
        <v>5</v>
      </c>
      <c r="E766" s="38" t="s">
        <v>103</v>
      </c>
      <c r="F766" s="51" t="s">
        <v>45</v>
      </c>
      <c r="G766" s="38">
        <v>7</v>
      </c>
      <c r="H766" s="38" t="s">
        <v>17</v>
      </c>
      <c r="I766" s="38" t="s">
        <v>25</v>
      </c>
      <c r="J766" s="38">
        <v>0</v>
      </c>
      <c r="K766" s="39">
        <f>AB766/COUNTIFS($B:$B,$B766,$C:$C,$C766,$H:$H,$H766,$I:$I,$I766)</f>
        <v>0.1</v>
      </c>
      <c r="L766" s="40">
        <f t="shared" si="45"/>
        <v>1</v>
      </c>
      <c r="M766" s="41">
        <f t="shared" si="48"/>
        <v>0</v>
      </c>
      <c r="N766" s="38"/>
      <c r="AA766" s="146">
        <f>AB766/COUNTIFS($B:$B,$B766,$C:$C,$C766,$H:$H,$H766,$I:$I,$I766)</f>
        <v>0.1</v>
      </c>
      <c r="AB766" s="108">
        <f>VLOOKUP(I766,'Weights and Confidence'!$D$16:$AC$26,7,FALSE)</f>
        <v>0.1</v>
      </c>
      <c r="AC766" s="147">
        <f>VLOOKUP(I766,'Weights and Confidence'!$D$16:$AC$26,8,FALSE)</f>
        <v>1</v>
      </c>
    </row>
    <row r="767" spans="1:29" x14ac:dyDescent="0.2">
      <c r="A767" s="34" t="s">
        <v>185</v>
      </c>
      <c r="B767" s="34" t="s">
        <v>86</v>
      </c>
      <c r="C767" s="34" t="s">
        <v>44</v>
      </c>
      <c r="D767" s="34" t="s">
        <v>5</v>
      </c>
      <c r="E767" s="34" t="s">
        <v>103</v>
      </c>
      <c r="F767" s="50" t="s">
        <v>45</v>
      </c>
      <c r="G767" s="34">
        <v>7</v>
      </c>
      <c r="H767" s="34" t="s">
        <v>18</v>
      </c>
      <c r="I767" s="34" t="s">
        <v>25</v>
      </c>
      <c r="J767" s="34">
        <v>0</v>
      </c>
      <c r="K767" s="35">
        <f>AB767/COUNTIFS($B:$B,$B767,$C:$C,$C767,$H:$H,$H767,$I:$I,$I767)</f>
        <v>0.1</v>
      </c>
      <c r="L767" s="36">
        <f t="shared" si="45"/>
        <v>1</v>
      </c>
      <c r="M767" s="37">
        <f t="shared" si="48"/>
        <v>0</v>
      </c>
      <c r="N767" s="58" t="s">
        <v>196</v>
      </c>
      <c r="AA767" s="146">
        <f>AB767/COUNTIFS($B:$B,$B767,$C:$C,$C767,$H:$H,$H767,$I:$I,$I767)</f>
        <v>0.1</v>
      </c>
      <c r="AB767" s="108">
        <f>VLOOKUP(I767,'Weights and Confidence'!$D$16:$AC$26,7,FALSE)</f>
        <v>0.1</v>
      </c>
      <c r="AC767" s="147">
        <f>VLOOKUP(I767,'Weights and Confidence'!$D$16:$AC$26,8,FALSE)</f>
        <v>1</v>
      </c>
    </row>
    <row r="768" spans="1:29" x14ac:dyDescent="0.2">
      <c r="A768" s="38" t="s">
        <v>185</v>
      </c>
      <c r="B768" s="38" t="s">
        <v>86</v>
      </c>
      <c r="C768" s="38" t="s">
        <v>44</v>
      </c>
      <c r="D768" s="38" t="s">
        <v>5</v>
      </c>
      <c r="E768" s="38" t="s">
        <v>103</v>
      </c>
      <c r="F768" s="51" t="s">
        <v>45</v>
      </c>
      <c r="G768" s="38">
        <v>8</v>
      </c>
      <c r="H768" s="38" t="s">
        <v>17</v>
      </c>
      <c r="I768" s="38" t="s">
        <v>26</v>
      </c>
      <c r="J768" s="38">
        <v>0</v>
      </c>
      <c r="K768" s="39">
        <f>AB768/COUNTIFS($B:$B,$B768,$C:$C,$C768,$H:$H,$H768,$I:$I,$I768)</f>
        <v>0.1</v>
      </c>
      <c r="L768" s="40">
        <f t="shared" si="45"/>
        <v>1</v>
      </c>
      <c r="M768" s="41">
        <f t="shared" si="48"/>
        <v>0</v>
      </c>
      <c r="N768" s="38"/>
      <c r="AA768" s="146">
        <f>AB768/COUNTIFS($B:$B,$B768,$C:$C,$C768,$H:$H,$H768,$I:$I,$I768)</f>
        <v>0.1</v>
      </c>
      <c r="AB768" s="108">
        <f>VLOOKUP(I768,'Weights and Confidence'!$D$16:$AC$26,7,FALSE)</f>
        <v>0.1</v>
      </c>
      <c r="AC768" s="147">
        <f>VLOOKUP(I768,'Weights and Confidence'!$D$16:$AC$26,8,FALSE)</f>
        <v>1</v>
      </c>
    </row>
    <row r="769" spans="1:29" x14ac:dyDescent="0.2">
      <c r="A769" s="34" t="s">
        <v>185</v>
      </c>
      <c r="B769" s="34" t="s">
        <v>86</v>
      </c>
      <c r="C769" s="34" t="s">
        <v>44</v>
      </c>
      <c r="D769" s="34" t="s">
        <v>5</v>
      </c>
      <c r="E769" s="34" t="s">
        <v>103</v>
      </c>
      <c r="F769" s="50" t="s">
        <v>45</v>
      </c>
      <c r="G769" s="34">
        <v>8</v>
      </c>
      <c r="H769" s="34" t="s">
        <v>18</v>
      </c>
      <c r="I769" s="34" t="s">
        <v>26</v>
      </c>
      <c r="J769" s="34">
        <v>0</v>
      </c>
      <c r="K769" s="35">
        <f>AB769/COUNTIFS($B:$B,$B769,$C:$C,$C769,$H:$H,$H769,$I:$I,$I769)</f>
        <v>0.1</v>
      </c>
      <c r="L769" s="36">
        <f t="shared" si="45"/>
        <v>1</v>
      </c>
      <c r="M769" s="37">
        <f t="shared" si="48"/>
        <v>0</v>
      </c>
      <c r="N769" s="58" t="s">
        <v>197</v>
      </c>
      <c r="AA769" s="146">
        <f>AB769/COUNTIFS($B:$B,$B769,$C:$C,$C769,$H:$H,$H769,$I:$I,$I769)</f>
        <v>0.1</v>
      </c>
      <c r="AB769" s="108">
        <f>VLOOKUP(I769,'Weights and Confidence'!$D$16:$AC$26,7,FALSE)</f>
        <v>0.1</v>
      </c>
      <c r="AC769" s="147">
        <f>VLOOKUP(I769,'Weights and Confidence'!$D$16:$AC$26,8,FALSE)</f>
        <v>1</v>
      </c>
    </row>
    <row r="770" spans="1:29" x14ac:dyDescent="0.2">
      <c r="A770" s="38" t="s">
        <v>185</v>
      </c>
      <c r="B770" s="38" t="s">
        <v>86</v>
      </c>
      <c r="C770" s="38" t="s">
        <v>44</v>
      </c>
      <c r="D770" s="38" t="s">
        <v>5</v>
      </c>
      <c r="E770" s="38" t="s">
        <v>103</v>
      </c>
      <c r="F770" s="51" t="s">
        <v>45</v>
      </c>
      <c r="G770" s="38">
        <v>9</v>
      </c>
      <c r="H770" s="38" t="s">
        <v>17</v>
      </c>
      <c r="I770" s="38" t="s">
        <v>27</v>
      </c>
      <c r="J770" s="38">
        <v>0</v>
      </c>
      <c r="K770" s="39">
        <f>AB770/COUNTIFS($B:$B,$B770,$C:$C,$C770,$H:$H,$H770,$I:$I,$I770)</f>
        <v>0.05</v>
      </c>
      <c r="L770" s="40">
        <f t="shared" si="45"/>
        <v>0.85</v>
      </c>
      <c r="M770" s="41">
        <f t="shared" si="48"/>
        <v>0</v>
      </c>
      <c r="N770" s="38"/>
      <c r="AA770" s="146">
        <f>AB770/COUNTIFS($B:$B,$B770,$C:$C,$C770,$H:$H,$H770,$I:$I,$I770)</f>
        <v>0.05</v>
      </c>
      <c r="AB770" s="108">
        <f>VLOOKUP(I770,'Weights and Confidence'!$D$16:$AC$26,7,FALSE)</f>
        <v>0.1</v>
      </c>
      <c r="AC770" s="147">
        <f>VLOOKUP(I770,'Weights and Confidence'!$D$16:$AC$26,8,FALSE)</f>
        <v>0.85</v>
      </c>
    </row>
    <row r="771" spans="1:29" x14ac:dyDescent="0.2">
      <c r="A771" s="34" t="s">
        <v>185</v>
      </c>
      <c r="B771" s="34" t="s">
        <v>86</v>
      </c>
      <c r="C771" s="34" t="s">
        <v>44</v>
      </c>
      <c r="D771" s="34" t="s">
        <v>5</v>
      </c>
      <c r="E771" s="34" t="s">
        <v>103</v>
      </c>
      <c r="F771" s="50" t="s">
        <v>45</v>
      </c>
      <c r="G771" s="34">
        <v>9</v>
      </c>
      <c r="H771" s="34" t="s">
        <v>18</v>
      </c>
      <c r="I771" s="34" t="s">
        <v>27</v>
      </c>
      <c r="J771" s="34">
        <v>1</v>
      </c>
      <c r="K771" s="35">
        <f>AB771/COUNTIFS($B:$B,$B771,$C:$C,$C771,$H:$H,$H771,$I:$I,$I771)</f>
        <v>0.05</v>
      </c>
      <c r="L771" s="36">
        <f t="shared" si="45"/>
        <v>0.85</v>
      </c>
      <c r="M771" s="37">
        <f t="shared" si="48"/>
        <v>4.2500000000000003E-2</v>
      </c>
      <c r="N771" s="58"/>
      <c r="AA771" s="146">
        <f>AB771/COUNTIFS($B:$B,$B771,$C:$C,$C771,$H:$H,$H771,$I:$I,$I771)</f>
        <v>0.05</v>
      </c>
      <c r="AB771" s="108">
        <f>VLOOKUP(I771,'Weights and Confidence'!$D$16:$AC$26,7,FALSE)</f>
        <v>0.1</v>
      </c>
      <c r="AC771" s="147">
        <f>VLOOKUP(I771,'Weights and Confidence'!$D$16:$AC$26,8,FALSE)</f>
        <v>0.85</v>
      </c>
    </row>
    <row r="772" spans="1:29" x14ac:dyDescent="0.2">
      <c r="A772" s="38" t="s">
        <v>185</v>
      </c>
      <c r="B772" s="38" t="s">
        <v>86</v>
      </c>
      <c r="C772" s="38" t="s">
        <v>44</v>
      </c>
      <c r="D772" s="38" t="s">
        <v>5</v>
      </c>
      <c r="E772" s="38" t="s">
        <v>103</v>
      </c>
      <c r="F772" s="51" t="s">
        <v>45</v>
      </c>
      <c r="G772" s="38">
        <v>10</v>
      </c>
      <c r="H772" s="38" t="s">
        <v>17</v>
      </c>
      <c r="I772" s="38" t="s">
        <v>27</v>
      </c>
      <c r="J772" s="38">
        <v>0</v>
      </c>
      <c r="K772" s="39">
        <f>AB772/COUNTIFS($B:$B,$B772,$C:$C,$C772,$H:$H,$H772,$I:$I,$I772)</f>
        <v>0.05</v>
      </c>
      <c r="L772" s="40">
        <f t="shared" si="45"/>
        <v>0.85</v>
      </c>
      <c r="M772" s="41">
        <f t="shared" si="48"/>
        <v>0</v>
      </c>
      <c r="N772" s="38"/>
      <c r="AA772" s="146">
        <f>AB772/COUNTIFS($B:$B,$B772,$C:$C,$C772,$H:$H,$H772,$I:$I,$I772)</f>
        <v>0.05</v>
      </c>
      <c r="AB772" s="108">
        <f>VLOOKUP(I772,'Weights and Confidence'!$D$16:$AC$26,7,FALSE)</f>
        <v>0.1</v>
      </c>
      <c r="AC772" s="147">
        <f>VLOOKUP(I772,'Weights and Confidence'!$D$16:$AC$26,8,FALSE)</f>
        <v>0.85</v>
      </c>
    </row>
    <row r="773" spans="1:29" x14ac:dyDescent="0.2">
      <c r="A773" s="34" t="s">
        <v>185</v>
      </c>
      <c r="B773" s="34" t="s">
        <v>86</v>
      </c>
      <c r="C773" s="34" t="s">
        <v>44</v>
      </c>
      <c r="D773" s="34" t="s">
        <v>5</v>
      </c>
      <c r="E773" s="34" t="s">
        <v>103</v>
      </c>
      <c r="F773" s="50" t="s">
        <v>45</v>
      </c>
      <c r="G773" s="34">
        <v>10</v>
      </c>
      <c r="H773" s="34" t="s">
        <v>18</v>
      </c>
      <c r="I773" s="34" t="s">
        <v>27</v>
      </c>
      <c r="J773" s="34">
        <v>1</v>
      </c>
      <c r="K773" s="35">
        <f>AB773/COUNTIFS($B:$B,$B773,$C:$C,$C773,$H:$H,$H773,$I:$I,$I773)</f>
        <v>0.05</v>
      </c>
      <c r="L773" s="36">
        <f t="shared" si="45"/>
        <v>0.85</v>
      </c>
      <c r="M773" s="37">
        <f t="shared" si="48"/>
        <v>4.2500000000000003E-2</v>
      </c>
      <c r="N773" s="34"/>
      <c r="AA773" s="146">
        <f>AB773/COUNTIFS($B:$B,$B773,$C:$C,$C773,$H:$H,$H773,$I:$I,$I773)</f>
        <v>0.05</v>
      </c>
      <c r="AB773" s="108">
        <f>VLOOKUP(I773,'Weights and Confidence'!$D$16:$AC$26,7,FALSE)</f>
        <v>0.1</v>
      </c>
      <c r="AC773" s="147">
        <f>VLOOKUP(I773,'Weights and Confidence'!$D$16:$AC$26,8,FALSE)</f>
        <v>0.85</v>
      </c>
    </row>
    <row r="774" spans="1:29" x14ac:dyDescent="0.2">
      <c r="A774" s="38" t="s">
        <v>185</v>
      </c>
      <c r="B774" s="38" t="s">
        <v>86</v>
      </c>
      <c r="C774" s="38" t="s">
        <v>44</v>
      </c>
      <c r="D774" s="38" t="s">
        <v>5</v>
      </c>
      <c r="E774" s="38" t="s">
        <v>103</v>
      </c>
      <c r="F774" s="51" t="s">
        <v>45</v>
      </c>
      <c r="G774" s="38">
        <v>11</v>
      </c>
      <c r="H774" s="38" t="s">
        <v>17</v>
      </c>
      <c r="I774" s="38" t="s">
        <v>28</v>
      </c>
      <c r="J774" s="38">
        <v>-1</v>
      </c>
      <c r="K774" s="39">
        <f>AB774/COUNTIFS($B:$B,$B774,$C:$C,$C774,$H:$H,$H774,$I:$I,$I774)</f>
        <v>0.05</v>
      </c>
      <c r="L774" s="40">
        <f t="shared" ref="L774:L837" si="49">AC774</f>
        <v>1</v>
      </c>
      <c r="M774" s="41">
        <f t="shared" si="48"/>
        <v>-0.05</v>
      </c>
      <c r="N774" s="38"/>
      <c r="AA774" s="146">
        <f>AB774/COUNTIFS($B:$B,$B774,$C:$C,$C774,$H:$H,$H774,$I:$I,$I774)</f>
        <v>0.05</v>
      </c>
      <c r="AB774" s="108">
        <f>VLOOKUP(I774,'Weights and Confidence'!$D$16:$AC$26,7,FALSE)</f>
        <v>0.05</v>
      </c>
      <c r="AC774" s="147">
        <f>VLOOKUP(I774,'Weights and Confidence'!$D$16:$AC$26,8,FALSE)</f>
        <v>1</v>
      </c>
    </row>
    <row r="775" spans="1:29" ht="17" thickBot="1" x14ac:dyDescent="0.25">
      <c r="A775" s="34" t="s">
        <v>185</v>
      </c>
      <c r="B775" s="34" t="s">
        <v>86</v>
      </c>
      <c r="C775" s="34" t="s">
        <v>44</v>
      </c>
      <c r="D775" s="34" t="s">
        <v>5</v>
      </c>
      <c r="E775" s="34" t="s">
        <v>103</v>
      </c>
      <c r="F775" s="50" t="s">
        <v>45</v>
      </c>
      <c r="G775" s="34">
        <v>11</v>
      </c>
      <c r="H775" s="34" t="s">
        <v>18</v>
      </c>
      <c r="I775" s="34" t="s">
        <v>28</v>
      </c>
      <c r="J775" s="34">
        <v>0</v>
      </c>
      <c r="K775" s="35">
        <f>AB775/COUNTIFS($B:$B,$B775,$C:$C,$C775,$H:$H,$H775,$I:$I,$I775)</f>
        <v>0.05</v>
      </c>
      <c r="L775" s="36">
        <f t="shared" si="49"/>
        <v>1</v>
      </c>
      <c r="M775" s="37">
        <f t="shared" si="48"/>
        <v>0</v>
      </c>
      <c r="N775" s="58" t="s">
        <v>198</v>
      </c>
      <c r="AA775" s="140">
        <f>AB775/COUNTIFS($B:$B,$B775,$C:$C,$C775,$H:$H,$H775,$I:$I,$I775)</f>
        <v>0.05</v>
      </c>
      <c r="AB775" s="141">
        <f>VLOOKUP(I775,'Weights and Confidence'!$D$16:$AC$26,7,FALSE)</f>
        <v>0.05</v>
      </c>
      <c r="AC775" s="142">
        <f>VLOOKUP(I775,'Weights and Confidence'!$D$16:$AC$26,8,FALSE)</f>
        <v>1</v>
      </c>
    </row>
    <row r="776" spans="1:29" ht="18" thickTop="1" thickBot="1" x14ac:dyDescent="0.25">
      <c r="A776" s="42" t="s">
        <v>185</v>
      </c>
      <c r="B776" s="42" t="s">
        <v>86</v>
      </c>
      <c r="C776" s="42" t="s">
        <v>90</v>
      </c>
      <c r="D776" s="42" t="s">
        <v>5</v>
      </c>
      <c r="E776" s="42"/>
      <c r="F776" s="49" t="s">
        <v>205</v>
      </c>
      <c r="G776" s="42">
        <v>1</v>
      </c>
      <c r="H776" s="42" t="s">
        <v>17</v>
      </c>
      <c r="I776" s="42" t="s">
        <v>19</v>
      </c>
      <c r="J776" s="42">
        <v>0</v>
      </c>
      <c r="K776" s="44">
        <f>AB776/COUNTIFS($B:$B,$B776,$C:$C,$C776,$H:$H,$H776,$I:$I,$I776)</f>
        <v>0.12</v>
      </c>
      <c r="L776" s="45">
        <f t="shared" si="49"/>
        <v>1</v>
      </c>
      <c r="M776" s="46">
        <f t="shared" ref="M776:M797" si="50">J776*K776*L776</f>
        <v>0</v>
      </c>
      <c r="N776" s="38"/>
      <c r="AA776" s="146">
        <f>AB776/COUNTIFS($B:$B,$B776,$C:$C,$C776,$H:$H,$H776,$I:$I,$I776)</f>
        <v>0.12</v>
      </c>
      <c r="AB776" s="108">
        <f>VLOOKUP(I776,'Weights and Confidence'!$D$16:$AC$26,7,FALSE)</f>
        <v>0.12</v>
      </c>
      <c r="AC776" s="147">
        <f>VLOOKUP(I776,'Weights and Confidence'!$D$16:$AC$26,8,FALSE)</f>
        <v>1</v>
      </c>
    </row>
    <row r="777" spans="1:29" x14ac:dyDescent="0.2">
      <c r="A777" s="34" t="s">
        <v>185</v>
      </c>
      <c r="B777" s="34" t="s">
        <v>86</v>
      </c>
      <c r="C777" s="34" t="s">
        <v>90</v>
      </c>
      <c r="D777" s="34" t="s">
        <v>5</v>
      </c>
      <c r="E777" s="34"/>
      <c r="F777" s="50" t="s">
        <v>205</v>
      </c>
      <c r="G777" s="34">
        <v>1</v>
      </c>
      <c r="H777" s="34" t="s">
        <v>18</v>
      </c>
      <c r="I777" s="34" t="s">
        <v>19</v>
      </c>
      <c r="J777" s="34">
        <v>1</v>
      </c>
      <c r="K777" s="35">
        <f>AB777/COUNTIFS($B:$B,$B777,$C:$C,$C777,$H:$H,$H777,$I:$I,$I777)</f>
        <v>0.12</v>
      </c>
      <c r="L777" s="36">
        <f t="shared" si="49"/>
        <v>1</v>
      </c>
      <c r="M777" s="37">
        <f t="shared" si="50"/>
        <v>0.12</v>
      </c>
      <c r="N777" s="58" t="s">
        <v>206</v>
      </c>
      <c r="P777" s="24" t="s">
        <v>215</v>
      </c>
      <c r="Q777" s="10"/>
      <c r="R777" s="10"/>
      <c r="S777" s="10"/>
      <c r="T777" s="10"/>
      <c r="U777" s="10"/>
      <c r="V777" s="10"/>
      <c r="AA777" s="146">
        <f>AB777/COUNTIFS($B:$B,$B777,$C:$C,$C777,$H:$H,$H777,$I:$I,$I777)</f>
        <v>0.12</v>
      </c>
      <c r="AB777" s="108">
        <f>VLOOKUP(I777,'Weights and Confidence'!$D$16:$AC$26,7,FALSE)</f>
        <v>0.12</v>
      </c>
      <c r="AC777" s="147">
        <f>VLOOKUP(I777,'Weights and Confidence'!$D$16:$AC$26,8,FALSE)</f>
        <v>1</v>
      </c>
    </row>
    <row r="778" spans="1:29" x14ac:dyDescent="0.2">
      <c r="A778" s="38" t="s">
        <v>185</v>
      </c>
      <c r="B778" s="38" t="s">
        <v>86</v>
      </c>
      <c r="C778" s="38" t="s">
        <v>90</v>
      </c>
      <c r="D778" s="38" t="s">
        <v>5</v>
      </c>
      <c r="E778" s="38"/>
      <c r="F778" s="51" t="s">
        <v>205</v>
      </c>
      <c r="G778" s="38">
        <v>2</v>
      </c>
      <c r="H778" s="38" t="s">
        <v>17</v>
      </c>
      <c r="I778" s="38" t="s">
        <v>20</v>
      </c>
      <c r="J778" s="38">
        <v>0</v>
      </c>
      <c r="K778" s="39">
        <f>AB778/COUNTIFS($B:$B,$B778,$C:$C,$C778,$H:$H,$H778,$I:$I,$I778)</f>
        <v>0.08</v>
      </c>
      <c r="L778" s="40">
        <f t="shared" si="49"/>
        <v>0.8</v>
      </c>
      <c r="M778" s="41">
        <f t="shared" si="50"/>
        <v>0</v>
      </c>
      <c r="N778" s="38"/>
      <c r="P778" s="25" t="s">
        <v>216</v>
      </c>
      <c r="AA778" s="146">
        <f>AB778/COUNTIFS($B:$B,$B778,$C:$C,$C778,$H:$H,$H778,$I:$I,$I778)</f>
        <v>0.08</v>
      </c>
      <c r="AB778" s="108">
        <f>VLOOKUP(I778,'Weights and Confidence'!$D$16:$AC$26,7,FALSE)</f>
        <v>0.08</v>
      </c>
      <c r="AC778" s="147">
        <f>VLOOKUP(I778,'Weights and Confidence'!$D$16:$AC$26,8,FALSE)</f>
        <v>0.8</v>
      </c>
    </row>
    <row r="779" spans="1:29" x14ac:dyDescent="0.2">
      <c r="A779" s="34" t="s">
        <v>185</v>
      </c>
      <c r="B779" s="34" t="s">
        <v>86</v>
      </c>
      <c r="C779" s="34" t="s">
        <v>90</v>
      </c>
      <c r="D779" s="34" t="s">
        <v>5</v>
      </c>
      <c r="E779" s="34"/>
      <c r="F779" s="50" t="s">
        <v>205</v>
      </c>
      <c r="G779" s="34">
        <v>2</v>
      </c>
      <c r="H779" s="34" t="s">
        <v>18</v>
      </c>
      <c r="I779" s="34" t="s">
        <v>20</v>
      </c>
      <c r="J779" s="34">
        <v>1</v>
      </c>
      <c r="K779" s="35">
        <f>AB779/COUNTIFS($B:$B,$B779,$C:$C,$C779,$H:$H,$H779,$I:$I,$I779)</f>
        <v>0.08</v>
      </c>
      <c r="L779" s="36">
        <f t="shared" si="49"/>
        <v>0.8</v>
      </c>
      <c r="M779" s="37">
        <f t="shared" si="50"/>
        <v>6.4000000000000001E-2</v>
      </c>
      <c r="N779" s="58" t="s">
        <v>207</v>
      </c>
      <c r="P779" s="25" t="s">
        <v>217</v>
      </c>
      <c r="AA779" s="146">
        <f>AB779/COUNTIFS($B:$B,$B779,$C:$C,$C779,$H:$H,$H779,$I:$I,$I779)</f>
        <v>0.08</v>
      </c>
      <c r="AB779" s="108">
        <f>VLOOKUP(I779,'Weights and Confidence'!$D$16:$AC$26,7,FALSE)</f>
        <v>0.08</v>
      </c>
      <c r="AC779" s="147">
        <f>VLOOKUP(I779,'Weights and Confidence'!$D$16:$AC$26,8,FALSE)</f>
        <v>0.8</v>
      </c>
    </row>
    <row r="780" spans="1:29" x14ac:dyDescent="0.2">
      <c r="A780" s="38" t="s">
        <v>185</v>
      </c>
      <c r="B780" s="38" t="s">
        <v>86</v>
      </c>
      <c r="C780" s="38" t="s">
        <v>90</v>
      </c>
      <c r="D780" s="38" t="s">
        <v>5</v>
      </c>
      <c r="E780" s="38"/>
      <c r="F780" s="51" t="s">
        <v>205</v>
      </c>
      <c r="G780" s="38">
        <v>3</v>
      </c>
      <c r="H780" s="38" t="s">
        <v>17</v>
      </c>
      <c r="I780" s="38" t="s">
        <v>21</v>
      </c>
      <c r="J780" s="38">
        <v>0</v>
      </c>
      <c r="K780" s="39">
        <f>AB780/COUNTIFS($B:$B,$B780,$C:$C,$C780,$H:$H,$H780,$I:$I,$I780)</f>
        <v>0.05</v>
      </c>
      <c r="L780" s="40">
        <f t="shared" si="49"/>
        <v>1</v>
      </c>
      <c r="M780" s="41">
        <f t="shared" si="50"/>
        <v>0</v>
      </c>
      <c r="N780" s="38"/>
      <c r="P780" s="25" t="s">
        <v>218</v>
      </c>
      <c r="AA780" s="146">
        <f>AB780/COUNTIFS($B:$B,$B780,$C:$C,$C780,$H:$H,$H780,$I:$I,$I780)</f>
        <v>0.05</v>
      </c>
      <c r="AB780" s="108">
        <f>VLOOKUP(I780,'Weights and Confidence'!$D$16:$AC$26,7,FALSE)</f>
        <v>0.05</v>
      </c>
      <c r="AC780" s="147">
        <f>VLOOKUP(I780,'Weights and Confidence'!$D$16:$AC$26,8,FALSE)</f>
        <v>1</v>
      </c>
    </row>
    <row r="781" spans="1:29" x14ac:dyDescent="0.2">
      <c r="A781" s="34" t="s">
        <v>185</v>
      </c>
      <c r="B781" s="34" t="s">
        <v>86</v>
      </c>
      <c r="C781" s="34" t="s">
        <v>90</v>
      </c>
      <c r="D781" s="34" t="s">
        <v>5</v>
      </c>
      <c r="E781" s="34"/>
      <c r="F781" s="50" t="s">
        <v>205</v>
      </c>
      <c r="G781" s="34">
        <v>3</v>
      </c>
      <c r="H781" s="34" t="s">
        <v>18</v>
      </c>
      <c r="I781" s="34" t="s">
        <v>21</v>
      </c>
      <c r="J781" s="34">
        <v>0</v>
      </c>
      <c r="K781" s="35">
        <f>AB781/COUNTIFS($B:$B,$B781,$C:$C,$C781,$H:$H,$H781,$I:$I,$I781)</f>
        <v>0.05</v>
      </c>
      <c r="L781" s="36">
        <f t="shared" si="49"/>
        <v>1</v>
      </c>
      <c r="M781" s="37">
        <f t="shared" si="50"/>
        <v>0</v>
      </c>
      <c r="N781" s="58" t="s">
        <v>208</v>
      </c>
      <c r="P781" s="25" t="s">
        <v>219</v>
      </c>
      <c r="AA781" s="146">
        <f>AB781/COUNTIFS($B:$B,$B781,$C:$C,$C781,$H:$H,$H781,$I:$I,$I781)</f>
        <v>0.05</v>
      </c>
      <c r="AB781" s="108">
        <f>VLOOKUP(I781,'Weights and Confidence'!$D$16:$AC$26,7,FALSE)</f>
        <v>0.05</v>
      </c>
      <c r="AC781" s="147">
        <f>VLOOKUP(I781,'Weights and Confidence'!$D$16:$AC$26,8,FALSE)</f>
        <v>1</v>
      </c>
    </row>
    <row r="782" spans="1:29" x14ac:dyDescent="0.2">
      <c r="A782" s="38" t="s">
        <v>185</v>
      </c>
      <c r="B782" s="38" t="s">
        <v>86</v>
      </c>
      <c r="C782" s="38" t="s">
        <v>90</v>
      </c>
      <c r="D782" s="38" t="s">
        <v>5</v>
      </c>
      <c r="E782" s="38"/>
      <c r="F782" s="51" t="s">
        <v>205</v>
      </c>
      <c r="G782" s="38">
        <v>4</v>
      </c>
      <c r="H782" s="38" t="s">
        <v>17</v>
      </c>
      <c r="I782" s="38" t="s">
        <v>22</v>
      </c>
      <c r="J782" s="38">
        <v>-1</v>
      </c>
      <c r="K782" s="39">
        <f>AB782/COUNTIFS($B:$B,$B782,$C:$C,$C782,$H:$H,$H782,$I:$I,$I782)</f>
        <v>0.14000000000000001</v>
      </c>
      <c r="L782" s="40">
        <f t="shared" si="49"/>
        <v>1</v>
      </c>
      <c r="M782" s="41">
        <f t="shared" si="50"/>
        <v>-0.14000000000000001</v>
      </c>
      <c r="N782" s="38"/>
      <c r="P782" s="25" t="s">
        <v>220</v>
      </c>
      <c r="AA782" s="146">
        <f>AB782/COUNTIFS($B:$B,$B782,$C:$C,$C782,$H:$H,$H782,$I:$I,$I782)</f>
        <v>0.14000000000000001</v>
      </c>
      <c r="AB782" s="108">
        <f>VLOOKUP(I782,'Weights and Confidence'!$D$16:$AC$26,7,FALSE)</f>
        <v>0.14000000000000001</v>
      </c>
      <c r="AC782" s="147">
        <f>VLOOKUP(I782,'Weights and Confidence'!$D$16:$AC$26,8,FALSE)</f>
        <v>1</v>
      </c>
    </row>
    <row r="783" spans="1:29" x14ac:dyDescent="0.2">
      <c r="A783" s="34" t="s">
        <v>185</v>
      </c>
      <c r="B783" s="34" t="s">
        <v>86</v>
      </c>
      <c r="C783" s="34" t="s">
        <v>90</v>
      </c>
      <c r="D783" s="34" t="s">
        <v>5</v>
      </c>
      <c r="E783" s="34"/>
      <c r="F783" s="50" t="s">
        <v>205</v>
      </c>
      <c r="G783" s="34">
        <v>4</v>
      </c>
      <c r="H783" s="34" t="s">
        <v>18</v>
      </c>
      <c r="I783" s="34" t="s">
        <v>22</v>
      </c>
      <c r="J783" s="34">
        <v>1</v>
      </c>
      <c r="K783" s="35">
        <f>AB783/COUNTIFS($B:$B,$B783,$C:$C,$C783,$H:$H,$H783,$I:$I,$I783)</f>
        <v>0.14000000000000001</v>
      </c>
      <c r="L783" s="36">
        <f t="shared" si="49"/>
        <v>1</v>
      </c>
      <c r="M783" s="37">
        <f t="shared" si="50"/>
        <v>0.14000000000000001</v>
      </c>
      <c r="N783" s="58" t="s">
        <v>209</v>
      </c>
      <c r="P783" s="25" t="s">
        <v>221</v>
      </c>
      <c r="AA783" s="146">
        <f>AB783/COUNTIFS($B:$B,$B783,$C:$C,$C783,$H:$H,$H783,$I:$I,$I783)</f>
        <v>0.14000000000000001</v>
      </c>
      <c r="AB783" s="108">
        <f>VLOOKUP(I783,'Weights and Confidence'!$D$16:$AC$26,7,FALSE)</f>
        <v>0.14000000000000001</v>
      </c>
      <c r="AC783" s="147">
        <f>VLOOKUP(I783,'Weights and Confidence'!$D$16:$AC$26,8,FALSE)</f>
        <v>1</v>
      </c>
    </row>
    <row r="784" spans="1:29" x14ac:dyDescent="0.2">
      <c r="A784" s="38" t="s">
        <v>185</v>
      </c>
      <c r="B784" s="38" t="s">
        <v>86</v>
      </c>
      <c r="C784" s="38" t="s">
        <v>90</v>
      </c>
      <c r="D784" s="38" t="s">
        <v>5</v>
      </c>
      <c r="E784" s="38"/>
      <c r="F784" s="51" t="s">
        <v>205</v>
      </c>
      <c r="G784" s="38">
        <v>5</v>
      </c>
      <c r="H784" s="38" t="s">
        <v>17</v>
      </c>
      <c r="I784" s="38" t="s">
        <v>23</v>
      </c>
      <c r="J784" s="38">
        <v>-1</v>
      </c>
      <c r="K784" s="39">
        <f>AB784/COUNTIFS($B:$B,$B784,$C:$C,$C784,$H:$H,$H784,$I:$I,$I784)</f>
        <v>0.11</v>
      </c>
      <c r="L784" s="40">
        <f t="shared" si="49"/>
        <v>1</v>
      </c>
      <c r="M784" s="41">
        <f t="shared" si="50"/>
        <v>-0.11</v>
      </c>
      <c r="N784" s="38"/>
      <c r="P784" s="25" t="s">
        <v>222</v>
      </c>
      <c r="AA784" s="146">
        <f>AB784/COUNTIFS($B:$B,$B784,$C:$C,$C784,$H:$H,$H784,$I:$I,$I784)</f>
        <v>0.11</v>
      </c>
      <c r="AB784" s="108">
        <f>VLOOKUP(I784,'Weights and Confidence'!$D$16:$AC$26,7,FALSE)</f>
        <v>0.11</v>
      </c>
      <c r="AC784" s="147">
        <f>VLOOKUP(I784,'Weights and Confidence'!$D$16:$AC$26,8,FALSE)</f>
        <v>1</v>
      </c>
    </row>
    <row r="785" spans="1:29" x14ac:dyDescent="0.2">
      <c r="A785" s="34" t="s">
        <v>185</v>
      </c>
      <c r="B785" s="34" t="s">
        <v>86</v>
      </c>
      <c r="C785" s="34" t="s">
        <v>90</v>
      </c>
      <c r="D785" s="34" t="s">
        <v>5</v>
      </c>
      <c r="E785" s="34"/>
      <c r="F785" s="50" t="s">
        <v>205</v>
      </c>
      <c r="G785" s="34">
        <v>5</v>
      </c>
      <c r="H785" s="34" t="s">
        <v>18</v>
      </c>
      <c r="I785" s="34" t="s">
        <v>23</v>
      </c>
      <c r="J785" s="34">
        <v>0</v>
      </c>
      <c r="K785" s="35">
        <f>AB785/COUNTIFS($B:$B,$B785,$C:$C,$C785,$H:$H,$H785,$I:$I,$I785)</f>
        <v>0.11</v>
      </c>
      <c r="L785" s="36">
        <f t="shared" si="49"/>
        <v>1</v>
      </c>
      <c r="M785" s="37">
        <f t="shared" si="50"/>
        <v>0</v>
      </c>
      <c r="N785" s="58" t="s">
        <v>210</v>
      </c>
      <c r="P785" s="25" t="s">
        <v>223</v>
      </c>
      <c r="AA785" s="146">
        <f>AB785/COUNTIFS($B:$B,$B785,$C:$C,$C785,$H:$H,$H785,$I:$I,$I785)</f>
        <v>0.11</v>
      </c>
      <c r="AB785" s="108">
        <f>VLOOKUP(I785,'Weights and Confidence'!$D$16:$AC$26,7,FALSE)</f>
        <v>0.11</v>
      </c>
      <c r="AC785" s="147">
        <f>VLOOKUP(I785,'Weights and Confidence'!$D$16:$AC$26,8,FALSE)</f>
        <v>1</v>
      </c>
    </row>
    <row r="786" spans="1:29" x14ac:dyDescent="0.2">
      <c r="A786" s="38" t="s">
        <v>185</v>
      </c>
      <c r="B786" s="38" t="s">
        <v>86</v>
      </c>
      <c r="C786" s="38" t="s">
        <v>90</v>
      </c>
      <c r="D786" s="38" t="s">
        <v>5</v>
      </c>
      <c r="E786" s="38"/>
      <c r="F786" s="51" t="s">
        <v>205</v>
      </c>
      <c r="G786" s="38">
        <v>6</v>
      </c>
      <c r="H786" s="38" t="s">
        <v>17</v>
      </c>
      <c r="I786" s="38" t="s">
        <v>24</v>
      </c>
      <c r="J786" s="38">
        <v>-1</v>
      </c>
      <c r="K786" s="39">
        <f>AB786/COUNTIFS($B:$B,$B786,$C:$C,$C786,$H:$H,$H786,$I:$I,$I786)</f>
        <v>0.15</v>
      </c>
      <c r="L786" s="40">
        <f t="shared" si="49"/>
        <v>1</v>
      </c>
      <c r="M786" s="41">
        <f t="shared" si="50"/>
        <v>-0.15</v>
      </c>
      <c r="N786" s="59"/>
      <c r="P786" s="25" t="s">
        <v>224</v>
      </c>
      <c r="AA786" s="146">
        <f>AB786/COUNTIFS($B:$B,$B786,$C:$C,$C786,$H:$H,$H786,$I:$I,$I786)</f>
        <v>0.15</v>
      </c>
      <c r="AB786" s="108">
        <f>VLOOKUP(I786,'Weights and Confidence'!$D$16:$AC$26,7,FALSE)</f>
        <v>0.15</v>
      </c>
      <c r="AC786" s="147">
        <f>VLOOKUP(I786,'Weights and Confidence'!$D$16:$AC$26,8,FALSE)</f>
        <v>1</v>
      </c>
    </row>
    <row r="787" spans="1:29" x14ac:dyDescent="0.2">
      <c r="A787" s="34" t="s">
        <v>185</v>
      </c>
      <c r="B787" s="34" t="s">
        <v>86</v>
      </c>
      <c r="C787" s="34" t="s">
        <v>90</v>
      </c>
      <c r="D787" s="34" t="s">
        <v>5</v>
      </c>
      <c r="E787" s="34"/>
      <c r="F787" s="50" t="s">
        <v>205</v>
      </c>
      <c r="G787" s="34">
        <v>6</v>
      </c>
      <c r="H787" s="34" t="s">
        <v>18</v>
      </c>
      <c r="I787" s="34" t="s">
        <v>24</v>
      </c>
      <c r="J787" s="34">
        <v>0</v>
      </c>
      <c r="K787" s="35">
        <f>AB787/COUNTIFS($B:$B,$B787,$C:$C,$C787,$H:$H,$H787,$I:$I,$I787)</f>
        <v>0.15</v>
      </c>
      <c r="L787" s="36">
        <f t="shared" si="49"/>
        <v>1</v>
      </c>
      <c r="M787" s="37">
        <f t="shared" si="50"/>
        <v>0</v>
      </c>
      <c r="N787" s="58" t="s">
        <v>211</v>
      </c>
      <c r="P787" s="25" t="s">
        <v>225</v>
      </c>
      <c r="AA787" s="146">
        <f>AB787/COUNTIFS($B:$B,$B787,$C:$C,$C787,$H:$H,$H787,$I:$I,$I787)</f>
        <v>0.15</v>
      </c>
      <c r="AB787" s="108">
        <f>VLOOKUP(I787,'Weights and Confidence'!$D$16:$AC$26,7,FALSE)</f>
        <v>0.15</v>
      </c>
      <c r="AC787" s="147">
        <f>VLOOKUP(I787,'Weights and Confidence'!$D$16:$AC$26,8,FALSE)</f>
        <v>1</v>
      </c>
    </row>
    <row r="788" spans="1:29" x14ac:dyDescent="0.2">
      <c r="A788" s="38" t="s">
        <v>185</v>
      </c>
      <c r="B788" s="38" t="s">
        <v>86</v>
      </c>
      <c r="C788" s="38" t="s">
        <v>90</v>
      </c>
      <c r="D788" s="38" t="s">
        <v>5</v>
      </c>
      <c r="E788" s="38"/>
      <c r="F788" s="51" t="s">
        <v>205</v>
      </c>
      <c r="G788" s="38">
        <v>7</v>
      </c>
      <c r="H788" s="38" t="s">
        <v>17</v>
      </c>
      <c r="I788" s="38" t="s">
        <v>25</v>
      </c>
      <c r="J788" s="38">
        <v>-1</v>
      </c>
      <c r="K788" s="39">
        <f>AB788/COUNTIFS($B:$B,$B788,$C:$C,$C788,$H:$H,$H788,$I:$I,$I788)</f>
        <v>0.1</v>
      </c>
      <c r="L788" s="40">
        <f t="shared" si="49"/>
        <v>1</v>
      </c>
      <c r="M788" s="41">
        <f t="shared" si="50"/>
        <v>-0.1</v>
      </c>
      <c r="N788" s="38"/>
      <c r="P788" s="25" t="s">
        <v>226</v>
      </c>
      <c r="AA788" s="146">
        <f>AB788/COUNTIFS($B:$B,$B788,$C:$C,$C788,$H:$H,$H788,$I:$I,$I788)</f>
        <v>0.1</v>
      </c>
      <c r="AB788" s="108">
        <f>VLOOKUP(I788,'Weights and Confidence'!$D$16:$AC$26,7,FALSE)</f>
        <v>0.1</v>
      </c>
      <c r="AC788" s="147">
        <f>VLOOKUP(I788,'Weights and Confidence'!$D$16:$AC$26,8,FALSE)</f>
        <v>1</v>
      </c>
    </row>
    <row r="789" spans="1:29" x14ac:dyDescent="0.2">
      <c r="A789" s="34" t="s">
        <v>185</v>
      </c>
      <c r="B789" s="34" t="s">
        <v>86</v>
      </c>
      <c r="C789" s="34" t="s">
        <v>90</v>
      </c>
      <c r="D789" s="34" t="s">
        <v>5</v>
      </c>
      <c r="E789" s="34"/>
      <c r="F789" s="50" t="s">
        <v>205</v>
      </c>
      <c r="G789" s="34">
        <v>7</v>
      </c>
      <c r="H789" s="34" t="s">
        <v>18</v>
      </c>
      <c r="I789" s="34" t="s">
        <v>25</v>
      </c>
      <c r="J789" s="34">
        <v>0</v>
      </c>
      <c r="K789" s="35">
        <f>AB789/COUNTIFS($B:$B,$B789,$C:$C,$C789,$H:$H,$H789,$I:$I,$I789)</f>
        <v>0.1</v>
      </c>
      <c r="L789" s="36">
        <f t="shared" si="49"/>
        <v>1</v>
      </c>
      <c r="M789" s="37">
        <f t="shared" si="50"/>
        <v>0</v>
      </c>
      <c r="N789" s="58" t="s">
        <v>212</v>
      </c>
      <c r="P789" s="25" t="s">
        <v>227</v>
      </c>
      <c r="AA789" s="146">
        <f>AB789/COUNTIFS($B:$B,$B789,$C:$C,$C789,$H:$H,$H789,$I:$I,$I789)</f>
        <v>0.1</v>
      </c>
      <c r="AB789" s="108">
        <f>VLOOKUP(I789,'Weights and Confidence'!$D$16:$AC$26,7,FALSE)</f>
        <v>0.1</v>
      </c>
      <c r="AC789" s="147">
        <f>VLOOKUP(I789,'Weights and Confidence'!$D$16:$AC$26,8,FALSE)</f>
        <v>1</v>
      </c>
    </row>
    <row r="790" spans="1:29" x14ac:dyDescent="0.2">
      <c r="A790" s="38" t="s">
        <v>185</v>
      </c>
      <c r="B790" s="38" t="s">
        <v>86</v>
      </c>
      <c r="C790" s="38" t="s">
        <v>90</v>
      </c>
      <c r="D790" s="38" t="s">
        <v>5</v>
      </c>
      <c r="E790" s="38"/>
      <c r="F790" s="51" t="s">
        <v>205</v>
      </c>
      <c r="G790" s="38">
        <v>8</v>
      </c>
      <c r="H790" s="38" t="s">
        <v>17</v>
      </c>
      <c r="I790" s="38" t="s">
        <v>26</v>
      </c>
      <c r="J790" s="38">
        <v>0</v>
      </c>
      <c r="K790" s="39">
        <f>AB790/COUNTIFS($B:$B,$B790,$C:$C,$C790,$H:$H,$H790,$I:$I,$I790)</f>
        <v>0.1</v>
      </c>
      <c r="L790" s="40">
        <f t="shared" si="49"/>
        <v>1</v>
      </c>
      <c r="M790" s="41">
        <f t="shared" si="50"/>
        <v>0</v>
      </c>
      <c r="N790" s="38"/>
      <c r="P790" s="25" t="s">
        <v>228</v>
      </c>
      <c r="AA790" s="146">
        <f>AB790/COUNTIFS($B:$B,$B790,$C:$C,$C790,$H:$H,$H790,$I:$I,$I790)</f>
        <v>0.1</v>
      </c>
      <c r="AB790" s="108">
        <f>VLOOKUP(I790,'Weights and Confidence'!$D$16:$AC$26,7,FALSE)</f>
        <v>0.1</v>
      </c>
      <c r="AC790" s="147">
        <f>VLOOKUP(I790,'Weights and Confidence'!$D$16:$AC$26,8,FALSE)</f>
        <v>1</v>
      </c>
    </row>
    <row r="791" spans="1:29" x14ac:dyDescent="0.2">
      <c r="A791" s="34" t="s">
        <v>185</v>
      </c>
      <c r="B791" s="34" t="s">
        <v>86</v>
      </c>
      <c r="C791" s="34" t="s">
        <v>90</v>
      </c>
      <c r="D791" s="34" t="s">
        <v>5</v>
      </c>
      <c r="E791" s="34"/>
      <c r="F791" s="50" t="s">
        <v>205</v>
      </c>
      <c r="G791" s="34">
        <v>8</v>
      </c>
      <c r="H791" s="34" t="s">
        <v>18</v>
      </c>
      <c r="I791" s="34" t="s">
        <v>26</v>
      </c>
      <c r="J791" s="34">
        <v>0</v>
      </c>
      <c r="K791" s="35">
        <f>AB791/COUNTIFS($B:$B,$B791,$C:$C,$C791,$H:$H,$H791,$I:$I,$I791)</f>
        <v>0.1</v>
      </c>
      <c r="L791" s="36">
        <f t="shared" si="49"/>
        <v>1</v>
      </c>
      <c r="M791" s="37">
        <f t="shared" si="50"/>
        <v>0</v>
      </c>
      <c r="N791" s="58"/>
      <c r="P791" s="25" t="s">
        <v>229</v>
      </c>
      <c r="AA791" s="146">
        <f>AB791/COUNTIFS($B:$B,$B791,$C:$C,$C791,$H:$H,$H791,$I:$I,$I791)</f>
        <v>0.1</v>
      </c>
      <c r="AB791" s="108">
        <f>VLOOKUP(I791,'Weights and Confidence'!$D$16:$AC$26,7,FALSE)</f>
        <v>0.1</v>
      </c>
      <c r="AC791" s="147">
        <f>VLOOKUP(I791,'Weights and Confidence'!$D$16:$AC$26,8,FALSE)</f>
        <v>1</v>
      </c>
    </row>
    <row r="792" spans="1:29" x14ac:dyDescent="0.2">
      <c r="A792" s="38" t="s">
        <v>185</v>
      </c>
      <c r="B792" s="38" t="s">
        <v>86</v>
      </c>
      <c r="C792" s="38" t="s">
        <v>90</v>
      </c>
      <c r="D792" s="38" t="s">
        <v>5</v>
      </c>
      <c r="E792" s="38"/>
      <c r="F792" s="51" t="s">
        <v>205</v>
      </c>
      <c r="G792" s="38">
        <v>9</v>
      </c>
      <c r="H792" s="38" t="s">
        <v>17</v>
      </c>
      <c r="I792" s="38" t="s">
        <v>27</v>
      </c>
      <c r="J792" s="38">
        <v>0</v>
      </c>
      <c r="K792" s="39">
        <f>AB792/COUNTIFS($B:$B,$B792,$C:$C,$C792,$H:$H,$H792,$I:$I,$I792)</f>
        <v>0.05</v>
      </c>
      <c r="L792" s="40">
        <f t="shared" si="49"/>
        <v>0.85</v>
      </c>
      <c r="M792" s="41">
        <f t="shared" si="50"/>
        <v>0</v>
      </c>
      <c r="N792" s="38"/>
      <c r="P792" s="25" t="s">
        <v>230</v>
      </c>
      <c r="AA792" s="146">
        <f>AB792/COUNTIFS($B:$B,$B792,$C:$C,$C792,$H:$H,$H792,$I:$I,$I792)</f>
        <v>0.05</v>
      </c>
      <c r="AB792" s="108">
        <f>VLOOKUP(I792,'Weights and Confidence'!$D$16:$AC$26,7,FALSE)</f>
        <v>0.1</v>
      </c>
      <c r="AC792" s="147">
        <f>VLOOKUP(I792,'Weights and Confidence'!$D$16:$AC$26,8,FALSE)</f>
        <v>0.85</v>
      </c>
    </row>
    <row r="793" spans="1:29" ht="17" thickBot="1" x14ac:dyDescent="0.25">
      <c r="A793" s="34" t="s">
        <v>185</v>
      </c>
      <c r="B793" s="34" t="s">
        <v>86</v>
      </c>
      <c r="C793" s="34" t="s">
        <v>90</v>
      </c>
      <c r="D793" s="34" t="s">
        <v>5</v>
      </c>
      <c r="E793" s="34"/>
      <c r="F793" s="50" t="s">
        <v>205</v>
      </c>
      <c r="G793" s="34">
        <v>9</v>
      </c>
      <c r="H793" s="34" t="s">
        <v>18</v>
      </c>
      <c r="I793" s="34" t="s">
        <v>27</v>
      </c>
      <c r="J793" s="34">
        <v>1</v>
      </c>
      <c r="K793" s="35">
        <f>AB793/COUNTIFS($B:$B,$B793,$C:$C,$C793,$H:$H,$H793,$I:$I,$I793)</f>
        <v>0.05</v>
      </c>
      <c r="L793" s="36">
        <f t="shared" si="49"/>
        <v>0.85</v>
      </c>
      <c r="M793" s="37">
        <f t="shared" si="50"/>
        <v>4.2500000000000003E-2</v>
      </c>
      <c r="N793" s="58" t="s">
        <v>213</v>
      </c>
      <c r="P793" s="26" t="s">
        <v>231</v>
      </c>
      <c r="Q793" s="2"/>
      <c r="R793" s="2"/>
      <c r="S793" s="2"/>
      <c r="T793" s="2"/>
      <c r="U793" s="2"/>
      <c r="V793" s="2"/>
      <c r="AA793" s="146">
        <f>AB793/COUNTIFS($B:$B,$B793,$C:$C,$C793,$H:$H,$H793,$I:$I,$I793)</f>
        <v>0.05</v>
      </c>
      <c r="AB793" s="108">
        <f>VLOOKUP(I793,'Weights and Confidence'!$D$16:$AC$26,7,FALSE)</f>
        <v>0.1</v>
      </c>
      <c r="AC793" s="147">
        <f>VLOOKUP(I793,'Weights and Confidence'!$D$16:$AC$26,8,FALSE)</f>
        <v>0.85</v>
      </c>
    </row>
    <row r="794" spans="1:29" x14ac:dyDescent="0.2">
      <c r="A794" s="38" t="s">
        <v>185</v>
      </c>
      <c r="B794" s="38" t="s">
        <v>86</v>
      </c>
      <c r="C794" s="38" t="s">
        <v>90</v>
      </c>
      <c r="D794" s="38" t="s">
        <v>5</v>
      </c>
      <c r="E794" s="38"/>
      <c r="F794" s="51" t="s">
        <v>205</v>
      </c>
      <c r="G794" s="38">
        <v>10</v>
      </c>
      <c r="H794" s="38" t="s">
        <v>17</v>
      </c>
      <c r="I794" s="38" t="s">
        <v>27</v>
      </c>
      <c r="J794" s="38">
        <v>-1</v>
      </c>
      <c r="K794" s="39">
        <f>AB794/COUNTIFS($B:$B,$B794,$C:$C,$C794,$H:$H,$H794,$I:$I,$I794)</f>
        <v>0.05</v>
      </c>
      <c r="L794" s="40">
        <f t="shared" si="49"/>
        <v>0.85</v>
      </c>
      <c r="M794" s="41">
        <f t="shared" si="50"/>
        <v>-4.2500000000000003E-2</v>
      </c>
      <c r="N794" s="38"/>
      <c r="AA794" s="146">
        <f>AB794/COUNTIFS($B:$B,$B794,$C:$C,$C794,$H:$H,$H794,$I:$I,$I794)</f>
        <v>0.05</v>
      </c>
      <c r="AB794" s="108">
        <f>VLOOKUP(I794,'Weights and Confidence'!$D$16:$AC$26,7,FALSE)</f>
        <v>0.1</v>
      </c>
      <c r="AC794" s="147">
        <f>VLOOKUP(I794,'Weights and Confidence'!$D$16:$AC$26,8,FALSE)</f>
        <v>0.85</v>
      </c>
    </row>
    <row r="795" spans="1:29" x14ac:dyDescent="0.2">
      <c r="A795" s="34" t="s">
        <v>185</v>
      </c>
      <c r="B795" s="34" t="s">
        <v>86</v>
      </c>
      <c r="C795" s="34" t="s">
        <v>90</v>
      </c>
      <c r="D795" s="34" t="s">
        <v>5</v>
      </c>
      <c r="E795" s="34"/>
      <c r="F795" s="50" t="s">
        <v>205</v>
      </c>
      <c r="G795" s="34">
        <v>10</v>
      </c>
      <c r="H795" s="34" t="s">
        <v>18</v>
      </c>
      <c r="I795" s="34" t="s">
        <v>27</v>
      </c>
      <c r="J795" s="34">
        <v>1</v>
      </c>
      <c r="K795" s="35">
        <f>AB795/COUNTIFS($B:$B,$B795,$C:$C,$C795,$H:$H,$H795,$I:$I,$I795)</f>
        <v>0.05</v>
      </c>
      <c r="L795" s="36">
        <f t="shared" si="49"/>
        <v>0.85</v>
      </c>
      <c r="M795" s="37">
        <f t="shared" si="50"/>
        <v>4.2500000000000003E-2</v>
      </c>
      <c r="N795" s="34"/>
      <c r="AA795" s="146">
        <f>AB795/COUNTIFS($B:$B,$B795,$C:$C,$C795,$H:$H,$H795,$I:$I,$I795)</f>
        <v>0.05</v>
      </c>
      <c r="AB795" s="108">
        <f>VLOOKUP(I795,'Weights and Confidence'!$D$16:$AC$26,7,FALSE)</f>
        <v>0.1</v>
      </c>
      <c r="AC795" s="147">
        <f>VLOOKUP(I795,'Weights and Confidence'!$D$16:$AC$26,8,FALSE)</f>
        <v>0.85</v>
      </c>
    </row>
    <row r="796" spans="1:29" x14ac:dyDescent="0.2">
      <c r="A796" s="38" t="s">
        <v>185</v>
      </c>
      <c r="B796" s="38" t="s">
        <v>86</v>
      </c>
      <c r="C796" s="38" t="s">
        <v>90</v>
      </c>
      <c r="D796" s="38" t="s">
        <v>5</v>
      </c>
      <c r="E796" s="38"/>
      <c r="F796" s="51" t="s">
        <v>205</v>
      </c>
      <c r="G796" s="38">
        <v>11</v>
      </c>
      <c r="H796" s="38" t="s">
        <v>17</v>
      </c>
      <c r="I796" s="38" t="s">
        <v>28</v>
      </c>
      <c r="J796" s="38">
        <v>-1</v>
      </c>
      <c r="K796" s="39">
        <f>AB796/COUNTIFS($B:$B,$B796,$C:$C,$C796,$H:$H,$H796,$I:$I,$I796)</f>
        <v>0.05</v>
      </c>
      <c r="L796" s="40">
        <f t="shared" si="49"/>
        <v>1</v>
      </c>
      <c r="M796" s="41">
        <f t="shared" si="50"/>
        <v>-0.05</v>
      </c>
      <c r="N796" s="38"/>
      <c r="AA796" s="146">
        <f>AB796/COUNTIFS($B:$B,$B796,$C:$C,$C796,$H:$H,$H796,$I:$I,$I796)</f>
        <v>0.05</v>
      </c>
      <c r="AB796" s="108">
        <f>VLOOKUP(I796,'Weights and Confidence'!$D$16:$AC$26,7,FALSE)</f>
        <v>0.05</v>
      </c>
      <c r="AC796" s="147">
        <f>VLOOKUP(I796,'Weights and Confidence'!$D$16:$AC$26,8,FALSE)</f>
        <v>1</v>
      </c>
    </row>
    <row r="797" spans="1:29" ht="17" thickBot="1" x14ac:dyDescent="0.25">
      <c r="A797" s="34" t="s">
        <v>185</v>
      </c>
      <c r="B797" s="34" t="s">
        <v>86</v>
      </c>
      <c r="C797" s="34" t="s">
        <v>90</v>
      </c>
      <c r="D797" s="34" t="s">
        <v>5</v>
      </c>
      <c r="E797" s="34"/>
      <c r="F797" s="50" t="s">
        <v>205</v>
      </c>
      <c r="G797" s="34">
        <v>11</v>
      </c>
      <c r="H797" s="34" t="s">
        <v>18</v>
      </c>
      <c r="I797" s="34" t="s">
        <v>28</v>
      </c>
      <c r="J797" s="34">
        <v>0</v>
      </c>
      <c r="K797" s="35">
        <f>AB797/COUNTIFS($B:$B,$B797,$C:$C,$C797,$H:$H,$H797,$I:$I,$I797)</f>
        <v>0.05</v>
      </c>
      <c r="L797" s="36">
        <f t="shared" si="49"/>
        <v>1</v>
      </c>
      <c r="M797" s="37">
        <f t="shared" si="50"/>
        <v>0</v>
      </c>
      <c r="N797" s="58" t="s">
        <v>214</v>
      </c>
      <c r="AA797" s="140">
        <f>AB797/COUNTIFS($B:$B,$B797,$C:$C,$C797,$H:$H,$H797,$I:$I,$I797)</f>
        <v>0.05</v>
      </c>
      <c r="AB797" s="141">
        <f>VLOOKUP(I797,'Weights and Confidence'!$D$16:$AC$26,7,FALSE)</f>
        <v>0.05</v>
      </c>
      <c r="AC797" s="142">
        <f>VLOOKUP(I797,'Weights and Confidence'!$D$16:$AC$26,8,FALSE)</f>
        <v>1</v>
      </c>
    </row>
    <row r="798" spans="1:29" ht="17" thickTop="1" x14ac:dyDescent="0.2">
      <c r="A798" s="42" t="s">
        <v>185</v>
      </c>
      <c r="B798" s="42" t="s">
        <v>86</v>
      </c>
      <c r="C798" s="42" t="s">
        <v>50</v>
      </c>
      <c r="D798" s="42" t="s">
        <v>5</v>
      </c>
      <c r="E798" s="42" t="s">
        <v>103</v>
      </c>
      <c r="F798" s="49" t="s">
        <v>51</v>
      </c>
      <c r="G798" s="42">
        <v>1</v>
      </c>
      <c r="H798" s="42" t="s">
        <v>17</v>
      </c>
      <c r="I798" s="42" t="s">
        <v>19</v>
      </c>
      <c r="J798" s="42">
        <v>1</v>
      </c>
      <c r="K798" s="44">
        <f>AB798/COUNTIFS($B:$B,$B798,$C:$C,$C798,$H:$H,$H798,$I:$I,$I798)</f>
        <v>0.12</v>
      </c>
      <c r="L798" s="45">
        <f t="shared" si="49"/>
        <v>1</v>
      </c>
      <c r="M798" s="46">
        <f t="shared" ref="M798:M819" si="51">J798*K798*L798</f>
        <v>0.12</v>
      </c>
      <c r="N798" s="42"/>
      <c r="AA798" s="146">
        <f>AB798/COUNTIFS($B:$B,$B798,$C:$C,$C798,$H:$H,$H798,$I:$I,$I798)</f>
        <v>0.12</v>
      </c>
      <c r="AB798" s="108">
        <f>VLOOKUP(I798,'Weights and Confidence'!$D$16:$AC$26,7,FALSE)</f>
        <v>0.12</v>
      </c>
      <c r="AC798" s="147">
        <f>VLOOKUP(I798,'Weights and Confidence'!$D$16:$AC$26,8,FALSE)</f>
        <v>1</v>
      </c>
    </row>
    <row r="799" spans="1:29" ht="17" thickBot="1" x14ac:dyDescent="0.25">
      <c r="A799" s="34" t="s">
        <v>185</v>
      </c>
      <c r="B799" s="34" t="s">
        <v>86</v>
      </c>
      <c r="C799" s="34" t="s">
        <v>50</v>
      </c>
      <c r="D799" s="34" t="s">
        <v>5</v>
      </c>
      <c r="E799" s="34" t="s">
        <v>103</v>
      </c>
      <c r="F799" s="50" t="s">
        <v>51</v>
      </c>
      <c r="G799" s="34">
        <v>1</v>
      </c>
      <c r="H799" s="34" t="s">
        <v>18</v>
      </c>
      <c r="I799" s="34" t="s">
        <v>19</v>
      </c>
      <c r="J799" s="34">
        <v>1</v>
      </c>
      <c r="K799" s="35">
        <f>AB799/COUNTIFS($B:$B,$B799,$C:$C,$C799,$H:$H,$H799,$I:$I,$I799)</f>
        <v>0.12</v>
      </c>
      <c r="L799" s="36">
        <f t="shared" si="49"/>
        <v>1</v>
      </c>
      <c r="M799" s="37">
        <f t="shared" si="51"/>
        <v>0.12</v>
      </c>
      <c r="N799" s="58"/>
      <c r="AA799" s="146">
        <f>AB799/COUNTIFS($B:$B,$B799,$C:$C,$C799,$H:$H,$H799,$I:$I,$I799)</f>
        <v>0.12</v>
      </c>
      <c r="AB799" s="108">
        <f>VLOOKUP(I799,'Weights and Confidence'!$D$16:$AC$26,7,FALSE)</f>
        <v>0.12</v>
      </c>
      <c r="AC799" s="147">
        <f>VLOOKUP(I799,'Weights and Confidence'!$D$16:$AC$26,8,FALSE)</f>
        <v>1</v>
      </c>
    </row>
    <row r="800" spans="1:29" x14ac:dyDescent="0.2">
      <c r="A800" s="38" t="s">
        <v>185</v>
      </c>
      <c r="B800" s="38" t="s">
        <v>86</v>
      </c>
      <c r="C800" s="38" t="s">
        <v>50</v>
      </c>
      <c r="D800" s="38" t="s">
        <v>5</v>
      </c>
      <c r="E800" s="38" t="s">
        <v>103</v>
      </c>
      <c r="F800" s="51" t="s">
        <v>51</v>
      </c>
      <c r="G800" s="38">
        <v>2</v>
      </c>
      <c r="H800" s="38" t="s">
        <v>17</v>
      </c>
      <c r="I800" s="38" t="s">
        <v>20</v>
      </c>
      <c r="J800" s="38">
        <v>1</v>
      </c>
      <c r="K800" s="39">
        <f>AB800/COUNTIFS($B:$B,$B800,$C:$C,$C800,$H:$H,$H800,$I:$I,$I800)</f>
        <v>0.08</v>
      </c>
      <c r="L800" s="40">
        <f t="shared" si="49"/>
        <v>0.8</v>
      </c>
      <c r="M800" s="41">
        <f t="shared" si="51"/>
        <v>6.4000000000000001E-2</v>
      </c>
      <c r="N800" s="38"/>
      <c r="P800" s="24" t="s">
        <v>235</v>
      </c>
      <c r="Q800" s="10"/>
      <c r="R800" s="10"/>
      <c r="S800" s="10"/>
      <c r="T800" s="10"/>
      <c r="U800" s="10"/>
      <c r="V800" s="10"/>
      <c r="AA800" s="146">
        <f>AB800/COUNTIFS($B:$B,$B800,$C:$C,$C800,$H:$H,$H800,$I:$I,$I800)</f>
        <v>0.08</v>
      </c>
      <c r="AB800" s="108">
        <f>VLOOKUP(I800,'Weights and Confidence'!$D$16:$AC$26,7,FALSE)</f>
        <v>0.08</v>
      </c>
      <c r="AC800" s="147">
        <f>VLOOKUP(I800,'Weights and Confidence'!$D$16:$AC$26,8,FALSE)</f>
        <v>0.8</v>
      </c>
    </row>
    <row r="801" spans="1:29" x14ac:dyDescent="0.2">
      <c r="A801" s="34" t="s">
        <v>185</v>
      </c>
      <c r="B801" s="34" t="s">
        <v>86</v>
      </c>
      <c r="C801" s="34" t="s">
        <v>50</v>
      </c>
      <c r="D801" s="34" t="s">
        <v>5</v>
      </c>
      <c r="E801" s="34" t="s">
        <v>103</v>
      </c>
      <c r="F801" s="50" t="s">
        <v>51</v>
      </c>
      <c r="G801" s="34">
        <v>2</v>
      </c>
      <c r="H801" s="34" t="s">
        <v>18</v>
      </c>
      <c r="I801" s="34" t="s">
        <v>20</v>
      </c>
      <c r="J801" s="34">
        <v>1</v>
      </c>
      <c r="K801" s="35">
        <f>AB801/COUNTIFS($B:$B,$B801,$C:$C,$C801,$H:$H,$H801,$I:$I,$I801)</f>
        <v>0.08</v>
      </c>
      <c r="L801" s="36">
        <f t="shared" si="49"/>
        <v>0.8</v>
      </c>
      <c r="M801" s="37">
        <f t="shared" si="51"/>
        <v>6.4000000000000001E-2</v>
      </c>
      <c r="N801" s="58"/>
      <c r="P801" s="25" t="s">
        <v>236</v>
      </c>
      <c r="AA801" s="146">
        <f>AB801/COUNTIFS($B:$B,$B801,$C:$C,$C801,$H:$H,$H801,$I:$I,$I801)</f>
        <v>0.08</v>
      </c>
      <c r="AB801" s="108">
        <f>VLOOKUP(I801,'Weights and Confidence'!$D$16:$AC$26,7,FALSE)</f>
        <v>0.08</v>
      </c>
      <c r="AC801" s="147">
        <f>VLOOKUP(I801,'Weights and Confidence'!$D$16:$AC$26,8,FALSE)</f>
        <v>0.8</v>
      </c>
    </row>
    <row r="802" spans="1:29" ht="17" thickBot="1" x14ac:dyDescent="0.25">
      <c r="A802" s="38" t="s">
        <v>185</v>
      </c>
      <c r="B802" s="38" t="s">
        <v>86</v>
      </c>
      <c r="C802" s="38" t="s">
        <v>50</v>
      </c>
      <c r="D802" s="38" t="s">
        <v>5</v>
      </c>
      <c r="E802" s="38" t="s">
        <v>103</v>
      </c>
      <c r="F802" s="51" t="s">
        <v>51</v>
      </c>
      <c r="G802" s="38">
        <v>3</v>
      </c>
      <c r="H802" s="38" t="s">
        <v>17</v>
      </c>
      <c r="I802" s="38" t="s">
        <v>21</v>
      </c>
      <c r="J802" s="38">
        <v>1</v>
      </c>
      <c r="K802" s="39">
        <f>AB802/COUNTIFS($B:$B,$B802,$C:$C,$C802,$H:$H,$H802,$I:$I,$I802)</f>
        <v>0.05</v>
      </c>
      <c r="L802" s="40">
        <f t="shared" si="49"/>
        <v>1</v>
      </c>
      <c r="M802" s="41">
        <f t="shared" si="51"/>
        <v>0.05</v>
      </c>
      <c r="N802" s="38"/>
      <c r="P802" s="26" t="s">
        <v>237</v>
      </c>
      <c r="Q802" s="2"/>
      <c r="R802" s="2"/>
      <c r="S802" s="2"/>
      <c r="T802" s="2"/>
      <c r="U802" s="2"/>
      <c r="V802" s="2"/>
      <c r="AA802" s="146">
        <f>AB802/COUNTIFS($B:$B,$B802,$C:$C,$C802,$H:$H,$H802,$I:$I,$I802)</f>
        <v>0.05</v>
      </c>
      <c r="AB802" s="108">
        <f>VLOOKUP(I802,'Weights and Confidence'!$D$16:$AC$26,7,FALSE)</f>
        <v>0.05</v>
      </c>
      <c r="AC802" s="147">
        <f>VLOOKUP(I802,'Weights and Confidence'!$D$16:$AC$26,8,FALSE)</f>
        <v>1</v>
      </c>
    </row>
    <row r="803" spans="1:29" x14ac:dyDescent="0.2">
      <c r="A803" s="34" t="s">
        <v>185</v>
      </c>
      <c r="B803" s="34" t="s">
        <v>86</v>
      </c>
      <c r="C803" s="34" t="s">
        <v>50</v>
      </c>
      <c r="D803" s="34" t="s">
        <v>5</v>
      </c>
      <c r="E803" s="34" t="s">
        <v>103</v>
      </c>
      <c r="F803" s="50" t="s">
        <v>51</v>
      </c>
      <c r="G803" s="34">
        <v>3</v>
      </c>
      <c r="H803" s="34" t="s">
        <v>18</v>
      </c>
      <c r="I803" s="34" t="s">
        <v>21</v>
      </c>
      <c r="J803" s="34">
        <v>1</v>
      </c>
      <c r="K803" s="35">
        <f>AB803/COUNTIFS($B:$B,$B803,$C:$C,$C803,$H:$H,$H803,$I:$I,$I803)</f>
        <v>0.05</v>
      </c>
      <c r="L803" s="36">
        <f t="shared" si="49"/>
        <v>1</v>
      </c>
      <c r="M803" s="37">
        <f t="shared" si="51"/>
        <v>0.05</v>
      </c>
      <c r="N803" s="58"/>
      <c r="AA803" s="146">
        <f>AB803/COUNTIFS($B:$B,$B803,$C:$C,$C803,$H:$H,$H803,$I:$I,$I803)</f>
        <v>0.05</v>
      </c>
      <c r="AB803" s="108">
        <f>VLOOKUP(I803,'Weights and Confidence'!$D$16:$AC$26,7,FALSE)</f>
        <v>0.05</v>
      </c>
      <c r="AC803" s="147">
        <f>VLOOKUP(I803,'Weights and Confidence'!$D$16:$AC$26,8,FALSE)</f>
        <v>1</v>
      </c>
    </row>
    <row r="804" spans="1:29" x14ac:dyDescent="0.2">
      <c r="A804" s="38" t="s">
        <v>185</v>
      </c>
      <c r="B804" s="38" t="s">
        <v>86</v>
      </c>
      <c r="C804" s="38" t="s">
        <v>50</v>
      </c>
      <c r="D804" s="38" t="s">
        <v>5</v>
      </c>
      <c r="E804" s="38" t="s">
        <v>103</v>
      </c>
      <c r="F804" s="51" t="s">
        <v>51</v>
      </c>
      <c r="G804" s="38">
        <v>4</v>
      </c>
      <c r="H804" s="38" t="s">
        <v>17</v>
      </c>
      <c r="I804" s="38" t="s">
        <v>22</v>
      </c>
      <c r="J804" s="38">
        <v>1</v>
      </c>
      <c r="K804" s="39">
        <f>AB804/COUNTIFS($B:$B,$B804,$C:$C,$C804,$H:$H,$H804,$I:$I,$I804)</f>
        <v>0.14000000000000001</v>
      </c>
      <c r="L804" s="40">
        <f t="shared" si="49"/>
        <v>1</v>
      </c>
      <c r="M804" s="41">
        <f t="shared" si="51"/>
        <v>0.14000000000000001</v>
      </c>
      <c r="N804" s="38"/>
      <c r="AA804" s="146">
        <f>AB804/COUNTIFS($B:$B,$B804,$C:$C,$C804,$H:$H,$H804,$I:$I,$I804)</f>
        <v>0.14000000000000001</v>
      </c>
      <c r="AB804" s="108">
        <f>VLOOKUP(I804,'Weights and Confidence'!$D$16:$AC$26,7,FALSE)</f>
        <v>0.14000000000000001</v>
      </c>
      <c r="AC804" s="147">
        <f>VLOOKUP(I804,'Weights and Confidence'!$D$16:$AC$26,8,FALSE)</f>
        <v>1</v>
      </c>
    </row>
    <row r="805" spans="1:29" x14ac:dyDescent="0.2">
      <c r="A805" s="34" t="s">
        <v>185</v>
      </c>
      <c r="B805" s="34" t="s">
        <v>86</v>
      </c>
      <c r="C805" s="34" t="s">
        <v>50</v>
      </c>
      <c r="D805" s="34" t="s">
        <v>5</v>
      </c>
      <c r="E805" s="34" t="s">
        <v>103</v>
      </c>
      <c r="F805" s="50" t="s">
        <v>51</v>
      </c>
      <c r="G805" s="34">
        <v>4</v>
      </c>
      <c r="H805" s="34" t="s">
        <v>18</v>
      </c>
      <c r="I805" s="34" t="s">
        <v>22</v>
      </c>
      <c r="J805" s="34">
        <v>1</v>
      </c>
      <c r="K805" s="35">
        <f>AB805/COUNTIFS($B:$B,$B805,$C:$C,$C805,$H:$H,$H805,$I:$I,$I805)</f>
        <v>0.14000000000000001</v>
      </c>
      <c r="L805" s="36">
        <f t="shared" si="49"/>
        <v>1</v>
      </c>
      <c r="M805" s="37">
        <f t="shared" si="51"/>
        <v>0.14000000000000001</v>
      </c>
      <c r="N805" s="58" t="s">
        <v>232</v>
      </c>
      <c r="AA805" s="146">
        <f>AB805/COUNTIFS($B:$B,$B805,$C:$C,$C805,$H:$H,$H805,$I:$I,$I805)</f>
        <v>0.14000000000000001</v>
      </c>
      <c r="AB805" s="108">
        <f>VLOOKUP(I805,'Weights and Confidence'!$D$16:$AC$26,7,FALSE)</f>
        <v>0.14000000000000001</v>
      </c>
      <c r="AC805" s="147">
        <f>VLOOKUP(I805,'Weights and Confidence'!$D$16:$AC$26,8,FALSE)</f>
        <v>1</v>
      </c>
    </row>
    <row r="806" spans="1:29" x14ac:dyDescent="0.2">
      <c r="A806" s="38" t="s">
        <v>185</v>
      </c>
      <c r="B806" s="38" t="s">
        <v>86</v>
      </c>
      <c r="C806" s="38" t="s">
        <v>50</v>
      </c>
      <c r="D806" s="38" t="s">
        <v>5</v>
      </c>
      <c r="E806" s="38" t="s">
        <v>103</v>
      </c>
      <c r="F806" s="51" t="s">
        <v>51</v>
      </c>
      <c r="G806" s="38">
        <v>5</v>
      </c>
      <c r="H806" s="38" t="s">
        <v>17</v>
      </c>
      <c r="I806" s="38" t="s">
        <v>23</v>
      </c>
      <c r="J806" s="38">
        <v>1</v>
      </c>
      <c r="K806" s="39">
        <f>AB806/COUNTIFS($B:$B,$B806,$C:$C,$C806,$H:$H,$H806,$I:$I,$I806)</f>
        <v>0.11</v>
      </c>
      <c r="L806" s="40">
        <f t="shared" si="49"/>
        <v>1</v>
      </c>
      <c r="M806" s="41">
        <f t="shared" si="51"/>
        <v>0.11</v>
      </c>
      <c r="N806" s="38"/>
      <c r="AA806" s="146">
        <f>AB806/COUNTIFS($B:$B,$B806,$C:$C,$C806,$H:$H,$H806,$I:$I,$I806)</f>
        <v>0.11</v>
      </c>
      <c r="AB806" s="108">
        <f>VLOOKUP(I806,'Weights and Confidence'!$D$16:$AC$26,7,FALSE)</f>
        <v>0.11</v>
      </c>
      <c r="AC806" s="147">
        <f>VLOOKUP(I806,'Weights and Confidence'!$D$16:$AC$26,8,FALSE)</f>
        <v>1</v>
      </c>
    </row>
    <row r="807" spans="1:29" x14ac:dyDescent="0.2">
      <c r="A807" s="34" t="s">
        <v>185</v>
      </c>
      <c r="B807" s="34" t="s">
        <v>86</v>
      </c>
      <c r="C807" s="34" t="s">
        <v>50</v>
      </c>
      <c r="D807" s="34" t="s">
        <v>5</v>
      </c>
      <c r="E807" s="34" t="s">
        <v>103</v>
      </c>
      <c r="F807" s="50" t="s">
        <v>51</v>
      </c>
      <c r="G807" s="34">
        <v>5</v>
      </c>
      <c r="H807" s="34" t="s">
        <v>18</v>
      </c>
      <c r="I807" s="34" t="s">
        <v>23</v>
      </c>
      <c r="J807" s="34">
        <v>1</v>
      </c>
      <c r="K807" s="35">
        <f>AB807/COUNTIFS($B:$B,$B807,$C:$C,$C807,$H:$H,$H807,$I:$I,$I807)</f>
        <v>0.11</v>
      </c>
      <c r="L807" s="36">
        <f t="shared" si="49"/>
        <v>1</v>
      </c>
      <c r="M807" s="37">
        <f t="shared" si="51"/>
        <v>0.11</v>
      </c>
      <c r="N807" s="58" t="s">
        <v>233</v>
      </c>
      <c r="AA807" s="146">
        <f>AB807/COUNTIFS($B:$B,$B807,$C:$C,$C807,$H:$H,$H807,$I:$I,$I807)</f>
        <v>0.11</v>
      </c>
      <c r="AB807" s="108">
        <f>VLOOKUP(I807,'Weights and Confidence'!$D$16:$AC$26,7,FALSE)</f>
        <v>0.11</v>
      </c>
      <c r="AC807" s="147">
        <f>VLOOKUP(I807,'Weights and Confidence'!$D$16:$AC$26,8,FALSE)</f>
        <v>1</v>
      </c>
    </row>
    <row r="808" spans="1:29" x14ac:dyDescent="0.2">
      <c r="A808" s="38" t="s">
        <v>185</v>
      </c>
      <c r="B808" s="38" t="s">
        <v>86</v>
      </c>
      <c r="C808" s="38" t="s">
        <v>50</v>
      </c>
      <c r="D808" s="38" t="s">
        <v>5</v>
      </c>
      <c r="E808" s="38" t="s">
        <v>103</v>
      </c>
      <c r="F808" s="51" t="s">
        <v>51</v>
      </c>
      <c r="G808" s="38">
        <v>6</v>
      </c>
      <c r="H808" s="38" t="s">
        <v>17</v>
      </c>
      <c r="I808" s="38" t="s">
        <v>24</v>
      </c>
      <c r="J808" s="38">
        <v>1</v>
      </c>
      <c r="K808" s="39">
        <f>AB808/COUNTIFS($B:$B,$B808,$C:$C,$C808,$H:$H,$H808,$I:$I,$I808)</f>
        <v>0.15</v>
      </c>
      <c r="L808" s="40">
        <f t="shared" si="49"/>
        <v>1</v>
      </c>
      <c r="M808" s="41">
        <f t="shared" si="51"/>
        <v>0.15</v>
      </c>
      <c r="N808" s="59"/>
      <c r="AA808" s="146">
        <f>AB808/COUNTIFS($B:$B,$B808,$C:$C,$C808,$H:$H,$H808,$I:$I,$I808)</f>
        <v>0.15</v>
      </c>
      <c r="AB808" s="108">
        <f>VLOOKUP(I808,'Weights and Confidence'!$D$16:$AC$26,7,FALSE)</f>
        <v>0.15</v>
      </c>
      <c r="AC808" s="147">
        <f>VLOOKUP(I808,'Weights and Confidence'!$D$16:$AC$26,8,FALSE)</f>
        <v>1</v>
      </c>
    </row>
    <row r="809" spans="1:29" x14ac:dyDescent="0.2">
      <c r="A809" s="34" t="s">
        <v>185</v>
      </c>
      <c r="B809" s="34" t="s">
        <v>86</v>
      </c>
      <c r="C809" s="34" t="s">
        <v>50</v>
      </c>
      <c r="D809" s="34" t="s">
        <v>5</v>
      </c>
      <c r="E809" s="34" t="s">
        <v>103</v>
      </c>
      <c r="F809" s="50" t="s">
        <v>51</v>
      </c>
      <c r="G809" s="34">
        <v>6</v>
      </c>
      <c r="H809" s="34" t="s">
        <v>18</v>
      </c>
      <c r="I809" s="34" t="s">
        <v>24</v>
      </c>
      <c r="J809" s="34">
        <v>1</v>
      </c>
      <c r="K809" s="35">
        <f>AB809/COUNTIFS($B:$B,$B809,$C:$C,$C809,$H:$H,$H809,$I:$I,$I809)</f>
        <v>0.15</v>
      </c>
      <c r="L809" s="36">
        <f t="shared" si="49"/>
        <v>1</v>
      </c>
      <c r="M809" s="37">
        <f t="shared" si="51"/>
        <v>0.15</v>
      </c>
      <c r="N809" s="58"/>
      <c r="AA809" s="146">
        <f>AB809/COUNTIFS($B:$B,$B809,$C:$C,$C809,$H:$H,$H809,$I:$I,$I809)</f>
        <v>0.15</v>
      </c>
      <c r="AB809" s="108">
        <f>VLOOKUP(I809,'Weights and Confidence'!$D$16:$AC$26,7,FALSE)</f>
        <v>0.15</v>
      </c>
      <c r="AC809" s="147">
        <f>VLOOKUP(I809,'Weights and Confidence'!$D$16:$AC$26,8,FALSE)</f>
        <v>1</v>
      </c>
    </row>
    <row r="810" spans="1:29" x14ac:dyDescent="0.2">
      <c r="A810" s="38" t="s">
        <v>185</v>
      </c>
      <c r="B810" s="38" t="s">
        <v>86</v>
      </c>
      <c r="C810" s="38" t="s">
        <v>50</v>
      </c>
      <c r="D810" s="38" t="s">
        <v>5</v>
      </c>
      <c r="E810" s="38" t="s">
        <v>103</v>
      </c>
      <c r="F810" s="51" t="s">
        <v>51</v>
      </c>
      <c r="G810" s="38">
        <v>7</v>
      </c>
      <c r="H810" s="38" t="s">
        <v>17</v>
      </c>
      <c r="I810" s="38" t="s">
        <v>25</v>
      </c>
      <c r="J810" s="38">
        <v>1</v>
      </c>
      <c r="K810" s="39">
        <f>AB810/COUNTIFS($B:$B,$B810,$C:$C,$C810,$H:$H,$H810,$I:$I,$I810)</f>
        <v>0.1</v>
      </c>
      <c r="L810" s="40">
        <f t="shared" si="49"/>
        <v>1</v>
      </c>
      <c r="M810" s="41">
        <f t="shared" si="51"/>
        <v>0.1</v>
      </c>
      <c r="N810" s="38"/>
      <c r="AA810" s="146">
        <f>AB810/COUNTIFS($B:$B,$B810,$C:$C,$C810,$H:$H,$H810,$I:$I,$I810)</f>
        <v>0.1</v>
      </c>
      <c r="AB810" s="108">
        <f>VLOOKUP(I810,'Weights and Confidence'!$D$16:$AC$26,7,FALSE)</f>
        <v>0.1</v>
      </c>
      <c r="AC810" s="147">
        <f>VLOOKUP(I810,'Weights and Confidence'!$D$16:$AC$26,8,FALSE)</f>
        <v>1</v>
      </c>
    </row>
    <row r="811" spans="1:29" x14ac:dyDescent="0.2">
      <c r="A811" s="34" t="s">
        <v>185</v>
      </c>
      <c r="B811" s="34" t="s">
        <v>86</v>
      </c>
      <c r="C811" s="34" t="s">
        <v>50</v>
      </c>
      <c r="D811" s="34" t="s">
        <v>5</v>
      </c>
      <c r="E811" s="34" t="s">
        <v>103</v>
      </c>
      <c r="F811" s="50" t="s">
        <v>51</v>
      </c>
      <c r="G811" s="34">
        <v>7</v>
      </c>
      <c r="H811" s="34" t="s">
        <v>18</v>
      </c>
      <c r="I811" s="34" t="s">
        <v>25</v>
      </c>
      <c r="J811" s="34">
        <v>1</v>
      </c>
      <c r="K811" s="35">
        <f>AB811/COUNTIFS($B:$B,$B811,$C:$C,$C811,$H:$H,$H811,$I:$I,$I811)</f>
        <v>0.1</v>
      </c>
      <c r="L811" s="36">
        <f t="shared" si="49"/>
        <v>1</v>
      </c>
      <c r="M811" s="37">
        <f t="shared" si="51"/>
        <v>0.1</v>
      </c>
      <c r="N811" s="58"/>
      <c r="AA811" s="146">
        <f>AB811/COUNTIFS($B:$B,$B811,$C:$C,$C811,$H:$H,$H811,$I:$I,$I811)</f>
        <v>0.1</v>
      </c>
      <c r="AB811" s="108">
        <f>VLOOKUP(I811,'Weights and Confidence'!$D$16:$AC$26,7,FALSE)</f>
        <v>0.1</v>
      </c>
      <c r="AC811" s="147">
        <f>VLOOKUP(I811,'Weights and Confidence'!$D$16:$AC$26,8,FALSE)</f>
        <v>1</v>
      </c>
    </row>
    <row r="812" spans="1:29" x14ac:dyDescent="0.2">
      <c r="A812" s="38" t="s">
        <v>185</v>
      </c>
      <c r="B812" s="38" t="s">
        <v>86</v>
      </c>
      <c r="C812" s="38" t="s">
        <v>50</v>
      </c>
      <c r="D812" s="38" t="s">
        <v>5</v>
      </c>
      <c r="E812" s="38" t="s">
        <v>103</v>
      </c>
      <c r="F812" s="51" t="s">
        <v>51</v>
      </c>
      <c r="G812" s="38">
        <v>8</v>
      </c>
      <c r="H812" s="38" t="s">
        <v>17</v>
      </c>
      <c r="I812" s="38" t="s">
        <v>26</v>
      </c>
      <c r="J812" s="38">
        <v>1</v>
      </c>
      <c r="K812" s="39">
        <f>AB812/COUNTIFS($B:$B,$B812,$C:$C,$C812,$H:$H,$H812,$I:$I,$I812)</f>
        <v>0.1</v>
      </c>
      <c r="L812" s="40">
        <f t="shared" si="49"/>
        <v>1</v>
      </c>
      <c r="M812" s="41">
        <f t="shared" si="51"/>
        <v>0.1</v>
      </c>
      <c r="N812" s="38"/>
      <c r="AA812" s="146">
        <f>AB812/COUNTIFS($B:$B,$B812,$C:$C,$C812,$H:$H,$H812,$I:$I,$I812)</f>
        <v>0.1</v>
      </c>
      <c r="AB812" s="108">
        <f>VLOOKUP(I812,'Weights and Confidence'!$D$16:$AC$26,7,FALSE)</f>
        <v>0.1</v>
      </c>
      <c r="AC812" s="147">
        <f>VLOOKUP(I812,'Weights and Confidence'!$D$16:$AC$26,8,FALSE)</f>
        <v>1</v>
      </c>
    </row>
    <row r="813" spans="1:29" x14ac:dyDescent="0.2">
      <c r="A813" s="34" t="s">
        <v>185</v>
      </c>
      <c r="B813" s="34" t="s">
        <v>86</v>
      </c>
      <c r="C813" s="34" t="s">
        <v>50</v>
      </c>
      <c r="D813" s="34" t="s">
        <v>5</v>
      </c>
      <c r="E813" s="34" t="s">
        <v>103</v>
      </c>
      <c r="F813" s="50" t="s">
        <v>51</v>
      </c>
      <c r="G813" s="34">
        <v>8</v>
      </c>
      <c r="H813" s="34" t="s">
        <v>18</v>
      </c>
      <c r="I813" s="34" t="s">
        <v>26</v>
      </c>
      <c r="J813" s="34">
        <v>1</v>
      </c>
      <c r="K813" s="35">
        <f>AB813/COUNTIFS($B:$B,$B813,$C:$C,$C813,$H:$H,$H813,$I:$I,$I813)</f>
        <v>0.1</v>
      </c>
      <c r="L813" s="36">
        <f t="shared" si="49"/>
        <v>1</v>
      </c>
      <c r="M813" s="37">
        <f t="shared" si="51"/>
        <v>0.1</v>
      </c>
      <c r="N813" s="58"/>
      <c r="AA813" s="146">
        <f>AB813/COUNTIFS($B:$B,$B813,$C:$C,$C813,$H:$H,$H813,$I:$I,$I813)</f>
        <v>0.1</v>
      </c>
      <c r="AB813" s="108">
        <f>VLOOKUP(I813,'Weights and Confidence'!$D$16:$AC$26,7,FALSE)</f>
        <v>0.1</v>
      </c>
      <c r="AC813" s="147">
        <f>VLOOKUP(I813,'Weights and Confidence'!$D$16:$AC$26,8,FALSE)</f>
        <v>1</v>
      </c>
    </row>
    <row r="814" spans="1:29" x14ac:dyDescent="0.2">
      <c r="A814" s="38" t="s">
        <v>185</v>
      </c>
      <c r="B814" s="38" t="s">
        <v>86</v>
      </c>
      <c r="C814" s="38" t="s">
        <v>50</v>
      </c>
      <c r="D814" s="38" t="s">
        <v>5</v>
      </c>
      <c r="E814" s="38" t="s">
        <v>103</v>
      </c>
      <c r="F814" s="51" t="s">
        <v>51</v>
      </c>
      <c r="G814" s="38">
        <v>9</v>
      </c>
      <c r="H814" s="38" t="s">
        <v>17</v>
      </c>
      <c r="I814" s="38" t="s">
        <v>27</v>
      </c>
      <c r="J814" s="38">
        <v>1</v>
      </c>
      <c r="K814" s="39">
        <f>AB814/COUNTIFS($B:$B,$B814,$C:$C,$C814,$H:$H,$H814,$I:$I,$I814)</f>
        <v>0.05</v>
      </c>
      <c r="L814" s="40">
        <f t="shared" si="49"/>
        <v>0.85</v>
      </c>
      <c r="M814" s="41">
        <f t="shared" si="51"/>
        <v>4.2500000000000003E-2</v>
      </c>
      <c r="N814" s="38"/>
      <c r="AA814" s="146">
        <f>AB814/COUNTIFS($B:$B,$B814,$C:$C,$C814,$H:$H,$H814,$I:$I,$I814)</f>
        <v>0.05</v>
      </c>
      <c r="AB814" s="108">
        <f>VLOOKUP(I814,'Weights and Confidence'!$D$16:$AC$26,7,FALSE)</f>
        <v>0.1</v>
      </c>
      <c r="AC814" s="147">
        <f>VLOOKUP(I814,'Weights and Confidence'!$D$16:$AC$26,8,FALSE)</f>
        <v>0.85</v>
      </c>
    </row>
    <row r="815" spans="1:29" x14ac:dyDescent="0.2">
      <c r="A815" s="34" t="s">
        <v>185</v>
      </c>
      <c r="B815" s="34" t="s">
        <v>86</v>
      </c>
      <c r="C815" s="34" t="s">
        <v>50</v>
      </c>
      <c r="D815" s="34" t="s">
        <v>5</v>
      </c>
      <c r="E815" s="34" t="s">
        <v>103</v>
      </c>
      <c r="F815" s="50" t="s">
        <v>51</v>
      </c>
      <c r="G815" s="34">
        <v>9</v>
      </c>
      <c r="H815" s="34" t="s">
        <v>18</v>
      </c>
      <c r="I815" s="34" t="s">
        <v>27</v>
      </c>
      <c r="J815" s="34">
        <v>1</v>
      </c>
      <c r="K815" s="35">
        <f>AB815/COUNTIFS($B:$B,$B815,$C:$C,$C815,$H:$H,$H815,$I:$I,$I815)</f>
        <v>0.05</v>
      </c>
      <c r="L815" s="36">
        <f t="shared" si="49"/>
        <v>0.85</v>
      </c>
      <c r="M815" s="37">
        <f t="shared" si="51"/>
        <v>4.2500000000000003E-2</v>
      </c>
      <c r="N815" s="58"/>
      <c r="AA815" s="146">
        <f>AB815/COUNTIFS($B:$B,$B815,$C:$C,$C815,$H:$H,$H815,$I:$I,$I815)</f>
        <v>0.05</v>
      </c>
      <c r="AB815" s="108">
        <f>VLOOKUP(I815,'Weights and Confidence'!$D$16:$AC$26,7,FALSE)</f>
        <v>0.1</v>
      </c>
      <c r="AC815" s="147">
        <f>VLOOKUP(I815,'Weights and Confidence'!$D$16:$AC$26,8,FALSE)</f>
        <v>0.85</v>
      </c>
    </row>
    <row r="816" spans="1:29" x14ac:dyDescent="0.2">
      <c r="A816" s="38" t="s">
        <v>185</v>
      </c>
      <c r="B816" s="38" t="s">
        <v>86</v>
      </c>
      <c r="C816" s="38" t="s">
        <v>50</v>
      </c>
      <c r="D816" s="38" t="s">
        <v>5</v>
      </c>
      <c r="E816" s="38" t="s">
        <v>103</v>
      </c>
      <c r="F816" s="51" t="s">
        <v>51</v>
      </c>
      <c r="G816" s="38">
        <v>10</v>
      </c>
      <c r="H816" s="38" t="s">
        <v>17</v>
      </c>
      <c r="I816" s="38" t="s">
        <v>27</v>
      </c>
      <c r="J816" s="38">
        <v>1</v>
      </c>
      <c r="K816" s="39">
        <f>AB816/COUNTIFS($B:$B,$B816,$C:$C,$C816,$H:$H,$H816,$I:$I,$I816)</f>
        <v>0.05</v>
      </c>
      <c r="L816" s="40">
        <f t="shared" si="49"/>
        <v>0.85</v>
      </c>
      <c r="M816" s="41">
        <f t="shared" si="51"/>
        <v>4.2500000000000003E-2</v>
      </c>
      <c r="N816" s="38"/>
      <c r="AA816" s="146">
        <f>AB816/COUNTIFS($B:$B,$B816,$C:$C,$C816,$H:$H,$H816,$I:$I,$I816)</f>
        <v>0.05</v>
      </c>
      <c r="AB816" s="108">
        <f>VLOOKUP(I816,'Weights and Confidence'!$D$16:$AC$26,7,FALSE)</f>
        <v>0.1</v>
      </c>
      <c r="AC816" s="147">
        <f>VLOOKUP(I816,'Weights and Confidence'!$D$16:$AC$26,8,FALSE)</f>
        <v>0.85</v>
      </c>
    </row>
    <row r="817" spans="1:29" x14ac:dyDescent="0.2">
      <c r="A817" s="34" t="s">
        <v>185</v>
      </c>
      <c r="B817" s="34" t="s">
        <v>86</v>
      </c>
      <c r="C817" s="34" t="s">
        <v>50</v>
      </c>
      <c r="D817" s="34" t="s">
        <v>5</v>
      </c>
      <c r="E817" s="34" t="s">
        <v>103</v>
      </c>
      <c r="F817" s="50" t="s">
        <v>51</v>
      </c>
      <c r="G817" s="34">
        <v>10</v>
      </c>
      <c r="H817" s="34" t="s">
        <v>18</v>
      </c>
      <c r="I817" s="34" t="s">
        <v>27</v>
      </c>
      <c r="J817" s="34">
        <v>1</v>
      </c>
      <c r="K817" s="35">
        <f>AB817/COUNTIFS($B:$B,$B817,$C:$C,$C817,$H:$H,$H817,$I:$I,$I817)</f>
        <v>0.05</v>
      </c>
      <c r="L817" s="36">
        <f t="shared" si="49"/>
        <v>0.85</v>
      </c>
      <c r="M817" s="37">
        <f t="shared" si="51"/>
        <v>4.2500000000000003E-2</v>
      </c>
      <c r="N817" s="34"/>
      <c r="AA817" s="146">
        <f>AB817/COUNTIFS($B:$B,$B817,$C:$C,$C817,$H:$H,$H817,$I:$I,$I817)</f>
        <v>0.05</v>
      </c>
      <c r="AB817" s="108">
        <f>VLOOKUP(I817,'Weights and Confidence'!$D$16:$AC$26,7,FALSE)</f>
        <v>0.1</v>
      </c>
      <c r="AC817" s="147">
        <f>VLOOKUP(I817,'Weights and Confidence'!$D$16:$AC$26,8,FALSE)</f>
        <v>0.85</v>
      </c>
    </row>
    <row r="818" spans="1:29" x14ac:dyDescent="0.2">
      <c r="A818" s="38" t="s">
        <v>185</v>
      </c>
      <c r="B818" s="38" t="s">
        <v>86</v>
      </c>
      <c r="C818" s="38" t="s">
        <v>50</v>
      </c>
      <c r="D818" s="38" t="s">
        <v>5</v>
      </c>
      <c r="E818" s="38" t="s">
        <v>103</v>
      </c>
      <c r="F818" s="51" t="s">
        <v>51</v>
      </c>
      <c r="G818" s="38">
        <v>11</v>
      </c>
      <c r="H818" s="38" t="s">
        <v>17</v>
      </c>
      <c r="I818" s="38" t="s">
        <v>28</v>
      </c>
      <c r="J818" s="38">
        <v>0</v>
      </c>
      <c r="K818" s="39">
        <f>AB818/COUNTIFS($B:$B,$B818,$C:$C,$C818,$H:$H,$H818,$I:$I,$I818)</f>
        <v>0.05</v>
      </c>
      <c r="L818" s="40">
        <f t="shared" si="49"/>
        <v>1</v>
      </c>
      <c r="M818" s="41">
        <f t="shared" si="51"/>
        <v>0</v>
      </c>
      <c r="N818" s="38"/>
      <c r="AA818" s="146">
        <f>AB818/COUNTIFS($B:$B,$B818,$C:$C,$C818,$H:$H,$H818,$I:$I,$I818)</f>
        <v>0.05</v>
      </c>
      <c r="AB818" s="108">
        <f>VLOOKUP(I818,'Weights and Confidence'!$D$16:$AC$26,7,FALSE)</f>
        <v>0.05</v>
      </c>
      <c r="AC818" s="147">
        <f>VLOOKUP(I818,'Weights and Confidence'!$D$16:$AC$26,8,FALSE)</f>
        <v>1</v>
      </c>
    </row>
    <row r="819" spans="1:29" ht="17" thickBot="1" x14ac:dyDescent="0.25">
      <c r="A819" s="34" t="s">
        <v>185</v>
      </c>
      <c r="B819" s="34" t="s">
        <v>86</v>
      </c>
      <c r="C819" s="34" t="s">
        <v>50</v>
      </c>
      <c r="D819" s="34" t="s">
        <v>5</v>
      </c>
      <c r="E819" s="34" t="s">
        <v>103</v>
      </c>
      <c r="F819" s="50" t="s">
        <v>51</v>
      </c>
      <c r="G819" s="34">
        <v>11</v>
      </c>
      <c r="H819" s="34" t="s">
        <v>18</v>
      </c>
      <c r="I819" s="34" t="s">
        <v>28</v>
      </c>
      <c r="J819" s="34">
        <v>1</v>
      </c>
      <c r="K819" s="35">
        <f>AB819/COUNTIFS($B:$B,$B819,$C:$C,$C819,$H:$H,$H819,$I:$I,$I819)</f>
        <v>0.05</v>
      </c>
      <c r="L819" s="36">
        <f t="shared" si="49"/>
        <v>1</v>
      </c>
      <c r="M819" s="37">
        <f t="shared" si="51"/>
        <v>0.05</v>
      </c>
      <c r="N819" s="58" t="s">
        <v>234</v>
      </c>
      <c r="AA819" s="140">
        <f>AB819/COUNTIFS($B:$B,$B819,$C:$C,$C819,$H:$H,$H819,$I:$I,$I819)</f>
        <v>0.05</v>
      </c>
      <c r="AB819" s="141">
        <f>VLOOKUP(I819,'Weights and Confidence'!$D$16:$AC$26,7,FALSE)</f>
        <v>0.05</v>
      </c>
      <c r="AC819" s="142">
        <f>VLOOKUP(I819,'Weights and Confidence'!$D$16:$AC$26,8,FALSE)</f>
        <v>1</v>
      </c>
    </row>
    <row r="820" spans="1:29" ht="18" thickTop="1" thickBot="1" x14ac:dyDescent="0.25">
      <c r="A820" s="42" t="s">
        <v>185</v>
      </c>
      <c r="B820" s="42" t="s">
        <v>86</v>
      </c>
      <c r="C820" s="42" t="s">
        <v>52</v>
      </c>
      <c r="D820" s="42" t="s">
        <v>5</v>
      </c>
      <c r="E820" s="42" t="s">
        <v>105</v>
      </c>
      <c r="F820" s="49" t="s">
        <v>127</v>
      </c>
      <c r="G820" s="42">
        <v>1</v>
      </c>
      <c r="H820" s="42" t="s">
        <v>17</v>
      </c>
      <c r="I820" s="42" t="s">
        <v>19</v>
      </c>
      <c r="J820" s="42">
        <v>1</v>
      </c>
      <c r="K820" s="44">
        <f>AB820/COUNTIFS($B:$B,$B820,$C:$C,$C820,$H:$H,$H820,$I:$I,$I820)</f>
        <v>0.12</v>
      </c>
      <c r="L820" s="45">
        <f t="shared" si="49"/>
        <v>1</v>
      </c>
      <c r="M820" s="46">
        <f t="shared" ref="M820:M841" si="52">J820*K820*L820</f>
        <v>0.12</v>
      </c>
      <c r="N820" s="42"/>
      <c r="AA820" s="146">
        <f>AB820/COUNTIFS($B:$B,$B820,$C:$C,$C820,$H:$H,$H820,$I:$I,$I820)</f>
        <v>0.12</v>
      </c>
      <c r="AB820" s="108">
        <f>VLOOKUP(I820,'Weights and Confidence'!$D$16:$AC$26,7,FALSE)</f>
        <v>0.12</v>
      </c>
      <c r="AC820" s="147">
        <f>VLOOKUP(I820,'Weights and Confidence'!$D$16:$AC$26,8,FALSE)</f>
        <v>1</v>
      </c>
    </row>
    <row r="821" spans="1:29" ht="17" thickBot="1" x14ac:dyDescent="0.25">
      <c r="A821" s="34" t="s">
        <v>185</v>
      </c>
      <c r="B821" s="34" t="s">
        <v>86</v>
      </c>
      <c r="C821" s="34" t="s">
        <v>52</v>
      </c>
      <c r="D821" s="34" t="s">
        <v>5</v>
      </c>
      <c r="E821" s="34" t="s">
        <v>105</v>
      </c>
      <c r="F821" s="50" t="s">
        <v>127</v>
      </c>
      <c r="G821" s="34">
        <v>1</v>
      </c>
      <c r="H821" s="34" t="s">
        <v>18</v>
      </c>
      <c r="I821" s="34" t="s">
        <v>19</v>
      </c>
      <c r="J821" s="34">
        <v>1</v>
      </c>
      <c r="K821" s="35">
        <f>AB821/COUNTIFS($B:$B,$B821,$C:$C,$C821,$H:$H,$H821,$I:$I,$I821)</f>
        <v>0.12</v>
      </c>
      <c r="L821" s="36">
        <f t="shared" si="49"/>
        <v>1</v>
      </c>
      <c r="M821" s="37">
        <f t="shared" si="52"/>
        <v>0.12</v>
      </c>
      <c r="N821" s="58"/>
      <c r="P821" s="27" t="s">
        <v>244</v>
      </c>
      <c r="Q821" s="3"/>
      <c r="R821" s="3"/>
      <c r="S821" s="3"/>
      <c r="T821" s="3"/>
      <c r="U821" s="4"/>
      <c r="AA821" s="146">
        <f>AB821/COUNTIFS($B:$B,$B821,$C:$C,$C821,$H:$H,$H821,$I:$I,$I821)</f>
        <v>0.12</v>
      </c>
      <c r="AB821" s="108">
        <f>VLOOKUP(I821,'Weights and Confidence'!$D$16:$AC$26,7,FALSE)</f>
        <v>0.12</v>
      </c>
      <c r="AC821" s="147">
        <f>VLOOKUP(I821,'Weights and Confidence'!$D$16:$AC$26,8,FALSE)</f>
        <v>1</v>
      </c>
    </row>
    <row r="822" spans="1:29" x14ac:dyDescent="0.2">
      <c r="A822" s="38" t="s">
        <v>185</v>
      </c>
      <c r="B822" s="38" t="s">
        <v>86</v>
      </c>
      <c r="C822" s="38" t="s">
        <v>52</v>
      </c>
      <c r="D822" s="38" t="s">
        <v>5</v>
      </c>
      <c r="E822" s="38" t="s">
        <v>105</v>
      </c>
      <c r="F822" s="51" t="s">
        <v>127</v>
      </c>
      <c r="G822" s="38">
        <v>2</v>
      </c>
      <c r="H822" s="38" t="s">
        <v>17</v>
      </c>
      <c r="I822" s="38" t="s">
        <v>20</v>
      </c>
      <c r="J822" s="38">
        <v>0</v>
      </c>
      <c r="K822" s="39">
        <f>AB822/COUNTIFS($B:$B,$B822,$C:$C,$C822,$H:$H,$H822,$I:$I,$I822)</f>
        <v>0.08</v>
      </c>
      <c r="L822" s="40">
        <f t="shared" si="49"/>
        <v>0.8</v>
      </c>
      <c r="M822" s="41">
        <f t="shared" si="52"/>
        <v>0</v>
      </c>
      <c r="N822" s="38"/>
      <c r="AA822" s="146">
        <f>AB822/COUNTIFS($B:$B,$B822,$C:$C,$C822,$H:$H,$H822,$I:$I,$I822)</f>
        <v>0.08</v>
      </c>
      <c r="AB822" s="108">
        <f>VLOOKUP(I822,'Weights and Confidence'!$D$16:$AC$26,7,FALSE)</f>
        <v>0.08</v>
      </c>
      <c r="AC822" s="147">
        <f>VLOOKUP(I822,'Weights and Confidence'!$D$16:$AC$26,8,FALSE)</f>
        <v>0.8</v>
      </c>
    </row>
    <row r="823" spans="1:29" x14ac:dyDescent="0.2">
      <c r="A823" s="34" t="s">
        <v>185</v>
      </c>
      <c r="B823" s="34" t="s">
        <v>86</v>
      </c>
      <c r="C823" s="34" t="s">
        <v>52</v>
      </c>
      <c r="D823" s="34" t="s">
        <v>5</v>
      </c>
      <c r="E823" s="34" t="s">
        <v>105</v>
      </c>
      <c r="F823" s="50" t="s">
        <v>127</v>
      </c>
      <c r="G823" s="34">
        <v>2</v>
      </c>
      <c r="H823" s="34" t="s">
        <v>18</v>
      </c>
      <c r="I823" s="34" t="s">
        <v>20</v>
      </c>
      <c r="J823" s="34">
        <v>0</v>
      </c>
      <c r="K823" s="35">
        <f>AB823/COUNTIFS($B:$B,$B823,$C:$C,$C823,$H:$H,$H823,$I:$I,$I823)</f>
        <v>0.08</v>
      </c>
      <c r="L823" s="36">
        <f t="shared" si="49"/>
        <v>0.8</v>
      </c>
      <c r="M823" s="37">
        <f t="shared" si="52"/>
        <v>0</v>
      </c>
      <c r="N823" s="58" t="s">
        <v>238</v>
      </c>
      <c r="AA823" s="146">
        <f>AB823/COUNTIFS($B:$B,$B823,$C:$C,$C823,$H:$H,$H823,$I:$I,$I823)</f>
        <v>0.08</v>
      </c>
      <c r="AB823" s="108">
        <f>VLOOKUP(I823,'Weights and Confidence'!$D$16:$AC$26,7,FALSE)</f>
        <v>0.08</v>
      </c>
      <c r="AC823" s="147">
        <f>VLOOKUP(I823,'Weights and Confidence'!$D$16:$AC$26,8,FALSE)</f>
        <v>0.8</v>
      </c>
    </row>
    <row r="824" spans="1:29" x14ac:dyDescent="0.2">
      <c r="A824" s="38" t="s">
        <v>185</v>
      </c>
      <c r="B824" s="38" t="s">
        <v>86</v>
      </c>
      <c r="C824" s="38" t="s">
        <v>52</v>
      </c>
      <c r="D824" s="38" t="s">
        <v>5</v>
      </c>
      <c r="E824" s="38" t="s">
        <v>105</v>
      </c>
      <c r="F824" s="51" t="s">
        <v>127</v>
      </c>
      <c r="G824" s="38">
        <v>3</v>
      </c>
      <c r="H824" s="38" t="s">
        <v>17</v>
      </c>
      <c r="I824" s="38" t="s">
        <v>21</v>
      </c>
      <c r="J824" s="38">
        <v>1</v>
      </c>
      <c r="K824" s="39">
        <f>AB824/COUNTIFS($B:$B,$B824,$C:$C,$C824,$H:$H,$H824,$I:$I,$I824)</f>
        <v>0.05</v>
      </c>
      <c r="L824" s="40">
        <f t="shared" si="49"/>
        <v>1</v>
      </c>
      <c r="M824" s="41">
        <f t="shared" si="52"/>
        <v>0.05</v>
      </c>
      <c r="N824" s="38"/>
      <c r="AA824" s="146">
        <f>AB824/COUNTIFS($B:$B,$B824,$C:$C,$C824,$H:$H,$H824,$I:$I,$I824)</f>
        <v>0.05</v>
      </c>
      <c r="AB824" s="108">
        <f>VLOOKUP(I824,'Weights and Confidence'!$D$16:$AC$26,7,FALSE)</f>
        <v>0.05</v>
      </c>
      <c r="AC824" s="147">
        <f>VLOOKUP(I824,'Weights and Confidence'!$D$16:$AC$26,8,FALSE)</f>
        <v>1</v>
      </c>
    </row>
    <row r="825" spans="1:29" x14ac:dyDescent="0.2">
      <c r="A825" s="34" t="s">
        <v>185</v>
      </c>
      <c r="B825" s="34" t="s">
        <v>86</v>
      </c>
      <c r="C825" s="34" t="s">
        <v>52</v>
      </c>
      <c r="D825" s="34" t="s">
        <v>5</v>
      </c>
      <c r="E825" s="34" t="s">
        <v>105</v>
      </c>
      <c r="F825" s="50" t="s">
        <v>127</v>
      </c>
      <c r="G825" s="34">
        <v>3</v>
      </c>
      <c r="H825" s="34" t="s">
        <v>18</v>
      </c>
      <c r="I825" s="34" t="s">
        <v>21</v>
      </c>
      <c r="J825" s="34">
        <v>1</v>
      </c>
      <c r="K825" s="35">
        <f>AB825/COUNTIFS($B:$B,$B825,$C:$C,$C825,$H:$H,$H825,$I:$I,$I825)</f>
        <v>0.05</v>
      </c>
      <c r="L825" s="36">
        <f t="shared" si="49"/>
        <v>1</v>
      </c>
      <c r="M825" s="37">
        <f t="shared" si="52"/>
        <v>0.05</v>
      </c>
      <c r="N825" s="58" t="s">
        <v>239</v>
      </c>
      <c r="AA825" s="146">
        <f>AB825/COUNTIFS($B:$B,$B825,$C:$C,$C825,$H:$H,$H825,$I:$I,$I825)</f>
        <v>0.05</v>
      </c>
      <c r="AB825" s="108">
        <f>VLOOKUP(I825,'Weights and Confidence'!$D$16:$AC$26,7,FALSE)</f>
        <v>0.05</v>
      </c>
      <c r="AC825" s="147">
        <f>VLOOKUP(I825,'Weights and Confidence'!$D$16:$AC$26,8,FALSE)</f>
        <v>1</v>
      </c>
    </row>
    <row r="826" spans="1:29" x14ac:dyDescent="0.2">
      <c r="A826" s="38" t="s">
        <v>185</v>
      </c>
      <c r="B826" s="38" t="s">
        <v>86</v>
      </c>
      <c r="C826" s="38" t="s">
        <v>52</v>
      </c>
      <c r="D826" s="38" t="s">
        <v>5</v>
      </c>
      <c r="E826" s="38" t="s">
        <v>105</v>
      </c>
      <c r="F826" s="51" t="s">
        <v>127</v>
      </c>
      <c r="G826" s="38">
        <v>4</v>
      </c>
      <c r="H826" s="38" t="s">
        <v>17</v>
      </c>
      <c r="I826" s="38" t="s">
        <v>22</v>
      </c>
      <c r="J826" s="38">
        <v>-1</v>
      </c>
      <c r="K826" s="39">
        <f>AB826/COUNTIFS($B:$B,$B826,$C:$C,$C826,$H:$H,$H826,$I:$I,$I826)</f>
        <v>0.14000000000000001</v>
      </c>
      <c r="L826" s="40">
        <f t="shared" si="49"/>
        <v>1</v>
      </c>
      <c r="M826" s="41">
        <f t="shared" si="52"/>
        <v>-0.14000000000000001</v>
      </c>
      <c r="N826" s="38"/>
      <c r="AA826" s="146">
        <f>AB826/COUNTIFS($B:$B,$B826,$C:$C,$C826,$H:$H,$H826,$I:$I,$I826)</f>
        <v>0.14000000000000001</v>
      </c>
      <c r="AB826" s="108">
        <f>VLOOKUP(I826,'Weights and Confidence'!$D$16:$AC$26,7,FALSE)</f>
        <v>0.14000000000000001</v>
      </c>
      <c r="AC826" s="147">
        <f>VLOOKUP(I826,'Weights and Confidence'!$D$16:$AC$26,8,FALSE)</f>
        <v>1</v>
      </c>
    </row>
    <row r="827" spans="1:29" x14ac:dyDescent="0.2">
      <c r="A827" s="34" t="s">
        <v>185</v>
      </c>
      <c r="B827" s="34" t="s">
        <v>86</v>
      </c>
      <c r="C827" s="34" t="s">
        <v>52</v>
      </c>
      <c r="D827" s="34" t="s">
        <v>5</v>
      </c>
      <c r="E827" s="34" t="s">
        <v>105</v>
      </c>
      <c r="F827" s="50" t="s">
        <v>127</v>
      </c>
      <c r="G827" s="34">
        <v>4</v>
      </c>
      <c r="H827" s="34" t="s">
        <v>18</v>
      </c>
      <c r="I827" s="34" t="s">
        <v>22</v>
      </c>
      <c r="J827" s="34">
        <v>0</v>
      </c>
      <c r="K827" s="35">
        <f>AB827/COUNTIFS($B:$B,$B827,$C:$C,$C827,$H:$H,$H827,$I:$I,$I827)</f>
        <v>0.14000000000000001</v>
      </c>
      <c r="L827" s="36">
        <f t="shared" si="49"/>
        <v>1</v>
      </c>
      <c r="M827" s="37">
        <f t="shared" si="52"/>
        <v>0</v>
      </c>
      <c r="N827" s="58" t="s">
        <v>240</v>
      </c>
      <c r="AA827" s="146">
        <f>AB827/COUNTIFS($B:$B,$B827,$C:$C,$C827,$H:$H,$H827,$I:$I,$I827)</f>
        <v>0.14000000000000001</v>
      </c>
      <c r="AB827" s="108">
        <f>VLOOKUP(I827,'Weights and Confidence'!$D$16:$AC$26,7,FALSE)</f>
        <v>0.14000000000000001</v>
      </c>
      <c r="AC827" s="147">
        <f>VLOOKUP(I827,'Weights and Confidence'!$D$16:$AC$26,8,FALSE)</f>
        <v>1</v>
      </c>
    </row>
    <row r="828" spans="1:29" x14ac:dyDescent="0.2">
      <c r="A828" s="38" t="s">
        <v>185</v>
      </c>
      <c r="B828" s="38" t="s">
        <v>86</v>
      </c>
      <c r="C828" s="38" t="s">
        <v>52</v>
      </c>
      <c r="D828" s="38" t="s">
        <v>5</v>
      </c>
      <c r="E828" s="38" t="s">
        <v>105</v>
      </c>
      <c r="F828" s="51" t="s">
        <v>127</v>
      </c>
      <c r="G828" s="38">
        <v>5</v>
      </c>
      <c r="H828" s="38" t="s">
        <v>17</v>
      </c>
      <c r="I828" s="38" t="s">
        <v>23</v>
      </c>
      <c r="J828" s="38">
        <v>-1</v>
      </c>
      <c r="K828" s="39">
        <f>AB828/COUNTIFS($B:$B,$B828,$C:$C,$C828,$H:$H,$H828,$I:$I,$I828)</f>
        <v>0.11</v>
      </c>
      <c r="L828" s="40">
        <f t="shared" si="49"/>
        <v>1</v>
      </c>
      <c r="M828" s="41">
        <f t="shared" si="52"/>
        <v>-0.11</v>
      </c>
      <c r="N828" s="38"/>
      <c r="AA828" s="146">
        <f>AB828/COUNTIFS($B:$B,$B828,$C:$C,$C828,$H:$H,$H828,$I:$I,$I828)</f>
        <v>0.11</v>
      </c>
      <c r="AB828" s="108">
        <f>VLOOKUP(I828,'Weights and Confidence'!$D$16:$AC$26,7,FALSE)</f>
        <v>0.11</v>
      </c>
      <c r="AC828" s="147">
        <f>VLOOKUP(I828,'Weights and Confidence'!$D$16:$AC$26,8,FALSE)</f>
        <v>1</v>
      </c>
    </row>
    <row r="829" spans="1:29" x14ac:dyDescent="0.2">
      <c r="A829" s="34" t="s">
        <v>185</v>
      </c>
      <c r="B829" s="34" t="s">
        <v>86</v>
      </c>
      <c r="C829" s="34" t="s">
        <v>52</v>
      </c>
      <c r="D829" s="34" t="s">
        <v>5</v>
      </c>
      <c r="E829" s="34" t="s">
        <v>105</v>
      </c>
      <c r="F829" s="50" t="s">
        <v>127</v>
      </c>
      <c r="G829" s="34">
        <v>5</v>
      </c>
      <c r="H829" s="34" t="s">
        <v>18</v>
      </c>
      <c r="I829" s="34" t="s">
        <v>23</v>
      </c>
      <c r="J829" s="34">
        <v>0</v>
      </c>
      <c r="K829" s="35">
        <f>AB829/COUNTIFS($B:$B,$B829,$C:$C,$C829,$H:$H,$H829,$I:$I,$I829)</f>
        <v>0.11</v>
      </c>
      <c r="L829" s="36">
        <f t="shared" si="49"/>
        <v>1</v>
      </c>
      <c r="M829" s="37">
        <f t="shared" si="52"/>
        <v>0</v>
      </c>
      <c r="N829" s="58" t="s">
        <v>241</v>
      </c>
      <c r="AA829" s="146">
        <f>AB829/COUNTIFS($B:$B,$B829,$C:$C,$C829,$H:$H,$H829,$I:$I,$I829)</f>
        <v>0.11</v>
      </c>
      <c r="AB829" s="108">
        <f>VLOOKUP(I829,'Weights and Confidence'!$D$16:$AC$26,7,FALSE)</f>
        <v>0.11</v>
      </c>
      <c r="AC829" s="147">
        <f>VLOOKUP(I829,'Weights and Confidence'!$D$16:$AC$26,8,FALSE)</f>
        <v>1</v>
      </c>
    </row>
    <row r="830" spans="1:29" x14ac:dyDescent="0.2">
      <c r="A830" s="38" t="s">
        <v>185</v>
      </c>
      <c r="B830" s="38" t="s">
        <v>86</v>
      </c>
      <c r="C830" s="38" t="s">
        <v>52</v>
      </c>
      <c r="D830" s="38" t="s">
        <v>5</v>
      </c>
      <c r="E830" s="38" t="s">
        <v>105</v>
      </c>
      <c r="F830" s="51" t="s">
        <v>127</v>
      </c>
      <c r="G830" s="38">
        <v>6</v>
      </c>
      <c r="H830" s="38" t="s">
        <v>17</v>
      </c>
      <c r="I830" s="38" t="s">
        <v>24</v>
      </c>
      <c r="J830" s="38">
        <v>-1</v>
      </c>
      <c r="K830" s="39">
        <f>AB830/COUNTIFS($B:$B,$B830,$C:$C,$C830,$H:$H,$H830,$I:$I,$I830)</f>
        <v>0.15</v>
      </c>
      <c r="L830" s="40">
        <f t="shared" si="49"/>
        <v>1</v>
      </c>
      <c r="M830" s="41">
        <f t="shared" si="52"/>
        <v>-0.15</v>
      </c>
      <c r="N830" s="59"/>
      <c r="AA830" s="146">
        <f>AB830/COUNTIFS($B:$B,$B830,$C:$C,$C830,$H:$H,$H830,$I:$I,$I830)</f>
        <v>0.15</v>
      </c>
      <c r="AB830" s="108">
        <f>VLOOKUP(I830,'Weights and Confidence'!$D$16:$AC$26,7,FALSE)</f>
        <v>0.15</v>
      </c>
      <c r="AC830" s="147">
        <f>VLOOKUP(I830,'Weights and Confidence'!$D$16:$AC$26,8,FALSE)</f>
        <v>1</v>
      </c>
    </row>
    <row r="831" spans="1:29" x14ac:dyDescent="0.2">
      <c r="A831" s="34" t="s">
        <v>185</v>
      </c>
      <c r="B831" s="34" t="s">
        <v>86</v>
      </c>
      <c r="C831" s="34" t="s">
        <v>52</v>
      </c>
      <c r="D831" s="34" t="s">
        <v>5</v>
      </c>
      <c r="E831" s="34" t="s">
        <v>105</v>
      </c>
      <c r="F831" s="50" t="s">
        <v>127</v>
      </c>
      <c r="G831" s="34">
        <v>6</v>
      </c>
      <c r="H831" s="34" t="s">
        <v>18</v>
      </c>
      <c r="I831" s="34" t="s">
        <v>24</v>
      </c>
      <c r="J831" s="34">
        <v>0</v>
      </c>
      <c r="K831" s="35">
        <f>AB831/COUNTIFS($B:$B,$B831,$C:$C,$C831,$H:$H,$H831,$I:$I,$I831)</f>
        <v>0.15</v>
      </c>
      <c r="L831" s="36">
        <f t="shared" si="49"/>
        <v>1</v>
      </c>
      <c r="M831" s="37">
        <f t="shared" si="52"/>
        <v>0</v>
      </c>
      <c r="N831" s="58" t="s">
        <v>241</v>
      </c>
      <c r="AA831" s="146">
        <f>AB831/COUNTIFS($B:$B,$B831,$C:$C,$C831,$H:$H,$H831,$I:$I,$I831)</f>
        <v>0.15</v>
      </c>
      <c r="AB831" s="108">
        <f>VLOOKUP(I831,'Weights and Confidence'!$D$16:$AC$26,7,FALSE)</f>
        <v>0.15</v>
      </c>
      <c r="AC831" s="147">
        <f>VLOOKUP(I831,'Weights and Confidence'!$D$16:$AC$26,8,FALSE)</f>
        <v>1</v>
      </c>
    </row>
    <row r="832" spans="1:29" x14ac:dyDescent="0.2">
      <c r="A832" s="38" t="s">
        <v>185</v>
      </c>
      <c r="B832" s="38" t="s">
        <v>86</v>
      </c>
      <c r="C832" s="38" t="s">
        <v>52</v>
      </c>
      <c r="D832" s="38" t="s">
        <v>5</v>
      </c>
      <c r="E832" s="38" t="s">
        <v>105</v>
      </c>
      <c r="F832" s="51" t="s">
        <v>127</v>
      </c>
      <c r="G832" s="38">
        <v>7</v>
      </c>
      <c r="H832" s="38" t="s">
        <v>17</v>
      </c>
      <c r="I832" s="38" t="s">
        <v>25</v>
      </c>
      <c r="J832" s="38">
        <v>0</v>
      </c>
      <c r="K832" s="39">
        <f>AB832/COUNTIFS($B:$B,$B832,$C:$C,$C832,$H:$H,$H832,$I:$I,$I832)</f>
        <v>0.1</v>
      </c>
      <c r="L832" s="40">
        <f t="shared" si="49"/>
        <v>1</v>
      </c>
      <c r="M832" s="41">
        <f t="shared" si="52"/>
        <v>0</v>
      </c>
      <c r="N832" s="38"/>
      <c r="AA832" s="146">
        <f>AB832/COUNTIFS($B:$B,$B832,$C:$C,$C832,$H:$H,$H832,$I:$I,$I832)</f>
        <v>0.1</v>
      </c>
      <c r="AB832" s="108">
        <f>VLOOKUP(I832,'Weights and Confidence'!$D$16:$AC$26,7,FALSE)</f>
        <v>0.1</v>
      </c>
      <c r="AC832" s="147">
        <f>VLOOKUP(I832,'Weights and Confidence'!$D$16:$AC$26,8,FALSE)</f>
        <v>1</v>
      </c>
    </row>
    <row r="833" spans="1:29" x14ac:dyDescent="0.2">
      <c r="A833" s="34" t="s">
        <v>185</v>
      </c>
      <c r="B833" s="34" t="s">
        <v>86</v>
      </c>
      <c r="C833" s="34" t="s">
        <v>52</v>
      </c>
      <c r="D833" s="34" t="s">
        <v>5</v>
      </c>
      <c r="E833" s="34" t="s">
        <v>105</v>
      </c>
      <c r="F833" s="50" t="s">
        <v>127</v>
      </c>
      <c r="G833" s="34">
        <v>7</v>
      </c>
      <c r="H833" s="34" t="s">
        <v>18</v>
      </c>
      <c r="I833" s="34" t="s">
        <v>25</v>
      </c>
      <c r="J833" s="34">
        <v>0</v>
      </c>
      <c r="K833" s="35">
        <f>AB833/COUNTIFS($B:$B,$B833,$C:$C,$C833,$H:$H,$H833,$I:$I,$I833)</f>
        <v>0.1</v>
      </c>
      <c r="L833" s="36">
        <f t="shared" si="49"/>
        <v>1</v>
      </c>
      <c r="M833" s="37">
        <f t="shared" si="52"/>
        <v>0</v>
      </c>
      <c r="N833" s="58" t="s">
        <v>242</v>
      </c>
      <c r="AA833" s="146">
        <f>AB833/COUNTIFS($B:$B,$B833,$C:$C,$C833,$H:$H,$H833,$I:$I,$I833)</f>
        <v>0.1</v>
      </c>
      <c r="AB833" s="108">
        <f>VLOOKUP(I833,'Weights and Confidence'!$D$16:$AC$26,7,FALSE)</f>
        <v>0.1</v>
      </c>
      <c r="AC833" s="147">
        <f>VLOOKUP(I833,'Weights and Confidence'!$D$16:$AC$26,8,FALSE)</f>
        <v>1</v>
      </c>
    </row>
    <row r="834" spans="1:29" x14ac:dyDescent="0.2">
      <c r="A834" s="38" t="s">
        <v>185</v>
      </c>
      <c r="B834" s="38" t="s">
        <v>86</v>
      </c>
      <c r="C834" s="38" t="s">
        <v>52</v>
      </c>
      <c r="D834" s="38" t="s">
        <v>5</v>
      </c>
      <c r="E834" s="38" t="s">
        <v>105</v>
      </c>
      <c r="F834" s="51" t="s">
        <v>127</v>
      </c>
      <c r="G834" s="38">
        <v>8</v>
      </c>
      <c r="H834" s="38" t="s">
        <v>17</v>
      </c>
      <c r="I834" s="38" t="s">
        <v>26</v>
      </c>
      <c r="J834" s="38">
        <v>0</v>
      </c>
      <c r="K834" s="39">
        <f>AB834/COUNTIFS($B:$B,$B834,$C:$C,$C834,$H:$H,$H834,$I:$I,$I834)</f>
        <v>0.1</v>
      </c>
      <c r="L834" s="40">
        <f t="shared" si="49"/>
        <v>1</v>
      </c>
      <c r="M834" s="41">
        <f t="shared" si="52"/>
        <v>0</v>
      </c>
      <c r="N834" s="38"/>
      <c r="AA834" s="146">
        <f>AB834/COUNTIFS($B:$B,$B834,$C:$C,$C834,$H:$H,$H834,$I:$I,$I834)</f>
        <v>0.1</v>
      </c>
      <c r="AB834" s="108">
        <f>VLOOKUP(I834,'Weights and Confidence'!$D$16:$AC$26,7,FALSE)</f>
        <v>0.1</v>
      </c>
      <c r="AC834" s="147">
        <f>VLOOKUP(I834,'Weights and Confidence'!$D$16:$AC$26,8,FALSE)</f>
        <v>1</v>
      </c>
    </row>
    <row r="835" spans="1:29" x14ac:dyDescent="0.2">
      <c r="A835" s="34" t="s">
        <v>185</v>
      </c>
      <c r="B835" s="34" t="s">
        <v>86</v>
      </c>
      <c r="C835" s="34" t="s">
        <v>52</v>
      </c>
      <c r="D835" s="34" t="s">
        <v>5</v>
      </c>
      <c r="E835" s="34" t="s">
        <v>105</v>
      </c>
      <c r="F835" s="50" t="s">
        <v>127</v>
      </c>
      <c r="G835" s="34">
        <v>8</v>
      </c>
      <c r="H835" s="34" t="s">
        <v>18</v>
      </c>
      <c r="I835" s="34" t="s">
        <v>26</v>
      </c>
      <c r="J835" s="34">
        <v>0</v>
      </c>
      <c r="K835" s="35">
        <f>AB835/COUNTIFS($B:$B,$B835,$C:$C,$C835,$H:$H,$H835,$I:$I,$I835)</f>
        <v>0.1</v>
      </c>
      <c r="L835" s="36">
        <f t="shared" si="49"/>
        <v>1</v>
      </c>
      <c r="M835" s="37">
        <f t="shared" si="52"/>
        <v>0</v>
      </c>
      <c r="N835" s="58" t="s">
        <v>243</v>
      </c>
      <c r="AA835" s="146">
        <f>AB835/COUNTIFS($B:$B,$B835,$C:$C,$C835,$H:$H,$H835,$I:$I,$I835)</f>
        <v>0.1</v>
      </c>
      <c r="AB835" s="108">
        <f>VLOOKUP(I835,'Weights and Confidence'!$D$16:$AC$26,7,FALSE)</f>
        <v>0.1</v>
      </c>
      <c r="AC835" s="147">
        <f>VLOOKUP(I835,'Weights and Confidence'!$D$16:$AC$26,8,FALSE)</f>
        <v>1</v>
      </c>
    </row>
    <row r="836" spans="1:29" x14ac:dyDescent="0.2">
      <c r="A836" s="38" t="s">
        <v>185</v>
      </c>
      <c r="B836" s="38" t="s">
        <v>86</v>
      </c>
      <c r="C836" s="38" t="s">
        <v>52</v>
      </c>
      <c r="D836" s="38" t="s">
        <v>5</v>
      </c>
      <c r="E836" s="38" t="s">
        <v>105</v>
      </c>
      <c r="F836" s="51" t="s">
        <v>127</v>
      </c>
      <c r="G836" s="38">
        <v>9</v>
      </c>
      <c r="H836" s="38" t="s">
        <v>17</v>
      </c>
      <c r="I836" s="38" t="s">
        <v>27</v>
      </c>
      <c r="J836" s="38">
        <v>0</v>
      </c>
      <c r="K836" s="39">
        <f>AB836/COUNTIFS($B:$B,$B836,$C:$C,$C836,$H:$H,$H836,$I:$I,$I836)</f>
        <v>0.05</v>
      </c>
      <c r="L836" s="40">
        <f t="shared" si="49"/>
        <v>0.85</v>
      </c>
      <c r="M836" s="41">
        <f t="shared" si="52"/>
        <v>0</v>
      </c>
      <c r="N836" s="38"/>
      <c r="AA836" s="146">
        <f>AB836/COUNTIFS($B:$B,$B836,$C:$C,$C836,$H:$H,$H836,$I:$I,$I836)</f>
        <v>0.05</v>
      </c>
      <c r="AB836" s="108">
        <f>VLOOKUP(I836,'Weights and Confidence'!$D$16:$AC$26,7,FALSE)</f>
        <v>0.1</v>
      </c>
      <c r="AC836" s="147">
        <f>VLOOKUP(I836,'Weights and Confidence'!$D$16:$AC$26,8,FALSE)</f>
        <v>0.85</v>
      </c>
    </row>
    <row r="837" spans="1:29" x14ac:dyDescent="0.2">
      <c r="A837" s="34" t="s">
        <v>185</v>
      </c>
      <c r="B837" s="34" t="s">
        <v>86</v>
      </c>
      <c r="C837" s="34" t="s">
        <v>52</v>
      </c>
      <c r="D837" s="34" t="s">
        <v>5</v>
      </c>
      <c r="E837" s="34" t="s">
        <v>105</v>
      </c>
      <c r="F837" s="50" t="s">
        <v>127</v>
      </c>
      <c r="G837" s="34">
        <v>9</v>
      </c>
      <c r="H837" s="34" t="s">
        <v>18</v>
      </c>
      <c r="I837" s="34" t="s">
        <v>27</v>
      </c>
      <c r="J837" s="34">
        <v>1</v>
      </c>
      <c r="K837" s="35">
        <f>AB837/COUNTIFS($B:$B,$B837,$C:$C,$C837,$H:$H,$H837,$I:$I,$I837)</f>
        <v>0.05</v>
      </c>
      <c r="L837" s="36">
        <f t="shared" si="49"/>
        <v>0.85</v>
      </c>
      <c r="M837" s="37">
        <f t="shared" si="52"/>
        <v>4.2500000000000003E-2</v>
      </c>
      <c r="N837" s="58"/>
      <c r="AA837" s="146">
        <f>AB837/COUNTIFS($B:$B,$B837,$C:$C,$C837,$H:$H,$H837,$I:$I,$I837)</f>
        <v>0.05</v>
      </c>
      <c r="AB837" s="108">
        <f>VLOOKUP(I837,'Weights and Confidence'!$D$16:$AC$26,7,FALSE)</f>
        <v>0.1</v>
      </c>
      <c r="AC837" s="147">
        <f>VLOOKUP(I837,'Weights and Confidence'!$D$16:$AC$26,8,FALSE)</f>
        <v>0.85</v>
      </c>
    </row>
    <row r="838" spans="1:29" x14ac:dyDescent="0.2">
      <c r="A838" s="38" t="s">
        <v>185</v>
      </c>
      <c r="B838" s="38" t="s">
        <v>86</v>
      </c>
      <c r="C838" s="38" t="s">
        <v>52</v>
      </c>
      <c r="D838" s="38" t="s">
        <v>5</v>
      </c>
      <c r="E838" s="38" t="s">
        <v>105</v>
      </c>
      <c r="F838" s="51" t="s">
        <v>127</v>
      </c>
      <c r="G838" s="38">
        <v>10</v>
      </c>
      <c r="H838" s="38" t="s">
        <v>17</v>
      </c>
      <c r="I838" s="38" t="s">
        <v>27</v>
      </c>
      <c r="J838" s="38">
        <v>0</v>
      </c>
      <c r="K838" s="39">
        <f>AB838/COUNTIFS($B:$B,$B838,$C:$C,$C838,$H:$H,$H838,$I:$I,$I838)</f>
        <v>0.05</v>
      </c>
      <c r="L838" s="40">
        <f t="shared" ref="L838:L901" si="53">AC838</f>
        <v>0.85</v>
      </c>
      <c r="M838" s="41">
        <f t="shared" si="52"/>
        <v>0</v>
      </c>
      <c r="N838" s="38"/>
      <c r="AA838" s="146">
        <f>AB838/COUNTIFS($B:$B,$B838,$C:$C,$C838,$H:$H,$H838,$I:$I,$I838)</f>
        <v>0.05</v>
      </c>
      <c r="AB838" s="108">
        <f>VLOOKUP(I838,'Weights and Confidence'!$D$16:$AC$26,7,FALSE)</f>
        <v>0.1</v>
      </c>
      <c r="AC838" s="147">
        <f>VLOOKUP(I838,'Weights and Confidence'!$D$16:$AC$26,8,FALSE)</f>
        <v>0.85</v>
      </c>
    </row>
    <row r="839" spans="1:29" x14ac:dyDescent="0.2">
      <c r="A839" s="34" t="s">
        <v>185</v>
      </c>
      <c r="B839" s="34" t="s">
        <v>86</v>
      </c>
      <c r="C839" s="34" t="s">
        <v>52</v>
      </c>
      <c r="D839" s="34" t="s">
        <v>5</v>
      </c>
      <c r="E839" s="34" t="s">
        <v>105</v>
      </c>
      <c r="F839" s="50" t="s">
        <v>127</v>
      </c>
      <c r="G839" s="34">
        <v>10</v>
      </c>
      <c r="H839" s="34" t="s">
        <v>18</v>
      </c>
      <c r="I839" s="34" t="s">
        <v>27</v>
      </c>
      <c r="J839" s="34">
        <v>1</v>
      </c>
      <c r="K839" s="35">
        <f>AB839/COUNTIFS($B:$B,$B839,$C:$C,$C839,$H:$H,$H839,$I:$I,$I839)</f>
        <v>0.05</v>
      </c>
      <c r="L839" s="36">
        <f t="shared" si="53"/>
        <v>0.85</v>
      </c>
      <c r="M839" s="37">
        <f t="shared" si="52"/>
        <v>4.2500000000000003E-2</v>
      </c>
      <c r="N839" s="34"/>
      <c r="AA839" s="146">
        <f>AB839/COUNTIFS($B:$B,$B839,$C:$C,$C839,$H:$H,$H839,$I:$I,$I839)</f>
        <v>0.05</v>
      </c>
      <c r="AB839" s="108">
        <f>VLOOKUP(I839,'Weights and Confidence'!$D$16:$AC$26,7,FALSE)</f>
        <v>0.1</v>
      </c>
      <c r="AC839" s="147">
        <f>VLOOKUP(I839,'Weights and Confidence'!$D$16:$AC$26,8,FALSE)</f>
        <v>0.85</v>
      </c>
    </row>
    <row r="840" spans="1:29" x14ac:dyDescent="0.2">
      <c r="A840" s="38" t="s">
        <v>185</v>
      </c>
      <c r="B840" s="38" t="s">
        <v>86</v>
      </c>
      <c r="C840" s="38" t="s">
        <v>52</v>
      </c>
      <c r="D840" s="38" t="s">
        <v>5</v>
      </c>
      <c r="E840" s="38" t="s">
        <v>105</v>
      </c>
      <c r="F840" s="51" t="s">
        <v>127</v>
      </c>
      <c r="G840" s="38">
        <v>11</v>
      </c>
      <c r="H840" s="38" t="s">
        <v>17</v>
      </c>
      <c r="I840" s="38" t="s">
        <v>28</v>
      </c>
      <c r="J840" s="38">
        <v>-1</v>
      </c>
      <c r="K840" s="39">
        <f>AB840/COUNTIFS($B:$B,$B840,$C:$C,$C840,$H:$H,$H840,$I:$I,$I840)</f>
        <v>0.05</v>
      </c>
      <c r="L840" s="40">
        <f t="shared" si="53"/>
        <v>1</v>
      </c>
      <c r="M840" s="41">
        <f t="shared" si="52"/>
        <v>-0.05</v>
      </c>
      <c r="N840" s="38"/>
      <c r="AA840" s="146">
        <f>AB840/COUNTIFS($B:$B,$B840,$C:$C,$C840,$H:$H,$H840,$I:$I,$I840)</f>
        <v>0.05</v>
      </c>
      <c r="AB840" s="108">
        <f>VLOOKUP(I840,'Weights and Confidence'!$D$16:$AC$26,7,FALSE)</f>
        <v>0.05</v>
      </c>
      <c r="AC840" s="147">
        <f>VLOOKUP(I840,'Weights and Confidence'!$D$16:$AC$26,8,FALSE)</f>
        <v>1</v>
      </c>
    </row>
    <row r="841" spans="1:29" ht="17" thickBot="1" x14ac:dyDescent="0.25">
      <c r="A841" s="34" t="s">
        <v>185</v>
      </c>
      <c r="B841" s="34" t="s">
        <v>86</v>
      </c>
      <c r="C841" s="34" t="s">
        <v>52</v>
      </c>
      <c r="D841" s="34" t="s">
        <v>5</v>
      </c>
      <c r="E841" s="34" t="s">
        <v>105</v>
      </c>
      <c r="F841" s="50" t="s">
        <v>127</v>
      </c>
      <c r="G841" s="34">
        <v>11</v>
      </c>
      <c r="H841" s="34" t="s">
        <v>18</v>
      </c>
      <c r="I841" s="34" t="s">
        <v>28</v>
      </c>
      <c r="J841" s="34">
        <v>0</v>
      </c>
      <c r="K841" s="35">
        <f>AB841/COUNTIFS($B:$B,$B841,$C:$C,$C841,$H:$H,$H841,$I:$I,$I841)</f>
        <v>0.05</v>
      </c>
      <c r="L841" s="36">
        <f t="shared" si="53"/>
        <v>1</v>
      </c>
      <c r="M841" s="37">
        <f t="shared" si="52"/>
        <v>0</v>
      </c>
      <c r="N841" s="58"/>
      <c r="AA841" s="140">
        <f>AB841/COUNTIFS($B:$B,$B841,$C:$C,$C841,$H:$H,$H841,$I:$I,$I841)</f>
        <v>0.05</v>
      </c>
      <c r="AB841" s="141">
        <f>VLOOKUP(I841,'Weights and Confidence'!$D$16:$AC$26,7,FALSE)</f>
        <v>0.05</v>
      </c>
      <c r="AC841" s="142">
        <f>VLOOKUP(I841,'Weights and Confidence'!$D$16:$AC$26,8,FALSE)</f>
        <v>1</v>
      </c>
    </row>
    <row r="842" spans="1:29" ht="17" thickTop="1" x14ac:dyDescent="0.2">
      <c r="A842" s="42" t="s">
        <v>185</v>
      </c>
      <c r="B842" s="42" t="s">
        <v>86</v>
      </c>
      <c r="C842" s="42" t="s">
        <v>54</v>
      </c>
      <c r="D842" s="42" t="s">
        <v>5</v>
      </c>
      <c r="E842" s="42" t="s">
        <v>105</v>
      </c>
      <c r="F842" s="49" t="s">
        <v>133</v>
      </c>
      <c r="G842" s="42">
        <v>1</v>
      </c>
      <c r="H842" s="42" t="s">
        <v>17</v>
      </c>
      <c r="I842" s="42" t="s">
        <v>19</v>
      </c>
      <c r="J842" s="42">
        <v>0</v>
      </c>
      <c r="K842" s="44">
        <f>AB842/COUNTIFS($B:$B,$B842,$C:$C,$C842,$H:$H,$H842,$I:$I,$I842)</f>
        <v>0.12</v>
      </c>
      <c r="L842" s="45">
        <f t="shared" si="53"/>
        <v>1</v>
      </c>
      <c r="M842" s="46">
        <f t="shared" ref="M842:M863" si="54">J842*K842*L842</f>
        <v>0</v>
      </c>
      <c r="N842" s="42"/>
      <c r="AA842" s="146">
        <f>AB842/COUNTIFS($B:$B,$B842,$C:$C,$C842,$H:$H,$H842,$I:$I,$I842)</f>
        <v>0.12</v>
      </c>
      <c r="AB842" s="108">
        <f>VLOOKUP(I842,'Weights and Confidence'!$D$16:$AC$26,7,FALSE)</f>
        <v>0.12</v>
      </c>
      <c r="AC842" s="147">
        <f>VLOOKUP(I842,'Weights and Confidence'!$D$16:$AC$26,8,FALSE)</f>
        <v>1</v>
      </c>
    </row>
    <row r="843" spans="1:29" ht="17" thickBot="1" x14ac:dyDescent="0.25">
      <c r="A843" s="34" t="s">
        <v>185</v>
      </c>
      <c r="B843" s="34" t="s">
        <v>86</v>
      </c>
      <c r="C843" s="34" t="s">
        <v>54</v>
      </c>
      <c r="D843" s="34" t="s">
        <v>5</v>
      </c>
      <c r="E843" s="34" t="s">
        <v>105</v>
      </c>
      <c r="F843" s="50" t="s">
        <v>133</v>
      </c>
      <c r="G843" s="34">
        <v>1</v>
      </c>
      <c r="H843" s="34" t="s">
        <v>18</v>
      </c>
      <c r="I843" s="34" t="s">
        <v>19</v>
      </c>
      <c r="J843" s="34">
        <v>1</v>
      </c>
      <c r="K843" s="35">
        <f>AB843/COUNTIFS($B:$B,$B843,$C:$C,$C843,$H:$H,$H843,$I:$I,$I843)</f>
        <v>0.12</v>
      </c>
      <c r="L843" s="36">
        <f t="shared" si="53"/>
        <v>1</v>
      </c>
      <c r="M843" s="37">
        <f t="shared" si="54"/>
        <v>0.12</v>
      </c>
      <c r="N843" s="58" t="s">
        <v>245</v>
      </c>
      <c r="AA843" s="146">
        <f>AB843/COUNTIFS($B:$B,$B843,$C:$C,$C843,$H:$H,$H843,$I:$I,$I843)</f>
        <v>0.12</v>
      </c>
      <c r="AB843" s="108">
        <f>VLOOKUP(I843,'Weights and Confidence'!$D$16:$AC$26,7,FALSE)</f>
        <v>0.12</v>
      </c>
      <c r="AC843" s="147">
        <f>VLOOKUP(I843,'Weights and Confidence'!$D$16:$AC$26,8,FALSE)</f>
        <v>1</v>
      </c>
    </row>
    <row r="844" spans="1:29" x14ac:dyDescent="0.2">
      <c r="A844" s="38" t="s">
        <v>185</v>
      </c>
      <c r="B844" s="38" t="s">
        <v>86</v>
      </c>
      <c r="C844" s="38" t="s">
        <v>54</v>
      </c>
      <c r="D844" s="38" t="s">
        <v>5</v>
      </c>
      <c r="E844" s="38" t="s">
        <v>105</v>
      </c>
      <c r="F844" s="51" t="s">
        <v>133</v>
      </c>
      <c r="G844" s="38">
        <v>2</v>
      </c>
      <c r="H844" s="38" t="s">
        <v>17</v>
      </c>
      <c r="I844" s="38" t="s">
        <v>20</v>
      </c>
      <c r="J844" s="38">
        <v>0</v>
      </c>
      <c r="K844" s="39">
        <f>AB844/COUNTIFS($B:$B,$B844,$C:$C,$C844,$H:$H,$H844,$I:$I,$I844)</f>
        <v>0.08</v>
      </c>
      <c r="L844" s="40">
        <f t="shared" si="53"/>
        <v>0.8</v>
      </c>
      <c r="M844" s="41">
        <f t="shared" si="54"/>
        <v>0</v>
      </c>
      <c r="N844" s="38"/>
      <c r="P844" s="24" t="s">
        <v>250</v>
      </c>
      <c r="Q844" s="10"/>
      <c r="R844" s="10"/>
      <c r="S844" s="10"/>
      <c r="T844" s="10"/>
      <c r="U844" s="10"/>
      <c r="V844" s="10"/>
      <c r="AA844" s="146">
        <f>AB844/COUNTIFS($B:$B,$B844,$C:$C,$C844,$H:$H,$H844,$I:$I,$I844)</f>
        <v>0.08</v>
      </c>
      <c r="AB844" s="108">
        <f>VLOOKUP(I844,'Weights and Confidence'!$D$16:$AC$26,7,FALSE)</f>
        <v>0.08</v>
      </c>
      <c r="AC844" s="147">
        <f>VLOOKUP(I844,'Weights and Confidence'!$D$16:$AC$26,8,FALSE)</f>
        <v>0.8</v>
      </c>
    </row>
    <row r="845" spans="1:29" x14ac:dyDescent="0.2">
      <c r="A845" s="34" t="s">
        <v>185</v>
      </c>
      <c r="B845" s="34" t="s">
        <v>86</v>
      </c>
      <c r="C845" s="34" t="s">
        <v>54</v>
      </c>
      <c r="D845" s="34" t="s">
        <v>5</v>
      </c>
      <c r="E845" s="34" t="s">
        <v>105</v>
      </c>
      <c r="F845" s="50" t="s">
        <v>133</v>
      </c>
      <c r="G845" s="34">
        <v>2</v>
      </c>
      <c r="H845" s="34" t="s">
        <v>18</v>
      </c>
      <c r="I845" s="34" t="s">
        <v>20</v>
      </c>
      <c r="J845" s="34">
        <v>1</v>
      </c>
      <c r="K845" s="35">
        <f>AB845/COUNTIFS($B:$B,$B845,$C:$C,$C845,$H:$H,$H845,$I:$I,$I845)</f>
        <v>0.08</v>
      </c>
      <c r="L845" s="36">
        <f t="shared" si="53"/>
        <v>0.8</v>
      </c>
      <c r="M845" s="37">
        <f t="shared" si="54"/>
        <v>6.4000000000000001E-2</v>
      </c>
      <c r="N845" s="58"/>
      <c r="P845" s="25" t="s">
        <v>251</v>
      </c>
      <c r="AA845" s="146">
        <f>AB845/COUNTIFS($B:$B,$B845,$C:$C,$C845,$H:$H,$H845,$I:$I,$I845)</f>
        <v>0.08</v>
      </c>
      <c r="AB845" s="108">
        <f>VLOOKUP(I845,'Weights and Confidence'!$D$16:$AC$26,7,FALSE)</f>
        <v>0.08</v>
      </c>
      <c r="AC845" s="147">
        <f>VLOOKUP(I845,'Weights and Confidence'!$D$16:$AC$26,8,FALSE)</f>
        <v>0.8</v>
      </c>
    </row>
    <row r="846" spans="1:29" x14ac:dyDescent="0.2">
      <c r="A846" s="38" t="s">
        <v>185</v>
      </c>
      <c r="B846" s="38" t="s">
        <v>86</v>
      </c>
      <c r="C846" s="38" t="s">
        <v>54</v>
      </c>
      <c r="D846" s="38" t="s">
        <v>5</v>
      </c>
      <c r="E846" s="38" t="s">
        <v>105</v>
      </c>
      <c r="F846" s="51" t="s">
        <v>133</v>
      </c>
      <c r="G846" s="38">
        <v>3</v>
      </c>
      <c r="H846" s="38" t="s">
        <v>17</v>
      </c>
      <c r="I846" s="38" t="s">
        <v>21</v>
      </c>
      <c r="J846" s="38">
        <v>1</v>
      </c>
      <c r="K846" s="39">
        <f>AB846/COUNTIFS($B:$B,$B846,$C:$C,$C846,$H:$H,$H846,$I:$I,$I846)</f>
        <v>0.05</v>
      </c>
      <c r="L846" s="40">
        <f t="shared" si="53"/>
        <v>1</v>
      </c>
      <c r="M846" s="41">
        <f t="shared" si="54"/>
        <v>0.05</v>
      </c>
      <c r="N846" s="38"/>
      <c r="P846" s="25" t="s">
        <v>252</v>
      </c>
      <c r="AA846" s="146">
        <f>AB846/COUNTIFS($B:$B,$B846,$C:$C,$C846,$H:$H,$H846,$I:$I,$I846)</f>
        <v>0.05</v>
      </c>
      <c r="AB846" s="108">
        <f>VLOOKUP(I846,'Weights and Confidence'!$D$16:$AC$26,7,FALSE)</f>
        <v>0.05</v>
      </c>
      <c r="AC846" s="147">
        <f>VLOOKUP(I846,'Weights and Confidence'!$D$16:$AC$26,8,FALSE)</f>
        <v>1</v>
      </c>
    </row>
    <row r="847" spans="1:29" x14ac:dyDescent="0.2">
      <c r="A847" s="34" t="s">
        <v>185</v>
      </c>
      <c r="B847" s="34" t="s">
        <v>86</v>
      </c>
      <c r="C847" s="34" t="s">
        <v>54</v>
      </c>
      <c r="D847" s="34" t="s">
        <v>5</v>
      </c>
      <c r="E847" s="34" t="s">
        <v>105</v>
      </c>
      <c r="F847" s="50" t="s">
        <v>133</v>
      </c>
      <c r="G847" s="34">
        <v>3</v>
      </c>
      <c r="H847" s="34" t="s">
        <v>18</v>
      </c>
      <c r="I847" s="34" t="s">
        <v>21</v>
      </c>
      <c r="J847" s="34">
        <v>1</v>
      </c>
      <c r="K847" s="35">
        <f>AB847/COUNTIFS($B:$B,$B847,$C:$C,$C847,$H:$H,$H847,$I:$I,$I847)</f>
        <v>0.05</v>
      </c>
      <c r="L847" s="36">
        <f t="shared" si="53"/>
        <v>1</v>
      </c>
      <c r="M847" s="37">
        <f t="shared" si="54"/>
        <v>0.05</v>
      </c>
      <c r="N847" s="58"/>
      <c r="P847" s="25" t="s">
        <v>253</v>
      </c>
      <c r="AA847" s="146">
        <f>AB847/COUNTIFS($B:$B,$B847,$C:$C,$C847,$H:$H,$H847,$I:$I,$I847)</f>
        <v>0.05</v>
      </c>
      <c r="AB847" s="108">
        <f>VLOOKUP(I847,'Weights and Confidence'!$D$16:$AC$26,7,FALSE)</f>
        <v>0.05</v>
      </c>
      <c r="AC847" s="147">
        <f>VLOOKUP(I847,'Weights and Confidence'!$D$16:$AC$26,8,FALSE)</f>
        <v>1</v>
      </c>
    </row>
    <row r="848" spans="1:29" x14ac:dyDescent="0.2">
      <c r="A848" s="38" t="s">
        <v>185</v>
      </c>
      <c r="B848" s="38" t="s">
        <v>86</v>
      </c>
      <c r="C848" s="38" t="s">
        <v>54</v>
      </c>
      <c r="D848" s="38" t="s">
        <v>5</v>
      </c>
      <c r="E848" s="38" t="s">
        <v>105</v>
      </c>
      <c r="F848" s="51" t="s">
        <v>133</v>
      </c>
      <c r="G848" s="38">
        <v>4</v>
      </c>
      <c r="H848" s="38" t="s">
        <v>17</v>
      </c>
      <c r="I848" s="38" t="s">
        <v>22</v>
      </c>
      <c r="J848" s="38">
        <v>0</v>
      </c>
      <c r="K848" s="39">
        <f>AB848/COUNTIFS($B:$B,$B848,$C:$C,$C848,$H:$H,$H848,$I:$I,$I848)</f>
        <v>0.14000000000000001</v>
      </c>
      <c r="L848" s="40">
        <f t="shared" si="53"/>
        <v>1</v>
      </c>
      <c r="M848" s="41">
        <f t="shared" si="54"/>
        <v>0</v>
      </c>
      <c r="N848" s="38"/>
      <c r="P848" s="25" t="s">
        <v>254</v>
      </c>
      <c r="AA848" s="146">
        <f>AB848/COUNTIFS($B:$B,$B848,$C:$C,$C848,$H:$H,$H848,$I:$I,$I848)</f>
        <v>0.14000000000000001</v>
      </c>
      <c r="AB848" s="108">
        <f>VLOOKUP(I848,'Weights and Confidence'!$D$16:$AC$26,7,FALSE)</f>
        <v>0.14000000000000001</v>
      </c>
      <c r="AC848" s="147">
        <f>VLOOKUP(I848,'Weights and Confidence'!$D$16:$AC$26,8,FALSE)</f>
        <v>1</v>
      </c>
    </row>
    <row r="849" spans="1:29" x14ac:dyDescent="0.2">
      <c r="A849" s="34" t="s">
        <v>185</v>
      </c>
      <c r="B849" s="34" t="s">
        <v>86</v>
      </c>
      <c r="C849" s="34" t="s">
        <v>54</v>
      </c>
      <c r="D849" s="34" t="s">
        <v>5</v>
      </c>
      <c r="E849" s="34" t="s">
        <v>105</v>
      </c>
      <c r="F849" s="50" t="s">
        <v>133</v>
      </c>
      <c r="G849" s="34">
        <v>4</v>
      </c>
      <c r="H849" s="34" t="s">
        <v>18</v>
      </c>
      <c r="I849" s="34" t="s">
        <v>22</v>
      </c>
      <c r="J849" s="34">
        <v>1</v>
      </c>
      <c r="K849" s="35">
        <f>AB849/COUNTIFS($B:$B,$B849,$C:$C,$C849,$H:$H,$H849,$I:$I,$I849)</f>
        <v>0.14000000000000001</v>
      </c>
      <c r="L849" s="36">
        <f t="shared" si="53"/>
        <v>1</v>
      </c>
      <c r="M849" s="37">
        <f t="shared" si="54"/>
        <v>0.14000000000000001</v>
      </c>
      <c r="N849" s="58"/>
      <c r="P849" s="25" t="s">
        <v>255</v>
      </c>
      <c r="AA849" s="146">
        <f>AB849/COUNTIFS($B:$B,$B849,$C:$C,$C849,$H:$H,$H849,$I:$I,$I849)</f>
        <v>0.14000000000000001</v>
      </c>
      <c r="AB849" s="108">
        <f>VLOOKUP(I849,'Weights and Confidence'!$D$16:$AC$26,7,FALSE)</f>
        <v>0.14000000000000001</v>
      </c>
      <c r="AC849" s="147">
        <f>VLOOKUP(I849,'Weights and Confidence'!$D$16:$AC$26,8,FALSE)</f>
        <v>1</v>
      </c>
    </row>
    <row r="850" spans="1:29" x14ac:dyDescent="0.2">
      <c r="A850" s="38" t="s">
        <v>185</v>
      </c>
      <c r="B850" s="38" t="s">
        <v>86</v>
      </c>
      <c r="C850" s="38" t="s">
        <v>54</v>
      </c>
      <c r="D850" s="38" t="s">
        <v>5</v>
      </c>
      <c r="E850" s="38" t="s">
        <v>105</v>
      </c>
      <c r="F850" s="51" t="s">
        <v>133</v>
      </c>
      <c r="G850" s="38">
        <v>5</v>
      </c>
      <c r="H850" s="38" t="s">
        <v>17</v>
      </c>
      <c r="I850" s="38" t="s">
        <v>23</v>
      </c>
      <c r="J850" s="38">
        <v>-1</v>
      </c>
      <c r="K850" s="39">
        <f>AB850/COUNTIFS($B:$B,$B850,$C:$C,$C850,$H:$H,$H850,$I:$I,$I850)</f>
        <v>0.11</v>
      </c>
      <c r="L850" s="40">
        <f t="shared" si="53"/>
        <v>1</v>
      </c>
      <c r="M850" s="41">
        <f t="shared" si="54"/>
        <v>-0.11</v>
      </c>
      <c r="N850" s="38"/>
      <c r="P850" s="25" t="s">
        <v>256</v>
      </c>
      <c r="AA850" s="146">
        <f>AB850/COUNTIFS($B:$B,$B850,$C:$C,$C850,$H:$H,$H850,$I:$I,$I850)</f>
        <v>0.11</v>
      </c>
      <c r="AB850" s="108">
        <f>VLOOKUP(I850,'Weights and Confidence'!$D$16:$AC$26,7,FALSE)</f>
        <v>0.11</v>
      </c>
      <c r="AC850" s="147">
        <f>VLOOKUP(I850,'Weights and Confidence'!$D$16:$AC$26,8,FALSE)</f>
        <v>1</v>
      </c>
    </row>
    <row r="851" spans="1:29" ht="17" thickBot="1" x14ac:dyDescent="0.25">
      <c r="A851" s="34" t="s">
        <v>185</v>
      </c>
      <c r="B851" s="34" t="s">
        <v>86</v>
      </c>
      <c r="C851" s="34" t="s">
        <v>54</v>
      </c>
      <c r="D851" s="34" t="s">
        <v>5</v>
      </c>
      <c r="E851" s="34" t="s">
        <v>105</v>
      </c>
      <c r="F851" s="50" t="s">
        <v>133</v>
      </c>
      <c r="G851" s="34">
        <v>5</v>
      </c>
      <c r="H851" s="34" t="s">
        <v>18</v>
      </c>
      <c r="I851" s="34" t="s">
        <v>23</v>
      </c>
      <c r="J851" s="34">
        <v>1</v>
      </c>
      <c r="K851" s="35">
        <f>AB851/COUNTIFS($B:$B,$B851,$C:$C,$C851,$H:$H,$H851,$I:$I,$I851)</f>
        <v>0.11</v>
      </c>
      <c r="L851" s="36">
        <f t="shared" si="53"/>
        <v>1</v>
      </c>
      <c r="M851" s="37">
        <f t="shared" si="54"/>
        <v>0.11</v>
      </c>
      <c r="N851" s="58" t="s">
        <v>246</v>
      </c>
      <c r="P851" s="26" t="s">
        <v>257</v>
      </c>
      <c r="Q851" s="2"/>
      <c r="R851" s="2"/>
      <c r="S851" s="2"/>
      <c r="T851" s="2"/>
      <c r="U851" s="2"/>
      <c r="V851" s="2"/>
      <c r="AA851" s="146">
        <f>AB851/COUNTIFS($B:$B,$B851,$C:$C,$C851,$H:$H,$H851,$I:$I,$I851)</f>
        <v>0.11</v>
      </c>
      <c r="AB851" s="108">
        <f>VLOOKUP(I851,'Weights and Confidence'!$D$16:$AC$26,7,FALSE)</f>
        <v>0.11</v>
      </c>
      <c r="AC851" s="147">
        <f>VLOOKUP(I851,'Weights and Confidence'!$D$16:$AC$26,8,FALSE)</f>
        <v>1</v>
      </c>
    </row>
    <row r="852" spans="1:29" x14ac:dyDescent="0.2">
      <c r="A852" s="38" t="s">
        <v>185</v>
      </c>
      <c r="B852" s="38" t="s">
        <v>86</v>
      </c>
      <c r="C852" s="38" t="s">
        <v>54</v>
      </c>
      <c r="D852" s="38" t="s">
        <v>5</v>
      </c>
      <c r="E852" s="38" t="s">
        <v>105</v>
      </c>
      <c r="F852" s="51" t="s">
        <v>133</v>
      </c>
      <c r="G852" s="38">
        <v>6</v>
      </c>
      <c r="H852" s="38" t="s">
        <v>17</v>
      </c>
      <c r="I852" s="38" t="s">
        <v>24</v>
      </c>
      <c r="J852" s="38">
        <v>0</v>
      </c>
      <c r="K852" s="39">
        <f>AB852/COUNTIFS($B:$B,$B852,$C:$C,$C852,$H:$H,$H852,$I:$I,$I852)</f>
        <v>0.15</v>
      </c>
      <c r="L852" s="40">
        <f t="shared" si="53"/>
        <v>1</v>
      </c>
      <c r="M852" s="41">
        <f t="shared" si="54"/>
        <v>0</v>
      </c>
      <c r="N852" s="59"/>
      <c r="AA852" s="146">
        <f>AB852/COUNTIFS($B:$B,$B852,$C:$C,$C852,$H:$H,$H852,$I:$I,$I852)</f>
        <v>0.15</v>
      </c>
      <c r="AB852" s="108">
        <f>VLOOKUP(I852,'Weights and Confidence'!$D$16:$AC$26,7,FALSE)</f>
        <v>0.15</v>
      </c>
      <c r="AC852" s="147">
        <f>VLOOKUP(I852,'Weights and Confidence'!$D$16:$AC$26,8,FALSE)</f>
        <v>1</v>
      </c>
    </row>
    <row r="853" spans="1:29" x14ac:dyDescent="0.2">
      <c r="A853" s="34" t="s">
        <v>185</v>
      </c>
      <c r="B853" s="34" t="s">
        <v>86</v>
      </c>
      <c r="C853" s="34" t="s">
        <v>54</v>
      </c>
      <c r="D853" s="34" t="s">
        <v>5</v>
      </c>
      <c r="E853" s="34" t="s">
        <v>105</v>
      </c>
      <c r="F853" s="50" t="s">
        <v>133</v>
      </c>
      <c r="G853" s="34">
        <v>6</v>
      </c>
      <c r="H853" s="34" t="s">
        <v>18</v>
      </c>
      <c r="I853" s="34" t="s">
        <v>24</v>
      </c>
      <c r="J853" s="34">
        <v>1</v>
      </c>
      <c r="K853" s="35">
        <f>AB853/COUNTIFS($B:$B,$B853,$C:$C,$C853,$H:$H,$H853,$I:$I,$I853)</f>
        <v>0.15</v>
      </c>
      <c r="L853" s="36">
        <f t="shared" si="53"/>
        <v>1</v>
      </c>
      <c r="M853" s="37">
        <f t="shared" si="54"/>
        <v>0.15</v>
      </c>
      <c r="N853" s="58" t="s">
        <v>247</v>
      </c>
      <c r="AA853" s="146">
        <f>AB853/COUNTIFS($B:$B,$B853,$C:$C,$C853,$H:$H,$H853,$I:$I,$I853)</f>
        <v>0.15</v>
      </c>
      <c r="AB853" s="108">
        <f>VLOOKUP(I853,'Weights and Confidence'!$D$16:$AC$26,7,FALSE)</f>
        <v>0.15</v>
      </c>
      <c r="AC853" s="147">
        <f>VLOOKUP(I853,'Weights and Confidence'!$D$16:$AC$26,8,FALSE)</f>
        <v>1</v>
      </c>
    </row>
    <row r="854" spans="1:29" x14ac:dyDescent="0.2">
      <c r="A854" s="38" t="s">
        <v>185</v>
      </c>
      <c r="B854" s="38" t="s">
        <v>86</v>
      </c>
      <c r="C854" s="38" t="s">
        <v>54</v>
      </c>
      <c r="D854" s="38" t="s">
        <v>5</v>
      </c>
      <c r="E854" s="38" t="s">
        <v>105</v>
      </c>
      <c r="F854" s="51" t="s">
        <v>133</v>
      </c>
      <c r="G854" s="38">
        <v>7</v>
      </c>
      <c r="H854" s="38" t="s">
        <v>17</v>
      </c>
      <c r="I854" s="38" t="s">
        <v>25</v>
      </c>
      <c r="J854" s="38">
        <v>-1</v>
      </c>
      <c r="K854" s="39">
        <f>AB854/COUNTIFS($B:$B,$B854,$C:$C,$C854,$H:$H,$H854,$I:$I,$I854)</f>
        <v>0.1</v>
      </c>
      <c r="L854" s="40">
        <f t="shared" si="53"/>
        <v>1</v>
      </c>
      <c r="M854" s="41">
        <f t="shared" si="54"/>
        <v>-0.1</v>
      </c>
      <c r="N854" s="38"/>
      <c r="AA854" s="146">
        <f>AB854/COUNTIFS($B:$B,$B854,$C:$C,$C854,$H:$H,$H854,$I:$I,$I854)</f>
        <v>0.1</v>
      </c>
      <c r="AB854" s="108">
        <f>VLOOKUP(I854,'Weights and Confidence'!$D$16:$AC$26,7,FALSE)</f>
        <v>0.1</v>
      </c>
      <c r="AC854" s="147">
        <f>VLOOKUP(I854,'Weights and Confidence'!$D$16:$AC$26,8,FALSE)</f>
        <v>1</v>
      </c>
    </row>
    <row r="855" spans="1:29" x14ac:dyDescent="0.2">
      <c r="A855" s="34" t="s">
        <v>185</v>
      </c>
      <c r="B855" s="34" t="s">
        <v>86</v>
      </c>
      <c r="C855" s="34" t="s">
        <v>54</v>
      </c>
      <c r="D855" s="34" t="s">
        <v>5</v>
      </c>
      <c r="E855" s="34" t="s">
        <v>105</v>
      </c>
      <c r="F855" s="50" t="s">
        <v>133</v>
      </c>
      <c r="G855" s="34">
        <v>7</v>
      </c>
      <c r="H855" s="34" t="s">
        <v>18</v>
      </c>
      <c r="I855" s="34" t="s">
        <v>25</v>
      </c>
      <c r="J855" s="34">
        <v>1</v>
      </c>
      <c r="K855" s="35">
        <f>AB855/COUNTIFS($B:$B,$B855,$C:$C,$C855,$H:$H,$H855,$I:$I,$I855)</f>
        <v>0.1</v>
      </c>
      <c r="L855" s="36">
        <f t="shared" si="53"/>
        <v>1</v>
      </c>
      <c r="M855" s="37">
        <f t="shared" si="54"/>
        <v>0.1</v>
      </c>
      <c r="N855" s="58"/>
      <c r="AA855" s="146">
        <f>AB855/COUNTIFS($B:$B,$B855,$C:$C,$C855,$H:$H,$H855,$I:$I,$I855)</f>
        <v>0.1</v>
      </c>
      <c r="AB855" s="108">
        <f>VLOOKUP(I855,'Weights and Confidence'!$D$16:$AC$26,7,FALSE)</f>
        <v>0.1</v>
      </c>
      <c r="AC855" s="147">
        <f>VLOOKUP(I855,'Weights and Confidence'!$D$16:$AC$26,8,FALSE)</f>
        <v>1</v>
      </c>
    </row>
    <row r="856" spans="1:29" x14ac:dyDescent="0.2">
      <c r="A856" s="38" t="s">
        <v>185</v>
      </c>
      <c r="B856" s="38" t="s">
        <v>86</v>
      </c>
      <c r="C856" s="38" t="s">
        <v>54</v>
      </c>
      <c r="D856" s="38" t="s">
        <v>5</v>
      </c>
      <c r="E856" s="38" t="s">
        <v>105</v>
      </c>
      <c r="F856" s="51" t="s">
        <v>133</v>
      </c>
      <c r="G856" s="38">
        <v>8</v>
      </c>
      <c r="H856" s="38" t="s">
        <v>17</v>
      </c>
      <c r="I856" s="38" t="s">
        <v>26</v>
      </c>
      <c r="J856" s="38">
        <v>0</v>
      </c>
      <c r="K856" s="39">
        <f>AB856/COUNTIFS($B:$B,$B856,$C:$C,$C856,$H:$H,$H856,$I:$I,$I856)</f>
        <v>0.1</v>
      </c>
      <c r="L856" s="40">
        <f t="shared" si="53"/>
        <v>1</v>
      </c>
      <c r="M856" s="41">
        <f t="shared" si="54"/>
        <v>0</v>
      </c>
      <c r="N856" s="38"/>
      <c r="AA856" s="146">
        <f>AB856/COUNTIFS($B:$B,$B856,$C:$C,$C856,$H:$H,$H856,$I:$I,$I856)</f>
        <v>0.1</v>
      </c>
      <c r="AB856" s="108">
        <f>VLOOKUP(I856,'Weights and Confidence'!$D$16:$AC$26,7,FALSE)</f>
        <v>0.1</v>
      </c>
      <c r="AC856" s="147">
        <f>VLOOKUP(I856,'Weights and Confidence'!$D$16:$AC$26,8,FALSE)</f>
        <v>1</v>
      </c>
    </row>
    <row r="857" spans="1:29" x14ac:dyDescent="0.2">
      <c r="A857" s="34" t="s">
        <v>185</v>
      </c>
      <c r="B857" s="34" t="s">
        <v>86</v>
      </c>
      <c r="C857" s="34" t="s">
        <v>54</v>
      </c>
      <c r="D857" s="34" t="s">
        <v>5</v>
      </c>
      <c r="E857" s="34" t="s">
        <v>105</v>
      </c>
      <c r="F857" s="50" t="s">
        <v>133</v>
      </c>
      <c r="G857" s="34">
        <v>8</v>
      </c>
      <c r="H857" s="34" t="s">
        <v>18</v>
      </c>
      <c r="I857" s="34" t="s">
        <v>26</v>
      </c>
      <c r="J857" s="34">
        <v>1</v>
      </c>
      <c r="K857" s="35">
        <f>AB857/COUNTIFS($B:$B,$B857,$C:$C,$C857,$H:$H,$H857,$I:$I,$I857)</f>
        <v>0.1</v>
      </c>
      <c r="L857" s="36">
        <f t="shared" si="53"/>
        <v>1</v>
      </c>
      <c r="M857" s="37">
        <f t="shared" si="54"/>
        <v>0.1</v>
      </c>
      <c r="N857" s="58"/>
      <c r="AA857" s="146">
        <f>AB857/COUNTIFS($B:$B,$B857,$C:$C,$C857,$H:$H,$H857,$I:$I,$I857)</f>
        <v>0.1</v>
      </c>
      <c r="AB857" s="108">
        <f>VLOOKUP(I857,'Weights and Confidence'!$D$16:$AC$26,7,FALSE)</f>
        <v>0.1</v>
      </c>
      <c r="AC857" s="147">
        <f>VLOOKUP(I857,'Weights and Confidence'!$D$16:$AC$26,8,FALSE)</f>
        <v>1</v>
      </c>
    </row>
    <row r="858" spans="1:29" x14ac:dyDescent="0.2">
      <c r="A858" s="38" t="s">
        <v>185</v>
      </c>
      <c r="B858" s="38" t="s">
        <v>86</v>
      </c>
      <c r="C858" s="38" t="s">
        <v>54</v>
      </c>
      <c r="D858" s="38" t="s">
        <v>5</v>
      </c>
      <c r="E858" s="38" t="s">
        <v>105</v>
      </c>
      <c r="F858" s="51" t="s">
        <v>133</v>
      </c>
      <c r="G858" s="38">
        <v>9</v>
      </c>
      <c r="H858" s="38" t="s">
        <v>17</v>
      </c>
      <c r="I858" s="38" t="s">
        <v>27</v>
      </c>
      <c r="J858" s="38">
        <v>-1</v>
      </c>
      <c r="K858" s="39">
        <f>AB858/COUNTIFS($B:$B,$B858,$C:$C,$C858,$H:$H,$H858,$I:$I,$I858)</f>
        <v>0.05</v>
      </c>
      <c r="L858" s="40">
        <f t="shared" si="53"/>
        <v>0.85</v>
      </c>
      <c r="M858" s="41">
        <f t="shared" si="54"/>
        <v>-4.2500000000000003E-2</v>
      </c>
      <c r="N858" s="38"/>
      <c r="AA858" s="146">
        <f>AB858/COUNTIFS($B:$B,$B858,$C:$C,$C858,$H:$H,$H858,$I:$I,$I858)</f>
        <v>0.05</v>
      </c>
      <c r="AB858" s="108">
        <f>VLOOKUP(I858,'Weights and Confidence'!$D$16:$AC$26,7,FALSE)</f>
        <v>0.1</v>
      </c>
      <c r="AC858" s="147">
        <f>VLOOKUP(I858,'Weights and Confidence'!$D$16:$AC$26,8,FALSE)</f>
        <v>0.85</v>
      </c>
    </row>
    <row r="859" spans="1:29" x14ac:dyDescent="0.2">
      <c r="A859" s="34" t="s">
        <v>185</v>
      </c>
      <c r="B859" s="34" t="s">
        <v>86</v>
      </c>
      <c r="C859" s="34" t="s">
        <v>54</v>
      </c>
      <c r="D859" s="34" t="s">
        <v>5</v>
      </c>
      <c r="E859" s="34" t="s">
        <v>105</v>
      </c>
      <c r="F859" s="50" t="s">
        <v>133</v>
      </c>
      <c r="G859" s="34">
        <v>9</v>
      </c>
      <c r="H859" s="34" t="s">
        <v>18</v>
      </c>
      <c r="I859" s="34" t="s">
        <v>27</v>
      </c>
      <c r="J859" s="34">
        <v>1</v>
      </c>
      <c r="K859" s="35">
        <f>AB859/COUNTIFS($B:$B,$B859,$C:$C,$C859,$H:$H,$H859,$I:$I,$I859)</f>
        <v>0.05</v>
      </c>
      <c r="L859" s="36">
        <f t="shared" si="53"/>
        <v>0.85</v>
      </c>
      <c r="M859" s="37">
        <f t="shared" si="54"/>
        <v>4.2500000000000003E-2</v>
      </c>
      <c r="N859" s="58" t="s">
        <v>248</v>
      </c>
      <c r="AA859" s="146">
        <f>AB859/COUNTIFS($B:$B,$B859,$C:$C,$C859,$H:$H,$H859,$I:$I,$I859)</f>
        <v>0.05</v>
      </c>
      <c r="AB859" s="108">
        <f>VLOOKUP(I859,'Weights and Confidence'!$D$16:$AC$26,7,FALSE)</f>
        <v>0.1</v>
      </c>
      <c r="AC859" s="147">
        <f>VLOOKUP(I859,'Weights and Confidence'!$D$16:$AC$26,8,FALSE)</f>
        <v>0.85</v>
      </c>
    </row>
    <row r="860" spans="1:29" x14ac:dyDescent="0.2">
      <c r="A860" s="38" t="s">
        <v>185</v>
      </c>
      <c r="B860" s="38" t="s">
        <v>86</v>
      </c>
      <c r="C860" s="38" t="s">
        <v>54</v>
      </c>
      <c r="D860" s="38" t="s">
        <v>5</v>
      </c>
      <c r="E860" s="38" t="s">
        <v>105</v>
      </c>
      <c r="F860" s="51" t="s">
        <v>133</v>
      </c>
      <c r="G860" s="38">
        <v>10</v>
      </c>
      <c r="H860" s="38" t="s">
        <v>17</v>
      </c>
      <c r="I860" s="38" t="s">
        <v>27</v>
      </c>
      <c r="J860" s="38">
        <v>0</v>
      </c>
      <c r="K860" s="39">
        <f>AB860/COUNTIFS($B:$B,$B860,$C:$C,$C860,$H:$H,$H860,$I:$I,$I860)</f>
        <v>0.05</v>
      </c>
      <c r="L860" s="40">
        <f t="shared" si="53"/>
        <v>0.85</v>
      </c>
      <c r="M860" s="41">
        <f t="shared" si="54"/>
        <v>0</v>
      </c>
      <c r="N860" s="38"/>
      <c r="AA860" s="146">
        <f>AB860/COUNTIFS($B:$B,$B860,$C:$C,$C860,$H:$H,$H860,$I:$I,$I860)</f>
        <v>0.05</v>
      </c>
      <c r="AB860" s="108">
        <f>VLOOKUP(I860,'Weights and Confidence'!$D$16:$AC$26,7,FALSE)</f>
        <v>0.1</v>
      </c>
      <c r="AC860" s="147">
        <f>VLOOKUP(I860,'Weights and Confidence'!$D$16:$AC$26,8,FALSE)</f>
        <v>0.85</v>
      </c>
    </row>
    <row r="861" spans="1:29" x14ac:dyDescent="0.2">
      <c r="A861" s="34" t="s">
        <v>185</v>
      </c>
      <c r="B861" s="34" t="s">
        <v>86</v>
      </c>
      <c r="C861" s="34" t="s">
        <v>54</v>
      </c>
      <c r="D861" s="34" t="s">
        <v>5</v>
      </c>
      <c r="E861" s="34" t="s">
        <v>105</v>
      </c>
      <c r="F861" s="50" t="s">
        <v>133</v>
      </c>
      <c r="G861" s="34">
        <v>10</v>
      </c>
      <c r="H861" s="34" t="s">
        <v>18</v>
      </c>
      <c r="I861" s="34" t="s">
        <v>27</v>
      </c>
      <c r="J861" s="34">
        <v>1</v>
      </c>
      <c r="K861" s="35">
        <f>AB861/COUNTIFS($B:$B,$B861,$C:$C,$C861,$H:$H,$H861,$I:$I,$I861)</f>
        <v>0.05</v>
      </c>
      <c r="L861" s="36">
        <f t="shared" si="53"/>
        <v>0.85</v>
      </c>
      <c r="M861" s="37">
        <f t="shared" si="54"/>
        <v>4.2500000000000003E-2</v>
      </c>
      <c r="N861" s="34"/>
      <c r="AA861" s="146">
        <f>AB861/COUNTIFS($B:$B,$B861,$C:$C,$C861,$H:$H,$H861,$I:$I,$I861)</f>
        <v>0.05</v>
      </c>
      <c r="AB861" s="108">
        <f>VLOOKUP(I861,'Weights and Confidence'!$D$16:$AC$26,7,FALSE)</f>
        <v>0.1</v>
      </c>
      <c r="AC861" s="147">
        <f>VLOOKUP(I861,'Weights and Confidence'!$D$16:$AC$26,8,FALSE)</f>
        <v>0.85</v>
      </c>
    </row>
    <row r="862" spans="1:29" x14ac:dyDescent="0.2">
      <c r="A862" s="38" t="s">
        <v>185</v>
      </c>
      <c r="B862" s="38" t="s">
        <v>86</v>
      </c>
      <c r="C862" s="38" t="s">
        <v>54</v>
      </c>
      <c r="D862" s="38" t="s">
        <v>5</v>
      </c>
      <c r="E862" s="38" t="s">
        <v>105</v>
      </c>
      <c r="F862" s="51" t="s">
        <v>133</v>
      </c>
      <c r="G862" s="38">
        <v>11</v>
      </c>
      <c r="H862" s="38" t="s">
        <v>17</v>
      </c>
      <c r="I862" s="38" t="s">
        <v>28</v>
      </c>
      <c r="J862" s="38">
        <v>-1</v>
      </c>
      <c r="K862" s="39">
        <f>AB862/COUNTIFS($B:$B,$B862,$C:$C,$C862,$H:$H,$H862,$I:$I,$I862)</f>
        <v>0.05</v>
      </c>
      <c r="L862" s="40">
        <f t="shared" si="53"/>
        <v>1</v>
      </c>
      <c r="M862" s="41">
        <f t="shared" si="54"/>
        <v>-0.05</v>
      </c>
      <c r="N862" s="38"/>
      <c r="AA862" s="146">
        <f>AB862/COUNTIFS($B:$B,$B862,$C:$C,$C862,$H:$H,$H862,$I:$I,$I862)</f>
        <v>0.05</v>
      </c>
      <c r="AB862" s="108">
        <f>VLOOKUP(I862,'Weights and Confidence'!$D$16:$AC$26,7,FALSE)</f>
        <v>0.05</v>
      </c>
      <c r="AC862" s="147">
        <f>VLOOKUP(I862,'Weights and Confidence'!$D$16:$AC$26,8,FALSE)</f>
        <v>1</v>
      </c>
    </row>
    <row r="863" spans="1:29" ht="17" thickBot="1" x14ac:dyDescent="0.25">
      <c r="A863" s="34" t="s">
        <v>185</v>
      </c>
      <c r="B863" s="34" t="s">
        <v>86</v>
      </c>
      <c r="C863" s="34" t="s">
        <v>54</v>
      </c>
      <c r="D863" s="34" t="s">
        <v>5</v>
      </c>
      <c r="E863" s="34" t="s">
        <v>105</v>
      </c>
      <c r="F863" s="50" t="s">
        <v>133</v>
      </c>
      <c r="G863" s="34">
        <v>11</v>
      </c>
      <c r="H863" s="34" t="s">
        <v>18</v>
      </c>
      <c r="I863" s="34" t="s">
        <v>28</v>
      </c>
      <c r="J863" s="34">
        <v>0</v>
      </c>
      <c r="K863" s="35">
        <f>AB863/COUNTIFS($B:$B,$B863,$C:$C,$C863,$H:$H,$H863,$I:$I,$I863)</f>
        <v>0.05</v>
      </c>
      <c r="L863" s="36">
        <f t="shared" si="53"/>
        <v>1</v>
      </c>
      <c r="M863" s="37">
        <f t="shared" si="54"/>
        <v>0</v>
      </c>
      <c r="N863" s="58" t="s">
        <v>249</v>
      </c>
      <c r="AA863" s="140">
        <f>AB863/COUNTIFS($B:$B,$B863,$C:$C,$C863,$H:$H,$H863,$I:$I,$I863)</f>
        <v>0.05</v>
      </c>
      <c r="AB863" s="141">
        <f>VLOOKUP(I863,'Weights and Confidence'!$D$16:$AC$26,7,FALSE)</f>
        <v>0.05</v>
      </c>
      <c r="AC863" s="142">
        <f>VLOOKUP(I863,'Weights and Confidence'!$D$16:$AC$26,8,FALSE)</f>
        <v>1</v>
      </c>
    </row>
    <row r="864" spans="1:29" ht="17" thickTop="1" x14ac:dyDescent="0.2">
      <c r="A864" s="42" t="s">
        <v>185</v>
      </c>
      <c r="B864" s="42" t="s">
        <v>86</v>
      </c>
      <c r="C864" s="42" t="s">
        <v>55</v>
      </c>
      <c r="D864" s="42" t="s">
        <v>5</v>
      </c>
      <c r="E864" s="42" t="s">
        <v>107</v>
      </c>
      <c r="F864" s="49" t="s">
        <v>56</v>
      </c>
      <c r="G864" s="42">
        <v>1</v>
      </c>
      <c r="H864" s="42" t="s">
        <v>17</v>
      </c>
      <c r="I864" s="42" t="s">
        <v>19</v>
      </c>
      <c r="J864" s="42">
        <v>1</v>
      </c>
      <c r="K864" s="44">
        <f>AB864/COUNTIFS($B:$B,$B864,$C:$C,$C864,$H:$H,$H864,$I:$I,$I864)</f>
        <v>0.12</v>
      </c>
      <c r="L864" s="45">
        <f t="shared" si="53"/>
        <v>1</v>
      </c>
      <c r="M864" s="46">
        <f t="shared" ref="M864:M885" si="55">J864*K864*L864</f>
        <v>0.12</v>
      </c>
      <c r="N864" s="42"/>
      <c r="AA864" s="146">
        <f>AB864/COUNTIFS($B:$B,$B864,$C:$C,$C864,$H:$H,$H864,$I:$I,$I864)</f>
        <v>0.12</v>
      </c>
      <c r="AB864" s="108">
        <f>VLOOKUP(I864,'Weights and Confidence'!$D$16:$AC$26,7,FALSE)</f>
        <v>0.12</v>
      </c>
      <c r="AC864" s="147">
        <f>VLOOKUP(I864,'Weights and Confidence'!$D$16:$AC$26,8,FALSE)</f>
        <v>1</v>
      </c>
    </row>
    <row r="865" spans="1:29" ht="17" thickBot="1" x14ac:dyDescent="0.25">
      <c r="A865" s="34" t="s">
        <v>185</v>
      </c>
      <c r="B865" s="34" t="s">
        <v>86</v>
      </c>
      <c r="C865" s="34" t="s">
        <v>55</v>
      </c>
      <c r="D865" s="34" t="s">
        <v>5</v>
      </c>
      <c r="E865" s="34" t="s">
        <v>107</v>
      </c>
      <c r="F865" s="50" t="s">
        <v>56</v>
      </c>
      <c r="G865" s="34">
        <v>1</v>
      </c>
      <c r="H865" s="34" t="s">
        <v>18</v>
      </c>
      <c r="I865" s="34" t="s">
        <v>19</v>
      </c>
      <c r="J865" s="34">
        <v>1</v>
      </c>
      <c r="K865" s="35">
        <f>AB865/COUNTIFS($B:$B,$B865,$C:$C,$C865,$H:$H,$H865,$I:$I,$I865)</f>
        <v>0.12</v>
      </c>
      <c r="L865" s="36">
        <f t="shared" si="53"/>
        <v>1</v>
      </c>
      <c r="M865" s="37">
        <f t="shared" si="55"/>
        <v>0.12</v>
      </c>
      <c r="N865" s="58" t="s">
        <v>258</v>
      </c>
      <c r="AA865" s="146">
        <f>AB865/COUNTIFS($B:$B,$B865,$C:$C,$C865,$H:$H,$H865,$I:$I,$I865)</f>
        <v>0.12</v>
      </c>
      <c r="AB865" s="108">
        <f>VLOOKUP(I865,'Weights and Confidence'!$D$16:$AC$26,7,FALSE)</f>
        <v>0.12</v>
      </c>
      <c r="AC865" s="147">
        <f>VLOOKUP(I865,'Weights and Confidence'!$D$16:$AC$26,8,FALSE)</f>
        <v>1</v>
      </c>
    </row>
    <row r="866" spans="1:29" x14ac:dyDescent="0.2">
      <c r="A866" s="38" t="s">
        <v>185</v>
      </c>
      <c r="B866" s="38" t="s">
        <v>86</v>
      </c>
      <c r="C866" s="38" t="s">
        <v>55</v>
      </c>
      <c r="D866" s="38" t="s">
        <v>5</v>
      </c>
      <c r="E866" s="38" t="s">
        <v>107</v>
      </c>
      <c r="F866" s="51" t="s">
        <v>56</v>
      </c>
      <c r="G866" s="38">
        <v>2</v>
      </c>
      <c r="H866" s="38" t="s">
        <v>17</v>
      </c>
      <c r="I866" s="38" t="s">
        <v>20</v>
      </c>
      <c r="J866" s="38">
        <v>1</v>
      </c>
      <c r="K866" s="39">
        <f>AB866/COUNTIFS($B:$B,$B866,$C:$C,$C866,$H:$H,$H866,$I:$I,$I866)</f>
        <v>0.08</v>
      </c>
      <c r="L866" s="40">
        <f t="shared" si="53"/>
        <v>0.8</v>
      </c>
      <c r="M866" s="41">
        <f t="shared" si="55"/>
        <v>6.4000000000000001E-2</v>
      </c>
      <c r="N866" s="38"/>
      <c r="P866" s="24" t="s">
        <v>263</v>
      </c>
      <c r="Q866" s="10"/>
      <c r="R866" s="10"/>
      <c r="S866" s="10"/>
      <c r="T866" s="10"/>
      <c r="U866" s="10"/>
      <c r="V866" s="10"/>
      <c r="AA866" s="146">
        <f>AB866/COUNTIFS($B:$B,$B866,$C:$C,$C866,$H:$H,$H866,$I:$I,$I866)</f>
        <v>0.08</v>
      </c>
      <c r="AB866" s="108">
        <f>VLOOKUP(I866,'Weights and Confidence'!$D$16:$AC$26,7,FALSE)</f>
        <v>0.08</v>
      </c>
      <c r="AC866" s="147">
        <f>VLOOKUP(I866,'Weights and Confidence'!$D$16:$AC$26,8,FALSE)</f>
        <v>0.8</v>
      </c>
    </row>
    <row r="867" spans="1:29" x14ac:dyDescent="0.2">
      <c r="A867" s="34" t="s">
        <v>185</v>
      </c>
      <c r="B867" s="34" t="s">
        <v>86</v>
      </c>
      <c r="C867" s="34" t="s">
        <v>55</v>
      </c>
      <c r="D867" s="34" t="s">
        <v>5</v>
      </c>
      <c r="E867" s="34" t="s">
        <v>107</v>
      </c>
      <c r="F867" s="50" t="s">
        <v>56</v>
      </c>
      <c r="G867" s="34">
        <v>2</v>
      </c>
      <c r="H867" s="34" t="s">
        <v>18</v>
      </c>
      <c r="I867" s="34" t="s">
        <v>20</v>
      </c>
      <c r="J867" s="34">
        <v>1</v>
      </c>
      <c r="K867" s="35">
        <f>AB867/COUNTIFS($B:$B,$B867,$C:$C,$C867,$H:$H,$H867,$I:$I,$I867)</f>
        <v>0.08</v>
      </c>
      <c r="L867" s="36">
        <f t="shared" si="53"/>
        <v>0.8</v>
      </c>
      <c r="M867" s="37">
        <f t="shared" si="55"/>
        <v>6.4000000000000001E-2</v>
      </c>
      <c r="N867" s="58"/>
      <c r="P867" s="25" t="s">
        <v>264</v>
      </c>
      <c r="AA867" s="146">
        <f>AB867/COUNTIFS($B:$B,$B867,$C:$C,$C867,$H:$H,$H867,$I:$I,$I867)</f>
        <v>0.08</v>
      </c>
      <c r="AB867" s="108">
        <f>VLOOKUP(I867,'Weights and Confidence'!$D$16:$AC$26,7,FALSE)</f>
        <v>0.08</v>
      </c>
      <c r="AC867" s="147">
        <f>VLOOKUP(I867,'Weights and Confidence'!$D$16:$AC$26,8,FALSE)</f>
        <v>0.8</v>
      </c>
    </row>
    <row r="868" spans="1:29" ht="17" thickBot="1" x14ac:dyDescent="0.25">
      <c r="A868" s="38" t="s">
        <v>185</v>
      </c>
      <c r="B868" s="38" t="s">
        <v>86</v>
      </c>
      <c r="C868" s="38" t="s">
        <v>55</v>
      </c>
      <c r="D868" s="38" t="s">
        <v>5</v>
      </c>
      <c r="E868" s="38" t="s">
        <v>107</v>
      </c>
      <c r="F868" s="51" t="s">
        <v>56</v>
      </c>
      <c r="G868" s="38">
        <v>3</v>
      </c>
      <c r="H868" s="38" t="s">
        <v>17</v>
      </c>
      <c r="I868" s="38" t="s">
        <v>21</v>
      </c>
      <c r="J868" s="38">
        <v>1</v>
      </c>
      <c r="K868" s="39">
        <f>AB868/COUNTIFS($B:$B,$B868,$C:$C,$C868,$H:$H,$H868,$I:$I,$I868)</f>
        <v>0.05</v>
      </c>
      <c r="L868" s="40">
        <f t="shared" si="53"/>
        <v>1</v>
      </c>
      <c r="M868" s="41">
        <f t="shared" si="55"/>
        <v>0.05</v>
      </c>
      <c r="N868" s="38"/>
      <c r="P868" s="26" t="s">
        <v>265</v>
      </c>
      <c r="Q868" s="2"/>
      <c r="R868" s="2"/>
      <c r="S868" s="2"/>
      <c r="T868" s="2"/>
      <c r="U868" s="2"/>
      <c r="V868" s="2"/>
      <c r="AA868" s="146">
        <f>AB868/COUNTIFS($B:$B,$B868,$C:$C,$C868,$H:$H,$H868,$I:$I,$I868)</f>
        <v>0.05</v>
      </c>
      <c r="AB868" s="108">
        <f>VLOOKUP(I868,'Weights and Confidence'!$D$16:$AC$26,7,FALSE)</f>
        <v>0.05</v>
      </c>
      <c r="AC868" s="147">
        <f>VLOOKUP(I868,'Weights and Confidence'!$D$16:$AC$26,8,FALSE)</f>
        <v>1</v>
      </c>
    </row>
    <row r="869" spans="1:29" x14ac:dyDescent="0.2">
      <c r="A869" s="34" t="s">
        <v>185</v>
      </c>
      <c r="B869" s="34" t="s">
        <v>86</v>
      </c>
      <c r="C869" s="34" t="s">
        <v>55</v>
      </c>
      <c r="D869" s="34" t="s">
        <v>5</v>
      </c>
      <c r="E869" s="34" t="s">
        <v>107</v>
      </c>
      <c r="F869" s="50" t="s">
        <v>56</v>
      </c>
      <c r="G869" s="34">
        <v>3</v>
      </c>
      <c r="H869" s="34" t="s">
        <v>18</v>
      </c>
      <c r="I869" s="34" t="s">
        <v>21</v>
      </c>
      <c r="J869" s="34">
        <v>1</v>
      </c>
      <c r="K869" s="35">
        <f>AB869/COUNTIFS($B:$B,$B869,$C:$C,$C869,$H:$H,$H869,$I:$I,$I869)</f>
        <v>0.05</v>
      </c>
      <c r="L869" s="36">
        <f t="shared" si="53"/>
        <v>1</v>
      </c>
      <c r="M869" s="37">
        <f t="shared" si="55"/>
        <v>0.05</v>
      </c>
      <c r="N869" s="58" t="s">
        <v>259</v>
      </c>
      <c r="AA869" s="146">
        <f>AB869/COUNTIFS($B:$B,$B869,$C:$C,$C869,$H:$H,$H869,$I:$I,$I869)</f>
        <v>0.05</v>
      </c>
      <c r="AB869" s="108">
        <f>VLOOKUP(I869,'Weights and Confidence'!$D$16:$AC$26,7,FALSE)</f>
        <v>0.05</v>
      </c>
      <c r="AC869" s="147">
        <f>VLOOKUP(I869,'Weights and Confidence'!$D$16:$AC$26,8,FALSE)</f>
        <v>1</v>
      </c>
    </row>
    <row r="870" spans="1:29" x14ac:dyDescent="0.2">
      <c r="A870" s="38" t="s">
        <v>185</v>
      </c>
      <c r="B870" s="38" t="s">
        <v>86</v>
      </c>
      <c r="C870" s="38" t="s">
        <v>55</v>
      </c>
      <c r="D870" s="38" t="s">
        <v>5</v>
      </c>
      <c r="E870" s="38" t="s">
        <v>107</v>
      </c>
      <c r="F870" s="51" t="s">
        <v>56</v>
      </c>
      <c r="G870" s="38">
        <v>4</v>
      </c>
      <c r="H870" s="38" t="s">
        <v>17</v>
      </c>
      <c r="I870" s="38" t="s">
        <v>22</v>
      </c>
      <c r="J870" s="38">
        <v>1</v>
      </c>
      <c r="K870" s="39">
        <f>AB870/COUNTIFS($B:$B,$B870,$C:$C,$C870,$H:$H,$H870,$I:$I,$I870)</f>
        <v>0.14000000000000001</v>
      </c>
      <c r="L870" s="40">
        <f t="shared" si="53"/>
        <v>1</v>
      </c>
      <c r="M870" s="41">
        <f t="shared" si="55"/>
        <v>0.14000000000000001</v>
      </c>
      <c r="N870" s="38"/>
      <c r="AA870" s="146">
        <f>AB870/COUNTIFS($B:$B,$B870,$C:$C,$C870,$H:$H,$H870,$I:$I,$I870)</f>
        <v>0.14000000000000001</v>
      </c>
      <c r="AB870" s="108">
        <f>VLOOKUP(I870,'Weights and Confidence'!$D$16:$AC$26,7,FALSE)</f>
        <v>0.14000000000000001</v>
      </c>
      <c r="AC870" s="147">
        <f>VLOOKUP(I870,'Weights and Confidence'!$D$16:$AC$26,8,FALSE)</f>
        <v>1</v>
      </c>
    </row>
    <row r="871" spans="1:29" x14ac:dyDescent="0.2">
      <c r="A871" s="34" t="s">
        <v>185</v>
      </c>
      <c r="B871" s="34" t="s">
        <v>86</v>
      </c>
      <c r="C871" s="34" t="s">
        <v>55</v>
      </c>
      <c r="D871" s="34" t="s">
        <v>5</v>
      </c>
      <c r="E871" s="34" t="s">
        <v>107</v>
      </c>
      <c r="F871" s="50" t="s">
        <v>56</v>
      </c>
      <c r="G871" s="34">
        <v>4</v>
      </c>
      <c r="H871" s="34" t="s">
        <v>18</v>
      </c>
      <c r="I871" s="34" t="s">
        <v>22</v>
      </c>
      <c r="J871" s="34">
        <v>1</v>
      </c>
      <c r="K871" s="35">
        <f>AB871/COUNTIFS($B:$B,$B871,$C:$C,$C871,$H:$H,$H871,$I:$I,$I871)</f>
        <v>0.14000000000000001</v>
      </c>
      <c r="L871" s="36">
        <f t="shared" si="53"/>
        <v>1</v>
      </c>
      <c r="M871" s="37">
        <f t="shared" si="55"/>
        <v>0.14000000000000001</v>
      </c>
      <c r="N871" s="58"/>
      <c r="AA871" s="146">
        <f>AB871/COUNTIFS($B:$B,$B871,$C:$C,$C871,$H:$H,$H871,$I:$I,$I871)</f>
        <v>0.14000000000000001</v>
      </c>
      <c r="AB871" s="108">
        <f>VLOOKUP(I871,'Weights and Confidence'!$D$16:$AC$26,7,FALSE)</f>
        <v>0.14000000000000001</v>
      </c>
      <c r="AC871" s="147">
        <f>VLOOKUP(I871,'Weights and Confidence'!$D$16:$AC$26,8,FALSE)</f>
        <v>1</v>
      </c>
    </row>
    <row r="872" spans="1:29" x14ac:dyDescent="0.2">
      <c r="A872" s="38" t="s">
        <v>185</v>
      </c>
      <c r="B872" s="38" t="s">
        <v>86</v>
      </c>
      <c r="C872" s="38" t="s">
        <v>55</v>
      </c>
      <c r="D872" s="38" t="s">
        <v>5</v>
      </c>
      <c r="E872" s="38" t="s">
        <v>107</v>
      </c>
      <c r="F872" s="51" t="s">
        <v>56</v>
      </c>
      <c r="G872" s="38">
        <v>5</v>
      </c>
      <c r="H872" s="38" t="s">
        <v>17</v>
      </c>
      <c r="I872" s="38" t="s">
        <v>23</v>
      </c>
      <c r="J872" s="38">
        <v>0</v>
      </c>
      <c r="K872" s="39">
        <f>AB872/COUNTIFS($B:$B,$B872,$C:$C,$C872,$H:$H,$H872,$I:$I,$I872)</f>
        <v>0.11</v>
      </c>
      <c r="L872" s="40">
        <f t="shared" si="53"/>
        <v>1</v>
      </c>
      <c r="M872" s="41">
        <f t="shared" si="55"/>
        <v>0</v>
      </c>
      <c r="N872" s="38"/>
      <c r="AA872" s="146">
        <f>AB872/COUNTIFS($B:$B,$B872,$C:$C,$C872,$H:$H,$H872,$I:$I,$I872)</f>
        <v>0.11</v>
      </c>
      <c r="AB872" s="108">
        <f>VLOOKUP(I872,'Weights and Confidence'!$D$16:$AC$26,7,FALSE)</f>
        <v>0.11</v>
      </c>
      <c r="AC872" s="147">
        <f>VLOOKUP(I872,'Weights and Confidence'!$D$16:$AC$26,8,FALSE)</f>
        <v>1</v>
      </c>
    </row>
    <row r="873" spans="1:29" x14ac:dyDescent="0.2">
      <c r="A873" s="34" t="s">
        <v>185</v>
      </c>
      <c r="B873" s="34" t="s">
        <v>86</v>
      </c>
      <c r="C873" s="34" t="s">
        <v>55</v>
      </c>
      <c r="D873" s="34" t="s">
        <v>5</v>
      </c>
      <c r="E873" s="34" t="s">
        <v>107</v>
      </c>
      <c r="F873" s="50" t="s">
        <v>56</v>
      </c>
      <c r="G873" s="34">
        <v>5</v>
      </c>
      <c r="H873" s="34" t="s">
        <v>18</v>
      </c>
      <c r="I873" s="34" t="s">
        <v>23</v>
      </c>
      <c r="J873" s="34">
        <v>1</v>
      </c>
      <c r="K873" s="35">
        <f>AB873/COUNTIFS($B:$B,$B873,$C:$C,$C873,$H:$H,$H873,$I:$I,$I873)</f>
        <v>0.11</v>
      </c>
      <c r="L873" s="36">
        <f t="shared" si="53"/>
        <v>1</v>
      </c>
      <c r="M873" s="37">
        <f t="shared" si="55"/>
        <v>0.11</v>
      </c>
      <c r="N873" s="58"/>
      <c r="AA873" s="146">
        <f>AB873/COUNTIFS($B:$B,$B873,$C:$C,$C873,$H:$H,$H873,$I:$I,$I873)</f>
        <v>0.11</v>
      </c>
      <c r="AB873" s="108">
        <f>VLOOKUP(I873,'Weights and Confidence'!$D$16:$AC$26,7,FALSE)</f>
        <v>0.11</v>
      </c>
      <c r="AC873" s="147">
        <f>VLOOKUP(I873,'Weights and Confidence'!$D$16:$AC$26,8,FALSE)</f>
        <v>1</v>
      </c>
    </row>
    <row r="874" spans="1:29" x14ac:dyDescent="0.2">
      <c r="A874" s="38" t="s">
        <v>185</v>
      </c>
      <c r="B874" s="38" t="s">
        <v>86</v>
      </c>
      <c r="C874" s="38" t="s">
        <v>55</v>
      </c>
      <c r="D874" s="38" t="s">
        <v>5</v>
      </c>
      <c r="E874" s="38" t="s">
        <v>107</v>
      </c>
      <c r="F874" s="51" t="s">
        <v>56</v>
      </c>
      <c r="G874" s="38">
        <v>6</v>
      </c>
      <c r="H874" s="38" t="s">
        <v>17</v>
      </c>
      <c r="I874" s="38" t="s">
        <v>24</v>
      </c>
      <c r="J874" s="38">
        <v>0</v>
      </c>
      <c r="K874" s="39">
        <f>AB874/COUNTIFS($B:$B,$B874,$C:$C,$C874,$H:$H,$H874,$I:$I,$I874)</f>
        <v>0.15</v>
      </c>
      <c r="L874" s="40">
        <f t="shared" si="53"/>
        <v>1</v>
      </c>
      <c r="M874" s="41">
        <f t="shared" si="55"/>
        <v>0</v>
      </c>
      <c r="N874" s="59"/>
      <c r="AA874" s="146">
        <f>AB874/COUNTIFS($B:$B,$B874,$C:$C,$C874,$H:$H,$H874,$I:$I,$I874)</f>
        <v>0.15</v>
      </c>
      <c r="AB874" s="108">
        <f>VLOOKUP(I874,'Weights and Confidence'!$D$16:$AC$26,7,FALSE)</f>
        <v>0.15</v>
      </c>
      <c r="AC874" s="147">
        <f>VLOOKUP(I874,'Weights and Confidence'!$D$16:$AC$26,8,FALSE)</f>
        <v>1</v>
      </c>
    </row>
    <row r="875" spans="1:29" x14ac:dyDescent="0.2">
      <c r="A875" s="34" t="s">
        <v>185</v>
      </c>
      <c r="B875" s="34" t="s">
        <v>86</v>
      </c>
      <c r="C875" s="34" t="s">
        <v>55</v>
      </c>
      <c r="D875" s="34" t="s">
        <v>5</v>
      </c>
      <c r="E875" s="34" t="s">
        <v>107</v>
      </c>
      <c r="F875" s="50" t="s">
        <v>56</v>
      </c>
      <c r="G875" s="34">
        <v>6</v>
      </c>
      <c r="H875" s="34" t="s">
        <v>18</v>
      </c>
      <c r="I875" s="34" t="s">
        <v>24</v>
      </c>
      <c r="J875" s="34">
        <v>1</v>
      </c>
      <c r="K875" s="35">
        <f>AB875/COUNTIFS($B:$B,$B875,$C:$C,$C875,$H:$H,$H875,$I:$I,$I875)</f>
        <v>0.15</v>
      </c>
      <c r="L875" s="36">
        <f t="shared" si="53"/>
        <v>1</v>
      </c>
      <c r="M875" s="37">
        <f t="shared" si="55"/>
        <v>0.15</v>
      </c>
      <c r="N875" s="58" t="s">
        <v>260</v>
      </c>
      <c r="AA875" s="146">
        <f>AB875/COUNTIFS($B:$B,$B875,$C:$C,$C875,$H:$H,$H875,$I:$I,$I875)</f>
        <v>0.15</v>
      </c>
      <c r="AB875" s="108">
        <f>VLOOKUP(I875,'Weights and Confidence'!$D$16:$AC$26,7,FALSE)</f>
        <v>0.15</v>
      </c>
      <c r="AC875" s="147">
        <f>VLOOKUP(I875,'Weights and Confidence'!$D$16:$AC$26,8,FALSE)</f>
        <v>1</v>
      </c>
    </row>
    <row r="876" spans="1:29" x14ac:dyDescent="0.2">
      <c r="A876" s="38" t="s">
        <v>185</v>
      </c>
      <c r="B876" s="38" t="s">
        <v>86</v>
      </c>
      <c r="C876" s="38" t="s">
        <v>55</v>
      </c>
      <c r="D876" s="38" t="s">
        <v>5</v>
      </c>
      <c r="E876" s="38" t="s">
        <v>107</v>
      </c>
      <c r="F876" s="51" t="s">
        <v>56</v>
      </c>
      <c r="G876" s="38">
        <v>7</v>
      </c>
      <c r="H876" s="38" t="s">
        <v>17</v>
      </c>
      <c r="I876" s="38" t="s">
        <v>25</v>
      </c>
      <c r="J876" s="38">
        <v>0</v>
      </c>
      <c r="K876" s="39">
        <f>AB876/COUNTIFS($B:$B,$B876,$C:$C,$C876,$H:$H,$H876,$I:$I,$I876)</f>
        <v>0.1</v>
      </c>
      <c r="L876" s="40">
        <f t="shared" si="53"/>
        <v>1</v>
      </c>
      <c r="M876" s="41">
        <f t="shared" si="55"/>
        <v>0</v>
      </c>
      <c r="N876" s="38"/>
      <c r="AA876" s="146">
        <f>AB876/COUNTIFS($B:$B,$B876,$C:$C,$C876,$H:$H,$H876,$I:$I,$I876)</f>
        <v>0.1</v>
      </c>
      <c r="AB876" s="108">
        <f>VLOOKUP(I876,'Weights and Confidence'!$D$16:$AC$26,7,FALSE)</f>
        <v>0.1</v>
      </c>
      <c r="AC876" s="147">
        <f>VLOOKUP(I876,'Weights and Confidence'!$D$16:$AC$26,8,FALSE)</f>
        <v>1</v>
      </c>
    </row>
    <row r="877" spans="1:29" x14ac:dyDescent="0.2">
      <c r="A877" s="34" t="s">
        <v>185</v>
      </c>
      <c r="B877" s="34" t="s">
        <v>86</v>
      </c>
      <c r="C877" s="34" t="s">
        <v>55</v>
      </c>
      <c r="D877" s="34" t="s">
        <v>5</v>
      </c>
      <c r="E877" s="34" t="s">
        <v>107</v>
      </c>
      <c r="F877" s="50" t="s">
        <v>56</v>
      </c>
      <c r="G877" s="34">
        <v>7</v>
      </c>
      <c r="H877" s="34" t="s">
        <v>18</v>
      </c>
      <c r="I877" s="34" t="s">
        <v>25</v>
      </c>
      <c r="J877" s="34">
        <v>1</v>
      </c>
      <c r="K877" s="35">
        <f>AB877/COUNTIFS($B:$B,$B877,$C:$C,$C877,$H:$H,$H877,$I:$I,$I877)</f>
        <v>0.1</v>
      </c>
      <c r="L877" s="36">
        <f t="shared" si="53"/>
        <v>1</v>
      </c>
      <c r="M877" s="37">
        <f t="shared" si="55"/>
        <v>0.1</v>
      </c>
      <c r="N877" s="58"/>
      <c r="AA877" s="146">
        <f>AB877/COUNTIFS($B:$B,$B877,$C:$C,$C877,$H:$H,$H877,$I:$I,$I877)</f>
        <v>0.1</v>
      </c>
      <c r="AB877" s="108">
        <f>VLOOKUP(I877,'Weights and Confidence'!$D$16:$AC$26,7,FALSE)</f>
        <v>0.1</v>
      </c>
      <c r="AC877" s="147">
        <f>VLOOKUP(I877,'Weights and Confidence'!$D$16:$AC$26,8,FALSE)</f>
        <v>1</v>
      </c>
    </row>
    <row r="878" spans="1:29" x14ac:dyDescent="0.2">
      <c r="A878" s="38" t="s">
        <v>185</v>
      </c>
      <c r="B878" s="38" t="s">
        <v>86</v>
      </c>
      <c r="C878" s="38" t="s">
        <v>55</v>
      </c>
      <c r="D878" s="38" t="s">
        <v>5</v>
      </c>
      <c r="E878" s="38" t="s">
        <v>107</v>
      </c>
      <c r="F878" s="51" t="s">
        <v>56</v>
      </c>
      <c r="G878" s="38">
        <v>8</v>
      </c>
      <c r="H878" s="38" t="s">
        <v>17</v>
      </c>
      <c r="I878" s="38" t="s">
        <v>26</v>
      </c>
      <c r="J878" s="38">
        <v>1</v>
      </c>
      <c r="K878" s="39">
        <f>AB878/COUNTIFS($B:$B,$B878,$C:$C,$C878,$H:$H,$H878,$I:$I,$I878)</f>
        <v>0.1</v>
      </c>
      <c r="L878" s="40">
        <f t="shared" si="53"/>
        <v>1</v>
      </c>
      <c r="M878" s="41">
        <f t="shared" si="55"/>
        <v>0.1</v>
      </c>
      <c r="N878" s="38"/>
      <c r="AA878" s="146">
        <f>AB878/COUNTIFS($B:$B,$B878,$C:$C,$C878,$H:$H,$H878,$I:$I,$I878)</f>
        <v>0.1</v>
      </c>
      <c r="AB878" s="108">
        <f>VLOOKUP(I878,'Weights and Confidence'!$D$16:$AC$26,7,FALSE)</f>
        <v>0.1</v>
      </c>
      <c r="AC878" s="147">
        <f>VLOOKUP(I878,'Weights and Confidence'!$D$16:$AC$26,8,FALSE)</f>
        <v>1</v>
      </c>
    </row>
    <row r="879" spans="1:29" x14ac:dyDescent="0.2">
      <c r="A879" s="34" t="s">
        <v>185</v>
      </c>
      <c r="B879" s="34" t="s">
        <v>86</v>
      </c>
      <c r="C879" s="34" t="s">
        <v>55</v>
      </c>
      <c r="D879" s="34" t="s">
        <v>5</v>
      </c>
      <c r="E879" s="34" t="s">
        <v>107</v>
      </c>
      <c r="F879" s="50" t="s">
        <v>56</v>
      </c>
      <c r="G879" s="34">
        <v>8</v>
      </c>
      <c r="H879" s="34" t="s">
        <v>18</v>
      </c>
      <c r="I879" s="34" t="s">
        <v>26</v>
      </c>
      <c r="J879" s="34">
        <v>1</v>
      </c>
      <c r="K879" s="35">
        <f>AB879/COUNTIFS($B:$B,$B879,$C:$C,$C879,$H:$H,$H879,$I:$I,$I879)</f>
        <v>0.1</v>
      </c>
      <c r="L879" s="36">
        <f t="shared" si="53"/>
        <v>1</v>
      </c>
      <c r="M879" s="37">
        <f t="shared" si="55"/>
        <v>0.1</v>
      </c>
      <c r="N879" s="58" t="s">
        <v>261</v>
      </c>
      <c r="AA879" s="146">
        <f>AB879/COUNTIFS($B:$B,$B879,$C:$C,$C879,$H:$H,$H879,$I:$I,$I879)</f>
        <v>0.1</v>
      </c>
      <c r="AB879" s="108">
        <f>VLOOKUP(I879,'Weights and Confidence'!$D$16:$AC$26,7,FALSE)</f>
        <v>0.1</v>
      </c>
      <c r="AC879" s="147">
        <f>VLOOKUP(I879,'Weights and Confidence'!$D$16:$AC$26,8,FALSE)</f>
        <v>1</v>
      </c>
    </row>
    <row r="880" spans="1:29" x14ac:dyDescent="0.2">
      <c r="A880" s="38" t="s">
        <v>185</v>
      </c>
      <c r="B880" s="38" t="s">
        <v>86</v>
      </c>
      <c r="C880" s="38" t="s">
        <v>55</v>
      </c>
      <c r="D880" s="38" t="s">
        <v>5</v>
      </c>
      <c r="E880" s="38" t="s">
        <v>107</v>
      </c>
      <c r="F880" s="51" t="s">
        <v>56</v>
      </c>
      <c r="G880" s="38">
        <v>9</v>
      </c>
      <c r="H880" s="38" t="s">
        <v>17</v>
      </c>
      <c r="I880" s="38" t="s">
        <v>27</v>
      </c>
      <c r="J880" s="38">
        <v>1</v>
      </c>
      <c r="K880" s="39">
        <f>AB880/COUNTIFS($B:$B,$B880,$C:$C,$C880,$H:$H,$H880,$I:$I,$I880)</f>
        <v>0.05</v>
      </c>
      <c r="L880" s="40">
        <f t="shared" si="53"/>
        <v>0.85</v>
      </c>
      <c r="M880" s="41">
        <f t="shared" si="55"/>
        <v>4.2500000000000003E-2</v>
      </c>
      <c r="N880" s="38"/>
      <c r="AA880" s="146">
        <f>AB880/COUNTIFS($B:$B,$B880,$C:$C,$C880,$H:$H,$H880,$I:$I,$I880)</f>
        <v>0.05</v>
      </c>
      <c r="AB880" s="108">
        <f>VLOOKUP(I880,'Weights and Confidence'!$D$16:$AC$26,7,FALSE)</f>
        <v>0.1</v>
      </c>
      <c r="AC880" s="147">
        <f>VLOOKUP(I880,'Weights and Confidence'!$D$16:$AC$26,8,FALSE)</f>
        <v>0.85</v>
      </c>
    </row>
    <row r="881" spans="1:29" x14ac:dyDescent="0.2">
      <c r="A881" s="34" t="s">
        <v>185</v>
      </c>
      <c r="B881" s="34" t="s">
        <v>86</v>
      </c>
      <c r="C881" s="34" t="s">
        <v>55</v>
      </c>
      <c r="D881" s="34" t="s">
        <v>5</v>
      </c>
      <c r="E881" s="34" t="s">
        <v>107</v>
      </c>
      <c r="F881" s="50" t="s">
        <v>56</v>
      </c>
      <c r="G881" s="34">
        <v>9</v>
      </c>
      <c r="H881" s="34" t="s">
        <v>18</v>
      </c>
      <c r="I881" s="34" t="s">
        <v>27</v>
      </c>
      <c r="J881" s="34">
        <v>1</v>
      </c>
      <c r="K881" s="35">
        <f>AB881/COUNTIFS($B:$B,$B881,$C:$C,$C881,$H:$H,$H881,$I:$I,$I881)</f>
        <v>0.05</v>
      </c>
      <c r="L881" s="36">
        <f t="shared" si="53"/>
        <v>0.85</v>
      </c>
      <c r="M881" s="37">
        <f t="shared" si="55"/>
        <v>4.2500000000000003E-2</v>
      </c>
      <c r="N881" s="58"/>
      <c r="AA881" s="146">
        <f>AB881/COUNTIFS($B:$B,$B881,$C:$C,$C881,$H:$H,$H881,$I:$I,$I881)</f>
        <v>0.05</v>
      </c>
      <c r="AB881" s="108">
        <f>VLOOKUP(I881,'Weights and Confidence'!$D$16:$AC$26,7,FALSE)</f>
        <v>0.1</v>
      </c>
      <c r="AC881" s="147">
        <f>VLOOKUP(I881,'Weights and Confidence'!$D$16:$AC$26,8,FALSE)</f>
        <v>0.85</v>
      </c>
    </row>
    <row r="882" spans="1:29" x14ac:dyDescent="0.2">
      <c r="A882" s="38" t="s">
        <v>185</v>
      </c>
      <c r="B882" s="38" t="s">
        <v>86</v>
      </c>
      <c r="C882" s="38" t="s">
        <v>55</v>
      </c>
      <c r="D882" s="38" t="s">
        <v>5</v>
      </c>
      <c r="E882" s="38" t="s">
        <v>107</v>
      </c>
      <c r="F882" s="51" t="s">
        <v>56</v>
      </c>
      <c r="G882" s="38">
        <v>10</v>
      </c>
      <c r="H882" s="38" t="s">
        <v>17</v>
      </c>
      <c r="I882" s="38" t="s">
        <v>27</v>
      </c>
      <c r="J882" s="38">
        <v>0</v>
      </c>
      <c r="K882" s="39">
        <f>AB882/COUNTIFS($B:$B,$B882,$C:$C,$C882,$H:$H,$H882,$I:$I,$I882)</f>
        <v>0.05</v>
      </c>
      <c r="L882" s="40">
        <f t="shared" si="53"/>
        <v>0.85</v>
      </c>
      <c r="M882" s="41">
        <f t="shared" si="55"/>
        <v>0</v>
      </c>
      <c r="N882" s="38"/>
      <c r="AA882" s="146">
        <f>AB882/COUNTIFS($B:$B,$B882,$C:$C,$C882,$H:$H,$H882,$I:$I,$I882)</f>
        <v>0.05</v>
      </c>
      <c r="AB882" s="108">
        <f>VLOOKUP(I882,'Weights and Confidence'!$D$16:$AC$26,7,FALSE)</f>
        <v>0.1</v>
      </c>
      <c r="AC882" s="147">
        <f>VLOOKUP(I882,'Weights and Confidence'!$D$16:$AC$26,8,FALSE)</f>
        <v>0.85</v>
      </c>
    </row>
    <row r="883" spans="1:29" x14ac:dyDescent="0.2">
      <c r="A883" s="34" t="s">
        <v>185</v>
      </c>
      <c r="B883" s="34" t="s">
        <v>86</v>
      </c>
      <c r="C883" s="34" t="s">
        <v>55</v>
      </c>
      <c r="D883" s="34" t="s">
        <v>5</v>
      </c>
      <c r="E883" s="34" t="s">
        <v>107</v>
      </c>
      <c r="F883" s="50" t="s">
        <v>56</v>
      </c>
      <c r="G883" s="34">
        <v>10</v>
      </c>
      <c r="H883" s="34" t="s">
        <v>18</v>
      </c>
      <c r="I883" s="34" t="s">
        <v>27</v>
      </c>
      <c r="J883" s="34">
        <v>1</v>
      </c>
      <c r="K883" s="35">
        <f>AB883/COUNTIFS($B:$B,$B883,$C:$C,$C883,$H:$H,$H883,$I:$I,$I883)</f>
        <v>0.05</v>
      </c>
      <c r="L883" s="36">
        <f t="shared" si="53"/>
        <v>0.85</v>
      </c>
      <c r="M883" s="37">
        <f t="shared" si="55"/>
        <v>4.2500000000000003E-2</v>
      </c>
      <c r="N883" s="34"/>
      <c r="AA883" s="146">
        <f>AB883/COUNTIFS($B:$B,$B883,$C:$C,$C883,$H:$H,$H883,$I:$I,$I883)</f>
        <v>0.05</v>
      </c>
      <c r="AB883" s="108">
        <f>VLOOKUP(I883,'Weights and Confidence'!$D$16:$AC$26,7,FALSE)</f>
        <v>0.1</v>
      </c>
      <c r="AC883" s="147">
        <f>VLOOKUP(I883,'Weights and Confidence'!$D$16:$AC$26,8,FALSE)</f>
        <v>0.85</v>
      </c>
    </row>
    <row r="884" spans="1:29" x14ac:dyDescent="0.2">
      <c r="A884" s="38" t="s">
        <v>185</v>
      </c>
      <c r="B884" s="38" t="s">
        <v>86</v>
      </c>
      <c r="C884" s="38" t="s">
        <v>55</v>
      </c>
      <c r="D884" s="38" t="s">
        <v>5</v>
      </c>
      <c r="E884" s="38" t="s">
        <v>107</v>
      </c>
      <c r="F884" s="51" t="s">
        <v>56</v>
      </c>
      <c r="G884" s="38">
        <v>11</v>
      </c>
      <c r="H884" s="38" t="s">
        <v>17</v>
      </c>
      <c r="I884" s="38" t="s">
        <v>28</v>
      </c>
      <c r="J884" s="38">
        <v>0</v>
      </c>
      <c r="K884" s="39">
        <f>AB884/COUNTIFS($B:$B,$B884,$C:$C,$C884,$H:$H,$H884,$I:$I,$I884)</f>
        <v>0.05</v>
      </c>
      <c r="L884" s="40">
        <f t="shared" si="53"/>
        <v>1</v>
      </c>
      <c r="M884" s="41">
        <f t="shared" si="55"/>
        <v>0</v>
      </c>
      <c r="N884" s="38"/>
      <c r="AA884" s="146">
        <f>AB884/COUNTIFS($B:$B,$B884,$C:$C,$C884,$H:$H,$H884,$I:$I,$I884)</f>
        <v>0.05</v>
      </c>
      <c r="AB884" s="108">
        <f>VLOOKUP(I884,'Weights and Confidence'!$D$16:$AC$26,7,FALSE)</f>
        <v>0.05</v>
      </c>
      <c r="AC884" s="147">
        <f>VLOOKUP(I884,'Weights and Confidence'!$D$16:$AC$26,8,FALSE)</f>
        <v>1</v>
      </c>
    </row>
    <row r="885" spans="1:29" ht="17" thickBot="1" x14ac:dyDescent="0.25">
      <c r="A885" s="34" t="s">
        <v>185</v>
      </c>
      <c r="B885" s="34" t="s">
        <v>86</v>
      </c>
      <c r="C885" s="34" t="s">
        <v>55</v>
      </c>
      <c r="D885" s="34" t="s">
        <v>5</v>
      </c>
      <c r="E885" s="34" t="s">
        <v>107</v>
      </c>
      <c r="F885" s="50" t="s">
        <v>56</v>
      </c>
      <c r="G885" s="34">
        <v>11</v>
      </c>
      <c r="H885" s="34" t="s">
        <v>18</v>
      </c>
      <c r="I885" s="34" t="s">
        <v>28</v>
      </c>
      <c r="J885" s="34">
        <v>1</v>
      </c>
      <c r="K885" s="35">
        <f>AB885/COUNTIFS($B:$B,$B885,$C:$C,$C885,$H:$H,$H885,$I:$I,$I885)</f>
        <v>0.05</v>
      </c>
      <c r="L885" s="36">
        <f t="shared" si="53"/>
        <v>1</v>
      </c>
      <c r="M885" s="37">
        <f t="shared" si="55"/>
        <v>0.05</v>
      </c>
      <c r="N885" s="58" t="s">
        <v>262</v>
      </c>
      <c r="AA885" s="140">
        <f>AB885/COUNTIFS($B:$B,$B885,$C:$C,$C885,$H:$H,$H885,$I:$I,$I885)</f>
        <v>0.05</v>
      </c>
      <c r="AB885" s="141">
        <f>VLOOKUP(I885,'Weights and Confidence'!$D$16:$AC$26,7,FALSE)</f>
        <v>0.05</v>
      </c>
      <c r="AC885" s="142">
        <f>VLOOKUP(I885,'Weights and Confidence'!$D$16:$AC$26,8,FALSE)</f>
        <v>1</v>
      </c>
    </row>
    <row r="886" spans="1:29" ht="17" thickTop="1" x14ac:dyDescent="0.2">
      <c r="A886" s="42" t="s">
        <v>185</v>
      </c>
      <c r="B886" s="42" t="s">
        <v>86</v>
      </c>
      <c r="C886" s="42" t="s">
        <v>59</v>
      </c>
      <c r="D886" s="42" t="s">
        <v>5</v>
      </c>
      <c r="E886" s="42" t="s">
        <v>103</v>
      </c>
      <c r="F886" s="49" t="s">
        <v>60</v>
      </c>
      <c r="G886" s="42">
        <v>1</v>
      </c>
      <c r="H886" s="42" t="s">
        <v>17</v>
      </c>
      <c r="I886" s="42" t="s">
        <v>19</v>
      </c>
      <c r="J886" s="42">
        <v>1</v>
      </c>
      <c r="K886" s="44">
        <f>AB886/COUNTIFS($B:$B,$B886,$C:$C,$C886,$H:$H,$H886,$I:$I,$I886)</f>
        <v>0.12</v>
      </c>
      <c r="L886" s="45">
        <f t="shared" si="53"/>
        <v>1</v>
      </c>
      <c r="M886" s="46">
        <f t="shared" ref="M886:M907" si="56">J886*K886*L886</f>
        <v>0.12</v>
      </c>
      <c r="N886" s="42"/>
      <c r="AA886" s="146">
        <f>AB886/COUNTIFS($B:$B,$B886,$C:$C,$C886,$H:$H,$H886,$I:$I,$I886)</f>
        <v>0.12</v>
      </c>
      <c r="AB886" s="108">
        <f>VLOOKUP(I886,'Weights and Confidence'!$D$16:$AC$26,7,FALSE)</f>
        <v>0.12</v>
      </c>
      <c r="AC886" s="147">
        <f>VLOOKUP(I886,'Weights and Confidence'!$D$16:$AC$26,8,FALSE)</f>
        <v>1</v>
      </c>
    </row>
    <row r="887" spans="1:29" x14ac:dyDescent="0.2">
      <c r="A887" s="34" t="s">
        <v>185</v>
      </c>
      <c r="B887" s="34" t="s">
        <v>86</v>
      </c>
      <c r="C887" s="34" t="s">
        <v>59</v>
      </c>
      <c r="D887" s="34" t="s">
        <v>5</v>
      </c>
      <c r="E887" s="34" t="s">
        <v>103</v>
      </c>
      <c r="F887" s="50" t="s">
        <v>60</v>
      </c>
      <c r="G887" s="34">
        <v>1</v>
      </c>
      <c r="H887" s="34" t="s">
        <v>18</v>
      </c>
      <c r="I887" s="34" t="s">
        <v>19</v>
      </c>
      <c r="J887" s="34">
        <v>1</v>
      </c>
      <c r="K887" s="35">
        <f>AB887/COUNTIFS($B:$B,$B887,$C:$C,$C887,$H:$H,$H887,$I:$I,$I887)</f>
        <v>0.12</v>
      </c>
      <c r="L887" s="36">
        <f t="shared" si="53"/>
        <v>1</v>
      </c>
      <c r="M887" s="37">
        <f t="shared" si="56"/>
        <v>0.12</v>
      </c>
      <c r="N887" s="58" t="s">
        <v>266</v>
      </c>
      <c r="AA887" s="146">
        <f>AB887/COUNTIFS($B:$B,$B887,$C:$C,$C887,$H:$H,$H887,$I:$I,$I887)</f>
        <v>0.12</v>
      </c>
      <c r="AB887" s="108">
        <f>VLOOKUP(I887,'Weights and Confidence'!$D$16:$AC$26,7,FALSE)</f>
        <v>0.12</v>
      </c>
      <c r="AC887" s="147">
        <f>VLOOKUP(I887,'Weights and Confidence'!$D$16:$AC$26,8,FALSE)</f>
        <v>1</v>
      </c>
    </row>
    <row r="888" spans="1:29" ht="17" thickBot="1" x14ac:dyDescent="0.25">
      <c r="A888" s="38" t="s">
        <v>185</v>
      </c>
      <c r="B888" s="38" t="s">
        <v>86</v>
      </c>
      <c r="C888" s="38" t="s">
        <v>59</v>
      </c>
      <c r="D888" s="38" t="s">
        <v>5</v>
      </c>
      <c r="E888" s="38" t="s">
        <v>103</v>
      </c>
      <c r="F888" s="51" t="s">
        <v>60</v>
      </c>
      <c r="G888" s="38">
        <v>2</v>
      </c>
      <c r="H888" s="38" t="s">
        <v>17</v>
      </c>
      <c r="I888" s="38" t="s">
        <v>20</v>
      </c>
      <c r="J888" s="38">
        <v>1</v>
      </c>
      <c r="K888" s="39">
        <f>AB888/COUNTIFS($B:$B,$B888,$C:$C,$C888,$H:$H,$H888,$I:$I,$I888)</f>
        <v>0.08</v>
      </c>
      <c r="L888" s="40">
        <f t="shared" si="53"/>
        <v>0.8</v>
      </c>
      <c r="M888" s="41">
        <f t="shared" si="56"/>
        <v>6.4000000000000001E-2</v>
      </c>
      <c r="N888" s="38"/>
      <c r="AA888" s="146">
        <f>AB888/COUNTIFS($B:$B,$B888,$C:$C,$C888,$H:$H,$H888,$I:$I,$I888)</f>
        <v>0.08</v>
      </c>
      <c r="AB888" s="108">
        <f>VLOOKUP(I888,'Weights and Confidence'!$D$16:$AC$26,7,FALSE)</f>
        <v>0.08</v>
      </c>
      <c r="AC888" s="147">
        <f>VLOOKUP(I888,'Weights and Confidence'!$D$16:$AC$26,8,FALSE)</f>
        <v>0.8</v>
      </c>
    </row>
    <row r="889" spans="1:29" x14ac:dyDescent="0.2">
      <c r="A889" s="34" t="s">
        <v>185</v>
      </c>
      <c r="B889" s="34" t="s">
        <v>86</v>
      </c>
      <c r="C889" s="34" t="s">
        <v>59</v>
      </c>
      <c r="D889" s="34" t="s">
        <v>5</v>
      </c>
      <c r="E889" s="34" t="s">
        <v>103</v>
      </c>
      <c r="F889" s="50" t="s">
        <v>60</v>
      </c>
      <c r="G889" s="34">
        <v>2</v>
      </c>
      <c r="H889" s="34" t="s">
        <v>18</v>
      </c>
      <c r="I889" s="34" t="s">
        <v>20</v>
      </c>
      <c r="J889" s="34">
        <v>1</v>
      </c>
      <c r="K889" s="35">
        <f>AB889/COUNTIFS($B:$B,$B889,$C:$C,$C889,$H:$H,$H889,$I:$I,$I889)</f>
        <v>0.08</v>
      </c>
      <c r="L889" s="36">
        <f t="shared" si="53"/>
        <v>0.8</v>
      </c>
      <c r="M889" s="37">
        <f t="shared" si="56"/>
        <v>6.4000000000000001E-2</v>
      </c>
      <c r="N889" s="58"/>
      <c r="P889" s="24" t="s">
        <v>270</v>
      </c>
      <c r="Q889" s="10"/>
      <c r="R889" s="10"/>
      <c r="S889" s="10"/>
      <c r="T889" s="10"/>
      <c r="U889" s="10"/>
      <c r="V889" s="10"/>
      <c r="AA889" s="146">
        <f>AB889/COUNTIFS($B:$B,$B889,$C:$C,$C889,$H:$H,$H889,$I:$I,$I889)</f>
        <v>0.08</v>
      </c>
      <c r="AB889" s="108">
        <f>VLOOKUP(I889,'Weights and Confidence'!$D$16:$AC$26,7,FALSE)</f>
        <v>0.08</v>
      </c>
      <c r="AC889" s="147">
        <f>VLOOKUP(I889,'Weights and Confidence'!$D$16:$AC$26,8,FALSE)</f>
        <v>0.8</v>
      </c>
    </row>
    <row r="890" spans="1:29" ht="17" thickBot="1" x14ac:dyDescent="0.25">
      <c r="A890" s="38" t="s">
        <v>185</v>
      </c>
      <c r="B890" s="38" t="s">
        <v>86</v>
      </c>
      <c r="C890" s="38" t="s">
        <v>59</v>
      </c>
      <c r="D890" s="38" t="s">
        <v>5</v>
      </c>
      <c r="E890" s="38" t="s">
        <v>103</v>
      </c>
      <c r="F890" s="51" t="s">
        <v>60</v>
      </c>
      <c r="G890" s="38">
        <v>3</v>
      </c>
      <c r="H890" s="38" t="s">
        <v>17</v>
      </c>
      <c r="I890" s="38" t="s">
        <v>21</v>
      </c>
      <c r="J890" s="38">
        <v>1</v>
      </c>
      <c r="K890" s="39">
        <f>AB890/COUNTIFS($B:$B,$B890,$C:$C,$C890,$H:$H,$H890,$I:$I,$I890)</f>
        <v>0.05</v>
      </c>
      <c r="L890" s="40">
        <f t="shared" si="53"/>
        <v>1</v>
      </c>
      <c r="M890" s="41">
        <f t="shared" si="56"/>
        <v>0.05</v>
      </c>
      <c r="N890" s="38"/>
      <c r="P890" s="26" t="s">
        <v>271</v>
      </c>
      <c r="Q890" s="2"/>
      <c r="R890" s="2"/>
      <c r="S890" s="2"/>
      <c r="T890" s="2"/>
      <c r="U890" s="2"/>
      <c r="V890" s="2"/>
      <c r="AA890" s="146">
        <f>AB890/COUNTIFS($B:$B,$B890,$C:$C,$C890,$H:$H,$H890,$I:$I,$I890)</f>
        <v>0.05</v>
      </c>
      <c r="AB890" s="108">
        <f>VLOOKUP(I890,'Weights and Confidence'!$D$16:$AC$26,7,FALSE)</f>
        <v>0.05</v>
      </c>
      <c r="AC890" s="147">
        <f>VLOOKUP(I890,'Weights and Confidence'!$D$16:$AC$26,8,FALSE)</f>
        <v>1</v>
      </c>
    </row>
    <row r="891" spans="1:29" x14ac:dyDescent="0.2">
      <c r="A891" s="34" t="s">
        <v>185</v>
      </c>
      <c r="B891" s="34" t="s">
        <v>86</v>
      </c>
      <c r="C891" s="34" t="s">
        <v>59</v>
      </c>
      <c r="D891" s="34" t="s">
        <v>5</v>
      </c>
      <c r="E891" s="34" t="s">
        <v>103</v>
      </c>
      <c r="F891" s="50" t="s">
        <v>60</v>
      </c>
      <c r="G891" s="34">
        <v>3</v>
      </c>
      <c r="H891" s="34" t="s">
        <v>18</v>
      </c>
      <c r="I891" s="34" t="s">
        <v>21</v>
      </c>
      <c r="J891" s="34">
        <v>1</v>
      </c>
      <c r="K891" s="35">
        <f>AB891/COUNTIFS($B:$B,$B891,$C:$C,$C891,$H:$H,$H891,$I:$I,$I891)</f>
        <v>0.05</v>
      </c>
      <c r="L891" s="36">
        <f t="shared" si="53"/>
        <v>1</v>
      </c>
      <c r="M891" s="37">
        <f t="shared" si="56"/>
        <v>0.05</v>
      </c>
      <c r="N891" s="58"/>
      <c r="AA891" s="146">
        <f>AB891/COUNTIFS($B:$B,$B891,$C:$C,$C891,$H:$H,$H891,$I:$I,$I891)</f>
        <v>0.05</v>
      </c>
      <c r="AB891" s="108">
        <f>VLOOKUP(I891,'Weights and Confidence'!$D$16:$AC$26,7,FALSE)</f>
        <v>0.05</v>
      </c>
      <c r="AC891" s="147">
        <f>VLOOKUP(I891,'Weights and Confidence'!$D$16:$AC$26,8,FALSE)</f>
        <v>1</v>
      </c>
    </row>
    <row r="892" spans="1:29" x14ac:dyDescent="0.2">
      <c r="A892" s="38" t="s">
        <v>185</v>
      </c>
      <c r="B892" s="38" t="s">
        <v>86</v>
      </c>
      <c r="C892" s="38" t="s">
        <v>59</v>
      </c>
      <c r="D892" s="38" t="s">
        <v>5</v>
      </c>
      <c r="E892" s="38" t="s">
        <v>103</v>
      </c>
      <c r="F892" s="51" t="s">
        <v>60</v>
      </c>
      <c r="G892" s="38">
        <v>4</v>
      </c>
      <c r="H892" s="38" t="s">
        <v>17</v>
      </c>
      <c r="I892" s="38" t="s">
        <v>22</v>
      </c>
      <c r="J892" s="38">
        <v>1</v>
      </c>
      <c r="K892" s="39">
        <f>AB892/COUNTIFS($B:$B,$B892,$C:$C,$C892,$H:$H,$H892,$I:$I,$I892)</f>
        <v>0.14000000000000001</v>
      </c>
      <c r="L892" s="40">
        <f t="shared" si="53"/>
        <v>1</v>
      </c>
      <c r="M892" s="41">
        <f t="shared" si="56"/>
        <v>0.14000000000000001</v>
      </c>
      <c r="N892" s="38"/>
      <c r="AA892" s="146">
        <f>AB892/COUNTIFS($B:$B,$B892,$C:$C,$C892,$H:$H,$H892,$I:$I,$I892)</f>
        <v>0.14000000000000001</v>
      </c>
      <c r="AB892" s="108">
        <f>VLOOKUP(I892,'Weights and Confidence'!$D$16:$AC$26,7,FALSE)</f>
        <v>0.14000000000000001</v>
      </c>
      <c r="AC892" s="147">
        <f>VLOOKUP(I892,'Weights and Confidence'!$D$16:$AC$26,8,FALSE)</f>
        <v>1</v>
      </c>
    </row>
    <row r="893" spans="1:29" x14ac:dyDescent="0.2">
      <c r="A893" s="34" t="s">
        <v>185</v>
      </c>
      <c r="B893" s="34" t="s">
        <v>86</v>
      </c>
      <c r="C893" s="34" t="s">
        <v>59</v>
      </c>
      <c r="D893" s="34" t="s">
        <v>5</v>
      </c>
      <c r="E893" s="34" t="s">
        <v>103</v>
      </c>
      <c r="F893" s="50" t="s">
        <v>60</v>
      </c>
      <c r="G893" s="34">
        <v>4</v>
      </c>
      <c r="H893" s="34" t="s">
        <v>18</v>
      </c>
      <c r="I893" s="34" t="s">
        <v>22</v>
      </c>
      <c r="J893" s="34">
        <v>1</v>
      </c>
      <c r="K893" s="35">
        <f>AB893/COUNTIFS($B:$B,$B893,$C:$C,$C893,$H:$H,$H893,$I:$I,$I893)</f>
        <v>0.14000000000000001</v>
      </c>
      <c r="L893" s="36">
        <f t="shared" si="53"/>
        <v>1</v>
      </c>
      <c r="M893" s="37">
        <f t="shared" si="56"/>
        <v>0.14000000000000001</v>
      </c>
      <c r="N893" s="58" t="s">
        <v>267</v>
      </c>
      <c r="AA893" s="146">
        <f>AB893/COUNTIFS($B:$B,$B893,$C:$C,$C893,$H:$H,$H893,$I:$I,$I893)</f>
        <v>0.14000000000000001</v>
      </c>
      <c r="AB893" s="108">
        <f>VLOOKUP(I893,'Weights and Confidence'!$D$16:$AC$26,7,FALSE)</f>
        <v>0.14000000000000001</v>
      </c>
      <c r="AC893" s="147">
        <f>VLOOKUP(I893,'Weights and Confidence'!$D$16:$AC$26,8,FALSE)</f>
        <v>1</v>
      </c>
    </row>
    <row r="894" spans="1:29" x14ac:dyDescent="0.2">
      <c r="A894" s="38" t="s">
        <v>185</v>
      </c>
      <c r="B894" s="38" t="s">
        <v>86</v>
      </c>
      <c r="C894" s="38" t="s">
        <v>59</v>
      </c>
      <c r="D894" s="38" t="s">
        <v>5</v>
      </c>
      <c r="E894" s="38" t="s">
        <v>103</v>
      </c>
      <c r="F894" s="51" t="s">
        <v>60</v>
      </c>
      <c r="G894" s="38">
        <v>5</v>
      </c>
      <c r="H894" s="38" t="s">
        <v>17</v>
      </c>
      <c r="I894" s="38" t="s">
        <v>23</v>
      </c>
      <c r="J894" s="38">
        <v>1</v>
      </c>
      <c r="K894" s="39">
        <f>AB894/COUNTIFS($B:$B,$B894,$C:$C,$C894,$H:$H,$H894,$I:$I,$I894)</f>
        <v>0.11</v>
      </c>
      <c r="L894" s="40">
        <f t="shared" si="53"/>
        <v>1</v>
      </c>
      <c r="M894" s="41">
        <f t="shared" si="56"/>
        <v>0.11</v>
      </c>
      <c r="N894" s="38"/>
      <c r="AA894" s="146">
        <f>AB894/COUNTIFS($B:$B,$B894,$C:$C,$C894,$H:$H,$H894,$I:$I,$I894)</f>
        <v>0.11</v>
      </c>
      <c r="AB894" s="108">
        <f>VLOOKUP(I894,'Weights and Confidence'!$D$16:$AC$26,7,FALSE)</f>
        <v>0.11</v>
      </c>
      <c r="AC894" s="147">
        <f>VLOOKUP(I894,'Weights and Confidence'!$D$16:$AC$26,8,FALSE)</f>
        <v>1</v>
      </c>
    </row>
    <row r="895" spans="1:29" x14ac:dyDescent="0.2">
      <c r="A895" s="34" t="s">
        <v>185</v>
      </c>
      <c r="B895" s="34" t="s">
        <v>86</v>
      </c>
      <c r="C895" s="34" t="s">
        <v>59</v>
      </c>
      <c r="D895" s="34" t="s">
        <v>5</v>
      </c>
      <c r="E895" s="34" t="s">
        <v>103</v>
      </c>
      <c r="F895" s="50" t="s">
        <v>60</v>
      </c>
      <c r="G895" s="34">
        <v>5</v>
      </c>
      <c r="H895" s="34" t="s">
        <v>18</v>
      </c>
      <c r="I895" s="34" t="s">
        <v>23</v>
      </c>
      <c r="J895" s="34">
        <v>1</v>
      </c>
      <c r="K895" s="35">
        <f>AB895/COUNTIFS($B:$B,$B895,$C:$C,$C895,$H:$H,$H895,$I:$I,$I895)</f>
        <v>0.11</v>
      </c>
      <c r="L895" s="36">
        <f t="shared" si="53"/>
        <v>1</v>
      </c>
      <c r="M895" s="37">
        <f t="shared" si="56"/>
        <v>0.11</v>
      </c>
      <c r="N895" s="58" t="s">
        <v>268</v>
      </c>
      <c r="AA895" s="146">
        <f>AB895/COUNTIFS($B:$B,$B895,$C:$C,$C895,$H:$H,$H895,$I:$I,$I895)</f>
        <v>0.11</v>
      </c>
      <c r="AB895" s="108">
        <f>VLOOKUP(I895,'Weights and Confidence'!$D$16:$AC$26,7,FALSE)</f>
        <v>0.11</v>
      </c>
      <c r="AC895" s="147">
        <f>VLOOKUP(I895,'Weights and Confidence'!$D$16:$AC$26,8,FALSE)</f>
        <v>1</v>
      </c>
    </row>
    <row r="896" spans="1:29" x14ac:dyDescent="0.2">
      <c r="A896" s="38" t="s">
        <v>185</v>
      </c>
      <c r="B896" s="38" t="s">
        <v>86</v>
      </c>
      <c r="C896" s="38" t="s">
        <v>59</v>
      </c>
      <c r="D896" s="38" t="s">
        <v>5</v>
      </c>
      <c r="E896" s="38" t="s">
        <v>103</v>
      </c>
      <c r="F896" s="51" t="s">
        <v>60</v>
      </c>
      <c r="G896" s="38">
        <v>6</v>
      </c>
      <c r="H896" s="38" t="s">
        <v>17</v>
      </c>
      <c r="I896" s="38" t="s">
        <v>24</v>
      </c>
      <c r="J896" s="38">
        <v>1</v>
      </c>
      <c r="K896" s="39">
        <f>AB896/COUNTIFS($B:$B,$B896,$C:$C,$C896,$H:$H,$H896,$I:$I,$I896)</f>
        <v>0.15</v>
      </c>
      <c r="L896" s="40">
        <f t="shared" si="53"/>
        <v>1</v>
      </c>
      <c r="M896" s="41">
        <f t="shared" si="56"/>
        <v>0.15</v>
      </c>
      <c r="N896" s="59"/>
      <c r="AA896" s="146">
        <f>AB896/COUNTIFS($B:$B,$B896,$C:$C,$C896,$H:$H,$H896,$I:$I,$I896)</f>
        <v>0.15</v>
      </c>
      <c r="AB896" s="108">
        <f>VLOOKUP(I896,'Weights and Confidence'!$D$16:$AC$26,7,FALSE)</f>
        <v>0.15</v>
      </c>
      <c r="AC896" s="147">
        <f>VLOOKUP(I896,'Weights and Confidence'!$D$16:$AC$26,8,FALSE)</f>
        <v>1</v>
      </c>
    </row>
    <row r="897" spans="1:29" x14ac:dyDescent="0.2">
      <c r="A897" s="34" t="s">
        <v>185</v>
      </c>
      <c r="B897" s="34" t="s">
        <v>86</v>
      </c>
      <c r="C897" s="34" t="s">
        <v>59</v>
      </c>
      <c r="D897" s="34" t="s">
        <v>5</v>
      </c>
      <c r="E897" s="34" t="s">
        <v>103</v>
      </c>
      <c r="F897" s="50" t="s">
        <v>60</v>
      </c>
      <c r="G897" s="34">
        <v>6</v>
      </c>
      <c r="H897" s="34" t="s">
        <v>18</v>
      </c>
      <c r="I897" s="34" t="s">
        <v>24</v>
      </c>
      <c r="J897" s="34">
        <v>1</v>
      </c>
      <c r="K897" s="35">
        <f>AB897/COUNTIFS($B:$B,$B897,$C:$C,$C897,$H:$H,$H897,$I:$I,$I897)</f>
        <v>0.15</v>
      </c>
      <c r="L897" s="36">
        <f t="shared" si="53"/>
        <v>1</v>
      </c>
      <c r="M897" s="37">
        <f t="shared" si="56"/>
        <v>0.15</v>
      </c>
      <c r="N897" s="58"/>
      <c r="AA897" s="146">
        <f>AB897/COUNTIFS($B:$B,$B897,$C:$C,$C897,$H:$H,$H897,$I:$I,$I897)</f>
        <v>0.15</v>
      </c>
      <c r="AB897" s="108">
        <f>VLOOKUP(I897,'Weights and Confidence'!$D$16:$AC$26,7,FALSE)</f>
        <v>0.15</v>
      </c>
      <c r="AC897" s="147">
        <f>VLOOKUP(I897,'Weights and Confidence'!$D$16:$AC$26,8,FALSE)</f>
        <v>1</v>
      </c>
    </row>
    <row r="898" spans="1:29" x14ac:dyDescent="0.2">
      <c r="A898" s="38" t="s">
        <v>185</v>
      </c>
      <c r="B898" s="38" t="s">
        <v>86</v>
      </c>
      <c r="C898" s="38" t="s">
        <v>59</v>
      </c>
      <c r="D898" s="38" t="s">
        <v>5</v>
      </c>
      <c r="E898" s="38" t="s">
        <v>103</v>
      </c>
      <c r="F898" s="51" t="s">
        <v>60</v>
      </c>
      <c r="G898" s="38">
        <v>7</v>
      </c>
      <c r="H898" s="38" t="s">
        <v>17</v>
      </c>
      <c r="I898" s="38" t="s">
        <v>25</v>
      </c>
      <c r="J898" s="38">
        <v>1</v>
      </c>
      <c r="K898" s="39">
        <f>AB898/COUNTIFS($B:$B,$B898,$C:$C,$C898,$H:$H,$H898,$I:$I,$I898)</f>
        <v>0.1</v>
      </c>
      <c r="L898" s="40">
        <f t="shared" si="53"/>
        <v>1</v>
      </c>
      <c r="M898" s="41">
        <f t="shared" si="56"/>
        <v>0.1</v>
      </c>
      <c r="N898" s="38"/>
      <c r="AA898" s="146">
        <f>AB898/COUNTIFS($B:$B,$B898,$C:$C,$C898,$H:$H,$H898,$I:$I,$I898)</f>
        <v>0.1</v>
      </c>
      <c r="AB898" s="108">
        <f>VLOOKUP(I898,'Weights and Confidence'!$D$16:$AC$26,7,FALSE)</f>
        <v>0.1</v>
      </c>
      <c r="AC898" s="147">
        <f>VLOOKUP(I898,'Weights and Confidence'!$D$16:$AC$26,8,FALSE)</f>
        <v>1</v>
      </c>
    </row>
    <row r="899" spans="1:29" x14ac:dyDescent="0.2">
      <c r="A899" s="34" t="s">
        <v>185</v>
      </c>
      <c r="B899" s="34" t="s">
        <v>86</v>
      </c>
      <c r="C899" s="34" t="s">
        <v>59</v>
      </c>
      <c r="D899" s="34" t="s">
        <v>5</v>
      </c>
      <c r="E899" s="34" t="s">
        <v>103</v>
      </c>
      <c r="F899" s="50" t="s">
        <v>60</v>
      </c>
      <c r="G899" s="34">
        <v>7</v>
      </c>
      <c r="H899" s="34" t="s">
        <v>18</v>
      </c>
      <c r="I899" s="34" t="s">
        <v>25</v>
      </c>
      <c r="J899" s="34">
        <v>1</v>
      </c>
      <c r="K899" s="35">
        <f>AB899/COUNTIFS($B:$B,$B899,$C:$C,$C899,$H:$H,$H899,$I:$I,$I899)</f>
        <v>0.1</v>
      </c>
      <c r="L899" s="36">
        <f t="shared" si="53"/>
        <v>1</v>
      </c>
      <c r="M899" s="37">
        <f t="shared" si="56"/>
        <v>0.1</v>
      </c>
      <c r="N899" s="58"/>
      <c r="AA899" s="146">
        <f>AB899/COUNTIFS($B:$B,$B899,$C:$C,$C899,$H:$H,$H899,$I:$I,$I899)</f>
        <v>0.1</v>
      </c>
      <c r="AB899" s="108">
        <f>VLOOKUP(I899,'Weights and Confidence'!$D$16:$AC$26,7,FALSE)</f>
        <v>0.1</v>
      </c>
      <c r="AC899" s="147">
        <f>VLOOKUP(I899,'Weights and Confidence'!$D$16:$AC$26,8,FALSE)</f>
        <v>1</v>
      </c>
    </row>
    <row r="900" spans="1:29" x14ac:dyDescent="0.2">
      <c r="A900" s="38" t="s">
        <v>185</v>
      </c>
      <c r="B900" s="38" t="s">
        <v>86</v>
      </c>
      <c r="C900" s="38" t="s">
        <v>59</v>
      </c>
      <c r="D900" s="38" t="s">
        <v>5</v>
      </c>
      <c r="E900" s="38" t="s">
        <v>103</v>
      </c>
      <c r="F900" s="51" t="s">
        <v>60</v>
      </c>
      <c r="G900" s="38">
        <v>8</v>
      </c>
      <c r="H900" s="38" t="s">
        <v>17</v>
      </c>
      <c r="I900" s="38" t="s">
        <v>26</v>
      </c>
      <c r="J900" s="38">
        <v>1</v>
      </c>
      <c r="K900" s="39">
        <f>AB900/COUNTIFS($B:$B,$B900,$C:$C,$C900,$H:$H,$H900,$I:$I,$I900)</f>
        <v>0.1</v>
      </c>
      <c r="L900" s="40">
        <f t="shared" si="53"/>
        <v>1</v>
      </c>
      <c r="M900" s="41">
        <f t="shared" si="56"/>
        <v>0.1</v>
      </c>
      <c r="N900" s="38"/>
      <c r="AA900" s="146">
        <f>AB900/COUNTIFS($B:$B,$B900,$C:$C,$C900,$H:$H,$H900,$I:$I,$I900)</f>
        <v>0.1</v>
      </c>
      <c r="AB900" s="108">
        <f>VLOOKUP(I900,'Weights and Confidence'!$D$16:$AC$26,7,FALSE)</f>
        <v>0.1</v>
      </c>
      <c r="AC900" s="147">
        <f>VLOOKUP(I900,'Weights and Confidence'!$D$16:$AC$26,8,FALSE)</f>
        <v>1</v>
      </c>
    </row>
    <row r="901" spans="1:29" x14ac:dyDescent="0.2">
      <c r="A901" s="34" t="s">
        <v>185</v>
      </c>
      <c r="B901" s="34" t="s">
        <v>86</v>
      </c>
      <c r="C901" s="34" t="s">
        <v>59</v>
      </c>
      <c r="D901" s="34" t="s">
        <v>5</v>
      </c>
      <c r="E901" s="34" t="s">
        <v>103</v>
      </c>
      <c r="F901" s="50" t="s">
        <v>60</v>
      </c>
      <c r="G901" s="34">
        <v>8</v>
      </c>
      <c r="H901" s="34" t="s">
        <v>18</v>
      </c>
      <c r="I901" s="34" t="s">
        <v>26</v>
      </c>
      <c r="J901" s="34">
        <v>1</v>
      </c>
      <c r="K901" s="35">
        <f>AB901/COUNTIFS($B:$B,$B901,$C:$C,$C901,$H:$H,$H901,$I:$I,$I901)</f>
        <v>0.1</v>
      </c>
      <c r="L901" s="36">
        <f t="shared" si="53"/>
        <v>1</v>
      </c>
      <c r="M901" s="37">
        <f t="shared" si="56"/>
        <v>0.1</v>
      </c>
      <c r="N901" s="58"/>
      <c r="AA901" s="146">
        <f>AB901/COUNTIFS($B:$B,$B901,$C:$C,$C901,$H:$H,$H901,$I:$I,$I901)</f>
        <v>0.1</v>
      </c>
      <c r="AB901" s="108">
        <f>VLOOKUP(I901,'Weights and Confidence'!$D$16:$AC$26,7,FALSE)</f>
        <v>0.1</v>
      </c>
      <c r="AC901" s="147">
        <f>VLOOKUP(I901,'Weights and Confidence'!$D$16:$AC$26,8,FALSE)</f>
        <v>1</v>
      </c>
    </row>
    <row r="902" spans="1:29" x14ac:dyDescent="0.2">
      <c r="A902" s="38" t="s">
        <v>185</v>
      </c>
      <c r="B902" s="38" t="s">
        <v>86</v>
      </c>
      <c r="C902" s="38" t="s">
        <v>59</v>
      </c>
      <c r="D902" s="38" t="s">
        <v>5</v>
      </c>
      <c r="E902" s="38" t="s">
        <v>103</v>
      </c>
      <c r="F902" s="51" t="s">
        <v>60</v>
      </c>
      <c r="G902" s="38">
        <v>9</v>
      </c>
      <c r="H902" s="38" t="s">
        <v>17</v>
      </c>
      <c r="I902" s="38" t="s">
        <v>27</v>
      </c>
      <c r="J902" s="38">
        <v>0</v>
      </c>
      <c r="K902" s="39">
        <f>AB902/COUNTIFS($B:$B,$B902,$C:$C,$C902,$H:$H,$H902,$I:$I,$I902)</f>
        <v>0.05</v>
      </c>
      <c r="L902" s="40">
        <f t="shared" ref="L902:L965" si="57">AC902</f>
        <v>0.85</v>
      </c>
      <c r="M902" s="41">
        <f t="shared" si="56"/>
        <v>0</v>
      </c>
      <c r="N902" s="38"/>
      <c r="AA902" s="146">
        <f>AB902/COUNTIFS($B:$B,$B902,$C:$C,$C902,$H:$H,$H902,$I:$I,$I902)</f>
        <v>0.05</v>
      </c>
      <c r="AB902" s="108">
        <f>VLOOKUP(I902,'Weights and Confidence'!$D$16:$AC$26,7,FALSE)</f>
        <v>0.1</v>
      </c>
      <c r="AC902" s="147">
        <f>VLOOKUP(I902,'Weights and Confidence'!$D$16:$AC$26,8,FALSE)</f>
        <v>0.85</v>
      </c>
    </row>
    <row r="903" spans="1:29" x14ac:dyDescent="0.2">
      <c r="A903" s="34" t="s">
        <v>185</v>
      </c>
      <c r="B903" s="34" t="s">
        <v>86</v>
      </c>
      <c r="C903" s="34" t="s">
        <v>59</v>
      </c>
      <c r="D903" s="34" t="s">
        <v>5</v>
      </c>
      <c r="E903" s="34" t="s">
        <v>103</v>
      </c>
      <c r="F903" s="50" t="s">
        <v>60</v>
      </c>
      <c r="G903" s="34">
        <v>9</v>
      </c>
      <c r="H903" s="34" t="s">
        <v>18</v>
      </c>
      <c r="I903" s="34" t="s">
        <v>27</v>
      </c>
      <c r="J903" s="34">
        <v>1</v>
      </c>
      <c r="K903" s="35">
        <f>AB903/COUNTIFS($B:$B,$B903,$C:$C,$C903,$H:$H,$H903,$I:$I,$I903)</f>
        <v>0.05</v>
      </c>
      <c r="L903" s="36">
        <f t="shared" si="57"/>
        <v>0.85</v>
      </c>
      <c r="M903" s="37">
        <f t="shared" si="56"/>
        <v>4.2500000000000003E-2</v>
      </c>
      <c r="N903" s="58"/>
      <c r="AA903" s="146">
        <f>AB903/COUNTIFS($B:$B,$B903,$C:$C,$C903,$H:$H,$H903,$I:$I,$I903)</f>
        <v>0.05</v>
      </c>
      <c r="AB903" s="108">
        <f>VLOOKUP(I903,'Weights and Confidence'!$D$16:$AC$26,7,FALSE)</f>
        <v>0.1</v>
      </c>
      <c r="AC903" s="147">
        <f>VLOOKUP(I903,'Weights and Confidence'!$D$16:$AC$26,8,FALSE)</f>
        <v>0.85</v>
      </c>
    </row>
    <row r="904" spans="1:29" x14ac:dyDescent="0.2">
      <c r="A904" s="38" t="s">
        <v>185</v>
      </c>
      <c r="B904" s="38" t="s">
        <v>86</v>
      </c>
      <c r="C904" s="38" t="s">
        <v>59</v>
      </c>
      <c r="D904" s="38" t="s">
        <v>5</v>
      </c>
      <c r="E904" s="38" t="s">
        <v>103</v>
      </c>
      <c r="F904" s="51" t="s">
        <v>60</v>
      </c>
      <c r="G904" s="38">
        <v>10</v>
      </c>
      <c r="H904" s="38" t="s">
        <v>17</v>
      </c>
      <c r="I904" s="38" t="s">
        <v>27</v>
      </c>
      <c r="J904" s="38">
        <v>0</v>
      </c>
      <c r="K904" s="39">
        <f>AB904/COUNTIFS($B:$B,$B904,$C:$C,$C904,$H:$H,$H904,$I:$I,$I904)</f>
        <v>0.05</v>
      </c>
      <c r="L904" s="40">
        <f t="shared" si="57"/>
        <v>0.85</v>
      </c>
      <c r="M904" s="41">
        <f t="shared" si="56"/>
        <v>0</v>
      </c>
      <c r="N904" s="38"/>
      <c r="AA904" s="146">
        <f>AB904/COUNTIFS($B:$B,$B904,$C:$C,$C904,$H:$H,$H904,$I:$I,$I904)</f>
        <v>0.05</v>
      </c>
      <c r="AB904" s="108">
        <f>VLOOKUP(I904,'Weights and Confidence'!$D$16:$AC$26,7,FALSE)</f>
        <v>0.1</v>
      </c>
      <c r="AC904" s="147">
        <f>VLOOKUP(I904,'Weights and Confidence'!$D$16:$AC$26,8,FALSE)</f>
        <v>0.85</v>
      </c>
    </row>
    <row r="905" spans="1:29" x14ac:dyDescent="0.2">
      <c r="A905" s="34" t="s">
        <v>185</v>
      </c>
      <c r="B905" s="34" t="s">
        <v>86</v>
      </c>
      <c r="C905" s="34" t="s">
        <v>59</v>
      </c>
      <c r="D905" s="34" t="s">
        <v>5</v>
      </c>
      <c r="E905" s="34" t="s">
        <v>103</v>
      </c>
      <c r="F905" s="50" t="s">
        <v>60</v>
      </c>
      <c r="G905" s="34">
        <v>10</v>
      </c>
      <c r="H905" s="34" t="s">
        <v>18</v>
      </c>
      <c r="I905" s="34" t="s">
        <v>27</v>
      </c>
      <c r="J905" s="34">
        <v>1</v>
      </c>
      <c r="K905" s="35">
        <f>AB905/COUNTIFS($B:$B,$B905,$C:$C,$C905,$H:$H,$H905,$I:$I,$I905)</f>
        <v>0.05</v>
      </c>
      <c r="L905" s="36">
        <f t="shared" si="57"/>
        <v>0.85</v>
      </c>
      <c r="M905" s="37">
        <f t="shared" si="56"/>
        <v>4.2500000000000003E-2</v>
      </c>
      <c r="N905" s="34"/>
      <c r="AA905" s="146">
        <f>AB905/COUNTIFS($B:$B,$B905,$C:$C,$C905,$H:$H,$H905,$I:$I,$I905)</f>
        <v>0.05</v>
      </c>
      <c r="AB905" s="108">
        <f>VLOOKUP(I905,'Weights and Confidence'!$D$16:$AC$26,7,FALSE)</f>
        <v>0.1</v>
      </c>
      <c r="AC905" s="147">
        <f>VLOOKUP(I905,'Weights and Confidence'!$D$16:$AC$26,8,FALSE)</f>
        <v>0.85</v>
      </c>
    </row>
    <row r="906" spans="1:29" x14ac:dyDescent="0.2">
      <c r="A906" s="38" t="s">
        <v>185</v>
      </c>
      <c r="B906" s="38" t="s">
        <v>86</v>
      </c>
      <c r="C906" s="38" t="s">
        <v>59</v>
      </c>
      <c r="D906" s="38" t="s">
        <v>5</v>
      </c>
      <c r="E906" s="38" t="s">
        <v>103</v>
      </c>
      <c r="F906" s="51" t="s">
        <v>60</v>
      </c>
      <c r="G906" s="38">
        <v>11</v>
      </c>
      <c r="H906" s="38" t="s">
        <v>17</v>
      </c>
      <c r="I906" s="38" t="s">
        <v>28</v>
      </c>
      <c r="J906" s="38">
        <v>1</v>
      </c>
      <c r="K906" s="39">
        <f>AB906/COUNTIFS($B:$B,$B906,$C:$C,$C906,$H:$H,$H906,$I:$I,$I906)</f>
        <v>0.05</v>
      </c>
      <c r="L906" s="40">
        <f t="shared" si="57"/>
        <v>1</v>
      </c>
      <c r="M906" s="41">
        <f t="shared" si="56"/>
        <v>0.05</v>
      </c>
      <c r="N906" s="38"/>
      <c r="AA906" s="146">
        <f>AB906/COUNTIFS($B:$B,$B906,$C:$C,$C906,$H:$H,$H906,$I:$I,$I906)</f>
        <v>0.05</v>
      </c>
      <c r="AB906" s="108">
        <f>VLOOKUP(I906,'Weights and Confidence'!$D$16:$AC$26,7,FALSE)</f>
        <v>0.05</v>
      </c>
      <c r="AC906" s="147">
        <f>VLOOKUP(I906,'Weights and Confidence'!$D$16:$AC$26,8,FALSE)</f>
        <v>1</v>
      </c>
    </row>
    <row r="907" spans="1:29" ht="17" thickBot="1" x14ac:dyDescent="0.25">
      <c r="A907" s="34" t="s">
        <v>185</v>
      </c>
      <c r="B907" s="34" t="s">
        <v>86</v>
      </c>
      <c r="C907" s="34" t="s">
        <v>59</v>
      </c>
      <c r="D907" s="34" t="s">
        <v>5</v>
      </c>
      <c r="E907" s="34" t="s">
        <v>103</v>
      </c>
      <c r="F907" s="50" t="s">
        <v>60</v>
      </c>
      <c r="G907" s="34">
        <v>11</v>
      </c>
      <c r="H907" s="34" t="s">
        <v>18</v>
      </c>
      <c r="I907" s="34" t="s">
        <v>28</v>
      </c>
      <c r="J907" s="34">
        <v>0</v>
      </c>
      <c r="K907" s="35">
        <f>AB907/COUNTIFS($B:$B,$B907,$C:$C,$C907,$H:$H,$H907,$I:$I,$I907)</f>
        <v>0.05</v>
      </c>
      <c r="L907" s="36">
        <f t="shared" si="57"/>
        <v>1</v>
      </c>
      <c r="M907" s="37">
        <f t="shared" si="56"/>
        <v>0</v>
      </c>
      <c r="N907" s="58" t="s">
        <v>269</v>
      </c>
      <c r="AA907" s="140">
        <f>AB907/COUNTIFS($B:$B,$B907,$C:$C,$C907,$H:$H,$H907,$I:$I,$I907)</f>
        <v>0.05</v>
      </c>
      <c r="AB907" s="141">
        <f>VLOOKUP(I907,'Weights and Confidence'!$D$16:$AC$26,7,FALSE)</f>
        <v>0.05</v>
      </c>
      <c r="AC907" s="142">
        <f>VLOOKUP(I907,'Weights and Confidence'!$D$16:$AC$26,8,FALSE)</f>
        <v>1</v>
      </c>
    </row>
    <row r="908" spans="1:29" ht="17" thickTop="1" x14ac:dyDescent="0.2">
      <c r="A908" s="42" t="s">
        <v>185</v>
      </c>
      <c r="B908" s="42" t="s">
        <v>86</v>
      </c>
      <c r="C908" s="42" t="s">
        <v>149</v>
      </c>
      <c r="D908" s="42" t="s">
        <v>5</v>
      </c>
      <c r="E908" s="42"/>
      <c r="F908" s="49" t="s">
        <v>150</v>
      </c>
      <c r="G908" s="42">
        <v>1</v>
      </c>
      <c r="H908" s="42" t="s">
        <v>17</v>
      </c>
      <c r="I908" s="42" t="s">
        <v>19</v>
      </c>
      <c r="J908" s="42">
        <v>1</v>
      </c>
      <c r="K908" s="44">
        <f>AB908/COUNTIFS($B:$B,$B908,$C:$C,$C908,$H:$H,$H908,$I:$I,$I908)</f>
        <v>0.12</v>
      </c>
      <c r="L908" s="45">
        <f t="shared" si="57"/>
        <v>1</v>
      </c>
      <c r="M908" s="46">
        <f t="shared" ref="M908:M929" si="58">J908*K908*L908</f>
        <v>0.12</v>
      </c>
      <c r="N908" s="42"/>
      <c r="AA908" s="146">
        <f>AB908/COUNTIFS($B:$B,$B908,$C:$C,$C908,$H:$H,$H908,$I:$I,$I908)</f>
        <v>0.12</v>
      </c>
      <c r="AB908" s="108">
        <f>VLOOKUP(I908,'Weights and Confidence'!$D$16:$AC$26,7,FALSE)</f>
        <v>0.12</v>
      </c>
      <c r="AC908" s="147">
        <f>VLOOKUP(I908,'Weights and Confidence'!$D$16:$AC$26,8,FALSE)</f>
        <v>1</v>
      </c>
    </row>
    <row r="909" spans="1:29" ht="17" thickBot="1" x14ac:dyDescent="0.25">
      <c r="A909" s="34" t="s">
        <v>185</v>
      </c>
      <c r="B909" s="34" t="s">
        <v>86</v>
      </c>
      <c r="C909" s="34" t="s">
        <v>149</v>
      </c>
      <c r="D909" s="34" t="s">
        <v>5</v>
      </c>
      <c r="E909" s="34"/>
      <c r="F909" s="50" t="s">
        <v>150</v>
      </c>
      <c r="G909" s="34">
        <v>1</v>
      </c>
      <c r="H909" s="34" t="s">
        <v>18</v>
      </c>
      <c r="I909" s="34" t="s">
        <v>19</v>
      </c>
      <c r="J909" s="34">
        <v>1</v>
      </c>
      <c r="K909" s="35">
        <f>AB909/COUNTIFS($B:$B,$B909,$C:$C,$C909,$H:$H,$H909,$I:$I,$I909)</f>
        <v>0.12</v>
      </c>
      <c r="L909" s="36">
        <f t="shared" si="57"/>
        <v>1</v>
      </c>
      <c r="M909" s="37">
        <f t="shared" si="58"/>
        <v>0.12</v>
      </c>
      <c r="N909" s="58" t="s">
        <v>272</v>
      </c>
      <c r="AA909" s="146">
        <f>AB909/COUNTIFS($B:$B,$B909,$C:$C,$C909,$H:$H,$H909,$I:$I,$I909)</f>
        <v>0.12</v>
      </c>
      <c r="AB909" s="108">
        <f>VLOOKUP(I909,'Weights and Confidence'!$D$16:$AC$26,7,FALSE)</f>
        <v>0.12</v>
      </c>
      <c r="AC909" s="147">
        <f>VLOOKUP(I909,'Weights and Confidence'!$D$16:$AC$26,8,FALSE)</f>
        <v>1</v>
      </c>
    </row>
    <row r="910" spans="1:29" x14ac:dyDescent="0.2">
      <c r="A910" s="38" t="s">
        <v>185</v>
      </c>
      <c r="B910" s="38" t="s">
        <v>86</v>
      </c>
      <c r="C910" s="38" t="s">
        <v>149</v>
      </c>
      <c r="D910" s="38" t="s">
        <v>5</v>
      </c>
      <c r="E910" s="38"/>
      <c r="F910" s="51" t="s">
        <v>150</v>
      </c>
      <c r="G910" s="38">
        <v>2</v>
      </c>
      <c r="H910" s="38" t="s">
        <v>17</v>
      </c>
      <c r="I910" s="38" t="s">
        <v>20</v>
      </c>
      <c r="J910" s="38">
        <v>1</v>
      </c>
      <c r="K910" s="39">
        <f>AB910/COUNTIFS($B:$B,$B910,$C:$C,$C910,$H:$H,$H910,$I:$I,$I910)</f>
        <v>0.08</v>
      </c>
      <c r="L910" s="40">
        <f t="shared" si="57"/>
        <v>0.8</v>
      </c>
      <c r="M910" s="41">
        <f t="shared" si="58"/>
        <v>6.4000000000000001E-2</v>
      </c>
      <c r="N910" s="38"/>
      <c r="P910" s="24" t="s">
        <v>278</v>
      </c>
      <c r="Q910" s="10"/>
      <c r="R910" s="10"/>
      <c r="S910" s="10"/>
      <c r="T910" s="10"/>
      <c r="U910" s="10"/>
      <c r="V910" s="10"/>
      <c r="AA910" s="146">
        <f>AB910/COUNTIFS($B:$B,$B910,$C:$C,$C910,$H:$H,$H910,$I:$I,$I910)</f>
        <v>0.08</v>
      </c>
      <c r="AB910" s="108">
        <f>VLOOKUP(I910,'Weights and Confidence'!$D$16:$AC$26,7,FALSE)</f>
        <v>0.08</v>
      </c>
      <c r="AC910" s="147">
        <f>VLOOKUP(I910,'Weights and Confidence'!$D$16:$AC$26,8,FALSE)</f>
        <v>0.8</v>
      </c>
    </row>
    <row r="911" spans="1:29" x14ac:dyDescent="0.2">
      <c r="A911" s="34" t="s">
        <v>185</v>
      </c>
      <c r="B911" s="34" t="s">
        <v>86</v>
      </c>
      <c r="C911" s="34" t="s">
        <v>149</v>
      </c>
      <c r="D911" s="34" t="s">
        <v>5</v>
      </c>
      <c r="E911" s="34"/>
      <c r="F911" s="50" t="s">
        <v>150</v>
      </c>
      <c r="G911" s="34">
        <v>2</v>
      </c>
      <c r="H911" s="34" t="s">
        <v>18</v>
      </c>
      <c r="I911" s="34" t="s">
        <v>20</v>
      </c>
      <c r="J911" s="34">
        <v>1</v>
      </c>
      <c r="K911" s="35">
        <f>AB911/COUNTIFS($B:$B,$B911,$C:$C,$C911,$H:$H,$H911,$I:$I,$I911)</f>
        <v>0.08</v>
      </c>
      <c r="L911" s="36">
        <f t="shared" si="57"/>
        <v>0.8</v>
      </c>
      <c r="M911" s="37">
        <f t="shared" si="58"/>
        <v>6.4000000000000001E-2</v>
      </c>
      <c r="N911" s="58" t="s">
        <v>273</v>
      </c>
      <c r="P911" s="25" t="s">
        <v>279</v>
      </c>
      <c r="AA911" s="146">
        <f>AB911/COUNTIFS($B:$B,$B911,$C:$C,$C911,$H:$H,$H911,$I:$I,$I911)</f>
        <v>0.08</v>
      </c>
      <c r="AB911" s="108">
        <f>VLOOKUP(I911,'Weights and Confidence'!$D$16:$AC$26,7,FALSE)</f>
        <v>0.08</v>
      </c>
      <c r="AC911" s="147">
        <f>VLOOKUP(I911,'Weights and Confidence'!$D$16:$AC$26,8,FALSE)</f>
        <v>0.8</v>
      </c>
    </row>
    <row r="912" spans="1:29" ht="17" thickBot="1" x14ac:dyDescent="0.25">
      <c r="A912" s="38" t="s">
        <v>185</v>
      </c>
      <c r="B912" s="38" t="s">
        <v>86</v>
      </c>
      <c r="C912" s="38" t="s">
        <v>149</v>
      </c>
      <c r="D912" s="38" t="s">
        <v>5</v>
      </c>
      <c r="E912" s="38"/>
      <c r="F912" s="51" t="s">
        <v>150</v>
      </c>
      <c r="G912" s="38">
        <v>3</v>
      </c>
      <c r="H912" s="38" t="s">
        <v>17</v>
      </c>
      <c r="I912" s="38" t="s">
        <v>21</v>
      </c>
      <c r="J912" s="38">
        <v>1</v>
      </c>
      <c r="K912" s="39">
        <f>AB912/COUNTIFS($B:$B,$B912,$C:$C,$C912,$H:$H,$H912,$I:$I,$I912)</f>
        <v>0.05</v>
      </c>
      <c r="L912" s="40">
        <f t="shared" si="57"/>
        <v>1</v>
      </c>
      <c r="M912" s="41">
        <f t="shared" si="58"/>
        <v>0.05</v>
      </c>
      <c r="N912" s="38"/>
      <c r="P912" s="26" t="s">
        <v>280</v>
      </c>
      <c r="Q912" s="2"/>
      <c r="R912" s="2"/>
      <c r="S912" s="2"/>
      <c r="T912" s="2"/>
      <c r="U912" s="2"/>
      <c r="V912" s="2"/>
      <c r="AA912" s="146">
        <f>AB912/COUNTIFS($B:$B,$B912,$C:$C,$C912,$H:$H,$H912,$I:$I,$I912)</f>
        <v>0.05</v>
      </c>
      <c r="AB912" s="108">
        <f>VLOOKUP(I912,'Weights and Confidence'!$D$16:$AC$26,7,FALSE)</f>
        <v>0.05</v>
      </c>
      <c r="AC912" s="147">
        <f>VLOOKUP(I912,'Weights and Confidence'!$D$16:$AC$26,8,FALSE)</f>
        <v>1</v>
      </c>
    </row>
    <row r="913" spans="1:29" x14ac:dyDescent="0.2">
      <c r="A913" s="34" t="s">
        <v>185</v>
      </c>
      <c r="B913" s="34" t="s">
        <v>86</v>
      </c>
      <c r="C913" s="34" t="s">
        <v>149</v>
      </c>
      <c r="D913" s="34" t="s">
        <v>5</v>
      </c>
      <c r="E913" s="34"/>
      <c r="F913" s="50" t="s">
        <v>150</v>
      </c>
      <c r="G913" s="34">
        <v>3</v>
      </c>
      <c r="H913" s="34" t="s">
        <v>18</v>
      </c>
      <c r="I913" s="34" t="s">
        <v>21</v>
      </c>
      <c r="J913" s="34">
        <v>1</v>
      </c>
      <c r="K913" s="35">
        <f>AB913/COUNTIFS($B:$B,$B913,$C:$C,$C913,$H:$H,$H913,$I:$I,$I913)</f>
        <v>0.05</v>
      </c>
      <c r="L913" s="36">
        <f t="shared" si="57"/>
        <v>1</v>
      </c>
      <c r="M913" s="37">
        <f t="shared" si="58"/>
        <v>0.05</v>
      </c>
      <c r="N913" s="58"/>
      <c r="AA913" s="146">
        <f>AB913/COUNTIFS($B:$B,$B913,$C:$C,$C913,$H:$H,$H913,$I:$I,$I913)</f>
        <v>0.05</v>
      </c>
      <c r="AB913" s="108">
        <f>VLOOKUP(I913,'Weights and Confidence'!$D$16:$AC$26,7,FALSE)</f>
        <v>0.05</v>
      </c>
      <c r="AC913" s="147">
        <f>VLOOKUP(I913,'Weights and Confidence'!$D$16:$AC$26,8,FALSE)</f>
        <v>1</v>
      </c>
    </row>
    <row r="914" spans="1:29" x14ac:dyDescent="0.2">
      <c r="A914" s="38" t="s">
        <v>185</v>
      </c>
      <c r="B914" s="38" t="s">
        <v>86</v>
      </c>
      <c r="C914" s="38" t="s">
        <v>149</v>
      </c>
      <c r="D914" s="38" t="s">
        <v>5</v>
      </c>
      <c r="E914" s="38"/>
      <c r="F914" s="51" t="s">
        <v>150</v>
      </c>
      <c r="G914" s="38">
        <v>4</v>
      </c>
      <c r="H914" s="38" t="s">
        <v>17</v>
      </c>
      <c r="I914" s="38" t="s">
        <v>22</v>
      </c>
      <c r="J914" s="38">
        <v>1</v>
      </c>
      <c r="K914" s="39">
        <f>AB914/COUNTIFS($B:$B,$B914,$C:$C,$C914,$H:$H,$H914,$I:$I,$I914)</f>
        <v>0.14000000000000001</v>
      </c>
      <c r="L914" s="40">
        <f t="shared" si="57"/>
        <v>1</v>
      </c>
      <c r="M914" s="41">
        <f t="shared" si="58"/>
        <v>0.14000000000000001</v>
      </c>
      <c r="N914" s="38"/>
      <c r="AA914" s="146">
        <f>AB914/COUNTIFS($B:$B,$B914,$C:$C,$C914,$H:$H,$H914,$I:$I,$I914)</f>
        <v>0.14000000000000001</v>
      </c>
      <c r="AB914" s="108">
        <f>VLOOKUP(I914,'Weights and Confidence'!$D$16:$AC$26,7,FALSE)</f>
        <v>0.14000000000000001</v>
      </c>
      <c r="AC914" s="147">
        <f>VLOOKUP(I914,'Weights and Confidence'!$D$16:$AC$26,8,FALSE)</f>
        <v>1</v>
      </c>
    </row>
    <row r="915" spans="1:29" x14ac:dyDescent="0.2">
      <c r="A915" s="34" t="s">
        <v>185</v>
      </c>
      <c r="B915" s="34" t="s">
        <v>86</v>
      </c>
      <c r="C915" s="34" t="s">
        <v>149</v>
      </c>
      <c r="D915" s="34" t="s">
        <v>5</v>
      </c>
      <c r="E915" s="34"/>
      <c r="F915" s="50" t="s">
        <v>150</v>
      </c>
      <c r="G915" s="34">
        <v>4</v>
      </c>
      <c r="H915" s="34" t="s">
        <v>18</v>
      </c>
      <c r="I915" s="34" t="s">
        <v>22</v>
      </c>
      <c r="J915" s="34">
        <v>1</v>
      </c>
      <c r="K915" s="35">
        <f>AB915/COUNTIFS($B:$B,$B915,$C:$C,$C915,$H:$H,$H915,$I:$I,$I915)</f>
        <v>0.14000000000000001</v>
      </c>
      <c r="L915" s="36">
        <f t="shared" si="57"/>
        <v>1</v>
      </c>
      <c r="M915" s="37">
        <f t="shared" si="58"/>
        <v>0.14000000000000001</v>
      </c>
      <c r="N915" s="58" t="s">
        <v>274</v>
      </c>
      <c r="AA915" s="146">
        <f>AB915/COUNTIFS($B:$B,$B915,$C:$C,$C915,$H:$H,$H915,$I:$I,$I915)</f>
        <v>0.14000000000000001</v>
      </c>
      <c r="AB915" s="108">
        <f>VLOOKUP(I915,'Weights and Confidence'!$D$16:$AC$26,7,FALSE)</f>
        <v>0.14000000000000001</v>
      </c>
      <c r="AC915" s="147">
        <f>VLOOKUP(I915,'Weights and Confidence'!$D$16:$AC$26,8,FALSE)</f>
        <v>1</v>
      </c>
    </row>
    <row r="916" spans="1:29" x14ac:dyDescent="0.2">
      <c r="A916" s="38" t="s">
        <v>185</v>
      </c>
      <c r="B916" s="38" t="s">
        <v>86</v>
      </c>
      <c r="C916" s="38" t="s">
        <v>149</v>
      </c>
      <c r="D916" s="38" t="s">
        <v>5</v>
      </c>
      <c r="E916" s="38"/>
      <c r="F916" s="51" t="s">
        <v>150</v>
      </c>
      <c r="G916" s="38">
        <v>5</v>
      </c>
      <c r="H916" s="38" t="s">
        <v>17</v>
      </c>
      <c r="I916" s="38" t="s">
        <v>23</v>
      </c>
      <c r="J916" s="38">
        <v>1</v>
      </c>
      <c r="K916" s="39">
        <f>AB916/COUNTIFS($B:$B,$B916,$C:$C,$C916,$H:$H,$H916,$I:$I,$I916)</f>
        <v>0.11</v>
      </c>
      <c r="L916" s="40">
        <f t="shared" si="57"/>
        <v>1</v>
      </c>
      <c r="M916" s="41">
        <f t="shared" si="58"/>
        <v>0.11</v>
      </c>
      <c r="N916" s="38"/>
      <c r="AA916" s="146">
        <f>AB916/COUNTIFS($B:$B,$B916,$C:$C,$C916,$H:$H,$H916,$I:$I,$I916)</f>
        <v>0.11</v>
      </c>
      <c r="AB916" s="108">
        <f>VLOOKUP(I916,'Weights and Confidence'!$D$16:$AC$26,7,FALSE)</f>
        <v>0.11</v>
      </c>
      <c r="AC916" s="147">
        <f>VLOOKUP(I916,'Weights and Confidence'!$D$16:$AC$26,8,FALSE)</f>
        <v>1</v>
      </c>
    </row>
    <row r="917" spans="1:29" x14ac:dyDescent="0.2">
      <c r="A917" s="34" t="s">
        <v>185</v>
      </c>
      <c r="B917" s="34" t="s">
        <v>86</v>
      </c>
      <c r="C917" s="34" t="s">
        <v>149</v>
      </c>
      <c r="D917" s="34" t="s">
        <v>5</v>
      </c>
      <c r="E917" s="34"/>
      <c r="F917" s="50" t="s">
        <v>150</v>
      </c>
      <c r="G917" s="34">
        <v>5</v>
      </c>
      <c r="H917" s="34" t="s">
        <v>18</v>
      </c>
      <c r="I917" s="34" t="s">
        <v>23</v>
      </c>
      <c r="J917" s="34">
        <v>1</v>
      </c>
      <c r="K917" s="35">
        <f>AB917/COUNTIFS($B:$B,$B917,$C:$C,$C917,$H:$H,$H917,$I:$I,$I917)</f>
        <v>0.11</v>
      </c>
      <c r="L917" s="36">
        <f t="shared" si="57"/>
        <v>1</v>
      </c>
      <c r="M917" s="37">
        <f t="shared" si="58"/>
        <v>0.11</v>
      </c>
      <c r="N917" s="58" t="s">
        <v>275</v>
      </c>
      <c r="AA917" s="146">
        <f>AB917/COUNTIFS($B:$B,$B917,$C:$C,$C917,$H:$H,$H917,$I:$I,$I917)</f>
        <v>0.11</v>
      </c>
      <c r="AB917" s="108">
        <f>VLOOKUP(I917,'Weights and Confidence'!$D$16:$AC$26,7,FALSE)</f>
        <v>0.11</v>
      </c>
      <c r="AC917" s="147">
        <f>VLOOKUP(I917,'Weights and Confidence'!$D$16:$AC$26,8,FALSE)</f>
        <v>1</v>
      </c>
    </row>
    <row r="918" spans="1:29" x14ac:dyDescent="0.2">
      <c r="A918" s="38" t="s">
        <v>185</v>
      </c>
      <c r="B918" s="38" t="s">
        <v>86</v>
      </c>
      <c r="C918" s="38" t="s">
        <v>149</v>
      </c>
      <c r="D918" s="38" t="s">
        <v>5</v>
      </c>
      <c r="E918" s="38"/>
      <c r="F918" s="51" t="s">
        <v>150</v>
      </c>
      <c r="G918" s="38">
        <v>6</v>
      </c>
      <c r="H918" s="38" t="s">
        <v>17</v>
      </c>
      <c r="I918" s="38" t="s">
        <v>24</v>
      </c>
      <c r="J918" s="38">
        <v>0</v>
      </c>
      <c r="K918" s="39">
        <f>AB918/COUNTIFS($B:$B,$B918,$C:$C,$C918,$H:$H,$H918,$I:$I,$I918)</f>
        <v>0.15</v>
      </c>
      <c r="L918" s="40">
        <f t="shared" si="57"/>
        <v>1</v>
      </c>
      <c r="M918" s="41">
        <f t="shared" si="58"/>
        <v>0</v>
      </c>
      <c r="N918" s="59"/>
      <c r="AA918" s="146">
        <f>AB918/COUNTIFS($B:$B,$B918,$C:$C,$C918,$H:$H,$H918,$I:$I,$I918)</f>
        <v>0.15</v>
      </c>
      <c r="AB918" s="108">
        <f>VLOOKUP(I918,'Weights and Confidence'!$D$16:$AC$26,7,FALSE)</f>
        <v>0.15</v>
      </c>
      <c r="AC918" s="147">
        <f>VLOOKUP(I918,'Weights and Confidence'!$D$16:$AC$26,8,FALSE)</f>
        <v>1</v>
      </c>
    </row>
    <row r="919" spans="1:29" x14ac:dyDescent="0.2">
      <c r="A919" s="34" t="s">
        <v>185</v>
      </c>
      <c r="B919" s="34" t="s">
        <v>86</v>
      </c>
      <c r="C919" s="34" t="s">
        <v>149</v>
      </c>
      <c r="D919" s="34" t="s">
        <v>5</v>
      </c>
      <c r="E919" s="34"/>
      <c r="F919" s="50" t="s">
        <v>150</v>
      </c>
      <c r="G919" s="34">
        <v>6</v>
      </c>
      <c r="H919" s="34" t="s">
        <v>18</v>
      </c>
      <c r="I919" s="34" t="s">
        <v>24</v>
      </c>
      <c r="J919" s="34">
        <v>1</v>
      </c>
      <c r="K919" s="35">
        <f>AB919/COUNTIFS($B:$B,$B919,$C:$C,$C919,$H:$H,$H919,$I:$I,$I919)</f>
        <v>0.15</v>
      </c>
      <c r="L919" s="36">
        <f t="shared" si="57"/>
        <v>1</v>
      </c>
      <c r="M919" s="37">
        <f t="shared" si="58"/>
        <v>0.15</v>
      </c>
      <c r="N919" s="58"/>
      <c r="AA919" s="146">
        <f>AB919/COUNTIFS($B:$B,$B919,$C:$C,$C919,$H:$H,$H919,$I:$I,$I919)</f>
        <v>0.15</v>
      </c>
      <c r="AB919" s="108">
        <f>VLOOKUP(I919,'Weights and Confidence'!$D$16:$AC$26,7,FALSE)</f>
        <v>0.15</v>
      </c>
      <c r="AC919" s="147">
        <f>VLOOKUP(I919,'Weights and Confidence'!$D$16:$AC$26,8,FALSE)</f>
        <v>1</v>
      </c>
    </row>
    <row r="920" spans="1:29" x14ac:dyDescent="0.2">
      <c r="A920" s="38" t="s">
        <v>185</v>
      </c>
      <c r="B920" s="38" t="s">
        <v>86</v>
      </c>
      <c r="C920" s="38" t="s">
        <v>149</v>
      </c>
      <c r="D920" s="38" t="s">
        <v>5</v>
      </c>
      <c r="E920" s="38"/>
      <c r="F920" s="51" t="s">
        <v>150</v>
      </c>
      <c r="G920" s="38">
        <v>7</v>
      </c>
      <c r="H920" s="38" t="s">
        <v>17</v>
      </c>
      <c r="I920" s="38" t="s">
        <v>25</v>
      </c>
      <c r="J920" s="38">
        <v>0</v>
      </c>
      <c r="K920" s="39">
        <f>AB920/COUNTIFS($B:$B,$B920,$C:$C,$C920,$H:$H,$H920,$I:$I,$I920)</f>
        <v>0.1</v>
      </c>
      <c r="L920" s="40">
        <f t="shared" si="57"/>
        <v>1</v>
      </c>
      <c r="M920" s="41">
        <f t="shared" si="58"/>
        <v>0</v>
      </c>
      <c r="N920" s="38"/>
      <c r="AA920" s="146">
        <f>AB920/COUNTIFS($B:$B,$B920,$C:$C,$C920,$H:$H,$H920,$I:$I,$I920)</f>
        <v>0.1</v>
      </c>
      <c r="AB920" s="108">
        <f>VLOOKUP(I920,'Weights and Confidence'!$D$16:$AC$26,7,FALSE)</f>
        <v>0.1</v>
      </c>
      <c r="AC920" s="147">
        <f>VLOOKUP(I920,'Weights and Confidence'!$D$16:$AC$26,8,FALSE)</f>
        <v>1</v>
      </c>
    </row>
    <row r="921" spans="1:29" x14ac:dyDescent="0.2">
      <c r="A921" s="34" t="s">
        <v>185</v>
      </c>
      <c r="B921" s="34" t="s">
        <v>86</v>
      </c>
      <c r="C921" s="34" t="s">
        <v>149</v>
      </c>
      <c r="D921" s="34" t="s">
        <v>5</v>
      </c>
      <c r="E921" s="34"/>
      <c r="F921" s="50" t="s">
        <v>150</v>
      </c>
      <c r="G921" s="34">
        <v>7</v>
      </c>
      <c r="H921" s="34" t="s">
        <v>18</v>
      </c>
      <c r="I921" s="34" t="s">
        <v>25</v>
      </c>
      <c r="J921" s="34">
        <v>1</v>
      </c>
      <c r="K921" s="35">
        <f>AB921/COUNTIFS($B:$B,$B921,$C:$C,$C921,$H:$H,$H921,$I:$I,$I921)</f>
        <v>0.1</v>
      </c>
      <c r="L921" s="36">
        <f t="shared" si="57"/>
        <v>1</v>
      </c>
      <c r="M921" s="37">
        <f t="shared" si="58"/>
        <v>0.1</v>
      </c>
      <c r="N921" s="58"/>
      <c r="AA921" s="146">
        <f>AB921/COUNTIFS($B:$B,$B921,$C:$C,$C921,$H:$H,$H921,$I:$I,$I921)</f>
        <v>0.1</v>
      </c>
      <c r="AB921" s="108">
        <f>VLOOKUP(I921,'Weights and Confidence'!$D$16:$AC$26,7,FALSE)</f>
        <v>0.1</v>
      </c>
      <c r="AC921" s="147">
        <f>VLOOKUP(I921,'Weights and Confidence'!$D$16:$AC$26,8,FALSE)</f>
        <v>1</v>
      </c>
    </row>
    <row r="922" spans="1:29" x14ac:dyDescent="0.2">
      <c r="A922" s="38" t="s">
        <v>185</v>
      </c>
      <c r="B922" s="38" t="s">
        <v>86</v>
      </c>
      <c r="C922" s="38" t="s">
        <v>149</v>
      </c>
      <c r="D922" s="38" t="s">
        <v>5</v>
      </c>
      <c r="E922" s="38"/>
      <c r="F922" s="51" t="s">
        <v>150</v>
      </c>
      <c r="G922" s="38">
        <v>8</v>
      </c>
      <c r="H922" s="38" t="s">
        <v>17</v>
      </c>
      <c r="I922" s="38" t="s">
        <v>26</v>
      </c>
      <c r="J922" s="38">
        <v>0</v>
      </c>
      <c r="K922" s="39">
        <f>AB922/COUNTIFS($B:$B,$B922,$C:$C,$C922,$H:$H,$H922,$I:$I,$I922)</f>
        <v>0.1</v>
      </c>
      <c r="L922" s="40">
        <f t="shared" si="57"/>
        <v>1</v>
      </c>
      <c r="M922" s="41">
        <f t="shared" si="58"/>
        <v>0</v>
      </c>
      <c r="N922" s="38"/>
      <c r="AA922" s="146">
        <f>AB922/COUNTIFS($B:$B,$B922,$C:$C,$C922,$H:$H,$H922,$I:$I,$I922)</f>
        <v>0.1</v>
      </c>
      <c r="AB922" s="108">
        <f>VLOOKUP(I922,'Weights and Confidence'!$D$16:$AC$26,7,FALSE)</f>
        <v>0.1</v>
      </c>
      <c r="AC922" s="147">
        <f>VLOOKUP(I922,'Weights and Confidence'!$D$16:$AC$26,8,FALSE)</f>
        <v>1</v>
      </c>
    </row>
    <row r="923" spans="1:29" x14ac:dyDescent="0.2">
      <c r="A923" s="34" t="s">
        <v>185</v>
      </c>
      <c r="B923" s="34" t="s">
        <v>86</v>
      </c>
      <c r="C923" s="34" t="s">
        <v>149</v>
      </c>
      <c r="D923" s="34" t="s">
        <v>5</v>
      </c>
      <c r="E923" s="34"/>
      <c r="F923" s="50" t="s">
        <v>150</v>
      </c>
      <c r="G923" s="34">
        <v>8</v>
      </c>
      <c r="H923" s="34" t="s">
        <v>18</v>
      </c>
      <c r="I923" s="34" t="s">
        <v>26</v>
      </c>
      <c r="J923" s="34">
        <v>1</v>
      </c>
      <c r="K923" s="35">
        <f>AB923/COUNTIFS($B:$B,$B923,$C:$C,$C923,$H:$H,$H923,$I:$I,$I923)</f>
        <v>0.1</v>
      </c>
      <c r="L923" s="36">
        <f t="shared" si="57"/>
        <v>1</v>
      </c>
      <c r="M923" s="37">
        <f t="shared" si="58"/>
        <v>0.1</v>
      </c>
      <c r="N923" s="58" t="s">
        <v>276</v>
      </c>
      <c r="AA923" s="146">
        <f>AB923/COUNTIFS($B:$B,$B923,$C:$C,$C923,$H:$H,$H923,$I:$I,$I923)</f>
        <v>0.1</v>
      </c>
      <c r="AB923" s="108">
        <f>VLOOKUP(I923,'Weights and Confidence'!$D$16:$AC$26,7,FALSE)</f>
        <v>0.1</v>
      </c>
      <c r="AC923" s="147">
        <f>VLOOKUP(I923,'Weights and Confidence'!$D$16:$AC$26,8,FALSE)</f>
        <v>1</v>
      </c>
    </row>
    <row r="924" spans="1:29" x14ac:dyDescent="0.2">
      <c r="A924" s="38" t="s">
        <v>185</v>
      </c>
      <c r="B924" s="38" t="s">
        <v>86</v>
      </c>
      <c r="C924" s="38" t="s">
        <v>149</v>
      </c>
      <c r="D924" s="38" t="s">
        <v>5</v>
      </c>
      <c r="E924" s="38"/>
      <c r="F924" s="51" t="s">
        <v>150</v>
      </c>
      <c r="G924" s="38">
        <v>9</v>
      </c>
      <c r="H924" s="38" t="s">
        <v>17</v>
      </c>
      <c r="I924" s="38" t="s">
        <v>27</v>
      </c>
      <c r="J924" s="38">
        <v>1</v>
      </c>
      <c r="K924" s="39">
        <f>AB924/COUNTIFS($B:$B,$B924,$C:$C,$C924,$H:$H,$H924,$I:$I,$I924)</f>
        <v>0.05</v>
      </c>
      <c r="L924" s="40">
        <f t="shared" si="57"/>
        <v>0.85</v>
      </c>
      <c r="M924" s="41">
        <f t="shared" si="58"/>
        <v>4.2500000000000003E-2</v>
      </c>
      <c r="N924" s="38"/>
      <c r="AA924" s="146">
        <f>AB924/COUNTIFS($B:$B,$B924,$C:$C,$C924,$H:$H,$H924,$I:$I,$I924)</f>
        <v>0.05</v>
      </c>
      <c r="AB924" s="108">
        <f>VLOOKUP(I924,'Weights and Confidence'!$D$16:$AC$26,7,FALSE)</f>
        <v>0.1</v>
      </c>
      <c r="AC924" s="147">
        <f>VLOOKUP(I924,'Weights and Confidence'!$D$16:$AC$26,8,FALSE)</f>
        <v>0.85</v>
      </c>
    </row>
    <row r="925" spans="1:29" x14ac:dyDescent="0.2">
      <c r="A925" s="34" t="s">
        <v>185</v>
      </c>
      <c r="B925" s="34" t="s">
        <v>86</v>
      </c>
      <c r="C925" s="34" t="s">
        <v>149</v>
      </c>
      <c r="D925" s="34" t="s">
        <v>5</v>
      </c>
      <c r="E925" s="34"/>
      <c r="F925" s="50" t="s">
        <v>150</v>
      </c>
      <c r="G925" s="34">
        <v>9</v>
      </c>
      <c r="H925" s="34" t="s">
        <v>18</v>
      </c>
      <c r="I925" s="34" t="s">
        <v>27</v>
      </c>
      <c r="J925" s="34">
        <v>1</v>
      </c>
      <c r="K925" s="35">
        <f>AB925/COUNTIFS($B:$B,$B925,$C:$C,$C925,$H:$H,$H925,$I:$I,$I925)</f>
        <v>0.05</v>
      </c>
      <c r="L925" s="36">
        <f t="shared" si="57"/>
        <v>0.85</v>
      </c>
      <c r="M925" s="37">
        <f t="shared" si="58"/>
        <v>4.2500000000000003E-2</v>
      </c>
      <c r="N925" s="58"/>
      <c r="AA925" s="146">
        <f>AB925/COUNTIFS($B:$B,$B925,$C:$C,$C925,$H:$H,$H925,$I:$I,$I925)</f>
        <v>0.05</v>
      </c>
      <c r="AB925" s="108">
        <f>VLOOKUP(I925,'Weights and Confidence'!$D$16:$AC$26,7,FALSE)</f>
        <v>0.1</v>
      </c>
      <c r="AC925" s="147">
        <f>VLOOKUP(I925,'Weights and Confidence'!$D$16:$AC$26,8,FALSE)</f>
        <v>0.85</v>
      </c>
    </row>
    <row r="926" spans="1:29" x14ac:dyDescent="0.2">
      <c r="A926" s="38" t="s">
        <v>185</v>
      </c>
      <c r="B926" s="38" t="s">
        <v>86</v>
      </c>
      <c r="C926" s="38" t="s">
        <v>149</v>
      </c>
      <c r="D926" s="38" t="s">
        <v>5</v>
      </c>
      <c r="E926" s="38"/>
      <c r="F926" s="51" t="s">
        <v>150</v>
      </c>
      <c r="G926" s="38">
        <v>10</v>
      </c>
      <c r="H926" s="38" t="s">
        <v>17</v>
      </c>
      <c r="I926" s="38" t="s">
        <v>27</v>
      </c>
      <c r="J926" s="38">
        <v>1</v>
      </c>
      <c r="K926" s="39">
        <f>AB926/COUNTIFS($B:$B,$B926,$C:$C,$C926,$H:$H,$H926,$I:$I,$I926)</f>
        <v>0.05</v>
      </c>
      <c r="L926" s="40">
        <f t="shared" si="57"/>
        <v>0.85</v>
      </c>
      <c r="M926" s="41">
        <f t="shared" si="58"/>
        <v>4.2500000000000003E-2</v>
      </c>
      <c r="N926" s="38"/>
      <c r="AA926" s="146">
        <f>AB926/COUNTIFS($B:$B,$B926,$C:$C,$C926,$H:$H,$H926,$I:$I,$I926)</f>
        <v>0.05</v>
      </c>
      <c r="AB926" s="108">
        <f>VLOOKUP(I926,'Weights and Confidence'!$D$16:$AC$26,7,FALSE)</f>
        <v>0.1</v>
      </c>
      <c r="AC926" s="147">
        <f>VLOOKUP(I926,'Weights and Confidence'!$D$16:$AC$26,8,FALSE)</f>
        <v>0.85</v>
      </c>
    </row>
    <row r="927" spans="1:29" x14ac:dyDescent="0.2">
      <c r="A927" s="34" t="s">
        <v>185</v>
      </c>
      <c r="B927" s="34" t="s">
        <v>86</v>
      </c>
      <c r="C927" s="34" t="s">
        <v>149</v>
      </c>
      <c r="D927" s="34" t="s">
        <v>5</v>
      </c>
      <c r="E927" s="34"/>
      <c r="F927" s="50" t="s">
        <v>150</v>
      </c>
      <c r="G927" s="34">
        <v>10</v>
      </c>
      <c r="H927" s="34" t="s">
        <v>18</v>
      </c>
      <c r="I927" s="34" t="s">
        <v>27</v>
      </c>
      <c r="J927" s="34">
        <v>1</v>
      </c>
      <c r="K927" s="35">
        <f>AB927/COUNTIFS($B:$B,$B927,$C:$C,$C927,$H:$H,$H927,$I:$I,$I927)</f>
        <v>0.05</v>
      </c>
      <c r="L927" s="36">
        <f t="shared" si="57"/>
        <v>0.85</v>
      </c>
      <c r="M927" s="37">
        <f t="shared" si="58"/>
        <v>4.2500000000000003E-2</v>
      </c>
      <c r="N927" s="34"/>
      <c r="AA927" s="146">
        <f>AB927/COUNTIFS($B:$B,$B927,$C:$C,$C927,$H:$H,$H927,$I:$I,$I927)</f>
        <v>0.05</v>
      </c>
      <c r="AB927" s="108">
        <f>VLOOKUP(I927,'Weights and Confidence'!$D$16:$AC$26,7,FALSE)</f>
        <v>0.1</v>
      </c>
      <c r="AC927" s="147">
        <f>VLOOKUP(I927,'Weights and Confidence'!$D$16:$AC$26,8,FALSE)</f>
        <v>0.85</v>
      </c>
    </row>
    <row r="928" spans="1:29" x14ac:dyDescent="0.2">
      <c r="A928" s="38" t="s">
        <v>185</v>
      </c>
      <c r="B928" s="38" t="s">
        <v>86</v>
      </c>
      <c r="C928" s="38" t="s">
        <v>149</v>
      </c>
      <c r="D928" s="38" t="s">
        <v>5</v>
      </c>
      <c r="E928" s="38"/>
      <c r="F928" s="51" t="s">
        <v>150</v>
      </c>
      <c r="G928" s="38">
        <v>11</v>
      </c>
      <c r="H928" s="38" t="s">
        <v>17</v>
      </c>
      <c r="I928" s="38" t="s">
        <v>28</v>
      </c>
      <c r="J928" s="38">
        <v>-1</v>
      </c>
      <c r="K928" s="39">
        <f>AB928/COUNTIFS($B:$B,$B928,$C:$C,$C928,$H:$H,$H928,$I:$I,$I928)</f>
        <v>0.05</v>
      </c>
      <c r="L928" s="40">
        <f t="shared" si="57"/>
        <v>1</v>
      </c>
      <c r="M928" s="41">
        <f t="shared" si="58"/>
        <v>-0.05</v>
      </c>
      <c r="N928" s="38"/>
      <c r="AA928" s="146">
        <f>AB928/COUNTIFS($B:$B,$B928,$C:$C,$C928,$H:$H,$H928,$I:$I,$I928)</f>
        <v>0.05</v>
      </c>
      <c r="AB928" s="108">
        <f>VLOOKUP(I928,'Weights and Confidence'!$D$16:$AC$26,7,FALSE)</f>
        <v>0.05</v>
      </c>
      <c r="AC928" s="147">
        <f>VLOOKUP(I928,'Weights and Confidence'!$D$16:$AC$26,8,FALSE)</f>
        <v>1</v>
      </c>
    </row>
    <row r="929" spans="1:29" ht="17" thickBot="1" x14ac:dyDescent="0.25">
      <c r="A929" s="34" t="s">
        <v>185</v>
      </c>
      <c r="B929" s="34" t="s">
        <v>86</v>
      </c>
      <c r="C929" s="34" t="s">
        <v>149</v>
      </c>
      <c r="D929" s="34" t="s">
        <v>5</v>
      </c>
      <c r="E929" s="34"/>
      <c r="F929" s="50" t="s">
        <v>150</v>
      </c>
      <c r="G929" s="34">
        <v>11</v>
      </c>
      <c r="H929" s="34" t="s">
        <v>18</v>
      </c>
      <c r="I929" s="34" t="s">
        <v>28</v>
      </c>
      <c r="J929" s="34">
        <v>0</v>
      </c>
      <c r="K929" s="35">
        <f>AB929/COUNTIFS($B:$B,$B929,$C:$C,$C929,$H:$H,$H929,$I:$I,$I929)</f>
        <v>0.05</v>
      </c>
      <c r="L929" s="36">
        <f t="shared" si="57"/>
        <v>1</v>
      </c>
      <c r="M929" s="37">
        <f t="shared" si="58"/>
        <v>0</v>
      </c>
      <c r="N929" s="58" t="s">
        <v>277</v>
      </c>
      <c r="AA929" s="140">
        <f>AB929/COUNTIFS($B:$B,$B929,$C:$C,$C929,$H:$H,$H929,$I:$I,$I929)</f>
        <v>0.05</v>
      </c>
      <c r="AB929" s="141">
        <f>VLOOKUP(I929,'Weights and Confidence'!$D$16:$AC$26,7,FALSE)</f>
        <v>0.05</v>
      </c>
      <c r="AC929" s="142">
        <f>VLOOKUP(I929,'Weights and Confidence'!$D$16:$AC$26,8,FALSE)</f>
        <v>1</v>
      </c>
    </row>
    <row r="930" spans="1:29" ht="17" thickTop="1" x14ac:dyDescent="0.2">
      <c r="A930" s="42" t="s">
        <v>185</v>
      </c>
      <c r="B930" s="42" t="s">
        <v>86</v>
      </c>
      <c r="C930" s="42" t="s">
        <v>281</v>
      </c>
      <c r="D930" s="42" t="s">
        <v>5</v>
      </c>
      <c r="E930" s="42"/>
      <c r="F930" s="49" t="s">
        <v>282</v>
      </c>
      <c r="G930" s="42">
        <v>1</v>
      </c>
      <c r="H930" s="42" t="s">
        <v>17</v>
      </c>
      <c r="I930" s="42" t="s">
        <v>19</v>
      </c>
      <c r="J930" s="42">
        <v>0</v>
      </c>
      <c r="K930" s="44">
        <f>AB930/COUNTIFS($B:$B,$B930,$C:$C,$C930,$H:$H,$H930,$I:$I,$I930)</f>
        <v>0.12</v>
      </c>
      <c r="L930" s="45">
        <f t="shared" si="57"/>
        <v>1</v>
      </c>
      <c r="M930" s="46">
        <f t="shared" ref="M930:M951" si="59">J930*K930*L930</f>
        <v>0</v>
      </c>
      <c r="N930" s="38"/>
      <c r="AA930" s="146">
        <f>AB930/COUNTIFS($B:$B,$B930,$C:$C,$C930,$H:$H,$H930,$I:$I,$I930)</f>
        <v>0.12</v>
      </c>
      <c r="AB930" s="108">
        <f>VLOOKUP(I930,'Weights and Confidence'!$D$16:$AC$26,7,FALSE)</f>
        <v>0.12</v>
      </c>
      <c r="AC930" s="147">
        <f>VLOOKUP(I930,'Weights and Confidence'!$D$16:$AC$26,8,FALSE)</f>
        <v>1</v>
      </c>
    </row>
    <row r="931" spans="1:29" x14ac:dyDescent="0.2">
      <c r="A931" s="34" t="s">
        <v>185</v>
      </c>
      <c r="B931" s="34" t="s">
        <v>86</v>
      </c>
      <c r="C931" s="34" t="s">
        <v>281</v>
      </c>
      <c r="D931" s="34" t="s">
        <v>5</v>
      </c>
      <c r="E931" s="34"/>
      <c r="F931" s="50" t="s">
        <v>282</v>
      </c>
      <c r="G931" s="34">
        <v>1</v>
      </c>
      <c r="H931" s="34" t="s">
        <v>18</v>
      </c>
      <c r="I931" s="34" t="s">
        <v>19</v>
      </c>
      <c r="J931" s="34">
        <v>1</v>
      </c>
      <c r="K931" s="35">
        <f>AB931/COUNTIFS($B:$B,$B931,$C:$C,$C931,$H:$H,$H931,$I:$I,$I931)</f>
        <v>0.12</v>
      </c>
      <c r="L931" s="36">
        <f t="shared" si="57"/>
        <v>1</v>
      </c>
      <c r="M931" s="37">
        <f t="shared" si="59"/>
        <v>0.12</v>
      </c>
      <c r="N931" s="58" t="s">
        <v>283</v>
      </c>
      <c r="AA931" s="146">
        <f>AB931/COUNTIFS($B:$B,$B931,$C:$C,$C931,$H:$H,$H931,$I:$I,$I931)</f>
        <v>0.12</v>
      </c>
      <c r="AB931" s="108">
        <f>VLOOKUP(I931,'Weights and Confidence'!$D$16:$AC$26,7,FALSE)</f>
        <v>0.12</v>
      </c>
      <c r="AC931" s="147">
        <f>VLOOKUP(I931,'Weights and Confidence'!$D$16:$AC$26,8,FALSE)</f>
        <v>1</v>
      </c>
    </row>
    <row r="932" spans="1:29" x14ac:dyDescent="0.2">
      <c r="A932" s="38" t="s">
        <v>185</v>
      </c>
      <c r="B932" s="38" t="s">
        <v>86</v>
      </c>
      <c r="C932" s="38" t="s">
        <v>281</v>
      </c>
      <c r="D932" s="38" t="s">
        <v>5</v>
      </c>
      <c r="E932" s="38"/>
      <c r="F932" s="51" t="s">
        <v>282</v>
      </c>
      <c r="G932" s="38">
        <v>2</v>
      </c>
      <c r="H932" s="38" t="s">
        <v>17</v>
      </c>
      <c r="I932" s="38" t="s">
        <v>20</v>
      </c>
      <c r="J932" s="38">
        <v>0</v>
      </c>
      <c r="K932" s="39">
        <f>AB932/COUNTIFS($B:$B,$B932,$C:$C,$C932,$H:$H,$H932,$I:$I,$I932)</f>
        <v>0.08</v>
      </c>
      <c r="L932" s="40">
        <f t="shared" si="57"/>
        <v>0.8</v>
      </c>
      <c r="M932" s="41">
        <f t="shared" si="59"/>
        <v>0</v>
      </c>
      <c r="N932" s="38"/>
      <c r="AA932" s="146">
        <f>AB932/COUNTIFS($B:$B,$B932,$C:$C,$C932,$H:$H,$H932,$I:$I,$I932)</f>
        <v>0.08</v>
      </c>
      <c r="AB932" s="108">
        <f>VLOOKUP(I932,'Weights and Confidence'!$D$16:$AC$26,7,FALSE)</f>
        <v>0.08</v>
      </c>
      <c r="AC932" s="147">
        <f>VLOOKUP(I932,'Weights and Confidence'!$D$16:$AC$26,8,FALSE)</f>
        <v>0.8</v>
      </c>
    </row>
    <row r="933" spans="1:29" x14ac:dyDescent="0.2">
      <c r="A933" s="34" t="s">
        <v>185</v>
      </c>
      <c r="B933" s="34" t="s">
        <v>86</v>
      </c>
      <c r="C933" s="34" t="s">
        <v>281</v>
      </c>
      <c r="D933" s="34" t="s">
        <v>5</v>
      </c>
      <c r="E933" s="34"/>
      <c r="F933" s="50" t="s">
        <v>282</v>
      </c>
      <c r="G933" s="34">
        <v>2</v>
      </c>
      <c r="H933" s="34" t="s">
        <v>18</v>
      </c>
      <c r="I933" s="34" t="s">
        <v>20</v>
      </c>
      <c r="J933" s="34">
        <v>1</v>
      </c>
      <c r="K933" s="35">
        <f>AB933/COUNTIFS($B:$B,$B933,$C:$C,$C933,$H:$H,$H933,$I:$I,$I933)</f>
        <v>0.08</v>
      </c>
      <c r="L933" s="36">
        <f t="shared" si="57"/>
        <v>0.8</v>
      </c>
      <c r="M933" s="37">
        <f t="shared" si="59"/>
        <v>6.4000000000000001E-2</v>
      </c>
      <c r="N933" s="58"/>
      <c r="AA933" s="146">
        <f>AB933/COUNTIFS($B:$B,$B933,$C:$C,$C933,$H:$H,$H933,$I:$I,$I933)</f>
        <v>0.08</v>
      </c>
      <c r="AB933" s="108">
        <f>VLOOKUP(I933,'Weights and Confidence'!$D$16:$AC$26,7,FALSE)</f>
        <v>0.08</v>
      </c>
      <c r="AC933" s="147">
        <f>VLOOKUP(I933,'Weights and Confidence'!$D$16:$AC$26,8,FALSE)</f>
        <v>0.8</v>
      </c>
    </row>
    <row r="934" spans="1:29" x14ac:dyDescent="0.2">
      <c r="A934" s="38" t="s">
        <v>185</v>
      </c>
      <c r="B934" s="38" t="s">
        <v>86</v>
      </c>
      <c r="C934" s="38" t="s">
        <v>281</v>
      </c>
      <c r="D934" s="38" t="s">
        <v>5</v>
      </c>
      <c r="E934" s="38"/>
      <c r="F934" s="51" t="s">
        <v>282</v>
      </c>
      <c r="G934" s="38">
        <v>3</v>
      </c>
      <c r="H934" s="38" t="s">
        <v>17</v>
      </c>
      <c r="I934" s="38" t="s">
        <v>21</v>
      </c>
      <c r="J934" s="38">
        <v>1</v>
      </c>
      <c r="K934" s="39">
        <f>AB934/COUNTIFS($B:$B,$B934,$C:$C,$C934,$H:$H,$H934,$I:$I,$I934)</f>
        <v>0.05</v>
      </c>
      <c r="L934" s="40">
        <f t="shared" si="57"/>
        <v>1</v>
      </c>
      <c r="M934" s="41">
        <f t="shared" si="59"/>
        <v>0.05</v>
      </c>
      <c r="N934" s="38"/>
      <c r="AA934" s="146">
        <f>AB934/COUNTIFS($B:$B,$B934,$C:$C,$C934,$H:$H,$H934,$I:$I,$I934)</f>
        <v>0.05</v>
      </c>
      <c r="AB934" s="108">
        <f>VLOOKUP(I934,'Weights and Confidence'!$D$16:$AC$26,7,FALSE)</f>
        <v>0.05</v>
      </c>
      <c r="AC934" s="147">
        <f>VLOOKUP(I934,'Weights and Confidence'!$D$16:$AC$26,8,FALSE)</f>
        <v>1</v>
      </c>
    </row>
    <row r="935" spans="1:29" x14ac:dyDescent="0.2">
      <c r="A935" s="34" t="s">
        <v>185</v>
      </c>
      <c r="B935" s="34" t="s">
        <v>86</v>
      </c>
      <c r="C935" s="34" t="s">
        <v>281</v>
      </c>
      <c r="D935" s="34" t="s">
        <v>5</v>
      </c>
      <c r="E935" s="34"/>
      <c r="F935" s="50" t="s">
        <v>282</v>
      </c>
      <c r="G935" s="34">
        <v>3</v>
      </c>
      <c r="H935" s="34" t="s">
        <v>18</v>
      </c>
      <c r="I935" s="34" t="s">
        <v>21</v>
      </c>
      <c r="J935" s="34">
        <v>1</v>
      </c>
      <c r="K935" s="35">
        <f>AB935/COUNTIFS($B:$B,$B935,$C:$C,$C935,$H:$H,$H935,$I:$I,$I935)</f>
        <v>0.05</v>
      </c>
      <c r="L935" s="36">
        <f t="shared" si="57"/>
        <v>1</v>
      </c>
      <c r="M935" s="37">
        <f t="shared" si="59"/>
        <v>0.05</v>
      </c>
      <c r="N935" s="58"/>
      <c r="AA935" s="146">
        <f>AB935/COUNTIFS($B:$B,$B935,$C:$C,$C935,$H:$H,$H935,$I:$I,$I935)</f>
        <v>0.05</v>
      </c>
      <c r="AB935" s="108">
        <f>VLOOKUP(I935,'Weights and Confidence'!$D$16:$AC$26,7,FALSE)</f>
        <v>0.05</v>
      </c>
      <c r="AC935" s="147">
        <f>VLOOKUP(I935,'Weights and Confidence'!$D$16:$AC$26,8,FALSE)</f>
        <v>1</v>
      </c>
    </row>
    <row r="936" spans="1:29" x14ac:dyDescent="0.2">
      <c r="A936" s="38" t="s">
        <v>185</v>
      </c>
      <c r="B936" s="38" t="s">
        <v>86</v>
      </c>
      <c r="C936" s="38" t="s">
        <v>281</v>
      </c>
      <c r="D936" s="38" t="s">
        <v>5</v>
      </c>
      <c r="E936" s="38"/>
      <c r="F936" s="51" t="s">
        <v>282</v>
      </c>
      <c r="G936" s="38">
        <v>4</v>
      </c>
      <c r="H936" s="38" t="s">
        <v>17</v>
      </c>
      <c r="I936" s="38" t="s">
        <v>22</v>
      </c>
      <c r="J936" s="38">
        <v>0</v>
      </c>
      <c r="K936" s="39">
        <f>AB936/COUNTIFS($B:$B,$B936,$C:$C,$C936,$H:$H,$H936,$I:$I,$I936)</f>
        <v>0.14000000000000001</v>
      </c>
      <c r="L936" s="40">
        <f t="shared" si="57"/>
        <v>1</v>
      </c>
      <c r="M936" s="41">
        <f t="shared" si="59"/>
        <v>0</v>
      </c>
      <c r="N936" s="38"/>
      <c r="AA936" s="146">
        <f>AB936/COUNTIFS($B:$B,$B936,$C:$C,$C936,$H:$H,$H936,$I:$I,$I936)</f>
        <v>0.14000000000000001</v>
      </c>
      <c r="AB936" s="108">
        <f>VLOOKUP(I936,'Weights and Confidence'!$D$16:$AC$26,7,FALSE)</f>
        <v>0.14000000000000001</v>
      </c>
      <c r="AC936" s="147">
        <f>VLOOKUP(I936,'Weights and Confidence'!$D$16:$AC$26,8,FALSE)</f>
        <v>1</v>
      </c>
    </row>
    <row r="937" spans="1:29" x14ac:dyDescent="0.2">
      <c r="A937" s="34" t="s">
        <v>185</v>
      </c>
      <c r="B937" s="34" t="s">
        <v>86</v>
      </c>
      <c r="C937" s="34" t="s">
        <v>281</v>
      </c>
      <c r="D937" s="34" t="s">
        <v>5</v>
      </c>
      <c r="E937" s="34"/>
      <c r="F937" s="50" t="s">
        <v>282</v>
      </c>
      <c r="G937" s="34">
        <v>4</v>
      </c>
      <c r="H937" s="34" t="s">
        <v>18</v>
      </c>
      <c r="I937" s="34" t="s">
        <v>22</v>
      </c>
      <c r="J937" s="34">
        <v>1</v>
      </c>
      <c r="K937" s="35">
        <f>AB937/COUNTIFS($B:$B,$B937,$C:$C,$C937,$H:$H,$H937,$I:$I,$I937)</f>
        <v>0.14000000000000001</v>
      </c>
      <c r="L937" s="36">
        <f t="shared" si="57"/>
        <v>1</v>
      </c>
      <c r="M937" s="37">
        <f t="shared" si="59"/>
        <v>0.14000000000000001</v>
      </c>
      <c r="N937" s="58" t="s">
        <v>284</v>
      </c>
      <c r="AA937" s="146">
        <f>AB937/COUNTIFS($B:$B,$B937,$C:$C,$C937,$H:$H,$H937,$I:$I,$I937)</f>
        <v>0.14000000000000001</v>
      </c>
      <c r="AB937" s="108">
        <f>VLOOKUP(I937,'Weights and Confidence'!$D$16:$AC$26,7,FALSE)</f>
        <v>0.14000000000000001</v>
      </c>
      <c r="AC937" s="147">
        <f>VLOOKUP(I937,'Weights and Confidence'!$D$16:$AC$26,8,FALSE)</f>
        <v>1</v>
      </c>
    </row>
    <row r="938" spans="1:29" x14ac:dyDescent="0.2">
      <c r="A938" s="38" t="s">
        <v>185</v>
      </c>
      <c r="B938" s="38" t="s">
        <v>86</v>
      </c>
      <c r="C938" s="38" t="s">
        <v>281</v>
      </c>
      <c r="D938" s="38" t="s">
        <v>5</v>
      </c>
      <c r="E938" s="38"/>
      <c r="F938" s="51" t="s">
        <v>282</v>
      </c>
      <c r="G938" s="38">
        <v>5</v>
      </c>
      <c r="H938" s="38" t="s">
        <v>17</v>
      </c>
      <c r="I938" s="38" t="s">
        <v>23</v>
      </c>
      <c r="J938" s="38">
        <v>-1</v>
      </c>
      <c r="K938" s="39">
        <f>AB938/COUNTIFS($B:$B,$B938,$C:$C,$C938,$H:$H,$H938,$I:$I,$I938)</f>
        <v>0.11</v>
      </c>
      <c r="L938" s="40">
        <f t="shared" si="57"/>
        <v>1</v>
      </c>
      <c r="M938" s="41">
        <f t="shared" si="59"/>
        <v>-0.11</v>
      </c>
      <c r="N938" s="38"/>
      <c r="AA938" s="146">
        <f>AB938/COUNTIFS($B:$B,$B938,$C:$C,$C938,$H:$H,$H938,$I:$I,$I938)</f>
        <v>0.11</v>
      </c>
      <c r="AB938" s="108">
        <f>VLOOKUP(I938,'Weights and Confidence'!$D$16:$AC$26,7,FALSE)</f>
        <v>0.11</v>
      </c>
      <c r="AC938" s="147">
        <f>VLOOKUP(I938,'Weights and Confidence'!$D$16:$AC$26,8,FALSE)</f>
        <v>1</v>
      </c>
    </row>
    <row r="939" spans="1:29" x14ac:dyDescent="0.2">
      <c r="A939" s="34" t="s">
        <v>185</v>
      </c>
      <c r="B939" s="34" t="s">
        <v>86</v>
      </c>
      <c r="C939" s="34" t="s">
        <v>281</v>
      </c>
      <c r="D939" s="34" t="s">
        <v>5</v>
      </c>
      <c r="E939" s="34"/>
      <c r="F939" s="50" t="s">
        <v>282</v>
      </c>
      <c r="G939" s="34">
        <v>5</v>
      </c>
      <c r="H939" s="34" t="s">
        <v>18</v>
      </c>
      <c r="I939" s="34" t="s">
        <v>23</v>
      </c>
      <c r="J939" s="34">
        <v>0</v>
      </c>
      <c r="K939" s="35">
        <f>AB939/COUNTIFS($B:$B,$B939,$C:$C,$C939,$H:$H,$H939,$I:$I,$I939)</f>
        <v>0.11</v>
      </c>
      <c r="L939" s="36">
        <f t="shared" si="57"/>
        <v>1</v>
      </c>
      <c r="M939" s="37">
        <f t="shared" si="59"/>
        <v>0</v>
      </c>
      <c r="N939" s="58" t="s">
        <v>285</v>
      </c>
      <c r="AA939" s="146">
        <f>AB939/COUNTIFS($B:$B,$B939,$C:$C,$C939,$H:$H,$H939,$I:$I,$I939)</f>
        <v>0.11</v>
      </c>
      <c r="AB939" s="108">
        <f>VLOOKUP(I939,'Weights and Confidence'!$D$16:$AC$26,7,FALSE)</f>
        <v>0.11</v>
      </c>
      <c r="AC939" s="147">
        <f>VLOOKUP(I939,'Weights and Confidence'!$D$16:$AC$26,8,FALSE)</f>
        <v>1</v>
      </c>
    </row>
    <row r="940" spans="1:29" x14ac:dyDescent="0.2">
      <c r="A940" s="38" t="s">
        <v>185</v>
      </c>
      <c r="B940" s="38" t="s">
        <v>86</v>
      </c>
      <c r="C940" s="38" t="s">
        <v>281</v>
      </c>
      <c r="D940" s="38" t="s">
        <v>5</v>
      </c>
      <c r="E940" s="38"/>
      <c r="F940" s="51" t="s">
        <v>282</v>
      </c>
      <c r="G940" s="38">
        <v>6</v>
      </c>
      <c r="H940" s="38" t="s">
        <v>17</v>
      </c>
      <c r="I940" s="38" t="s">
        <v>24</v>
      </c>
      <c r="J940" s="38">
        <v>-1</v>
      </c>
      <c r="K940" s="39">
        <f>AB940/COUNTIFS($B:$B,$B940,$C:$C,$C940,$H:$H,$H940,$I:$I,$I940)</f>
        <v>0.15</v>
      </c>
      <c r="L940" s="40">
        <f t="shared" si="57"/>
        <v>1</v>
      </c>
      <c r="M940" s="41">
        <f t="shared" si="59"/>
        <v>-0.15</v>
      </c>
      <c r="N940" s="59"/>
      <c r="AA940" s="146">
        <f>AB940/COUNTIFS($B:$B,$B940,$C:$C,$C940,$H:$H,$H940,$I:$I,$I940)</f>
        <v>0.15</v>
      </c>
      <c r="AB940" s="108">
        <f>VLOOKUP(I940,'Weights and Confidence'!$D$16:$AC$26,7,FALSE)</f>
        <v>0.15</v>
      </c>
      <c r="AC940" s="147">
        <f>VLOOKUP(I940,'Weights and Confidence'!$D$16:$AC$26,8,FALSE)</f>
        <v>1</v>
      </c>
    </row>
    <row r="941" spans="1:29" x14ac:dyDescent="0.2">
      <c r="A941" s="34" t="s">
        <v>185</v>
      </c>
      <c r="B941" s="34" t="s">
        <v>86</v>
      </c>
      <c r="C941" s="34" t="s">
        <v>281</v>
      </c>
      <c r="D941" s="34" t="s">
        <v>5</v>
      </c>
      <c r="E941" s="34"/>
      <c r="F941" s="50" t="s">
        <v>282</v>
      </c>
      <c r="G941" s="34">
        <v>6</v>
      </c>
      <c r="H941" s="34" t="s">
        <v>18</v>
      </c>
      <c r="I941" s="34" t="s">
        <v>24</v>
      </c>
      <c r="J941" s="34">
        <v>1</v>
      </c>
      <c r="K941" s="35">
        <f>AB941/COUNTIFS($B:$B,$B941,$C:$C,$C941,$H:$H,$H941,$I:$I,$I941)</f>
        <v>0.15</v>
      </c>
      <c r="L941" s="36">
        <f t="shared" si="57"/>
        <v>1</v>
      </c>
      <c r="M941" s="37">
        <f t="shared" si="59"/>
        <v>0.15</v>
      </c>
      <c r="N941" s="58" t="s">
        <v>286</v>
      </c>
      <c r="AA941" s="146">
        <f>AB941/COUNTIFS($B:$B,$B941,$C:$C,$C941,$H:$H,$H941,$I:$I,$I941)</f>
        <v>0.15</v>
      </c>
      <c r="AB941" s="108">
        <f>VLOOKUP(I941,'Weights and Confidence'!$D$16:$AC$26,7,FALSE)</f>
        <v>0.15</v>
      </c>
      <c r="AC941" s="147">
        <f>VLOOKUP(I941,'Weights and Confidence'!$D$16:$AC$26,8,FALSE)</f>
        <v>1</v>
      </c>
    </row>
    <row r="942" spans="1:29" x14ac:dyDescent="0.2">
      <c r="A942" s="38" t="s">
        <v>185</v>
      </c>
      <c r="B942" s="38" t="s">
        <v>86</v>
      </c>
      <c r="C942" s="38" t="s">
        <v>281</v>
      </c>
      <c r="D942" s="38" t="s">
        <v>5</v>
      </c>
      <c r="E942" s="38"/>
      <c r="F942" s="51" t="s">
        <v>282</v>
      </c>
      <c r="G942" s="38">
        <v>7</v>
      </c>
      <c r="H942" s="38" t="s">
        <v>17</v>
      </c>
      <c r="I942" s="38" t="s">
        <v>25</v>
      </c>
      <c r="J942" s="38">
        <v>-1</v>
      </c>
      <c r="K942" s="39">
        <f>AB942/COUNTIFS($B:$B,$B942,$C:$C,$C942,$H:$H,$H942,$I:$I,$I942)</f>
        <v>0.1</v>
      </c>
      <c r="L942" s="40">
        <f t="shared" si="57"/>
        <v>1</v>
      </c>
      <c r="M942" s="41">
        <f t="shared" si="59"/>
        <v>-0.1</v>
      </c>
      <c r="N942" s="38"/>
      <c r="AA942" s="146">
        <f>AB942/COUNTIFS($B:$B,$B942,$C:$C,$C942,$H:$H,$H942,$I:$I,$I942)</f>
        <v>0.1</v>
      </c>
      <c r="AB942" s="108">
        <f>VLOOKUP(I942,'Weights and Confidence'!$D$16:$AC$26,7,FALSE)</f>
        <v>0.1</v>
      </c>
      <c r="AC942" s="147">
        <f>VLOOKUP(I942,'Weights and Confidence'!$D$16:$AC$26,8,FALSE)</f>
        <v>1</v>
      </c>
    </row>
    <row r="943" spans="1:29" x14ac:dyDescent="0.2">
      <c r="A943" s="34" t="s">
        <v>185</v>
      </c>
      <c r="B943" s="34" t="s">
        <v>86</v>
      </c>
      <c r="C943" s="34" t="s">
        <v>281</v>
      </c>
      <c r="D943" s="34" t="s">
        <v>5</v>
      </c>
      <c r="E943" s="34"/>
      <c r="F943" s="50" t="s">
        <v>282</v>
      </c>
      <c r="G943" s="34">
        <v>7</v>
      </c>
      <c r="H943" s="34" t="s">
        <v>18</v>
      </c>
      <c r="I943" s="34" t="s">
        <v>25</v>
      </c>
      <c r="J943" s="34">
        <v>1</v>
      </c>
      <c r="K943" s="35">
        <f>AB943/COUNTIFS($B:$B,$B943,$C:$C,$C943,$H:$H,$H943,$I:$I,$I943)</f>
        <v>0.1</v>
      </c>
      <c r="L943" s="36">
        <f t="shared" si="57"/>
        <v>1</v>
      </c>
      <c r="M943" s="37">
        <f t="shared" si="59"/>
        <v>0.1</v>
      </c>
      <c r="N943" s="58" t="s">
        <v>287</v>
      </c>
      <c r="AA943" s="146">
        <f>AB943/COUNTIFS($B:$B,$B943,$C:$C,$C943,$H:$H,$H943,$I:$I,$I943)</f>
        <v>0.1</v>
      </c>
      <c r="AB943" s="108">
        <f>VLOOKUP(I943,'Weights and Confidence'!$D$16:$AC$26,7,FALSE)</f>
        <v>0.1</v>
      </c>
      <c r="AC943" s="147">
        <f>VLOOKUP(I943,'Weights and Confidence'!$D$16:$AC$26,8,FALSE)</f>
        <v>1</v>
      </c>
    </row>
    <row r="944" spans="1:29" x14ac:dyDescent="0.2">
      <c r="A944" s="38" t="s">
        <v>185</v>
      </c>
      <c r="B944" s="38" t="s">
        <v>86</v>
      </c>
      <c r="C944" s="38" t="s">
        <v>281</v>
      </c>
      <c r="D944" s="38" t="s">
        <v>5</v>
      </c>
      <c r="E944" s="38"/>
      <c r="F944" s="51" t="s">
        <v>282</v>
      </c>
      <c r="G944" s="38">
        <v>8</v>
      </c>
      <c r="H944" s="38" t="s">
        <v>17</v>
      </c>
      <c r="I944" s="38" t="s">
        <v>26</v>
      </c>
      <c r="J944" s="38">
        <v>0</v>
      </c>
      <c r="K944" s="39">
        <f>AB944/COUNTIFS($B:$B,$B944,$C:$C,$C944,$H:$H,$H944,$I:$I,$I944)</f>
        <v>0.1</v>
      </c>
      <c r="L944" s="40">
        <f t="shared" si="57"/>
        <v>1</v>
      </c>
      <c r="M944" s="41">
        <f t="shared" si="59"/>
        <v>0</v>
      </c>
      <c r="N944" s="38"/>
      <c r="AA944" s="146">
        <f>AB944/COUNTIFS($B:$B,$B944,$C:$C,$C944,$H:$H,$H944,$I:$I,$I944)</f>
        <v>0.1</v>
      </c>
      <c r="AB944" s="108">
        <f>VLOOKUP(I944,'Weights and Confidence'!$D$16:$AC$26,7,FALSE)</f>
        <v>0.1</v>
      </c>
      <c r="AC944" s="147">
        <f>VLOOKUP(I944,'Weights and Confidence'!$D$16:$AC$26,8,FALSE)</f>
        <v>1</v>
      </c>
    </row>
    <row r="945" spans="1:29" x14ac:dyDescent="0.2">
      <c r="A945" s="34" t="s">
        <v>185</v>
      </c>
      <c r="B945" s="34" t="s">
        <v>86</v>
      </c>
      <c r="C945" s="34" t="s">
        <v>281</v>
      </c>
      <c r="D945" s="34" t="s">
        <v>5</v>
      </c>
      <c r="E945" s="34"/>
      <c r="F945" s="50" t="s">
        <v>282</v>
      </c>
      <c r="G945" s="34">
        <v>8</v>
      </c>
      <c r="H945" s="34" t="s">
        <v>18</v>
      </c>
      <c r="I945" s="34" t="s">
        <v>26</v>
      </c>
      <c r="J945" s="34">
        <v>1</v>
      </c>
      <c r="K945" s="35">
        <f>AB945/COUNTIFS($B:$B,$B945,$C:$C,$C945,$H:$H,$H945,$I:$I,$I945)</f>
        <v>0.1</v>
      </c>
      <c r="L945" s="36">
        <f t="shared" si="57"/>
        <v>1</v>
      </c>
      <c r="M945" s="37">
        <f t="shared" si="59"/>
        <v>0.1</v>
      </c>
      <c r="N945" s="58" t="s">
        <v>288</v>
      </c>
      <c r="AA945" s="146">
        <f>AB945/COUNTIFS($B:$B,$B945,$C:$C,$C945,$H:$H,$H945,$I:$I,$I945)</f>
        <v>0.1</v>
      </c>
      <c r="AB945" s="108">
        <f>VLOOKUP(I945,'Weights and Confidence'!$D$16:$AC$26,7,FALSE)</f>
        <v>0.1</v>
      </c>
      <c r="AC945" s="147">
        <f>VLOOKUP(I945,'Weights and Confidence'!$D$16:$AC$26,8,FALSE)</f>
        <v>1</v>
      </c>
    </row>
    <row r="946" spans="1:29" x14ac:dyDescent="0.2">
      <c r="A946" s="38" t="s">
        <v>185</v>
      </c>
      <c r="B946" s="38" t="s">
        <v>86</v>
      </c>
      <c r="C946" s="38" t="s">
        <v>281</v>
      </c>
      <c r="D946" s="38" t="s">
        <v>5</v>
      </c>
      <c r="E946" s="38"/>
      <c r="F946" s="51" t="s">
        <v>282</v>
      </c>
      <c r="G946" s="38">
        <v>9</v>
      </c>
      <c r="H946" s="38" t="s">
        <v>17</v>
      </c>
      <c r="I946" s="38" t="s">
        <v>27</v>
      </c>
      <c r="J946" s="38">
        <v>1</v>
      </c>
      <c r="K946" s="39">
        <f>AB946/COUNTIFS($B:$B,$B946,$C:$C,$C946,$H:$H,$H946,$I:$I,$I946)</f>
        <v>0.05</v>
      </c>
      <c r="L946" s="40">
        <f t="shared" si="57"/>
        <v>0.85</v>
      </c>
      <c r="M946" s="41">
        <f t="shared" si="59"/>
        <v>4.2500000000000003E-2</v>
      </c>
      <c r="N946" s="38"/>
      <c r="AA946" s="146">
        <f>AB946/COUNTIFS($B:$B,$B946,$C:$C,$C946,$H:$H,$H946,$I:$I,$I946)</f>
        <v>0.05</v>
      </c>
      <c r="AB946" s="108">
        <f>VLOOKUP(I946,'Weights and Confidence'!$D$16:$AC$26,7,FALSE)</f>
        <v>0.1</v>
      </c>
      <c r="AC946" s="147">
        <f>VLOOKUP(I946,'Weights and Confidence'!$D$16:$AC$26,8,FALSE)</f>
        <v>0.85</v>
      </c>
    </row>
    <row r="947" spans="1:29" x14ac:dyDescent="0.2">
      <c r="A947" s="34" t="s">
        <v>185</v>
      </c>
      <c r="B947" s="34" t="s">
        <v>86</v>
      </c>
      <c r="C947" s="34" t="s">
        <v>281</v>
      </c>
      <c r="D947" s="34" t="s">
        <v>5</v>
      </c>
      <c r="E947" s="34"/>
      <c r="F947" s="50" t="s">
        <v>282</v>
      </c>
      <c r="G947" s="34">
        <v>9</v>
      </c>
      <c r="H947" s="34" t="s">
        <v>18</v>
      </c>
      <c r="I947" s="34" t="s">
        <v>27</v>
      </c>
      <c r="J947" s="34">
        <v>1</v>
      </c>
      <c r="K947" s="35">
        <f>AB947/COUNTIFS($B:$B,$B947,$C:$C,$C947,$H:$H,$H947,$I:$I,$I947)</f>
        <v>0.05</v>
      </c>
      <c r="L947" s="36">
        <f t="shared" si="57"/>
        <v>0.85</v>
      </c>
      <c r="M947" s="37">
        <f t="shared" si="59"/>
        <v>4.2500000000000003E-2</v>
      </c>
      <c r="N947" s="58"/>
      <c r="AA947" s="146">
        <f>AB947/COUNTIFS($B:$B,$B947,$C:$C,$C947,$H:$H,$H947,$I:$I,$I947)</f>
        <v>0.05</v>
      </c>
      <c r="AB947" s="108">
        <f>VLOOKUP(I947,'Weights and Confidence'!$D$16:$AC$26,7,FALSE)</f>
        <v>0.1</v>
      </c>
      <c r="AC947" s="147">
        <f>VLOOKUP(I947,'Weights and Confidence'!$D$16:$AC$26,8,FALSE)</f>
        <v>0.85</v>
      </c>
    </row>
    <row r="948" spans="1:29" x14ac:dyDescent="0.2">
      <c r="A948" s="38" t="s">
        <v>185</v>
      </c>
      <c r="B948" s="38" t="s">
        <v>86</v>
      </c>
      <c r="C948" s="38" t="s">
        <v>281</v>
      </c>
      <c r="D948" s="38" t="s">
        <v>5</v>
      </c>
      <c r="E948" s="38"/>
      <c r="F948" s="51" t="s">
        <v>282</v>
      </c>
      <c r="G948" s="38">
        <v>10</v>
      </c>
      <c r="H948" s="38" t="s">
        <v>17</v>
      </c>
      <c r="I948" s="38" t="s">
        <v>27</v>
      </c>
      <c r="J948" s="38">
        <v>0</v>
      </c>
      <c r="K948" s="39">
        <f>AB948/COUNTIFS($B:$B,$B948,$C:$C,$C948,$H:$H,$H948,$I:$I,$I948)</f>
        <v>0.05</v>
      </c>
      <c r="L948" s="40">
        <f t="shared" si="57"/>
        <v>0.85</v>
      </c>
      <c r="M948" s="41">
        <f t="shared" si="59"/>
        <v>0</v>
      </c>
      <c r="N948" s="38"/>
      <c r="AA948" s="146">
        <f>AB948/COUNTIFS($B:$B,$B948,$C:$C,$C948,$H:$H,$H948,$I:$I,$I948)</f>
        <v>0.05</v>
      </c>
      <c r="AB948" s="108">
        <f>VLOOKUP(I948,'Weights and Confidence'!$D$16:$AC$26,7,FALSE)</f>
        <v>0.1</v>
      </c>
      <c r="AC948" s="147">
        <f>VLOOKUP(I948,'Weights and Confidence'!$D$16:$AC$26,8,FALSE)</f>
        <v>0.85</v>
      </c>
    </row>
    <row r="949" spans="1:29" x14ac:dyDescent="0.2">
      <c r="A949" s="34" t="s">
        <v>185</v>
      </c>
      <c r="B949" s="34" t="s">
        <v>86</v>
      </c>
      <c r="C949" s="34" t="s">
        <v>281</v>
      </c>
      <c r="D949" s="34" t="s">
        <v>5</v>
      </c>
      <c r="E949" s="34"/>
      <c r="F949" s="50" t="s">
        <v>282</v>
      </c>
      <c r="G949" s="34">
        <v>10</v>
      </c>
      <c r="H949" s="34" t="s">
        <v>18</v>
      </c>
      <c r="I949" s="34" t="s">
        <v>27</v>
      </c>
      <c r="J949" s="34">
        <v>1</v>
      </c>
      <c r="K949" s="35">
        <f>AB949/COUNTIFS($B:$B,$B949,$C:$C,$C949,$H:$H,$H949,$I:$I,$I949)</f>
        <v>0.05</v>
      </c>
      <c r="L949" s="36">
        <f t="shared" si="57"/>
        <v>0.85</v>
      </c>
      <c r="M949" s="37">
        <f t="shared" si="59"/>
        <v>4.2500000000000003E-2</v>
      </c>
      <c r="N949" s="34"/>
      <c r="AA949" s="146">
        <f>AB949/COUNTIFS($B:$B,$B949,$C:$C,$C949,$H:$H,$H949,$I:$I,$I949)</f>
        <v>0.05</v>
      </c>
      <c r="AB949" s="108">
        <f>VLOOKUP(I949,'Weights and Confidence'!$D$16:$AC$26,7,FALSE)</f>
        <v>0.1</v>
      </c>
      <c r="AC949" s="147">
        <f>VLOOKUP(I949,'Weights and Confidence'!$D$16:$AC$26,8,FALSE)</f>
        <v>0.85</v>
      </c>
    </row>
    <row r="950" spans="1:29" x14ac:dyDescent="0.2">
      <c r="A950" s="38" t="s">
        <v>185</v>
      </c>
      <c r="B950" s="38" t="s">
        <v>86</v>
      </c>
      <c r="C950" s="38" t="s">
        <v>281</v>
      </c>
      <c r="D950" s="38" t="s">
        <v>5</v>
      </c>
      <c r="E950" s="38"/>
      <c r="F950" s="51" t="s">
        <v>282</v>
      </c>
      <c r="G950" s="38">
        <v>11</v>
      </c>
      <c r="H950" s="38" t="s">
        <v>17</v>
      </c>
      <c r="I950" s="38" t="s">
        <v>28</v>
      </c>
      <c r="J950" s="38">
        <v>-1</v>
      </c>
      <c r="K950" s="39">
        <f>AB950/COUNTIFS($B:$B,$B950,$C:$C,$C950,$H:$H,$H950,$I:$I,$I950)</f>
        <v>0.05</v>
      </c>
      <c r="L950" s="40">
        <f t="shared" si="57"/>
        <v>1</v>
      </c>
      <c r="M950" s="41">
        <f t="shared" si="59"/>
        <v>-0.05</v>
      </c>
      <c r="N950" s="38"/>
      <c r="AA950" s="146">
        <f>AB950/COUNTIFS($B:$B,$B950,$C:$C,$C950,$H:$H,$H950,$I:$I,$I950)</f>
        <v>0.05</v>
      </c>
      <c r="AB950" s="108">
        <f>VLOOKUP(I950,'Weights and Confidence'!$D$16:$AC$26,7,FALSE)</f>
        <v>0.05</v>
      </c>
      <c r="AC950" s="147">
        <f>VLOOKUP(I950,'Weights and Confidence'!$D$16:$AC$26,8,FALSE)</f>
        <v>1</v>
      </c>
    </row>
    <row r="951" spans="1:29" ht="17" thickBot="1" x14ac:dyDescent="0.25">
      <c r="A951" s="34" t="s">
        <v>185</v>
      </c>
      <c r="B951" s="34" t="s">
        <v>86</v>
      </c>
      <c r="C951" s="34" t="s">
        <v>281</v>
      </c>
      <c r="D951" s="34" t="s">
        <v>5</v>
      </c>
      <c r="E951" s="34"/>
      <c r="F951" s="50" t="s">
        <v>282</v>
      </c>
      <c r="G951" s="34">
        <v>11</v>
      </c>
      <c r="H951" s="34" t="s">
        <v>18</v>
      </c>
      <c r="I951" s="34" t="s">
        <v>28</v>
      </c>
      <c r="J951" s="34">
        <v>0</v>
      </c>
      <c r="K951" s="35">
        <f>AB951/COUNTIFS($B:$B,$B951,$C:$C,$C951,$H:$H,$H951,$I:$I,$I951)</f>
        <v>0.05</v>
      </c>
      <c r="L951" s="36">
        <f t="shared" si="57"/>
        <v>1</v>
      </c>
      <c r="M951" s="37">
        <f t="shared" si="59"/>
        <v>0</v>
      </c>
      <c r="N951" s="58" t="s">
        <v>289</v>
      </c>
      <c r="AA951" s="140">
        <f>AB951/COUNTIFS($B:$B,$B951,$C:$C,$C951,$H:$H,$H951,$I:$I,$I951)</f>
        <v>0.05</v>
      </c>
      <c r="AB951" s="141">
        <f>VLOOKUP(I951,'Weights and Confidence'!$D$16:$AC$26,7,FALSE)</f>
        <v>0.05</v>
      </c>
      <c r="AC951" s="142">
        <f>VLOOKUP(I951,'Weights and Confidence'!$D$16:$AC$26,8,FALSE)</f>
        <v>1</v>
      </c>
    </row>
    <row r="952" spans="1:29" ht="17" thickTop="1" x14ac:dyDescent="0.2">
      <c r="A952" s="42" t="s">
        <v>185</v>
      </c>
      <c r="B952" s="42" t="s">
        <v>86</v>
      </c>
      <c r="C952" s="42" t="s">
        <v>290</v>
      </c>
      <c r="D952" s="42" t="s">
        <v>5</v>
      </c>
      <c r="E952" s="42"/>
      <c r="F952" s="49" t="s">
        <v>291</v>
      </c>
      <c r="G952" s="42">
        <v>1</v>
      </c>
      <c r="H952" s="42" t="s">
        <v>17</v>
      </c>
      <c r="I952" s="42" t="s">
        <v>19</v>
      </c>
      <c r="J952" s="42">
        <v>0</v>
      </c>
      <c r="K952" s="44">
        <f>AB952/COUNTIFS($B:$B,$B952,$C:$C,$C952,$H:$H,$H952,$I:$I,$I952)</f>
        <v>0.12</v>
      </c>
      <c r="L952" s="45">
        <f t="shared" si="57"/>
        <v>1</v>
      </c>
      <c r="M952" s="46">
        <f t="shared" ref="M952:M973" si="60">J952*K952*L952</f>
        <v>0</v>
      </c>
      <c r="N952" s="42"/>
      <c r="AA952" s="146">
        <f>AB952/COUNTIFS($B:$B,$B952,$C:$C,$C952,$H:$H,$H952,$I:$I,$I952)</f>
        <v>0.12</v>
      </c>
      <c r="AB952" s="108">
        <f>VLOOKUP(I952,'Weights and Confidence'!$D$16:$AC$26,7,FALSE)</f>
        <v>0.12</v>
      </c>
      <c r="AC952" s="147">
        <f>VLOOKUP(I952,'Weights and Confidence'!$D$16:$AC$26,8,FALSE)</f>
        <v>1</v>
      </c>
    </row>
    <row r="953" spans="1:29" x14ac:dyDescent="0.2">
      <c r="A953" s="34" t="s">
        <v>185</v>
      </c>
      <c r="B953" s="34" t="s">
        <v>86</v>
      </c>
      <c r="C953" s="34" t="s">
        <v>290</v>
      </c>
      <c r="D953" s="34" t="s">
        <v>5</v>
      </c>
      <c r="E953" s="34"/>
      <c r="F953" s="50" t="s">
        <v>291</v>
      </c>
      <c r="G953" s="34">
        <v>1</v>
      </c>
      <c r="H953" s="34" t="s">
        <v>18</v>
      </c>
      <c r="I953" s="34" t="s">
        <v>19</v>
      </c>
      <c r="J953" s="34">
        <v>1</v>
      </c>
      <c r="K953" s="35">
        <f>AB953/COUNTIFS($B:$B,$B953,$C:$C,$C953,$H:$H,$H953,$I:$I,$I953)</f>
        <v>0.12</v>
      </c>
      <c r="L953" s="36">
        <f t="shared" si="57"/>
        <v>1</v>
      </c>
      <c r="M953" s="37">
        <f t="shared" si="60"/>
        <v>0.12</v>
      </c>
      <c r="N953" s="58"/>
      <c r="AA953" s="146">
        <f>AB953/COUNTIFS($B:$B,$B953,$C:$C,$C953,$H:$H,$H953,$I:$I,$I953)</f>
        <v>0.12</v>
      </c>
      <c r="AB953" s="108">
        <f>VLOOKUP(I953,'Weights and Confidence'!$D$16:$AC$26,7,FALSE)</f>
        <v>0.12</v>
      </c>
      <c r="AC953" s="147">
        <f>VLOOKUP(I953,'Weights and Confidence'!$D$16:$AC$26,8,FALSE)</f>
        <v>1</v>
      </c>
    </row>
    <row r="954" spans="1:29" x14ac:dyDescent="0.2">
      <c r="A954" s="38" t="s">
        <v>185</v>
      </c>
      <c r="B954" s="38" t="s">
        <v>86</v>
      </c>
      <c r="C954" s="38" t="s">
        <v>290</v>
      </c>
      <c r="D954" s="38" t="s">
        <v>5</v>
      </c>
      <c r="E954" s="38"/>
      <c r="F954" s="51" t="s">
        <v>291</v>
      </c>
      <c r="G954" s="38">
        <v>2</v>
      </c>
      <c r="H954" s="38" t="s">
        <v>17</v>
      </c>
      <c r="I954" s="38" t="s">
        <v>20</v>
      </c>
      <c r="J954" s="38">
        <v>-1</v>
      </c>
      <c r="K954" s="39">
        <f>AB954/COUNTIFS($B:$B,$B954,$C:$C,$C954,$H:$H,$H954,$I:$I,$I954)</f>
        <v>0.08</v>
      </c>
      <c r="L954" s="40">
        <f t="shared" si="57"/>
        <v>0.8</v>
      </c>
      <c r="M954" s="41">
        <f t="shared" si="60"/>
        <v>-6.4000000000000001E-2</v>
      </c>
      <c r="N954" s="38"/>
      <c r="AA954" s="146">
        <f>AB954/COUNTIFS($B:$B,$B954,$C:$C,$C954,$H:$H,$H954,$I:$I,$I954)</f>
        <v>0.08</v>
      </c>
      <c r="AB954" s="108">
        <f>VLOOKUP(I954,'Weights and Confidence'!$D$16:$AC$26,7,FALSE)</f>
        <v>0.08</v>
      </c>
      <c r="AC954" s="147">
        <f>VLOOKUP(I954,'Weights and Confidence'!$D$16:$AC$26,8,FALSE)</f>
        <v>0.8</v>
      </c>
    </row>
    <row r="955" spans="1:29" x14ac:dyDescent="0.2">
      <c r="A955" s="34" t="s">
        <v>185</v>
      </c>
      <c r="B955" s="34" t="s">
        <v>86</v>
      </c>
      <c r="C955" s="34" t="s">
        <v>290</v>
      </c>
      <c r="D955" s="34" t="s">
        <v>5</v>
      </c>
      <c r="E955" s="34"/>
      <c r="F955" s="50" t="s">
        <v>291</v>
      </c>
      <c r="G955" s="34">
        <v>2</v>
      </c>
      <c r="H955" s="34" t="s">
        <v>18</v>
      </c>
      <c r="I955" s="34" t="s">
        <v>20</v>
      </c>
      <c r="J955" s="34">
        <v>1</v>
      </c>
      <c r="K955" s="35">
        <f>AB955/COUNTIFS($B:$B,$B955,$C:$C,$C955,$H:$H,$H955,$I:$I,$I955)</f>
        <v>0.08</v>
      </c>
      <c r="L955" s="36">
        <f t="shared" si="57"/>
        <v>0.8</v>
      </c>
      <c r="M955" s="37">
        <f t="shared" si="60"/>
        <v>6.4000000000000001E-2</v>
      </c>
      <c r="N955" s="58" t="s">
        <v>292</v>
      </c>
      <c r="AA955" s="146">
        <f>AB955/COUNTIFS($B:$B,$B955,$C:$C,$C955,$H:$H,$H955,$I:$I,$I955)</f>
        <v>0.08</v>
      </c>
      <c r="AB955" s="108">
        <f>VLOOKUP(I955,'Weights and Confidence'!$D$16:$AC$26,7,FALSE)</f>
        <v>0.08</v>
      </c>
      <c r="AC955" s="147">
        <f>VLOOKUP(I955,'Weights and Confidence'!$D$16:$AC$26,8,FALSE)</f>
        <v>0.8</v>
      </c>
    </row>
    <row r="956" spans="1:29" x14ac:dyDescent="0.2">
      <c r="A956" s="38" t="s">
        <v>185</v>
      </c>
      <c r="B956" s="38" t="s">
        <v>86</v>
      </c>
      <c r="C956" s="38" t="s">
        <v>290</v>
      </c>
      <c r="D956" s="38" t="s">
        <v>5</v>
      </c>
      <c r="E956" s="38"/>
      <c r="F956" s="51" t="s">
        <v>291</v>
      </c>
      <c r="G956" s="38">
        <v>3</v>
      </c>
      <c r="H956" s="38" t="s">
        <v>17</v>
      </c>
      <c r="I956" s="38" t="s">
        <v>21</v>
      </c>
      <c r="J956" s="38">
        <v>1</v>
      </c>
      <c r="K956" s="39">
        <f>AB956/COUNTIFS($B:$B,$B956,$C:$C,$C956,$H:$H,$H956,$I:$I,$I956)</f>
        <v>0.05</v>
      </c>
      <c r="L956" s="40">
        <f t="shared" si="57"/>
        <v>1</v>
      </c>
      <c r="M956" s="41">
        <f t="shared" si="60"/>
        <v>0.05</v>
      </c>
      <c r="N956" s="38"/>
      <c r="AA956" s="146">
        <f>AB956/COUNTIFS($B:$B,$B956,$C:$C,$C956,$H:$H,$H956,$I:$I,$I956)</f>
        <v>0.05</v>
      </c>
      <c r="AB956" s="108">
        <f>VLOOKUP(I956,'Weights and Confidence'!$D$16:$AC$26,7,FALSE)</f>
        <v>0.05</v>
      </c>
      <c r="AC956" s="147">
        <f>VLOOKUP(I956,'Weights and Confidence'!$D$16:$AC$26,8,FALSE)</f>
        <v>1</v>
      </c>
    </row>
    <row r="957" spans="1:29" x14ac:dyDescent="0.2">
      <c r="A957" s="34" t="s">
        <v>185</v>
      </c>
      <c r="B957" s="34" t="s">
        <v>86</v>
      </c>
      <c r="C957" s="34" t="s">
        <v>290</v>
      </c>
      <c r="D957" s="34" t="s">
        <v>5</v>
      </c>
      <c r="E957" s="34"/>
      <c r="F957" s="50" t="s">
        <v>291</v>
      </c>
      <c r="G957" s="34">
        <v>3</v>
      </c>
      <c r="H957" s="34" t="s">
        <v>18</v>
      </c>
      <c r="I957" s="34" t="s">
        <v>21</v>
      </c>
      <c r="J957" s="34">
        <v>1</v>
      </c>
      <c r="K957" s="35">
        <f>AB957/COUNTIFS($B:$B,$B957,$C:$C,$C957,$H:$H,$H957,$I:$I,$I957)</f>
        <v>0.05</v>
      </c>
      <c r="L957" s="36">
        <f t="shared" si="57"/>
        <v>1</v>
      </c>
      <c r="M957" s="37">
        <f t="shared" si="60"/>
        <v>0.05</v>
      </c>
      <c r="N957" s="58"/>
      <c r="AA957" s="146">
        <f>AB957/COUNTIFS($B:$B,$B957,$C:$C,$C957,$H:$H,$H957,$I:$I,$I957)</f>
        <v>0.05</v>
      </c>
      <c r="AB957" s="108">
        <f>VLOOKUP(I957,'Weights and Confidence'!$D$16:$AC$26,7,FALSE)</f>
        <v>0.05</v>
      </c>
      <c r="AC957" s="147">
        <f>VLOOKUP(I957,'Weights and Confidence'!$D$16:$AC$26,8,FALSE)</f>
        <v>1</v>
      </c>
    </row>
    <row r="958" spans="1:29" x14ac:dyDescent="0.2">
      <c r="A958" s="38" t="s">
        <v>185</v>
      </c>
      <c r="B958" s="38" t="s">
        <v>86</v>
      </c>
      <c r="C958" s="38" t="s">
        <v>290</v>
      </c>
      <c r="D958" s="38" t="s">
        <v>5</v>
      </c>
      <c r="E958" s="38"/>
      <c r="F958" s="51" t="s">
        <v>291</v>
      </c>
      <c r="G958" s="38">
        <v>4</v>
      </c>
      <c r="H958" s="38" t="s">
        <v>17</v>
      </c>
      <c r="I958" s="38" t="s">
        <v>22</v>
      </c>
      <c r="J958" s="38">
        <v>-1</v>
      </c>
      <c r="K958" s="39">
        <f>AB958/COUNTIFS($B:$B,$B958,$C:$C,$C958,$H:$H,$H958,$I:$I,$I958)</f>
        <v>0.14000000000000001</v>
      </c>
      <c r="L958" s="40">
        <f t="shared" si="57"/>
        <v>1</v>
      </c>
      <c r="M958" s="41">
        <f t="shared" si="60"/>
        <v>-0.14000000000000001</v>
      </c>
      <c r="N958" s="38"/>
      <c r="AA958" s="146">
        <f>AB958/COUNTIFS($B:$B,$B958,$C:$C,$C958,$H:$H,$H958,$I:$I,$I958)</f>
        <v>0.14000000000000001</v>
      </c>
      <c r="AB958" s="108">
        <f>VLOOKUP(I958,'Weights and Confidence'!$D$16:$AC$26,7,FALSE)</f>
        <v>0.14000000000000001</v>
      </c>
      <c r="AC958" s="147">
        <f>VLOOKUP(I958,'Weights and Confidence'!$D$16:$AC$26,8,FALSE)</f>
        <v>1</v>
      </c>
    </row>
    <row r="959" spans="1:29" x14ac:dyDescent="0.2">
      <c r="A959" s="34" t="s">
        <v>185</v>
      </c>
      <c r="B959" s="34" t="s">
        <v>86</v>
      </c>
      <c r="C959" s="34" t="s">
        <v>290</v>
      </c>
      <c r="D959" s="34" t="s">
        <v>5</v>
      </c>
      <c r="E959" s="34"/>
      <c r="F959" s="50" t="s">
        <v>291</v>
      </c>
      <c r="G959" s="34">
        <v>4</v>
      </c>
      <c r="H959" s="34" t="s">
        <v>18</v>
      </c>
      <c r="I959" s="34" t="s">
        <v>22</v>
      </c>
      <c r="J959" s="34">
        <v>1</v>
      </c>
      <c r="K959" s="35">
        <f>AB959/COUNTIFS($B:$B,$B959,$C:$C,$C959,$H:$H,$H959,$I:$I,$I959)</f>
        <v>0.14000000000000001</v>
      </c>
      <c r="L959" s="36">
        <f t="shared" si="57"/>
        <v>1</v>
      </c>
      <c r="M959" s="37">
        <f t="shared" si="60"/>
        <v>0.14000000000000001</v>
      </c>
      <c r="N959" s="58"/>
      <c r="AA959" s="146">
        <f>AB959/COUNTIFS($B:$B,$B959,$C:$C,$C959,$H:$H,$H959,$I:$I,$I959)</f>
        <v>0.14000000000000001</v>
      </c>
      <c r="AB959" s="108">
        <f>VLOOKUP(I959,'Weights and Confidence'!$D$16:$AC$26,7,FALSE)</f>
        <v>0.14000000000000001</v>
      </c>
      <c r="AC959" s="147">
        <f>VLOOKUP(I959,'Weights and Confidence'!$D$16:$AC$26,8,FALSE)</f>
        <v>1</v>
      </c>
    </row>
    <row r="960" spans="1:29" x14ac:dyDescent="0.2">
      <c r="A960" s="38" t="s">
        <v>185</v>
      </c>
      <c r="B960" s="38" t="s">
        <v>86</v>
      </c>
      <c r="C960" s="38" t="s">
        <v>290</v>
      </c>
      <c r="D960" s="38" t="s">
        <v>5</v>
      </c>
      <c r="E960" s="38"/>
      <c r="F960" s="51" t="s">
        <v>291</v>
      </c>
      <c r="G960" s="38">
        <v>5</v>
      </c>
      <c r="H960" s="38" t="s">
        <v>17</v>
      </c>
      <c r="I960" s="38" t="s">
        <v>23</v>
      </c>
      <c r="J960" s="38">
        <v>-1</v>
      </c>
      <c r="K960" s="39">
        <f>AB960/COUNTIFS($B:$B,$B960,$C:$C,$C960,$H:$H,$H960,$I:$I,$I960)</f>
        <v>0.11</v>
      </c>
      <c r="L960" s="40">
        <f t="shared" si="57"/>
        <v>1</v>
      </c>
      <c r="M960" s="41">
        <f t="shared" si="60"/>
        <v>-0.11</v>
      </c>
      <c r="N960" s="38"/>
      <c r="AA960" s="146">
        <f>AB960/COUNTIFS($B:$B,$B960,$C:$C,$C960,$H:$H,$H960,$I:$I,$I960)</f>
        <v>0.11</v>
      </c>
      <c r="AB960" s="108">
        <f>VLOOKUP(I960,'Weights and Confidence'!$D$16:$AC$26,7,FALSE)</f>
        <v>0.11</v>
      </c>
      <c r="AC960" s="147">
        <f>VLOOKUP(I960,'Weights and Confidence'!$D$16:$AC$26,8,FALSE)</f>
        <v>1</v>
      </c>
    </row>
    <row r="961" spans="1:29" x14ac:dyDescent="0.2">
      <c r="A961" s="34" t="s">
        <v>185</v>
      </c>
      <c r="B961" s="34" t="s">
        <v>86</v>
      </c>
      <c r="C961" s="34" t="s">
        <v>290</v>
      </c>
      <c r="D961" s="34" t="s">
        <v>5</v>
      </c>
      <c r="E961" s="34"/>
      <c r="F961" s="50" t="s">
        <v>291</v>
      </c>
      <c r="G961" s="34">
        <v>5</v>
      </c>
      <c r="H961" s="34" t="s">
        <v>18</v>
      </c>
      <c r="I961" s="34" t="s">
        <v>23</v>
      </c>
      <c r="J961" s="34">
        <v>1</v>
      </c>
      <c r="K961" s="35">
        <f>AB961/COUNTIFS($B:$B,$B961,$C:$C,$C961,$H:$H,$H961,$I:$I,$I961)</f>
        <v>0.11</v>
      </c>
      <c r="L961" s="36">
        <f t="shared" si="57"/>
        <v>1</v>
      </c>
      <c r="M961" s="37">
        <f t="shared" si="60"/>
        <v>0.11</v>
      </c>
      <c r="N961" s="58"/>
      <c r="AA961" s="146">
        <f>AB961/COUNTIFS($B:$B,$B961,$C:$C,$C961,$H:$H,$H961,$I:$I,$I961)</f>
        <v>0.11</v>
      </c>
      <c r="AB961" s="108">
        <f>VLOOKUP(I961,'Weights and Confidence'!$D$16:$AC$26,7,FALSE)</f>
        <v>0.11</v>
      </c>
      <c r="AC961" s="147">
        <f>VLOOKUP(I961,'Weights and Confidence'!$D$16:$AC$26,8,FALSE)</f>
        <v>1</v>
      </c>
    </row>
    <row r="962" spans="1:29" x14ac:dyDescent="0.2">
      <c r="A962" s="38" t="s">
        <v>185</v>
      </c>
      <c r="B962" s="38" t="s">
        <v>86</v>
      </c>
      <c r="C962" s="38" t="s">
        <v>290</v>
      </c>
      <c r="D962" s="38" t="s">
        <v>5</v>
      </c>
      <c r="E962" s="38"/>
      <c r="F962" s="51" t="s">
        <v>291</v>
      </c>
      <c r="G962" s="38">
        <v>6</v>
      </c>
      <c r="H962" s="38" t="s">
        <v>17</v>
      </c>
      <c r="I962" s="38" t="s">
        <v>24</v>
      </c>
      <c r="J962" s="38">
        <v>-1</v>
      </c>
      <c r="K962" s="39">
        <f>AB962/COUNTIFS($B:$B,$B962,$C:$C,$C962,$H:$H,$H962,$I:$I,$I962)</f>
        <v>0.15</v>
      </c>
      <c r="L962" s="40">
        <f t="shared" si="57"/>
        <v>1</v>
      </c>
      <c r="M962" s="41">
        <f t="shared" si="60"/>
        <v>-0.15</v>
      </c>
      <c r="N962" s="59"/>
      <c r="AA962" s="146">
        <f>AB962/COUNTIFS($B:$B,$B962,$C:$C,$C962,$H:$H,$H962,$I:$I,$I962)</f>
        <v>0.15</v>
      </c>
      <c r="AB962" s="108">
        <f>VLOOKUP(I962,'Weights and Confidence'!$D$16:$AC$26,7,FALSE)</f>
        <v>0.15</v>
      </c>
      <c r="AC962" s="147">
        <f>VLOOKUP(I962,'Weights and Confidence'!$D$16:$AC$26,8,FALSE)</f>
        <v>1</v>
      </c>
    </row>
    <row r="963" spans="1:29" x14ac:dyDescent="0.2">
      <c r="A963" s="34" t="s">
        <v>185</v>
      </c>
      <c r="B963" s="34" t="s">
        <v>86</v>
      </c>
      <c r="C963" s="34" t="s">
        <v>290</v>
      </c>
      <c r="D963" s="34" t="s">
        <v>5</v>
      </c>
      <c r="E963" s="34"/>
      <c r="F963" s="50" t="s">
        <v>291</v>
      </c>
      <c r="G963" s="34">
        <v>6</v>
      </c>
      <c r="H963" s="34" t="s">
        <v>18</v>
      </c>
      <c r="I963" s="34" t="s">
        <v>24</v>
      </c>
      <c r="J963" s="34">
        <v>0</v>
      </c>
      <c r="K963" s="35">
        <f>AB963/COUNTIFS($B:$B,$B963,$C:$C,$C963,$H:$H,$H963,$I:$I,$I963)</f>
        <v>0.15</v>
      </c>
      <c r="L963" s="36">
        <f t="shared" si="57"/>
        <v>1</v>
      </c>
      <c r="M963" s="37">
        <f t="shared" si="60"/>
        <v>0</v>
      </c>
      <c r="N963" s="58" t="s">
        <v>293</v>
      </c>
      <c r="AA963" s="146">
        <f>AB963/COUNTIFS($B:$B,$B963,$C:$C,$C963,$H:$H,$H963,$I:$I,$I963)</f>
        <v>0.15</v>
      </c>
      <c r="AB963" s="108">
        <f>VLOOKUP(I963,'Weights and Confidence'!$D$16:$AC$26,7,FALSE)</f>
        <v>0.15</v>
      </c>
      <c r="AC963" s="147">
        <f>VLOOKUP(I963,'Weights and Confidence'!$D$16:$AC$26,8,FALSE)</f>
        <v>1</v>
      </c>
    </row>
    <row r="964" spans="1:29" x14ac:dyDescent="0.2">
      <c r="A964" s="38" t="s">
        <v>185</v>
      </c>
      <c r="B964" s="38" t="s">
        <v>86</v>
      </c>
      <c r="C964" s="38" t="s">
        <v>290</v>
      </c>
      <c r="D964" s="38" t="s">
        <v>5</v>
      </c>
      <c r="E964" s="38"/>
      <c r="F964" s="51" t="s">
        <v>291</v>
      </c>
      <c r="G964" s="38">
        <v>7</v>
      </c>
      <c r="H964" s="38" t="s">
        <v>17</v>
      </c>
      <c r="I964" s="38" t="s">
        <v>25</v>
      </c>
      <c r="J964" s="38">
        <v>-1</v>
      </c>
      <c r="K964" s="39">
        <f>AB964/COUNTIFS($B:$B,$B964,$C:$C,$C964,$H:$H,$H964,$I:$I,$I964)</f>
        <v>0.1</v>
      </c>
      <c r="L964" s="40">
        <f t="shared" si="57"/>
        <v>1</v>
      </c>
      <c r="M964" s="41">
        <f t="shared" si="60"/>
        <v>-0.1</v>
      </c>
      <c r="N964" s="38"/>
      <c r="AA964" s="146">
        <f>AB964/COUNTIFS($B:$B,$B964,$C:$C,$C964,$H:$H,$H964,$I:$I,$I964)</f>
        <v>0.1</v>
      </c>
      <c r="AB964" s="108">
        <f>VLOOKUP(I964,'Weights and Confidence'!$D$16:$AC$26,7,FALSE)</f>
        <v>0.1</v>
      </c>
      <c r="AC964" s="147">
        <f>VLOOKUP(I964,'Weights and Confidence'!$D$16:$AC$26,8,FALSE)</f>
        <v>1</v>
      </c>
    </row>
    <row r="965" spans="1:29" x14ac:dyDescent="0.2">
      <c r="A965" s="34" t="s">
        <v>185</v>
      </c>
      <c r="B965" s="34" t="s">
        <v>86</v>
      </c>
      <c r="C965" s="34" t="s">
        <v>290</v>
      </c>
      <c r="D965" s="34" t="s">
        <v>5</v>
      </c>
      <c r="E965" s="34"/>
      <c r="F965" s="50" t="s">
        <v>291</v>
      </c>
      <c r="G965" s="34">
        <v>7</v>
      </c>
      <c r="H965" s="34" t="s">
        <v>18</v>
      </c>
      <c r="I965" s="34" t="s">
        <v>25</v>
      </c>
      <c r="J965" s="34">
        <v>1</v>
      </c>
      <c r="K965" s="35">
        <f>AB965/COUNTIFS($B:$B,$B965,$C:$C,$C965,$H:$H,$H965,$I:$I,$I965)</f>
        <v>0.1</v>
      </c>
      <c r="L965" s="36">
        <f t="shared" si="57"/>
        <v>1</v>
      </c>
      <c r="M965" s="37">
        <f t="shared" si="60"/>
        <v>0.1</v>
      </c>
      <c r="N965" s="58" t="s">
        <v>294</v>
      </c>
      <c r="AA965" s="146">
        <f>AB965/COUNTIFS($B:$B,$B965,$C:$C,$C965,$H:$H,$H965,$I:$I,$I965)</f>
        <v>0.1</v>
      </c>
      <c r="AB965" s="108">
        <f>VLOOKUP(I965,'Weights and Confidence'!$D$16:$AC$26,7,FALSE)</f>
        <v>0.1</v>
      </c>
      <c r="AC965" s="147">
        <f>VLOOKUP(I965,'Weights and Confidence'!$D$16:$AC$26,8,FALSE)</f>
        <v>1</v>
      </c>
    </row>
    <row r="966" spans="1:29" x14ac:dyDescent="0.2">
      <c r="A966" s="38" t="s">
        <v>185</v>
      </c>
      <c r="B966" s="38" t="s">
        <v>86</v>
      </c>
      <c r="C966" s="38" t="s">
        <v>290</v>
      </c>
      <c r="D966" s="38" t="s">
        <v>5</v>
      </c>
      <c r="E966" s="38"/>
      <c r="F966" s="51" t="s">
        <v>291</v>
      </c>
      <c r="G966" s="38">
        <v>8</v>
      </c>
      <c r="H966" s="38" t="s">
        <v>17</v>
      </c>
      <c r="I966" s="38" t="s">
        <v>26</v>
      </c>
      <c r="J966" s="38">
        <v>0</v>
      </c>
      <c r="K966" s="39">
        <f>AB966/COUNTIFS($B:$B,$B966,$C:$C,$C966,$H:$H,$H966,$I:$I,$I966)</f>
        <v>0.1</v>
      </c>
      <c r="L966" s="40">
        <f t="shared" ref="L966:L1029" si="61">AC966</f>
        <v>1</v>
      </c>
      <c r="M966" s="41">
        <f t="shared" si="60"/>
        <v>0</v>
      </c>
      <c r="N966" s="38"/>
      <c r="AA966" s="146">
        <f>AB966/COUNTIFS($B:$B,$B966,$C:$C,$C966,$H:$H,$H966,$I:$I,$I966)</f>
        <v>0.1</v>
      </c>
      <c r="AB966" s="108">
        <f>VLOOKUP(I966,'Weights and Confidence'!$D$16:$AC$26,7,FALSE)</f>
        <v>0.1</v>
      </c>
      <c r="AC966" s="147">
        <f>VLOOKUP(I966,'Weights and Confidence'!$D$16:$AC$26,8,FALSE)</f>
        <v>1</v>
      </c>
    </row>
    <row r="967" spans="1:29" x14ac:dyDescent="0.2">
      <c r="A967" s="34" t="s">
        <v>185</v>
      </c>
      <c r="B967" s="34" t="s">
        <v>86</v>
      </c>
      <c r="C967" s="34" t="s">
        <v>290</v>
      </c>
      <c r="D967" s="34" t="s">
        <v>5</v>
      </c>
      <c r="E967" s="34"/>
      <c r="F967" s="50" t="s">
        <v>291</v>
      </c>
      <c r="G967" s="34">
        <v>8</v>
      </c>
      <c r="H967" s="34" t="s">
        <v>18</v>
      </c>
      <c r="I967" s="34" t="s">
        <v>26</v>
      </c>
      <c r="J967" s="34">
        <v>0</v>
      </c>
      <c r="K967" s="35">
        <f>AB967/COUNTIFS($B:$B,$B967,$C:$C,$C967,$H:$H,$H967,$I:$I,$I967)</f>
        <v>0.1</v>
      </c>
      <c r="L967" s="36">
        <f t="shared" si="61"/>
        <v>1</v>
      </c>
      <c r="M967" s="37">
        <f t="shared" si="60"/>
        <v>0</v>
      </c>
      <c r="N967" s="58" t="s">
        <v>295</v>
      </c>
      <c r="AA967" s="146">
        <f>AB967/COUNTIFS($B:$B,$B967,$C:$C,$C967,$H:$H,$H967,$I:$I,$I967)</f>
        <v>0.1</v>
      </c>
      <c r="AB967" s="108">
        <f>VLOOKUP(I967,'Weights and Confidence'!$D$16:$AC$26,7,FALSE)</f>
        <v>0.1</v>
      </c>
      <c r="AC967" s="147">
        <f>VLOOKUP(I967,'Weights and Confidence'!$D$16:$AC$26,8,FALSE)</f>
        <v>1</v>
      </c>
    </row>
    <row r="968" spans="1:29" x14ac:dyDescent="0.2">
      <c r="A968" s="38" t="s">
        <v>185</v>
      </c>
      <c r="B968" s="38" t="s">
        <v>86</v>
      </c>
      <c r="C968" s="38" t="s">
        <v>290</v>
      </c>
      <c r="D968" s="38" t="s">
        <v>5</v>
      </c>
      <c r="E968" s="38"/>
      <c r="F968" s="51" t="s">
        <v>291</v>
      </c>
      <c r="G968" s="38">
        <v>9</v>
      </c>
      <c r="H968" s="38" t="s">
        <v>17</v>
      </c>
      <c r="I968" s="38" t="s">
        <v>27</v>
      </c>
      <c r="J968" s="38">
        <v>0</v>
      </c>
      <c r="K968" s="39">
        <f>AB968/COUNTIFS($B:$B,$B968,$C:$C,$C968,$H:$H,$H968,$I:$I,$I968)</f>
        <v>0.05</v>
      </c>
      <c r="L968" s="40">
        <f t="shared" si="61"/>
        <v>0.85</v>
      </c>
      <c r="M968" s="41">
        <f t="shared" si="60"/>
        <v>0</v>
      </c>
      <c r="N968" s="38"/>
      <c r="AA968" s="146">
        <f>AB968/COUNTIFS($B:$B,$B968,$C:$C,$C968,$H:$H,$H968,$I:$I,$I968)</f>
        <v>0.05</v>
      </c>
      <c r="AB968" s="108">
        <f>VLOOKUP(I968,'Weights and Confidence'!$D$16:$AC$26,7,FALSE)</f>
        <v>0.1</v>
      </c>
      <c r="AC968" s="147">
        <f>VLOOKUP(I968,'Weights and Confidence'!$D$16:$AC$26,8,FALSE)</f>
        <v>0.85</v>
      </c>
    </row>
    <row r="969" spans="1:29" x14ac:dyDescent="0.2">
      <c r="A969" s="34" t="s">
        <v>185</v>
      </c>
      <c r="B969" s="34" t="s">
        <v>86</v>
      </c>
      <c r="C969" s="34" t="s">
        <v>290</v>
      </c>
      <c r="D969" s="34" t="s">
        <v>5</v>
      </c>
      <c r="E969" s="34"/>
      <c r="F969" s="50" t="s">
        <v>291</v>
      </c>
      <c r="G969" s="34">
        <v>9</v>
      </c>
      <c r="H969" s="34" t="s">
        <v>18</v>
      </c>
      <c r="I969" s="34" t="s">
        <v>27</v>
      </c>
      <c r="J969" s="34">
        <v>1</v>
      </c>
      <c r="K969" s="35">
        <f>AB969/COUNTIFS($B:$B,$B969,$C:$C,$C969,$H:$H,$H969,$I:$I,$I969)</f>
        <v>0.05</v>
      </c>
      <c r="L969" s="36">
        <f t="shared" si="61"/>
        <v>0.85</v>
      </c>
      <c r="M969" s="37">
        <f t="shared" si="60"/>
        <v>4.2500000000000003E-2</v>
      </c>
      <c r="N969" s="58" t="s">
        <v>296</v>
      </c>
      <c r="AA969" s="146">
        <f>AB969/COUNTIFS($B:$B,$B969,$C:$C,$C969,$H:$H,$H969,$I:$I,$I969)</f>
        <v>0.05</v>
      </c>
      <c r="AB969" s="108">
        <f>VLOOKUP(I969,'Weights and Confidence'!$D$16:$AC$26,7,FALSE)</f>
        <v>0.1</v>
      </c>
      <c r="AC969" s="147">
        <f>VLOOKUP(I969,'Weights and Confidence'!$D$16:$AC$26,8,FALSE)</f>
        <v>0.85</v>
      </c>
    </row>
    <row r="970" spans="1:29" x14ac:dyDescent="0.2">
      <c r="A970" s="38" t="s">
        <v>185</v>
      </c>
      <c r="B970" s="38" t="s">
        <v>86</v>
      </c>
      <c r="C970" s="38" t="s">
        <v>290</v>
      </c>
      <c r="D970" s="38" t="s">
        <v>5</v>
      </c>
      <c r="E970" s="38"/>
      <c r="F970" s="51" t="s">
        <v>291</v>
      </c>
      <c r="G970" s="38">
        <v>10</v>
      </c>
      <c r="H970" s="38" t="s">
        <v>17</v>
      </c>
      <c r="I970" s="38" t="s">
        <v>27</v>
      </c>
      <c r="J970" s="38">
        <v>0</v>
      </c>
      <c r="K970" s="39">
        <f>AB970/COUNTIFS($B:$B,$B970,$C:$C,$C970,$H:$H,$H970,$I:$I,$I970)</f>
        <v>0.05</v>
      </c>
      <c r="L970" s="40">
        <f t="shared" si="61"/>
        <v>0.85</v>
      </c>
      <c r="M970" s="41">
        <f t="shared" si="60"/>
        <v>0</v>
      </c>
      <c r="N970" s="38"/>
      <c r="AA970" s="146">
        <f>AB970/COUNTIFS($B:$B,$B970,$C:$C,$C970,$H:$H,$H970,$I:$I,$I970)</f>
        <v>0.05</v>
      </c>
      <c r="AB970" s="108">
        <f>VLOOKUP(I970,'Weights and Confidence'!$D$16:$AC$26,7,FALSE)</f>
        <v>0.1</v>
      </c>
      <c r="AC970" s="147">
        <f>VLOOKUP(I970,'Weights and Confidence'!$D$16:$AC$26,8,FALSE)</f>
        <v>0.85</v>
      </c>
    </row>
    <row r="971" spans="1:29" x14ac:dyDescent="0.2">
      <c r="A971" s="34" t="s">
        <v>185</v>
      </c>
      <c r="B971" s="34" t="s">
        <v>86</v>
      </c>
      <c r="C971" s="34" t="s">
        <v>290</v>
      </c>
      <c r="D971" s="34" t="s">
        <v>5</v>
      </c>
      <c r="E971" s="34"/>
      <c r="F971" s="50" t="s">
        <v>291</v>
      </c>
      <c r="G971" s="34">
        <v>10</v>
      </c>
      <c r="H971" s="34" t="s">
        <v>18</v>
      </c>
      <c r="I971" s="34" t="s">
        <v>27</v>
      </c>
      <c r="J971" s="34">
        <v>1</v>
      </c>
      <c r="K971" s="35">
        <f>AB971/COUNTIFS($B:$B,$B971,$C:$C,$C971,$H:$H,$H971,$I:$I,$I971)</f>
        <v>0.05</v>
      </c>
      <c r="L971" s="36">
        <f t="shared" si="61"/>
        <v>0.85</v>
      </c>
      <c r="M971" s="37">
        <f t="shared" si="60"/>
        <v>4.2500000000000003E-2</v>
      </c>
      <c r="N971" s="34" t="s">
        <v>297</v>
      </c>
      <c r="AA971" s="146">
        <f>AB971/COUNTIFS($B:$B,$B971,$C:$C,$C971,$H:$H,$H971,$I:$I,$I971)</f>
        <v>0.05</v>
      </c>
      <c r="AB971" s="108">
        <f>VLOOKUP(I971,'Weights and Confidence'!$D$16:$AC$26,7,FALSE)</f>
        <v>0.1</v>
      </c>
      <c r="AC971" s="147">
        <f>VLOOKUP(I971,'Weights and Confidence'!$D$16:$AC$26,8,FALSE)</f>
        <v>0.85</v>
      </c>
    </row>
    <row r="972" spans="1:29" x14ac:dyDescent="0.2">
      <c r="A972" s="38" t="s">
        <v>185</v>
      </c>
      <c r="B972" s="38" t="s">
        <v>86</v>
      </c>
      <c r="C972" s="38" t="s">
        <v>290</v>
      </c>
      <c r="D972" s="38" t="s">
        <v>5</v>
      </c>
      <c r="E972" s="38"/>
      <c r="F972" s="51" t="s">
        <v>291</v>
      </c>
      <c r="G972" s="38">
        <v>11</v>
      </c>
      <c r="H972" s="38" t="s">
        <v>17</v>
      </c>
      <c r="I972" s="38" t="s">
        <v>28</v>
      </c>
      <c r="J972" s="38">
        <v>-1</v>
      </c>
      <c r="K972" s="39">
        <f>AB972/COUNTIFS($B:$B,$B972,$C:$C,$C972,$H:$H,$H972,$I:$I,$I972)</f>
        <v>0.05</v>
      </c>
      <c r="L972" s="40">
        <f t="shared" si="61"/>
        <v>1</v>
      </c>
      <c r="M972" s="41">
        <f t="shared" si="60"/>
        <v>-0.05</v>
      </c>
      <c r="N972" s="38"/>
      <c r="AA972" s="146">
        <f>AB972/COUNTIFS($B:$B,$B972,$C:$C,$C972,$H:$H,$H972,$I:$I,$I972)</f>
        <v>0.05</v>
      </c>
      <c r="AB972" s="108">
        <f>VLOOKUP(I972,'Weights and Confidence'!$D$16:$AC$26,7,FALSE)</f>
        <v>0.05</v>
      </c>
      <c r="AC972" s="147">
        <f>VLOOKUP(I972,'Weights and Confidence'!$D$16:$AC$26,8,FALSE)</f>
        <v>1</v>
      </c>
    </row>
    <row r="973" spans="1:29" ht="17" thickBot="1" x14ac:dyDescent="0.25">
      <c r="A973" s="34" t="s">
        <v>185</v>
      </c>
      <c r="B973" s="34" t="s">
        <v>86</v>
      </c>
      <c r="C973" s="34" t="s">
        <v>290</v>
      </c>
      <c r="D973" s="34" t="s">
        <v>5</v>
      </c>
      <c r="E973" s="34"/>
      <c r="F973" s="50" t="s">
        <v>291</v>
      </c>
      <c r="G973" s="34">
        <v>11</v>
      </c>
      <c r="H973" s="34" t="s">
        <v>18</v>
      </c>
      <c r="I973" s="34" t="s">
        <v>28</v>
      </c>
      <c r="J973" s="34">
        <v>0</v>
      </c>
      <c r="K973" s="35">
        <f>AB973/COUNTIFS($B:$B,$B973,$C:$C,$C973,$H:$H,$H973,$I:$I,$I973)</f>
        <v>0.05</v>
      </c>
      <c r="L973" s="36">
        <f t="shared" si="61"/>
        <v>1</v>
      </c>
      <c r="M973" s="37">
        <f t="shared" si="60"/>
        <v>0</v>
      </c>
      <c r="N973" s="58" t="s">
        <v>298</v>
      </c>
      <c r="AA973" s="140">
        <f>AB973/COUNTIFS($B:$B,$B973,$C:$C,$C973,$H:$H,$H973,$I:$I,$I973)</f>
        <v>0.05</v>
      </c>
      <c r="AB973" s="141">
        <f>VLOOKUP(I973,'Weights and Confidence'!$D$16:$AC$26,7,FALSE)</f>
        <v>0.05</v>
      </c>
      <c r="AC973" s="142">
        <f>VLOOKUP(I973,'Weights and Confidence'!$D$16:$AC$26,8,FALSE)</f>
        <v>1</v>
      </c>
    </row>
    <row r="974" spans="1:29" ht="17" thickTop="1" x14ac:dyDescent="0.2">
      <c r="A974" s="42" t="s">
        <v>185</v>
      </c>
      <c r="B974" s="42" t="s">
        <v>86</v>
      </c>
      <c r="C974" s="42" t="s">
        <v>299</v>
      </c>
      <c r="D974" s="42" t="s">
        <v>5</v>
      </c>
      <c r="E974" s="42" t="s">
        <v>679</v>
      </c>
      <c r="F974" s="49" t="s">
        <v>300</v>
      </c>
      <c r="G974" s="42">
        <v>1</v>
      </c>
      <c r="H974" s="42" t="s">
        <v>17</v>
      </c>
      <c r="I974" s="42" t="s">
        <v>19</v>
      </c>
      <c r="J974" s="42">
        <v>1</v>
      </c>
      <c r="K974" s="44">
        <f>AB974/COUNTIFS($B:$B,$B974,$C:$C,$C974,$H:$H,$H974,$I:$I,$I974)</f>
        <v>0.12</v>
      </c>
      <c r="L974" s="45">
        <f t="shared" si="61"/>
        <v>1</v>
      </c>
      <c r="M974" s="46">
        <f t="shared" ref="M974:M995" si="62">J974*K974*L974</f>
        <v>0.12</v>
      </c>
      <c r="N974" s="42"/>
      <c r="AA974" s="146">
        <f>AB974/COUNTIFS($B:$B,$B974,$C:$C,$C974,$H:$H,$H974,$I:$I,$I974)</f>
        <v>0.12</v>
      </c>
      <c r="AB974" s="108">
        <f>VLOOKUP(I974,'Weights and Confidence'!$D$16:$AC$26,7,FALSE)</f>
        <v>0.12</v>
      </c>
      <c r="AC974" s="147">
        <f>VLOOKUP(I974,'Weights and Confidence'!$D$16:$AC$26,8,FALSE)</f>
        <v>1</v>
      </c>
    </row>
    <row r="975" spans="1:29" x14ac:dyDescent="0.2">
      <c r="A975" s="34" t="s">
        <v>185</v>
      </c>
      <c r="B975" s="34" t="s">
        <v>86</v>
      </c>
      <c r="C975" s="34" t="s">
        <v>299</v>
      </c>
      <c r="D975" s="34" t="s">
        <v>5</v>
      </c>
      <c r="E975" s="34" t="s">
        <v>679</v>
      </c>
      <c r="F975" s="50" t="s">
        <v>300</v>
      </c>
      <c r="G975" s="34">
        <v>1</v>
      </c>
      <c r="H975" s="34" t="s">
        <v>18</v>
      </c>
      <c r="I975" s="34" t="s">
        <v>19</v>
      </c>
      <c r="J975" s="34">
        <v>1</v>
      </c>
      <c r="K975" s="35">
        <f>AB975/COUNTIFS($B:$B,$B975,$C:$C,$C975,$H:$H,$H975,$I:$I,$I975)</f>
        <v>0.12</v>
      </c>
      <c r="L975" s="36">
        <f t="shared" si="61"/>
        <v>1</v>
      </c>
      <c r="M975" s="37">
        <f t="shared" si="62"/>
        <v>0.12</v>
      </c>
      <c r="N975" s="58" t="s">
        <v>301</v>
      </c>
      <c r="AA975" s="146">
        <f>AB975/COUNTIFS($B:$B,$B975,$C:$C,$C975,$H:$H,$H975,$I:$I,$I975)</f>
        <v>0.12</v>
      </c>
      <c r="AB975" s="108">
        <f>VLOOKUP(I975,'Weights and Confidence'!$D$16:$AC$26,7,FALSE)</f>
        <v>0.12</v>
      </c>
      <c r="AC975" s="147">
        <f>VLOOKUP(I975,'Weights and Confidence'!$D$16:$AC$26,8,FALSE)</f>
        <v>1</v>
      </c>
    </row>
    <row r="976" spans="1:29" x14ac:dyDescent="0.2">
      <c r="A976" s="38" t="s">
        <v>185</v>
      </c>
      <c r="B976" s="38" t="s">
        <v>86</v>
      </c>
      <c r="C976" s="38" t="s">
        <v>299</v>
      </c>
      <c r="D976" s="38" t="s">
        <v>5</v>
      </c>
      <c r="E976" s="38" t="s">
        <v>679</v>
      </c>
      <c r="F976" s="51" t="s">
        <v>300</v>
      </c>
      <c r="G976" s="38">
        <v>2</v>
      </c>
      <c r="H976" s="38" t="s">
        <v>17</v>
      </c>
      <c r="I976" s="38" t="s">
        <v>20</v>
      </c>
      <c r="J976" s="38">
        <v>0</v>
      </c>
      <c r="K976" s="39">
        <f>AB976/COUNTIFS($B:$B,$B976,$C:$C,$C976,$H:$H,$H976,$I:$I,$I976)</f>
        <v>0.08</v>
      </c>
      <c r="L976" s="40">
        <f t="shared" si="61"/>
        <v>0.8</v>
      </c>
      <c r="M976" s="41">
        <f t="shared" si="62"/>
        <v>0</v>
      </c>
      <c r="N976" s="38"/>
      <c r="AA976" s="146">
        <f>AB976/COUNTIFS($B:$B,$B976,$C:$C,$C976,$H:$H,$H976,$I:$I,$I976)</f>
        <v>0.08</v>
      </c>
      <c r="AB976" s="108">
        <f>VLOOKUP(I976,'Weights and Confidence'!$D$16:$AC$26,7,FALSE)</f>
        <v>0.08</v>
      </c>
      <c r="AC976" s="147">
        <f>VLOOKUP(I976,'Weights and Confidence'!$D$16:$AC$26,8,FALSE)</f>
        <v>0.8</v>
      </c>
    </row>
    <row r="977" spans="1:29" x14ac:dyDescent="0.2">
      <c r="A977" s="34" t="s">
        <v>185</v>
      </c>
      <c r="B977" s="34" t="s">
        <v>86</v>
      </c>
      <c r="C977" s="34" t="s">
        <v>299</v>
      </c>
      <c r="D977" s="34" t="s">
        <v>5</v>
      </c>
      <c r="E977" s="34" t="s">
        <v>679</v>
      </c>
      <c r="F977" s="50" t="s">
        <v>300</v>
      </c>
      <c r="G977" s="34">
        <v>2</v>
      </c>
      <c r="H977" s="34" t="s">
        <v>18</v>
      </c>
      <c r="I977" s="34" t="s">
        <v>20</v>
      </c>
      <c r="J977" s="34">
        <v>0</v>
      </c>
      <c r="K977" s="35">
        <f>AB977/COUNTIFS($B:$B,$B977,$C:$C,$C977,$H:$H,$H977,$I:$I,$I977)</f>
        <v>0.08</v>
      </c>
      <c r="L977" s="36">
        <f t="shared" si="61"/>
        <v>0.8</v>
      </c>
      <c r="M977" s="37">
        <f t="shared" si="62"/>
        <v>0</v>
      </c>
      <c r="N977" s="58" t="s">
        <v>302</v>
      </c>
      <c r="AA977" s="146">
        <f>AB977/COUNTIFS($B:$B,$B977,$C:$C,$C977,$H:$H,$H977,$I:$I,$I977)</f>
        <v>0.08</v>
      </c>
      <c r="AB977" s="108">
        <f>VLOOKUP(I977,'Weights and Confidence'!$D$16:$AC$26,7,FALSE)</f>
        <v>0.08</v>
      </c>
      <c r="AC977" s="147">
        <f>VLOOKUP(I977,'Weights and Confidence'!$D$16:$AC$26,8,FALSE)</f>
        <v>0.8</v>
      </c>
    </row>
    <row r="978" spans="1:29" x14ac:dyDescent="0.2">
      <c r="A978" s="38" t="s">
        <v>185</v>
      </c>
      <c r="B978" s="38" t="s">
        <v>86</v>
      </c>
      <c r="C978" s="38" t="s">
        <v>299</v>
      </c>
      <c r="D978" s="38" t="s">
        <v>5</v>
      </c>
      <c r="E978" s="38" t="s">
        <v>679</v>
      </c>
      <c r="F978" s="51" t="s">
        <v>300</v>
      </c>
      <c r="G978" s="38">
        <v>3</v>
      </c>
      <c r="H978" s="38" t="s">
        <v>17</v>
      </c>
      <c r="I978" s="38" t="s">
        <v>21</v>
      </c>
      <c r="J978" s="38">
        <v>1</v>
      </c>
      <c r="K978" s="39">
        <f>AB978/COUNTIFS($B:$B,$B978,$C:$C,$C978,$H:$H,$H978,$I:$I,$I978)</f>
        <v>0.05</v>
      </c>
      <c r="L978" s="40">
        <f t="shared" si="61"/>
        <v>1</v>
      </c>
      <c r="M978" s="41">
        <f t="shared" si="62"/>
        <v>0.05</v>
      </c>
      <c r="N978" s="38"/>
      <c r="AA978" s="146">
        <f>AB978/COUNTIFS($B:$B,$B978,$C:$C,$C978,$H:$H,$H978,$I:$I,$I978)</f>
        <v>0.05</v>
      </c>
      <c r="AB978" s="108">
        <f>VLOOKUP(I978,'Weights and Confidence'!$D$16:$AC$26,7,FALSE)</f>
        <v>0.05</v>
      </c>
      <c r="AC978" s="147">
        <f>VLOOKUP(I978,'Weights and Confidence'!$D$16:$AC$26,8,FALSE)</f>
        <v>1</v>
      </c>
    </row>
    <row r="979" spans="1:29" x14ac:dyDescent="0.2">
      <c r="A979" s="34" t="s">
        <v>185</v>
      </c>
      <c r="B979" s="34" t="s">
        <v>86</v>
      </c>
      <c r="C979" s="34" t="s">
        <v>299</v>
      </c>
      <c r="D979" s="34" t="s">
        <v>5</v>
      </c>
      <c r="E979" s="34" t="s">
        <v>679</v>
      </c>
      <c r="F979" s="50" t="s">
        <v>300</v>
      </c>
      <c r="G979" s="34">
        <v>3</v>
      </c>
      <c r="H979" s="34" t="s">
        <v>18</v>
      </c>
      <c r="I979" s="34" t="s">
        <v>21</v>
      </c>
      <c r="J979" s="34">
        <v>1</v>
      </c>
      <c r="K979" s="35">
        <f>AB979/COUNTIFS($B:$B,$B979,$C:$C,$C979,$H:$H,$H979,$I:$I,$I979)</f>
        <v>0.05</v>
      </c>
      <c r="L979" s="36">
        <f t="shared" si="61"/>
        <v>1</v>
      </c>
      <c r="M979" s="37">
        <f t="shared" si="62"/>
        <v>0.05</v>
      </c>
      <c r="N979" s="58" t="s">
        <v>304</v>
      </c>
      <c r="AA979" s="146">
        <f>AB979/COUNTIFS($B:$B,$B979,$C:$C,$C979,$H:$H,$H979,$I:$I,$I979)</f>
        <v>0.05</v>
      </c>
      <c r="AB979" s="108">
        <f>VLOOKUP(I979,'Weights and Confidence'!$D$16:$AC$26,7,FALSE)</f>
        <v>0.05</v>
      </c>
      <c r="AC979" s="147">
        <f>VLOOKUP(I979,'Weights and Confidence'!$D$16:$AC$26,8,FALSE)</f>
        <v>1</v>
      </c>
    </row>
    <row r="980" spans="1:29" x14ac:dyDescent="0.2">
      <c r="A980" s="38" t="s">
        <v>185</v>
      </c>
      <c r="B980" s="38" t="s">
        <v>86</v>
      </c>
      <c r="C980" s="38" t="s">
        <v>299</v>
      </c>
      <c r="D980" s="38" t="s">
        <v>5</v>
      </c>
      <c r="E980" s="38" t="s">
        <v>679</v>
      </c>
      <c r="F980" s="51" t="s">
        <v>300</v>
      </c>
      <c r="G980" s="38">
        <v>4</v>
      </c>
      <c r="H980" s="38" t="s">
        <v>17</v>
      </c>
      <c r="I980" s="38" t="s">
        <v>22</v>
      </c>
      <c r="J980" s="38">
        <v>0</v>
      </c>
      <c r="K980" s="39">
        <f>AB980/COUNTIFS($B:$B,$B980,$C:$C,$C980,$H:$H,$H980,$I:$I,$I980)</f>
        <v>0.14000000000000001</v>
      </c>
      <c r="L980" s="40">
        <f t="shared" si="61"/>
        <v>1</v>
      </c>
      <c r="M980" s="41">
        <f t="shared" si="62"/>
        <v>0</v>
      </c>
      <c r="N980" s="38"/>
      <c r="AA980" s="146">
        <f>AB980/COUNTIFS($B:$B,$B980,$C:$C,$C980,$H:$H,$H980,$I:$I,$I980)</f>
        <v>0.14000000000000001</v>
      </c>
      <c r="AB980" s="108">
        <f>VLOOKUP(I980,'Weights and Confidence'!$D$16:$AC$26,7,FALSE)</f>
        <v>0.14000000000000001</v>
      </c>
      <c r="AC980" s="147">
        <f>VLOOKUP(I980,'Weights and Confidence'!$D$16:$AC$26,8,FALSE)</f>
        <v>1</v>
      </c>
    </row>
    <row r="981" spans="1:29" x14ac:dyDescent="0.2">
      <c r="A981" s="34" t="s">
        <v>185</v>
      </c>
      <c r="B981" s="34" t="s">
        <v>86</v>
      </c>
      <c r="C981" s="34" t="s">
        <v>299</v>
      </c>
      <c r="D981" s="34" t="s">
        <v>5</v>
      </c>
      <c r="E981" s="34" t="s">
        <v>679</v>
      </c>
      <c r="F981" s="50" t="s">
        <v>300</v>
      </c>
      <c r="G981" s="34">
        <v>4</v>
      </c>
      <c r="H981" s="34" t="s">
        <v>18</v>
      </c>
      <c r="I981" s="34" t="s">
        <v>22</v>
      </c>
      <c r="J981" s="34">
        <v>1</v>
      </c>
      <c r="K981" s="35">
        <f>AB981/COUNTIFS($B:$B,$B981,$C:$C,$C981,$H:$H,$H981,$I:$I,$I981)</f>
        <v>0.14000000000000001</v>
      </c>
      <c r="L981" s="36">
        <f t="shared" si="61"/>
        <v>1</v>
      </c>
      <c r="M981" s="37">
        <f t="shared" si="62"/>
        <v>0.14000000000000001</v>
      </c>
      <c r="N981" s="58" t="s">
        <v>305</v>
      </c>
      <c r="AA981" s="146">
        <f>AB981/COUNTIFS($B:$B,$B981,$C:$C,$C981,$H:$H,$H981,$I:$I,$I981)</f>
        <v>0.14000000000000001</v>
      </c>
      <c r="AB981" s="108">
        <f>VLOOKUP(I981,'Weights and Confidence'!$D$16:$AC$26,7,FALSE)</f>
        <v>0.14000000000000001</v>
      </c>
      <c r="AC981" s="147">
        <f>VLOOKUP(I981,'Weights and Confidence'!$D$16:$AC$26,8,FALSE)</f>
        <v>1</v>
      </c>
    </row>
    <row r="982" spans="1:29" x14ac:dyDescent="0.2">
      <c r="A982" s="38" t="s">
        <v>185</v>
      </c>
      <c r="B982" s="38" t="s">
        <v>86</v>
      </c>
      <c r="C982" s="38" t="s">
        <v>299</v>
      </c>
      <c r="D982" s="38" t="s">
        <v>5</v>
      </c>
      <c r="E982" s="38" t="s">
        <v>679</v>
      </c>
      <c r="F982" s="51" t="s">
        <v>300</v>
      </c>
      <c r="G982" s="38">
        <v>5</v>
      </c>
      <c r="H982" s="38" t="s">
        <v>17</v>
      </c>
      <c r="I982" s="38" t="s">
        <v>23</v>
      </c>
      <c r="J982" s="38">
        <v>-1</v>
      </c>
      <c r="K982" s="39">
        <f>AB982/COUNTIFS($B:$B,$B982,$C:$C,$C982,$H:$H,$H982,$I:$I,$I982)</f>
        <v>0.11</v>
      </c>
      <c r="L982" s="40">
        <f t="shared" si="61"/>
        <v>1</v>
      </c>
      <c r="M982" s="41">
        <f t="shared" si="62"/>
        <v>-0.11</v>
      </c>
      <c r="N982" s="38"/>
      <c r="AA982" s="146">
        <f>AB982/COUNTIFS($B:$B,$B982,$C:$C,$C982,$H:$H,$H982,$I:$I,$I982)</f>
        <v>0.11</v>
      </c>
      <c r="AB982" s="108">
        <f>VLOOKUP(I982,'Weights and Confidence'!$D$16:$AC$26,7,FALSE)</f>
        <v>0.11</v>
      </c>
      <c r="AC982" s="147">
        <f>VLOOKUP(I982,'Weights and Confidence'!$D$16:$AC$26,8,FALSE)</f>
        <v>1</v>
      </c>
    </row>
    <row r="983" spans="1:29" x14ac:dyDescent="0.2">
      <c r="A983" s="34" t="s">
        <v>185</v>
      </c>
      <c r="B983" s="34" t="s">
        <v>86</v>
      </c>
      <c r="C983" s="34" t="s">
        <v>299</v>
      </c>
      <c r="D983" s="34" t="s">
        <v>5</v>
      </c>
      <c r="E983" s="34" t="s">
        <v>679</v>
      </c>
      <c r="F983" s="50" t="s">
        <v>300</v>
      </c>
      <c r="G983" s="34">
        <v>5</v>
      </c>
      <c r="H983" s="34" t="s">
        <v>18</v>
      </c>
      <c r="I983" s="34" t="s">
        <v>23</v>
      </c>
      <c r="J983" s="34">
        <v>0</v>
      </c>
      <c r="K983" s="35">
        <f>AB983/COUNTIFS($B:$B,$B983,$C:$C,$C983,$H:$H,$H983,$I:$I,$I983)</f>
        <v>0.11</v>
      </c>
      <c r="L983" s="36">
        <f t="shared" si="61"/>
        <v>1</v>
      </c>
      <c r="M983" s="37">
        <f t="shared" si="62"/>
        <v>0</v>
      </c>
      <c r="N983" s="58" t="s">
        <v>306</v>
      </c>
      <c r="AA983" s="146">
        <f>AB983/COUNTIFS($B:$B,$B983,$C:$C,$C983,$H:$H,$H983,$I:$I,$I983)</f>
        <v>0.11</v>
      </c>
      <c r="AB983" s="108">
        <f>VLOOKUP(I983,'Weights and Confidence'!$D$16:$AC$26,7,FALSE)</f>
        <v>0.11</v>
      </c>
      <c r="AC983" s="147">
        <f>VLOOKUP(I983,'Weights and Confidence'!$D$16:$AC$26,8,FALSE)</f>
        <v>1</v>
      </c>
    </row>
    <row r="984" spans="1:29" x14ac:dyDescent="0.2">
      <c r="A984" s="38" t="s">
        <v>185</v>
      </c>
      <c r="B984" s="38" t="s">
        <v>86</v>
      </c>
      <c r="C984" s="38" t="s">
        <v>299</v>
      </c>
      <c r="D984" s="38" t="s">
        <v>5</v>
      </c>
      <c r="E984" s="38" t="s">
        <v>679</v>
      </c>
      <c r="F984" s="51" t="s">
        <v>300</v>
      </c>
      <c r="G984" s="38">
        <v>6</v>
      </c>
      <c r="H984" s="38" t="s">
        <v>17</v>
      </c>
      <c r="I984" s="38" t="s">
        <v>24</v>
      </c>
      <c r="J984" s="38">
        <v>0</v>
      </c>
      <c r="K984" s="39">
        <f>AB984/COUNTIFS($B:$B,$B984,$C:$C,$C984,$H:$H,$H984,$I:$I,$I984)</f>
        <v>0.15</v>
      </c>
      <c r="L984" s="40">
        <f t="shared" si="61"/>
        <v>1</v>
      </c>
      <c r="M984" s="41">
        <f t="shared" si="62"/>
        <v>0</v>
      </c>
      <c r="N984" s="59"/>
      <c r="AA984" s="146">
        <f>AB984/COUNTIFS($B:$B,$B984,$C:$C,$C984,$H:$H,$H984,$I:$I,$I984)</f>
        <v>0.15</v>
      </c>
      <c r="AB984" s="108">
        <f>VLOOKUP(I984,'Weights and Confidence'!$D$16:$AC$26,7,FALSE)</f>
        <v>0.15</v>
      </c>
      <c r="AC984" s="147">
        <f>VLOOKUP(I984,'Weights and Confidence'!$D$16:$AC$26,8,FALSE)</f>
        <v>1</v>
      </c>
    </row>
    <row r="985" spans="1:29" x14ac:dyDescent="0.2">
      <c r="A985" s="34" t="s">
        <v>185</v>
      </c>
      <c r="B985" s="34" t="s">
        <v>86</v>
      </c>
      <c r="C985" s="34" t="s">
        <v>299</v>
      </c>
      <c r="D985" s="34" t="s">
        <v>5</v>
      </c>
      <c r="E985" s="34" t="s">
        <v>679</v>
      </c>
      <c r="F985" s="50" t="s">
        <v>300</v>
      </c>
      <c r="G985" s="34">
        <v>6</v>
      </c>
      <c r="H985" s="34" t="s">
        <v>18</v>
      </c>
      <c r="I985" s="34" t="s">
        <v>24</v>
      </c>
      <c r="J985" s="34">
        <v>0</v>
      </c>
      <c r="K985" s="35">
        <f>AB985/COUNTIFS($B:$B,$B985,$C:$C,$C985,$H:$H,$H985,$I:$I,$I985)</f>
        <v>0.15</v>
      </c>
      <c r="L985" s="36">
        <f t="shared" si="61"/>
        <v>1</v>
      </c>
      <c r="M985" s="37">
        <f t="shared" si="62"/>
        <v>0</v>
      </c>
      <c r="N985" s="58" t="s">
        <v>307</v>
      </c>
      <c r="AA985" s="146">
        <f>AB985/COUNTIFS($B:$B,$B985,$C:$C,$C985,$H:$H,$H985,$I:$I,$I985)</f>
        <v>0.15</v>
      </c>
      <c r="AB985" s="108">
        <f>VLOOKUP(I985,'Weights and Confidence'!$D$16:$AC$26,7,FALSE)</f>
        <v>0.15</v>
      </c>
      <c r="AC985" s="147">
        <f>VLOOKUP(I985,'Weights and Confidence'!$D$16:$AC$26,8,FALSE)</f>
        <v>1</v>
      </c>
    </row>
    <row r="986" spans="1:29" x14ac:dyDescent="0.2">
      <c r="A986" s="38" t="s">
        <v>185</v>
      </c>
      <c r="B986" s="38" t="s">
        <v>86</v>
      </c>
      <c r="C986" s="38" t="s">
        <v>299</v>
      </c>
      <c r="D986" s="38" t="s">
        <v>5</v>
      </c>
      <c r="E986" s="38" t="s">
        <v>679</v>
      </c>
      <c r="F986" s="51" t="s">
        <v>300</v>
      </c>
      <c r="G986" s="38">
        <v>7</v>
      </c>
      <c r="H986" s="38" t="s">
        <v>17</v>
      </c>
      <c r="I986" s="38" t="s">
        <v>25</v>
      </c>
      <c r="J986" s="38">
        <v>0</v>
      </c>
      <c r="K986" s="39">
        <f>AB986/COUNTIFS($B:$B,$B986,$C:$C,$C986,$H:$H,$H986,$I:$I,$I986)</f>
        <v>0.1</v>
      </c>
      <c r="L986" s="40">
        <f t="shared" si="61"/>
        <v>1</v>
      </c>
      <c r="M986" s="41">
        <f t="shared" si="62"/>
        <v>0</v>
      </c>
      <c r="N986" s="38"/>
      <c r="AA986" s="146">
        <f>AB986/COUNTIFS($B:$B,$B986,$C:$C,$C986,$H:$H,$H986,$I:$I,$I986)</f>
        <v>0.1</v>
      </c>
      <c r="AB986" s="108">
        <f>VLOOKUP(I986,'Weights and Confidence'!$D$16:$AC$26,7,FALSE)</f>
        <v>0.1</v>
      </c>
      <c r="AC986" s="147">
        <f>VLOOKUP(I986,'Weights and Confidence'!$D$16:$AC$26,8,FALSE)</f>
        <v>1</v>
      </c>
    </row>
    <row r="987" spans="1:29" x14ac:dyDescent="0.2">
      <c r="A987" s="34" t="s">
        <v>185</v>
      </c>
      <c r="B987" s="34" t="s">
        <v>86</v>
      </c>
      <c r="C987" s="34" t="s">
        <v>299</v>
      </c>
      <c r="D987" s="34" t="s">
        <v>5</v>
      </c>
      <c r="E987" s="34" t="s">
        <v>679</v>
      </c>
      <c r="F987" s="50" t="s">
        <v>300</v>
      </c>
      <c r="G987" s="34">
        <v>7</v>
      </c>
      <c r="H987" s="34" t="s">
        <v>18</v>
      </c>
      <c r="I987" s="34" t="s">
        <v>25</v>
      </c>
      <c r="J987" s="34">
        <v>0</v>
      </c>
      <c r="K987" s="35">
        <f>AB987/COUNTIFS($B:$B,$B987,$C:$C,$C987,$H:$H,$H987,$I:$I,$I987)</f>
        <v>0.1</v>
      </c>
      <c r="L987" s="36">
        <f t="shared" si="61"/>
        <v>1</v>
      </c>
      <c r="M987" s="37">
        <f t="shared" si="62"/>
        <v>0</v>
      </c>
      <c r="N987" s="58" t="s">
        <v>308</v>
      </c>
      <c r="AA987" s="146">
        <f>AB987/COUNTIFS($B:$B,$B987,$C:$C,$C987,$H:$H,$H987,$I:$I,$I987)</f>
        <v>0.1</v>
      </c>
      <c r="AB987" s="108">
        <f>VLOOKUP(I987,'Weights and Confidence'!$D$16:$AC$26,7,FALSE)</f>
        <v>0.1</v>
      </c>
      <c r="AC987" s="147">
        <f>VLOOKUP(I987,'Weights and Confidence'!$D$16:$AC$26,8,FALSE)</f>
        <v>1</v>
      </c>
    </row>
    <row r="988" spans="1:29" x14ac:dyDescent="0.2">
      <c r="A988" s="38" t="s">
        <v>185</v>
      </c>
      <c r="B988" s="38" t="s">
        <v>86</v>
      </c>
      <c r="C988" s="38" t="s">
        <v>299</v>
      </c>
      <c r="D988" s="38" t="s">
        <v>5</v>
      </c>
      <c r="E988" s="38" t="s">
        <v>679</v>
      </c>
      <c r="F988" s="51" t="s">
        <v>300</v>
      </c>
      <c r="G988" s="38">
        <v>8</v>
      </c>
      <c r="H988" s="38" t="s">
        <v>17</v>
      </c>
      <c r="I988" s="38" t="s">
        <v>26</v>
      </c>
      <c r="J988" s="38">
        <v>0</v>
      </c>
      <c r="K988" s="39">
        <f>AB988/COUNTIFS($B:$B,$B988,$C:$C,$C988,$H:$H,$H988,$I:$I,$I988)</f>
        <v>0.1</v>
      </c>
      <c r="L988" s="40">
        <f t="shared" si="61"/>
        <v>1</v>
      </c>
      <c r="M988" s="41">
        <f t="shared" si="62"/>
        <v>0</v>
      </c>
      <c r="N988" s="38"/>
      <c r="AA988" s="146">
        <f>AB988/COUNTIFS($B:$B,$B988,$C:$C,$C988,$H:$H,$H988,$I:$I,$I988)</f>
        <v>0.1</v>
      </c>
      <c r="AB988" s="108">
        <f>VLOOKUP(I988,'Weights and Confidence'!$D$16:$AC$26,7,FALSE)</f>
        <v>0.1</v>
      </c>
      <c r="AC988" s="147">
        <f>VLOOKUP(I988,'Weights and Confidence'!$D$16:$AC$26,8,FALSE)</f>
        <v>1</v>
      </c>
    </row>
    <row r="989" spans="1:29" x14ac:dyDescent="0.2">
      <c r="A989" s="34" t="s">
        <v>185</v>
      </c>
      <c r="B989" s="34" t="s">
        <v>86</v>
      </c>
      <c r="C989" s="34" t="s">
        <v>299</v>
      </c>
      <c r="D989" s="34" t="s">
        <v>5</v>
      </c>
      <c r="E989" s="34" t="s">
        <v>679</v>
      </c>
      <c r="F989" s="50" t="s">
        <v>300</v>
      </c>
      <c r="G989" s="34">
        <v>8</v>
      </c>
      <c r="H989" s="34" t="s">
        <v>18</v>
      </c>
      <c r="I989" s="34" t="s">
        <v>26</v>
      </c>
      <c r="J989" s="34">
        <v>0</v>
      </c>
      <c r="K989" s="35">
        <f>AB989/COUNTIFS($B:$B,$B989,$C:$C,$C989,$H:$H,$H989,$I:$I,$I989)</f>
        <v>0.1</v>
      </c>
      <c r="L989" s="36">
        <f t="shared" si="61"/>
        <v>1</v>
      </c>
      <c r="M989" s="37">
        <f t="shared" si="62"/>
        <v>0</v>
      </c>
      <c r="N989" s="58" t="s">
        <v>309</v>
      </c>
      <c r="AA989" s="146">
        <f>AB989/COUNTIFS($B:$B,$B989,$C:$C,$C989,$H:$H,$H989,$I:$I,$I989)</f>
        <v>0.1</v>
      </c>
      <c r="AB989" s="108">
        <f>VLOOKUP(I989,'Weights and Confidence'!$D$16:$AC$26,7,FALSE)</f>
        <v>0.1</v>
      </c>
      <c r="AC989" s="147">
        <f>VLOOKUP(I989,'Weights and Confidence'!$D$16:$AC$26,8,FALSE)</f>
        <v>1</v>
      </c>
    </row>
    <row r="990" spans="1:29" x14ac:dyDescent="0.2">
      <c r="A990" s="38" t="s">
        <v>185</v>
      </c>
      <c r="B990" s="38" t="s">
        <v>86</v>
      </c>
      <c r="C990" s="38" t="s">
        <v>299</v>
      </c>
      <c r="D990" s="38" t="s">
        <v>5</v>
      </c>
      <c r="E990" s="38" t="s">
        <v>679</v>
      </c>
      <c r="F990" s="51" t="s">
        <v>300</v>
      </c>
      <c r="G990" s="38">
        <v>9</v>
      </c>
      <c r="H990" s="38" t="s">
        <v>17</v>
      </c>
      <c r="I990" s="38" t="s">
        <v>27</v>
      </c>
      <c r="J990" s="38">
        <v>0</v>
      </c>
      <c r="K990" s="39">
        <f>AB990/COUNTIFS($B:$B,$B990,$C:$C,$C990,$H:$H,$H990,$I:$I,$I990)</f>
        <v>0.05</v>
      </c>
      <c r="L990" s="40">
        <f t="shared" si="61"/>
        <v>0.85</v>
      </c>
      <c r="M990" s="41">
        <f t="shared" si="62"/>
        <v>0</v>
      </c>
      <c r="N990" s="38"/>
      <c r="AA990" s="146">
        <f>AB990/COUNTIFS($B:$B,$B990,$C:$C,$C990,$H:$H,$H990,$I:$I,$I990)</f>
        <v>0.05</v>
      </c>
      <c r="AB990" s="108">
        <f>VLOOKUP(I990,'Weights and Confidence'!$D$16:$AC$26,7,FALSE)</f>
        <v>0.1</v>
      </c>
      <c r="AC990" s="147">
        <f>VLOOKUP(I990,'Weights and Confidence'!$D$16:$AC$26,8,FALSE)</f>
        <v>0.85</v>
      </c>
    </row>
    <row r="991" spans="1:29" x14ac:dyDescent="0.2">
      <c r="A991" s="34" t="s">
        <v>185</v>
      </c>
      <c r="B991" s="34" t="s">
        <v>86</v>
      </c>
      <c r="C991" s="34" t="s">
        <v>299</v>
      </c>
      <c r="D991" s="34" t="s">
        <v>5</v>
      </c>
      <c r="E991" s="34" t="s">
        <v>679</v>
      </c>
      <c r="F991" s="50" t="s">
        <v>300</v>
      </c>
      <c r="G991" s="34">
        <v>9</v>
      </c>
      <c r="H991" s="34" t="s">
        <v>18</v>
      </c>
      <c r="I991" s="34" t="s">
        <v>27</v>
      </c>
      <c r="J991" s="34">
        <v>0</v>
      </c>
      <c r="K991" s="35">
        <f>AB991/COUNTIFS($B:$B,$B991,$C:$C,$C991,$H:$H,$H991,$I:$I,$I991)</f>
        <v>0.05</v>
      </c>
      <c r="L991" s="36">
        <f t="shared" si="61"/>
        <v>0.85</v>
      </c>
      <c r="M991" s="37">
        <f t="shared" si="62"/>
        <v>0</v>
      </c>
      <c r="N991" s="58"/>
      <c r="AA991" s="146">
        <f>AB991/COUNTIFS($B:$B,$B991,$C:$C,$C991,$H:$H,$H991,$I:$I,$I991)</f>
        <v>0.05</v>
      </c>
      <c r="AB991" s="108">
        <f>VLOOKUP(I991,'Weights and Confidence'!$D$16:$AC$26,7,FALSE)</f>
        <v>0.1</v>
      </c>
      <c r="AC991" s="147">
        <f>VLOOKUP(I991,'Weights and Confidence'!$D$16:$AC$26,8,FALSE)</f>
        <v>0.85</v>
      </c>
    </row>
    <row r="992" spans="1:29" x14ac:dyDescent="0.2">
      <c r="A992" s="38" t="s">
        <v>185</v>
      </c>
      <c r="B992" s="38" t="s">
        <v>86</v>
      </c>
      <c r="C992" s="38" t="s">
        <v>299</v>
      </c>
      <c r="D992" s="38" t="s">
        <v>5</v>
      </c>
      <c r="E992" s="38" t="s">
        <v>679</v>
      </c>
      <c r="F992" s="51" t="s">
        <v>300</v>
      </c>
      <c r="G992" s="38">
        <v>10</v>
      </c>
      <c r="H992" s="38" t="s">
        <v>17</v>
      </c>
      <c r="I992" s="38" t="s">
        <v>27</v>
      </c>
      <c r="J992" s="38">
        <v>0</v>
      </c>
      <c r="K992" s="39">
        <f>AB992/COUNTIFS($B:$B,$B992,$C:$C,$C992,$H:$H,$H992,$I:$I,$I992)</f>
        <v>0.05</v>
      </c>
      <c r="L992" s="40">
        <f t="shared" si="61"/>
        <v>0.85</v>
      </c>
      <c r="M992" s="41">
        <f t="shared" si="62"/>
        <v>0</v>
      </c>
      <c r="N992" s="38"/>
      <c r="AA992" s="146">
        <f>AB992/COUNTIFS($B:$B,$B992,$C:$C,$C992,$H:$H,$H992,$I:$I,$I992)</f>
        <v>0.05</v>
      </c>
      <c r="AB992" s="108">
        <f>VLOOKUP(I992,'Weights and Confidence'!$D$16:$AC$26,7,FALSE)</f>
        <v>0.1</v>
      </c>
      <c r="AC992" s="147">
        <f>VLOOKUP(I992,'Weights and Confidence'!$D$16:$AC$26,8,FALSE)</f>
        <v>0.85</v>
      </c>
    </row>
    <row r="993" spans="1:29" x14ac:dyDescent="0.2">
      <c r="A993" s="34" t="s">
        <v>185</v>
      </c>
      <c r="B993" s="34" t="s">
        <v>86</v>
      </c>
      <c r="C993" s="34" t="s">
        <v>299</v>
      </c>
      <c r="D993" s="34" t="s">
        <v>5</v>
      </c>
      <c r="E993" s="34" t="s">
        <v>679</v>
      </c>
      <c r="F993" s="50" t="s">
        <v>300</v>
      </c>
      <c r="G993" s="34">
        <v>10</v>
      </c>
      <c r="H993" s="34" t="s">
        <v>18</v>
      </c>
      <c r="I993" s="34" t="s">
        <v>27</v>
      </c>
      <c r="J993" s="34">
        <v>0</v>
      </c>
      <c r="K993" s="35">
        <f>AB993/COUNTIFS($B:$B,$B993,$C:$C,$C993,$H:$H,$H993,$I:$I,$I993)</f>
        <v>0.05</v>
      </c>
      <c r="L993" s="36">
        <f t="shared" si="61"/>
        <v>0.85</v>
      </c>
      <c r="M993" s="37">
        <f t="shared" si="62"/>
        <v>0</v>
      </c>
      <c r="N993" s="60">
        <v>0.7</v>
      </c>
      <c r="AA993" s="146">
        <f>AB993/COUNTIFS($B:$B,$B993,$C:$C,$C993,$H:$H,$H993,$I:$I,$I993)</f>
        <v>0.05</v>
      </c>
      <c r="AB993" s="108">
        <f>VLOOKUP(I993,'Weights and Confidence'!$D$16:$AC$26,7,FALSE)</f>
        <v>0.1</v>
      </c>
      <c r="AC993" s="147">
        <f>VLOOKUP(I993,'Weights and Confidence'!$D$16:$AC$26,8,FALSE)</f>
        <v>0.85</v>
      </c>
    </row>
    <row r="994" spans="1:29" x14ac:dyDescent="0.2">
      <c r="A994" s="38" t="s">
        <v>185</v>
      </c>
      <c r="B994" s="38" t="s">
        <v>86</v>
      </c>
      <c r="C994" s="38" t="s">
        <v>299</v>
      </c>
      <c r="D994" s="38" t="s">
        <v>5</v>
      </c>
      <c r="E994" s="38" t="s">
        <v>679</v>
      </c>
      <c r="F994" s="51" t="s">
        <v>300</v>
      </c>
      <c r="G994" s="38">
        <v>11</v>
      </c>
      <c r="H994" s="38" t="s">
        <v>17</v>
      </c>
      <c r="I994" s="38" t="s">
        <v>28</v>
      </c>
      <c r="J994" s="38">
        <v>-1</v>
      </c>
      <c r="K994" s="39">
        <f>AB994/COUNTIFS($B:$B,$B994,$C:$C,$C994,$H:$H,$H994,$I:$I,$I994)</f>
        <v>0.05</v>
      </c>
      <c r="L994" s="40">
        <f t="shared" si="61"/>
        <v>1</v>
      </c>
      <c r="M994" s="41">
        <f t="shared" si="62"/>
        <v>-0.05</v>
      </c>
      <c r="N994" s="38"/>
      <c r="AA994" s="146">
        <f>AB994/COUNTIFS($B:$B,$B994,$C:$C,$C994,$H:$H,$H994,$I:$I,$I994)</f>
        <v>0.05</v>
      </c>
      <c r="AB994" s="108">
        <f>VLOOKUP(I994,'Weights and Confidence'!$D$16:$AC$26,7,FALSE)</f>
        <v>0.05</v>
      </c>
      <c r="AC994" s="147">
        <f>VLOOKUP(I994,'Weights and Confidence'!$D$16:$AC$26,8,FALSE)</f>
        <v>1</v>
      </c>
    </row>
    <row r="995" spans="1:29" ht="17" thickBot="1" x14ac:dyDescent="0.25">
      <c r="A995" s="34" t="s">
        <v>185</v>
      </c>
      <c r="B995" s="34" t="s">
        <v>86</v>
      </c>
      <c r="C995" s="34" t="s">
        <v>299</v>
      </c>
      <c r="D995" s="34" t="s">
        <v>5</v>
      </c>
      <c r="E995" s="34" t="s">
        <v>679</v>
      </c>
      <c r="F995" s="50" t="s">
        <v>300</v>
      </c>
      <c r="G995" s="34">
        <v>11</v>
      </c>
      <c r="H995" s="34" t="s">
        <v>18</v>
      </c>
      <c r="I995" s="34" t="s">
        <v>28</v>
      </c>
      <c r="J995" s="34">
        <v>-1</v>
      </c>
      <c r="K995" s="35">
        <f>AB995/COUNTIFS($B:$B,$B995,$C:$C,$C995,$H:$H,$H995,$I:$I,$I995)</f>
        <v>0.05</v>
      </c>
      <c r="L995" s="36">
        <f t="shared" si="61"/>
        <v>1</v>
      </c>
      <c r="M995" s="37">
        <f t="shared" si="62"/>
        <v>-0.05</v>
      </c>
      <c r="N995" s="58" t="s">
        <v>310</v>
      </c>
      <c r="AA995" s="140">
        <f>AB995/COUNTIFS($B:$B,$B995,$C:$C,$C995,$H:$H,$H995,$I:$I,$I995)</f>
        <v>0.05</v>
      </c>
      <c r="AB995" s="141">
        <f>VLOOKUP(I995,'Weights and Confidence'!$D$16:$AC$26,7,FALSE)</f>
        <v>0.05</v>
      </c>
      <c r="AC995" s="142">
        <f>VLOOKUP(I995,'Weights and Confidence'!$D$16:$AC$26,8,FALSE)</f>
        <v>1</v>
      </c>
    </row>
    <row r="996" spans="1:29" ht="17" thickTop="1" x14ac:dyDescent="0.2">
      <c r="A996" s="42" t="s">
        <v>185</v>
      </c>
      <c r="B996" s="42" t="s">
        <v>86</v>
      </c>
      <c r="C996" s="42" t="s">
        <v>311</v>
      </c>
      <c r="D996" s="42" t="s">
        <v>5</v>
      </c>
      <c r="E996" s="42"/>
      <c r="F996" s="49" t="s">
        <v>312</v>
      </c>
      <c r="G996" s="42">
        <v>1</v>
      </c>
      <c r="H996" s="42" t="s">
        <v>17</v>
      </c>
      <c r="I996" s="42" t="s">
        <v>19</v>
      </c>
      <c r="J996" s="42">
        <v>1</v>
      </c>
      <c r="K996" s="44">
        <f>AB996/COUNTIFS($B:$B,$B996,$C:$C,$C996,$H:$H,$H996,$I:$I,$I996)</f>
        <v>0.12</v>
      </c>
      <c r="L996" s="45">
        <f t="shared" si="61"/>
        <v>1</v>
      </c>
      <c r="M996" s="46">
        <f t="shared" ref="M996:M1017" si="63">J996*K996*L996</f>
        <v>0.12</v>
      </c>
      <c r="N996" s="42"/>
      <c r="AA996" s="146">
        <f>AB996/COUNTIFS($B:$B,$B996,$C:$C,$C996,$H:$H,$H996,$I:$I,$I996)</f>
        <v>0.12</v>
      </c>
      <c r="AB996" s="108">
        <f>VLOOKUP(I996,'Weights and Confidence'!$D$16:$AC$26,7,FALSE)</f>
        <v>0.12</v>
      </c>
      <c r="AC996" s="147">
        <f>VLOOKUP(I996,'Weights and Confidence'!$D$16:$AC$26,8,FALSE)</f>
        <v>1</v>
      </c>
    </row>
    <row r="997" spans="1:29" x14ac:dyDescent="0.2">
      <c r="A997" s="34" t="s">
        <v>185</v>
      </c>
      <c r="B997" s="34" t="s">
        <v>86</v>
      </c>
      <c r="C997" s="34" t="s">
        <v>311</v>
      </c>
      <c r="D997" s="34" t="s">
        <v>5</v>
      </c>
      <c r="E997" s="34"/>
      <c r="F997" s="50" t="s">
        <v>312</v>
      </c>
      <c r="G997" s="34">
        <v>1</v>
      </c>
      <c r="H997" s="34" t="s">
        <v>18</v>
      </c>
      <c r="I997" s="34" t="s">
        <v>19</v>
      </c>
      <c r="J997" s="34">
        <v>1</v>
      </c>
      <c r="K997" s="35">
        <f>AB997/COUNTIFS($B:$B,$B997,$C:$C,$C997,$H:$H,$H997,$I:$I,$I997)</f>
        <v>0.12</v>
      </c>
      <c r="L997" s="36">
        <f t="shared" si="61"/>
        <v>1</v>
      </c>
      <c r="M997" s="37">
        <f t="shared" si="63"/>
        <v>0.12</v>
      </c>
      <c r="N997" s="58"/>
      <c r="AA997" s="146">
        <f>AB997/COUNTIFS($B:$B,$B997,$C:$C,$C997,$H:$H,$H997,$I:$I,$I997)</f>
        <v>0.12</v>
      </c>
      <c r="AB997" s="108">
        <f>VLOOKUP(I997,'Weights and Confidence'!$D$16:$AC$26,7,FALSE)</f>
        <v>0.12</v>
      </c>
      <c r="AC997" s="147">
        <f>VLOOKUP(I997,'Weights and Confidence'!$D$16:$AC$26,8,FALSE)</f>
        <v>1</v>
      </c>
    </row>
    <row r="998" spans="1:29" x14ac:dyDescent="0.2">
      <c r="A998" s="38" t="s">
        <v>185</v>
      </c>
      <c r="B998" s="38" t="s">
        <v>86</v>
      </c>
      <c r="C998" s="38" t="s">
        <v>311</v>
      </c>
      <c r="D998" s="38" t="s">
        <v>5</v>
      </c>
      <c r="E998" s="38"/>
      <c r="F998" s="51" t="s">
        <v>312</v>
      </c>
      <c r="G998" s="38">
        <v>2</v>
      </c>
      <c r="H998" s="38" t="s">
        <v>17</v>
      </c>
      <c r="I998" s="38" t="s">
        <v>20</v>
      </c>
      <c r="J998" s="38">
        <v>1</v>
      </c>
      <c r="K998" s="39">
        <f>AB998/COUNTIFS($B:$B,$B998,$C:$C,$C998,$H:$H,$H998,$I:$I,$I998)</f>
        <v>0.08</v>
      </c>
      <c r="L998" s="40">
        <f t="shared" si="61"/>
        <v>0.8</v>
      </c>
      <c r="M998" s="41">
        <f t="shared" si="63"/>
        <v>6.4000000000000001E-2</v>
      </c>
      <c r="N998" s="38"/>
      <c r="AA998" s="146">
        <f>AB998/COUNTIFS($B:$B,$B998,$C:$C,$C998,$H:$H,$H998,$I:$I,$I998)</f>
        <v>0.08</v>
      </c>
      <c r="AB998" s="108">
        <f>VLOOKUP(I998,'Weights and Confidence'!$D$16:$AC$26,7,FALSE)</f>
        <v>0.08</v>
      </c>
      <c r="AC998" s="147">
        <f>VLOOKUP(I998,'Weights and Confidence'!$D$16:$AC$26,8,FALSE)</f>
        <v>0.8</v>
      </c>
    </row>
    <row r="999" spans="1:29" ht="17" thickBot="1" x14ac:dyDescent="0.25">
      <c r="A999" s="34" t="s">
        <v>185</v>
      </c>
      <c r="B999" s="34" t="s">
        <v>86</v>
      </c>
      <c r="C999" s="34" t="s">
        <v>311</v>
      </c>
      <c r="D999" s="34" t="s">
        <v>5</v>
      </c>
      <c r="E999" s="34"/>
      <c r="F999" s="50" t="s">
        <v>312</v>
      </c>
      <c r="G999" s="34">
        <v>2</v>
      </c>
      <c r="H999" s="34" t="s">
        <v>18</v>
      </c>
      <c r="I999" s="34" t="s">
        <v>20</v>
      </c>
      <c r="J999" s="34">
        <v>1</v>
      </c>
      <c r="K999" s="35">
        <f>AB999/COUNTIFS($B:$B,$B999,$C:$C,$C999,$H:$H,$H999,$I:$I,$I999)</f>
        <v>0.08</v>
      </c>
      <c r="L999" s="36">
        <f t="shared" si="61"/>
        <v>0.8</v>
      </c>
      <c r="M999" s="37">
        <f t="shared" si="63"/>
        <v>6.4000000000000001E-2</v>
      </c>
      <c r="N999" s="58" t="s">
        <v>313</v>
      </c>
      <c r="AA999" s="146">
        <f>AB999/COUNTIFS($B:$B,$B999,$C:$C,$C999,$H:$H,$H999,$I:$I,$I999)</f>
        <v>0.08</v>
      </c>
      <c r="AB999" s="108">
        <f>VLOOKUP(I999,'Weights and Confidence'!$D$16:$AC$26,7,FALSE)</f>
        <v>0.08</v>
      </c>
      <c r="AC999" s="147">
        <f>VLOOKUP(I999,'Weights and Confidence'!$D$16:$AC$26,8,FALSE)</f>
        <v>0.8</v>
      </c>
    </row>
    <row r="1000" spans="1:29" x14ac:dyDescent="0.2">
      <c r="A1000" s="38" t="s">
        <v>185</v>
      </c>
      <c r="B1000" s="38" t="s">
        <v>86</v>
      </c>
      <c r="C1000" s="38" t="s">
        <v>311</v>
      </c>
      <c r="D1000" s="38" t="s">
        <v>5</v>
      </c>
      <c r="E1000" s="38"/>
      <c r="F1000" s="51" t="s">
        <v>312</v>
      </c>
      <c r="G1000" s="38">
        <v>3</v>
      </c>
      <c r="H1000" s="38" t="s">
        <v>17</v>
      </c>
      <c r="I1000" s="38" t="s">
        <v>21</v>
      </c>
      <c r="J1000" s="38">
        <v>1</v>
      </c>
      <c r="K1000" s="39">
        <f>AB1000/COUNTIFS($B:$B,$B1000,$C:$C,$C1000,$H:$H,$H1000,$I:$I,$I1000)</f>
        <v>0.05</v>
      </c>
      <c r="L1000" s="40">
        <f t="shared" si="61"/>
        <v>1</v>
      </c>
      <c r="M1000" s="41">
        <f t="shared" si="63"/>
        <v>0.05</v>
      </c>
      <c r="N1000" s="38"/>
      <c r="P1000" s="24" t="s">
        <v>320</v>
      </c>
      <c r="Q1000" s="10"/>
      <c r="R1000" s="10"/>
      <c r="S1000" s="10"/>
      <c r="T1000" s="10"/>
      <c r="U1000" s="10"/>
      <c r="V1000" s="10"/>
      <c r="AA1000" s="146">
        <f>AB1000/COUNTIFS($B:$B,$B1000,$C:$C,$C1000,$H:$H,$H1000,$I:$I,$I1000)</f>
        <v>0.05</v>
      </c>
      <c r="AB1000" s="108">
        <f>VLOOKUP(I1000,'Weights and Confidence'!$D$16:$AC$26,7,FALSE)</f>
        <v>0.05</v>
      </c>
      <c r="AC1000" s="147">
        <f>VLOOKUP(I1000,'Weights and Confidence'!$D$16:$AC$26,8,FALSE)</f>
        <v>1</v>
      </c>
    </row>
    <row r="1001" spans="1:29" ht="17" thickBot="1" x14ac:dyDescent="0.25">
      <c r="A1001" s="34" t="s">
        <v>185</v>
      </c>
      <c r="B1001" s="34" t="s">
        <v>86</v>
      </c>
      <c r="C1001" s="34" t="s">
        <v>311</v>
      </c>
      <c r="D1001" s="34" t="s">
        <v>5</v>
      </c>
      <c r="E1001" s="34"/>
      <c r="F1001" s="50" t="s">
        <v>312</v>
      </c>
      <c r="G1001" s="34">
        <v>3</v>
      </c>
      <c r="H1001" s="34" t="s">
        <v>18</v>
      </c>
      <c r="I1001" s="34" t="s">
        <v>21</v>
      </c>
      <c r="J1001" s="34">
        <v>1</v>
      </c>
      <c r="K1001" s="35">
        <f>AB1001/COUNTIFS($B:$B,$B1001,$C:$C,$C1001,$H:$H,$H1001,$I:$I,$I1001)</f>
        <v>0.05</v>
      </c>
      <c r="L1001" s="36">
        <f t="shared" si="61"/>
        <v>1</v>
      </c>
      <c r="M1001" s="37">
        <f t="shared" si="63"/>
        <v>0.05</v>
      </c>
      <c r="N1001" s="58"/>
      <c r="P1001" s="26" t="s">
        <v>322</v>
      </c>
      <c r="Q1001" s="2"/>
      <c r="R1001" s="2"/>
      <c r="S1001" s="2"/>
      <c r="T1001" s="2"/>
      <c r="U1001" s="2"/>
      <c r="V1001" s="2"/>
      <c r="AA1001" s="146">
        <f>AB1001/COUNTIFS($B:$B,$B1001,$C:$C,$C1001,$H:$H,$H1001,$I:$I,$I1001)</f>
        <v>0.05</v>
      </c>
      <c r="AB1001" s="108">
        <f>VLOOKUP(I1001,'Weights and Confidence'!$D$16:$AC$26,7,FALSE)</f>
        <v>0.05</v>
      </c>
      <c r="AC1001" s="147">
        <f>VLOOKUP(I1001,'Weights and Confidence'!$D$16:$AC$26,8,FALSE)</f>
        <v>1</v>
      </c>
    </row>
    <row r="1002" spans="1:29" x14ac:dyDescent="0.2">
      <c r="A1002" s="38" t="s">
        <v>185</v>
      </c>
      <c r="B1002" s="38" t="s">
        <v>86</v>
      </c>
      <c r="C1002" s="38" t="s">
        <v>311</v>
      </c>
      <c r="D1002" s="38" t="s">
        <v>5</v>
      </c>
      <c r="E1002" s="38"/>
      <c r="F1002" s="51" t="s">
        <v>312</v>
      </c>
      <c r="G1002" s="38">
        <v>4</v>
      </c>
      <c r="H1002" s="38" t="s">
        <v>17</v>
      </c>
      <c r="I1002" s="38" t="s">
        <v>22</v>
      </c>
      <c r="J1002" s="38">
        <v>1</v>
      </c>
      <c r="K1002" s="39">
        <f>AB1002/COUNTIFS($B:$B,$B1002,$C:$C,$C1002,$H:$H,$H1002,$I:$I,$I1002)</f>
        <v>0.14000000000000001</v>
      </c>
      <c r="L1002" s="40">
        <f t="shared" si="61"/>
        <v>1</v>
      </c>
      <c r="M1002" s="41">
        <f t="shared" si="63"/>
        <v>0.14000000000000001</v>
      </c>
      <c r="N1002" s="38"/>
      <c r="AA1002" s="146">
        <f>AB1002/COUNTIFS($B:$B,$B1002,$C:$C,$C1002,$H:$H,$H1002,$I:$I,$I1002)</f>
        <v>0.14000000000000001</v>
      </c>
      <c r="AB1002" s="108">
        <f>VLOOKUP(I1002,'Weights and Confidence'!$D$16:$AC$26,7,FALSE)</f>
        <v>0.14000000000000001</v>
      </c>
      <c r="AC1002" s="147">
        <f>VLOOKUP(I1002,'Weights and Confidence'!$D$16:$AC$26,8,FALSE)</f>
        <v>1</v>
      </c>
    </row>
    <row r="1003" spans="1:29" x14ac:dyDescent="0.2">
      <c r="A1003" s="34" t="s">
        <v>185</v>
      </c>
      <c r="B1003" s="34" t="s">
        <v>86</v>
      </c>
      <c r="C1003" s="34" t="s">
        <v>311</v>
      </c>
      <c r="D1003" s="34" t="s">
        <v>5</v>
      </c>
      <c r="E1003" s="34"/>
      <c r="F1003" s="50" t="s">
        <v>312</v>
      </c>
      <c r="G1003" s="34">
        <v>4</v>
      </c>
      <c r="H1003" s="34" t="s">
        <v>18</v>
      </c>
      <c r="I1003" s="34" t="s">
        <v>22</v>
      </c>
      <c r="J1003" s="34">
        <v>1</v>
      </c>
      <c r="K1003" s="35">
        <f>AB1003/COUNTIFS($B:$B,$B1003,$C:$C,$C1003,$H:$H,$H1003,$I:$I,$I1003)</f>
        <v>0.14000000000000001</v>
      </c>
      <c r="L1003" s="36">
        <f t="shared" si="61"/>
        <v>1</v>
      </c>
      <c r="M1003" s="37">
        <f t="shared" si="63"/>
        <v>0.14000000000000001</v>
      </c>
      <c r="N1003" s="58" t="s">
        <v>314</v>
      </c>
      <c r="AA1003" s="146">
        <f>AB1003/COUNTIFS($B:$B,$B1003,$C:$C,$C1003,$H:$H,$H1003,$I:$I,$I1003)</f>
        <v>0.14000000000000001</v>
      </c>
      <c r="AB1003" s="108">
        <f>VLOOKUP(I1003,'Weights and Confidence'!$D$16:$AC$26,7,FALSE)</f>
        <v>0.14000000000000001</v>
      </c>
      <c r="AC1003" s="147">
        <f>VLOOKUP(I1003,'Weights and Confidence'!$D$16:$AC$26,8,FALSE)</f>
        <v>1</v>
      </c>
    </row>
    <row r="1004" spans="1:29" x14ac:dyDescent="0.2">
      <c r="A1004" s="38" t="s">
        <v>185</v>
      </c>
      <c r="B1004" s="38" t="s">
        <v>86</v>
      </c>
      <c r="C1004" s="38" t="s">
        <v>311</v>
      </c>
      <c r="D1004" s="38" t="s">
        <v>5</v>
      </c>
      <c r="E1004" s="38"/>
      <c r="F1004" s="51" t="s">
        <v>312</v>
      </c>
      <c r="G1004" s="38">
        <v>5</v>
      </c>
      <c r="H1004" s="38" t="s">
        <v>17</v>
      </c>
      <c r="I1004" s="38" t="s">
        <v>23</v>
      </c>
      <c r="J1004" s="38">
        <v>0</v>
      </c>
      <c r="K1004" s="39">
        <f>AB1004/COUNTIFS($B:$B,$B1004,$C:$C,$C1004,$H:$H,$H1004,$I:$I,$I1004)</f>
        <v>0.11</v>
      </c>
      <c r="L1004" s="40">
        <f t="shared" si="61"/>
        <v>1</v>
      </c>
      <c r="M1004" s="41">
        <f t="shared" si="63"/>
        <v>0</v>
      </c>
      <c r="N1004" s="38"/>
      <c r="AA1004" s="146">
        <f>AB1004/COUNTIFS($B:$B,$B1004,$C:$C,$C1004,$H:$H,$H1004,$I:$I,$I1004)</f>
        <v>0.11</v>
      </c>
      <c r="AB1004" s="108">
        <f>VLOOKUP(I1004,'Weights and Confidence'!$D$16:$AC$26,7,FALSE)</f>
        <v>0.11</v>
      </c>
      <c r="AC1004" s="147">
        <f>VLOOKUP(I1004,'Weights and Confidence'!$D$16:$AC$26,8,FALSE)</f>
        <v>1</v>
      </c>
    </row>
    <row r="1005" spans="1:29" x14ac:dyDescent="0.2">
      <c r="A1005" s="34" t="s">
        <v>185</v>
      </c>
      <c r="B1005" s="34" t="s">
        <v>86</v>
      </c>
      <c r="C1005" s="34" t="s">
        <v>311</v>
      </c>
      <c r="D1005" s="34" t="s">
        <v>5</v>
      </c>
      <c r="E1005" s="34"/>
      <c r="F1005" s="50" t="s">
        <v>312</v>
      </c>
      <c r="G1005" s="34">
        <v>5</v>
      </c>
      <c r="H1005" s="34" t="s">
        <v>18</v>
      </c>
      <c r="I1005" s="34" t="s">
        <v>23</v>
      </c>
      <c r="J1005" s="34">
        <v>1</v>
      </c>
      <c r="K1005" s="35">
        <f>AB1005/COUNTIFS($B:$B,$B1005,$C:$C,$C1005,$H:$H,$H1005,$I:$I,$I1005)</f>
        <v>0.11</v>
      </c>
      <c r="L1005" s="36">
        <f t="shared" si="61"/>
        <v>1</v>
      </c>
      <c r="M1005" s="37">
        <f t="shared" si="63"/>
        <v>0.11</v>
      </c>
      <c r="N1005" s="58" t="s">
        <v>315</v>
      </c>
      <c r="AA1005" s="146">
        <f>AB1005/COUNTIFS($B:$B,$B1005,$C:$C,$C1005,$H:$H,$H1005,$I:$I,$I1005)</f>
        <v>0.11</v>
      </c>
      <c r="AB1005" s="108">
        <f>VLOOKUP(I1005,'Weights and Confidence'!$D$16:$AC$26,7,FALSE)</f>
        <v>0.11</v>
      </c>
      <c r="AC1005" s="147">
        <f>VLOOKUP(I1005,'Weights and Confidence'!$D$16:$AC$26,8,FALSE)</f>
        <v>1</v>
      </c>
    </row>
    <row r="1006" spans="1:29" x14ac:dyDescent="0.2">
      <c r="A1006" s="38" t="s">
        <v>185</v>
      </c>
      <c r="B1006" s="38" t="s">
        <v>86</v>
      </c>
      <c r="C1006" s="38" t="s">
        <v>311</v>
      </c>
      <c r="D1006" s="38" t="s">
        <v>5</v>
      </c>
      <c r="E1006" s="38"/>
      <c r="F1006" s="51" t="s">
        <v>312</v>
      </c>
      <c r="G1006" s="38">
        <v>6</v>
      </c>
      <c r="H1006" s="38" t="s">
        <v>17</v>
      </c>
      <c r="I1006" s="38" t="s">
        <v>24</v>
      </c>
      <c r="J1006" s="38">
        <v>0</v>
      </c>
      <c r="K1006" s="39">
        <f>AB1006/COUNTIFS($B:$B,$B1006,$C:$C,$C1006,$H:$H,$H1006,$I:$I,$I1006)</f>
        <v>0.15</v>
      </c>
      <c r="L1006" s="40">
        <f t="shared" si="61"/>
        <v>1</v>
      </c>
      <c r="M1006" s="41">
        <f t="shared" si="63"/>
        <v>0</v>
      </c>
      <c r="N1006" s="59"/>
      <c r="AA1006" s="146">
        <f>AB1006/COUNTIFS($B:$B,$B1006,$C:$C,$C1006,$H:$H,$H1006,$I:$I,$I1006)</f>
        <v>0.15</v>
      </c>
      <c r="AB1006" s="108">
        <f>VLOOKUP(I1006,'Weights and Confidence'!$D$16:$AC$26,7,FALSE)</f>
        <v>0.15</v>
      </c>
      <c r="AC1006" s="147">
        <f>VLOOKUP(I1006,'Weights and Confidence'!$D$16:$AC$26,8,FALSE)</f>
        <v>1</v>
      </c>
    </row>
    <row r="1007" spans="1:29" x14ac:dyDescent="0.2">
      <c r="A1007" s="34" t="s">
        <v>185</v>
      </c>
      <c r="B1007" s="34" t="s">
        <v>86</v>
      </c>
      <c r="C1007" s="34" t="s">
        <v>311</v>
      </c>
      <c r="D1007" s="34" t="s">
        <v>5</v>
      </c>
      <c r="E1007" s="34"/>
      <c r="F1007" s="50" t="s">
        <v>312</v>
      </c>
      <c r="G1007" s="34">
        <v>6</v>
      </c>
      <c r="H1007" s="34" t="s">
        <v>18</v>
      </c>
      <c r="I1007" s="34" t="s">
        <v>24</v>
      </c>
      <c r="J1007" s="34">
        <v>0</v>
      </c>
      <c r="K1007" s="35">
        <f>AB1007/COUNTIFS($B:$B,$B1007,$C:$C,$C1007,$H:$H,$H1007,$I:$I,$I1007)</f>
        <v>0.15</v>
      </c>
      <c r="L1007" s="36">
        <f t="shared" si="61"/>
        <v>1</v>
      </c>
      <c r="M1007" s="37">
        <f t="shared" si="63"/>
        <v>0</v>
      </c>
      <c r="N1007" s="58" t="s">
        <v>316</v>
      </c>
      <c r="AA1007" s="146">
        <f>AB1007/COUNTIFS($B:$B,$B1007,$C:$C,$C1007,$H:$H,$H1007,$I:$I,$I1007)</f>
        <v>0.15</v>
      </c>
      <c r="AB1007" s="108">
        <f>VLOOKUP(I1007,'Weights and Confidence'!$D$16:$AC$26,7,FALSE)</f>
        <v>0.15</v>
      </c>
      <c r="AC1007" s="147">
        <f>VLOOKUP(I1007,'Weights and Confidence'!$D$16:$AC$26,8,FALSE)</f>
        <v>1</v>
      </c>
    </row>
    <row r="1008" spans="1:29" x14ac:dyDescent="0.2">
      <c r="A1008" s="38" t="s">
        <v>185</v>
      </c>
      <c r="B1008" s="38" t="s">
        <v>86</v>
      </c>
      <c r="C1008" s="38" t="s">
        <v>311</v>
      </c>
      <c r="D1008" s="38" t="s">
        <v>5</v>
      </c>
      <c r="E1008" s="38"/>
      <c r="F1008" s="51" t="s">
        <v>312</v>
      </c>
      <c r="G1008" s="38">
        <v>7</v>
      </c>
      <c r="H1008" s="38" t="s">
        <v>17</v>
      </c>
      <c r="I1008" s="38" t="s">
        <v>25</v>
      </c>
      <c r="J1008" s="38">
        <v>0</v>
      </c>
      <c r="K1008" s="39">
        <f>AB1008/COUNTIFS($B:$B,$B1008,$C:$C,$C1008,$H:$H,$H1008,$I:$I,$I1008)</f>
        <v>0.1</v>
      </c>
      <c r="L1008" s="40">
        <f t="shared" si="61"/>
        <v>1</v>
      </c>
      <c r="M1008" s="41">
        <f t="shared" si="63"/>
        <v>0</v>
      </c>
      <c r="N1008" s="38"/>
      <c r="AA1008" s="146">
        <f>AB1008/COUNTIFS($B:$B,$B1008,$C:$C,$C1008,$H:$H,$H1008,$I:$I,$I1008)</f>
        <v>0.1</v>
      </c>
      <c r="AB1008" s="108">
        <f>VLOOKUP(I1008,'Weights and Confidence'!$D$16:$AC$26,7,FALSE)</f>
        <v>0.1</v>
      </c>
      <c r="AC1008" s="147">
        <f>VLOOKUP(I1008,'Weights and Confidence'!$D$16:$AC$26,8,FALSE)</f>
        <v>1</v>
      </c>
    </row>
    <row r="1009" spans="1:29" x14ac:dyDescent="0.2">
      <c r="A1009" s="34" t="s">
        <v>185</v>
      </c>
      <c r="B1009" s="34" t="s">
        <v>86</v>
      </c>
      <c r="C1009" s="34" t="s">
        <v>311</v>
      </c>
      <c r="D1009" s="34" t="s">
        <v>5</v>
      </c>
      <c r="E1009" s="34"/>
      <c r="F1009" s="50" t="s">
        <v>312</v>
      </c>
      <c r="G1009" s="34">
        <v>7</v>
      </c>
      <c r="H1009" s="34" t="s">
        <v>18</v>
      </c>
      <c r="I1009" s="34" t="s">
        <v>25</v>
      </c>
      <c r="J1009" s="34">
        <v>1</v>
      </c>
      <c r="K1009" s="35">
        <f>AB1009/COUNTIFS($B:$B,$B1009,$C:$C,$C1009,$H:$H,$H1009,$I:$I,$I1009)</f>
        <v>0.1</v>
      </c>
      <c r="L1009" s="36">
        <f t="shared" si="61"/>
        <v>1</v>
      </c>
      <c r="M1009" s="37">
        <f t="shared" si="63"/>
        <v>0.1</v>
      </c>
      <c r="N1009" s="58" t="s">
        <v>317</v>
      </c>
      <c r="AA1009" s="146">
        <f>AB1009/COUNTIFS($B:$B,$B1009,$C:$C,$C1009,$H:$H,$H1009,$I:$I,$I1009)</f>
        <v>0.1</v>
      </c>
      <c r="AB1009" s="108">
        <f>VLOOKUP(I1009,'Weights and Confidence'!$D$16:$AC$26,7,FALSE)</f>
        <v>0.1</v>
      </c>
      <c r="AC1009" s="147">
        <f>VLOOKUP(I1009,'Weights and Confidence'!$D$16:$AC$26,8,FALSE)</f>
        <v>1</v>
      </c>
    </row>
    <row r="1010" spans="1:29" x14ac:dyDescent="0.2">
      <c r="A1010" s="38" t="s">
        <v>185</v>
      </c>
      <c r="B1010" s="38" t="s">
        <v>86</v>
      </c>
      <c r="C1010" s="38" t="s">
        <v>311</v>
      </c>
      <c r="D1010" s="38" t="s">
        <v>5</v>
      </c>
      <c r="E1010" s="38"/>
      <c r="F1010" s="51" t="s">
        <v>312</v>
      </c>
      <c r="G1010" s="38">
        <v>8</v>
      </c>
      <c r="H1010" s="38" t="s">
        <v>17</v>
      </c>
      <c r="I1010" s="38" t="s">
        <v>26</v>
      </c>
      <c r="J1010" s="38">
        <v>1</v>
      </c>
      <c r="K1010" s="39">
        <f>AB1010/COUNTIFS($B:$B,$B1010,$C:$C,$C1010,$H:$H,$H1010,$I:$I,$I1010)</f>
        <v>0.1</v>
      </c>
      <c r="L1010" s="40">
        <f t="shared" si="61"/>
        <v>1</v>
      </c>
      <c r="M1010" s="41">
        <f t="shared" si="63"/>
        <v>0.1</v>
      </c>
      <c r="N1010" s="38"/>
      <c r="AA1010" s="146">
        <f>AB1010/COUNTIFS($B:$B,$B1010,$C:$C,$C1010,$H:$H,$H1010,$I:$I,$I1010)</f>
        <v>0.1</v>
      </c>
      <c r="AB1010" s="108">
        <f>VLOOKUP(I1010,'Weights and Confidence'!$D$16:$AC$26,7,FALSE)</f>
        <v>0.1</v>
      </c>
      <c r="AC1010" s="147">
        <f>VLOOKUP(I1010,'Weights and Confidence'!$D$16:$AC$26,8,FALSE)</f>
        <v>1</v>
      </c>
    </row>
    <row r="1011" spans="1:29" x14ac:dyDescent="0.2">
      <c r="A1011" s="34" t="s">
        <v>185</v>
      </c>
      <c r="B1011" s="34" t="s">
        <v>86</v>
      </c>
      <c r="C1011" s="34" t="s">
        <v>311</v>
      </c>
      <c r="D1011" s="34" t="s">
        <v>5</v>
      </c>
      <c r="E1011" s="34"/>
      <c r="F1011" s="50" t="s">
        <v>312</v>
      </c>
      <c r="G1011" s="34">
        <v>8</v>
      </c>
      <c r="H1011" s="34" t="s">
        <v>18</v>
      </c>
      <c r="I1011" s="34" t="s">
        <v>26</v>
      </c>
      <c r="J1011" s="34">
        <v>1</v>
      </c>
      <c r="K1011" s="35">
        <f>AB1011/COUNTIFS($B:$B,$B1011,$C:$C,$C1011,$H:$H,$H1011,$I:$I,$I1011)</f>
        <v>0.1</v>
      </c>
      <c r="L1011" s="36">
        <f t="shared" si="61"/>
        <v>1</v>
      </c>
      <c r="M1011" s="37">
        <f t="shared" si="63"/>
        <v>0.1</v>
      </c>
      <c r="N1011" s="58" t="s">
        <v>318</v>
      </c>
      <c r="AA1011" s="146">
        <f>AB1011/COUNTIFS($B:$B,$B1011,$C:$C,$C1011,$H:$H,$H1011,$I:$I,$I1011)</f>
        <v>0.1</v>
      </c>
      <c r="AB1011" s="108">
        <f>VLOOKUP(I1011,'Weights and Confidence'!$D$16:$AC$26,7,FALSE)</f>
        <v>0.1</v>
      </c>
      <c r="AC1011" s="147">
        <f>VLOOKUP(I1011,'Weights and Confidence'!$D$16:$AC$26,8,FALSE)</f>
        <v>1</v>
      </c>
    </row>
    <row r="1012" spans="1:29" x14ac:dyDescent="0.2">
      <c r="A1012" s="38" t="s">
        <v>185</v>
      </c>
      <c r="B1012" s="38" t="s">
        <v>86</v>
      </c>
      <c r="C1012" s="38" t="s">
        <v>311</v>
      </c>
      <c r="D1012" s="38" t="s">
        <v>5</v>
      </c>
      <c r="E1012" s="38"/>
      <c r="F1012" s="51" t="s">
        <v>312</v>
      </c>
      <c r="G1012" s="38">
        <v>9</v>
      </c>
      <c r="H1012" s="38" t="s">
        <v>17</v>
      </c>
      <c r="I1012" s="38" t="s">
        <v>27</v>
      </c>
      <c r="J1012" s="38">
        <v>0</v>
      </c>
      <c r="K1012" s="39">
        <f>AB1012/COUNTIFS($B:$B,$B1012,$C:$C,$C1012,$H:$H,$H1012,$I:$I,$I1012)</f>
        <v>0.05</v>
      </c>
      <c r="L1012" s="40">
        <f t="shared" si="61"/>
        <v>0.85</v>
      </c>
      <c r="M1012" s="41">
        <f t="shared" si="63"/>
        <v>0</v>
      </c>
      <c r="N1012" s="38"/>
      <c r="AA1012" s="146">
        <f>AB1012/COUNTIFS($B:$B,$B1012,$C:$C,$C1012,$H:$H,$H1012,$I:$I,$I1012)</f>
        <v>0.05</v>
      </c>
      <c r="AB1012" s="108">
        <f>VLOOKUP(I1012,'Weights and Confidence'!$D$16:$AC$26,7,FALSE)</f>
        <v>0.1</v>
      </c>
      <c r="AC1012" s="147">
        <f>VLOOKUP(I1012,'Weights and Confidence'!$D$16:$AC$26,8,FALSE)</f>
        <v>0.85</v>
      </c>
    </row>
    <row r="1013" spans="1:29" x14ac:dyDescent="0.2">
      <c r="A1013" s="34" t="s">
        <v>185</v>
      </c>
      <c r="B1013" s="34" t="s">
        <v>86</v>
      </c>
      <c r="C1013" s="34" t="s">
        <v>311</v>
      </c>
      <c r="D1013" s="34" t="s">
        <v>5</v>
      </c>
      <c r="E1013" s="34"/>
      <c r="F1013" s="50" t="s">
        <v>312</v>
      </c>
      <c r="G1013" s="34">
        <v>9</v>
      </c>
      <c r="H1013" s="34" t="s">
        <v>18</v>
      </c>
      <c r="I1013" s="34" t="s">
        <v>27</v>
      </c>
      <c r="J1013" s="34">
        <v>1</v>
      </c>
      <c r="K1013" s="35">
        <f>AB1013/COUNTIFS($B:$B,$B1013,$C:$C,$C1013,$H:$H,$H1013,$I:$I,$I1013)</f>
        <v>0.05</v>
      </c>
      <c r="L1013" s="36">
        <f t="shared" si="61"/>
        <v>0.85</v>
      </c>
      <c r="M1013" s="37">
        <f t="shared" si="63"/>
        <v>4.2500000000000003E-2</v>
      </c>
      <c r="N1013" s="58" t="s">
        <v>319</v>
      </c>
      <c r="AA1013" s="146">
        <f>AB1013/COUNTIFS($B:$B,$B1013,$C:$C,$C1013,$H:$H,$H1013,$I:$I,$I1013)</f>
        <v>0.05</v>
      </c>
      <c r="AB1013" s="108">
        <f>VLOOKUP(I1013,'Weights and Confidence'!$D$16:$AC$26,7,FALSE)</f>
        <v>0.1</v>
      </c>
      <c r="AC1013" s="147">
        <f>VLOOKUP(I1013,'Weights and Confidence'!$D$16:$AC$26,8,FALSE)</f>
        <v>0.85</v>
      </c>
    </row>
    <row r="1014" spans="1:29" x14ac:dyDescent="0.2">
      <c r="A1014" s="38" t="s">
        <v>185</v>
      </c>
      <c r="B1014" s="38" t="s">
        <v>86</v>
      </c>
      <c r="C1014" s="38" t="s">
        <v>311</v>
      </c>
      <c r="D1014" s="38" t="s">
        <v>5</v>
      </c>
      <c r="E1014" s="38"/>
      <c r="F1014" s="51" t="s">
        <v>312</v>
      </c>
      <c r="G1014" s="38">
        <v>10</v>
      </c>
      <c r="H1014" s="38" t="s">
        <v>17</v>
      </c>
      <c r="I1014" s="38" t="s">
        <v>27</v>
      </c>
      <c r="J1014" s="38">
        <v>1</v>
      </c>
      <c r="K1014" s="39">
        <f>AB1014/COUNTIFS($B:$B,$B1014,$C:$C,$C1014,$H:$H,$H1014,$I:$I,$I1014)</f>
        <v>0.05</v>
      </c>
      <c r="L1014" s="40">
        <f t="shared" si="61"/>
        <v>0.85</v>
      </c>
      <c r="M1014" s="41">
        <f t="shared" si="63"/>
        <v>4.2500000000000003E-2</v>
      </c>
      <c r="N1014" s="38"/>
      <c r="AA1014" s="146">
        <f>AB1014/COUNTIFS($B:$B,$B1014,$C:$C,$C1014,$H:$H,$H1014,$I:$I,$I1014)</f>
        <v>0.05</v>
      </c>
      <c r="AB1014" s="108">
        <f>VLOOKUP(I1014,'Weights and Confidence'!$D$16:$AC$26,7,FALSE)</f>
        <v>0.1</v>
      </c>
      <c r="AC1014" s="147">
        <f>VLOOKUP(I1014,'Weights and Confidence'!$D$16:$AC$26,8,FALSE)</f>
        <v>0.85</v>
      </c>
    </row>
    <row r="1015" spans="1:29" x14ac:dyDescent="0.2">
      <c r="A1015" s="34" t="s">
        <v>185</v>
      </c>
      <c r="B1015" s="34" t="s">
        <v>86</v>
      </c>
      <c r="C1015" s="34" t="s">
        <v>311</v>
      </c>
      <c r="D1015" s="34" t="s">
        <v>5</v>
      </c>
      <c r="E1015" s="34"/>
      <c r="F1015" s="50" t="s">
        <v>312</v>
      </c>
      <c r="G1015" s="34">
        <v>10</v>
      </c>
      <c r="H1015" s="34" t="s">
        <v>18</v>
      </c>
      <c r="I1015" s="34" t="s">
        <v>27</v>
      </c>
      <c r="J1015" s="34">
        <v>1</v>
      </c>
      <c r="K1015" s="35">
        <f>AB1015/COUNTIFS($B:$B,$B1015,$C:$C,$C1015,$H:$H,$H1015,$I:$I,$I1015)</f>
        <v>0.05</v>
      </c>
      <c r="L1015" s="36">
        <f t="shared" si="61"/>
        <v>0.85</v>
      </c>
      <c r="M1015" s="37">
        <f t="shared" si="63"/>
        <v>4.2500000000000003E-2</v>
      </c>
      <c r="N1015" s="58" t="s">
        <v>319</v>
      </c>
      <c r="AA1015" s="146">
        <f>AB1015/COUNTIFS($B:$B,$B1015,$C:$C,$C1015,$H:$H,$H1015,$I:$I,$I1015)</f>
        <v>0.05</v>
      </c>
      <c r="AB1015" s="108">
        <f>VLOOKUP(I1015,'Weights and Confidence'!$D$16:$AC$26,7,FALSE)</f>
        <v>0.1</v>
      </c>
      <c r="AC1015" s="147">
        <f>VLOOKUP(I1015,'Weights and Confidence'!$D$16:$AC$26,8,FALSE)</f>
        <v>0.85</v>
      </c>
    </row>
    <row r="1016" spans="1:29" x14ac:dyDescent="0.2">
      <c r="A1016" s="38" t="s">
        <v>185</v>
      </c>
      <c r="B1016" s="38" t="s">
        <v>86</v>
      </c>
      <c r="C1016" s="38" t="s">
        <v>311</v>
      </c>
      <c r="D1016" s="38" t="s">
        <v>5</v>
      </c>
      <c r="E1016" s="38"/>
      <c r="F1016" s="51" t="s">
        <v>312</v>
      </c>
      <c r="G1016" s="38">
        <v>11</v>
      </c>
      <c r="H1016" s="38" t="s">
        <v>17</v>
      </c>
      <c r="I1016" s="38" t="s">
        <v>28</v>
      </c>
      <c r="J1016" s="38">
        <v>-1</v>
      </c>
      <c r="K1016" s="39">
        <f>AB1016/COUNTIFS($B:$B,$B1016,$C:$C,$C1016,$H:$H,$H1016,$I:$I,$I1016)</f>
        <v>0.05</v>
      </c>
      <c r="L1016" s="40">
        <f t="shared" si="61"/>
        <v>1</v>
      </c>
      <c r="M1016" s="41">
        <f t="shared" si="63"/>
        <v>-0.05</v>
      </c>
      <c r="N1016" s="38"/>
      <c r="AA1016" s="146">
        <f>AB1016/COUNTIFS($B:$B,$B1016,$C:$C,$C1016,$H:$H,$H1016,$I:$I,$I1016)</f>
        <v>0.05</v>
      </c>
      <c r="AB1016" s="108">
        <f>VLOOKUP(I1016,'Weights and Confidence'!$D$16:$AC$26,7,FALSE)</f>
        <v>0.05</v>
      </c>
      <c r="AC1016" s="147">
        <f>VLOOKUP(I1016,'Weights and Confidence'!$D$16:$AC$26,8,FALSE)</f>
        <v>1</v>
      </c>
    </row>
    <row r="1017" spans="1:29" ht="17" thickBot="1" x14ac:dyDescent="0.25">
      <c r="A1017" s="34" t="s">
        <v>185</v>
      </c>
      <c r="B1017" s="34" t="s">
        <v>86</v>
      </c>
      <c r="C1017" s="34" t="s">
        <v>311</v>
      </c>
      <c r="D1017" s="34" t="s">
        <v>5</v>
      </c>
      <c r="E1017" s="34"/>
      <c r="F1017" s="50" t="s">
        <v>312</v>
      </c>
      <c r="G1017" s="34">
        <v>11</v>
      </c>
      <c r="H1017" s="34" t="s">
        <v>18</v>
      </c>
      <c r="I1017" s="34" t="s">
        <v>28</v>
      </c>
      <c r="J1017" s="34">
        <v>1</v>
      </c>
      <c r="K1017" s="35">
        <f>AB1017/COUNTIFS($B:$B,$B1017,$C:$C,$C1017,$H:$H,$H1017,$I:$I,$I1017)</f>
        <v>0.05</v>
      </c>
      <c r="L1017" s="36">
        <f t="shared" si="61"/>
        <v>1</v>
      </c>
      <c r="M1017" s="37">
        <f t="shared" si="63"/>
        <v>0.05</v>
      </c>
      <c r="N1017" s="58" t="s">
        <v>321</v>
      </c>
      <c r="AA1017" s="140">
        <f>AB1017/COUNTIFS($B:$B,$B1017,$C:$C,$C1017,$H:$H,$H1017,$I:$I,$I1017)</f>
        <v>0.05</v>
      </c>
      <c r="AB1017" s="141">
        <f>VLOOKUP(I1017,'Weights and Confidence'!$D$16:$AC$26,7,FALSE)</f>
        <v>0.05</v>
      </c>
      <c r="AC1017" s="142">
        <f>VLOOKUP(I1017,'Weights and Confidence'!$D$16:$AC$26,8,FALSE)</f>
        <v>1</v>
      </c>
    </row>
    <row r="1018" spans="1:29" ht="17" thickTop="1" x14ac:dyDescent="0.2">
      <c r="A1018" s="42" t="s">
        <v>185</v>
      </c>
      <c r="B1018" s="42" t="s">
        <v>86</v>
      </c>
      <c r="C1018" s="42" t="s">
        <v>70</v>
      </c>
      <c r="D1018" s="42" t="s">
        <v>65</v>
      </c>
      <c r="E1018" s="42"/>
      <c r="F1018" s="49" t="s">
        <v>323</v>
      </c>
      <c r="G1018" s="42">
        <v>1</v>
      </c>
      <c r="H1018" s="42" t="s">
        <v>17</v>
      </c>
      <c r="I1018" s="42" t="s">
        <v>19</v>
      </c>
      <c r="J1018" s="42">
        <v>0</v>
      </c>
      <c r="K1018" s="44">
        <f>AB1018/COUNTIFS($B:$B,$B1018,$C:$C,$C1018,$H:$H,$H1018,$I:$I,$I1018)</f>
        <v>0.12</v>
      </c>
      <c r="L1018" s="45">
        <f t="shared" si="61"/>
        <v>1</v>
      </c>
      <c r="M1018" s="46">
        <f t="shared" ref="M1018:M1039" si="64">J1018*K1018*L1018</f>
        <v>0</v>
      </c>
      <c r="N1018" s="42"/>
      <c r="AA1018" s="146">
        <f>AB1018/COUNTIFS($B:$B,$B1018,$C:$C,$C1018,$H:$H,$H1018,$I:$I,$I1018)</f>
        <v>0.12</v>
      </c>
      <c r="AB1018" s="108">
        <f>VLOOKUP(I1018,'Weights and Confidence'!$D$16:$AC$26,7,FALSE)</f>
        <v>0.12</v>
      </c>
      <c r="AC1018" s="147">
        <f>VLOOKUP(I1018,'Weights and Confidence'!$D$16:$AC$26,8,FALSE)</f>
        <v>1</v>
      </c>
    </row>
    <row r="1019" spans="1:29" x14ac:dyDescent="0.2">
      <c r="A1019" s="34" t="s">
        <v>185</v>
      </c>
      <c r="B1019" s="34" t="s">
        <v>86</v>
      </c>
      <c r="C1019" s="34" t="s">
        <v>70</v>
      </c>
      <c r="D1019" s="34" t="s">
        <v>65</v>
      </c>
      <c r="E1019" s="34"/>
      <c r="F1019" s="50" t="s">
        <v>323</v>
      </c>
      <c r="G1019" s="34">
        <v>1</v>
      </c>
      <c r="H1019" s="34" t="s">
        <v>18</v>
      </c>
      <c r="I1019" s="34" t="s">
        <v>19</v>
      </c>
      <c r="J1019" s="34">
        <v>1</v>
      </c>
      <c r="K1019" s="35">
        <f>AB1019/COUNTIFS($B:$B,$B1019,$C:$C,$C1019,$H:$H,$H1019,$I:$I,$I1019)</f>
        <v>0.12</v>
      </c>
      <c r="L1019" s="36">
        <f t="shared" si="61"/>
        <v>1</v>
      </c>
      <c r="M1019" s="37">
        <f t="shared" si="64"/>
        <v>0.12</v>
      </c>
      <c r="N1019" s="58" t="s">
        <v>324</v>
      </c>
      <c r="AA1019" s="146">
        <f>AB1019/COUNTIFS($B:$B,$B1019,$C:$C,$C1019,$H:$H,$H1019,$I:$I,$I1019)</f>
        <v>0.12</v>
      </c>
      <c r="AB1019" s="108">
        <f>VLOOKUP(I1019,'Weights and Confidence'!$D$16:$AC$26,7,FALSE)</f>
        <v>0.12</v>
      </c>
      <c r="AC1019" s="147">
        <f>VLOOKUP(I1019,'Weights and Confidence'!$D$16:$AC$26,8,FALSE)</f>
        <v>1</v>
      </c>
    </row>
    <row r="1020" spans="1:29" x14ac:dyDescent="0.2">
      <c r="A1020" s="38" t="s">
        <v>185</v>
      </c>
      <c r="B1020" s="38" t="s">
        <v>86</v>
      </c>
      <c r="C1020" s="38" t="s">
        <v>70</v>
      </c>
      <c r="D1020" s="38" t="s">
        <v>65</v>
      </c>
      <c r="E1020" s="38"/>
      <c r="F1020" s="51" t="s">
        <v>323</v>
      </c>
      <c r="G1020" s="38">
        <v>2</v>
      </c>
      <c r="H1020" s="38" t="s">
        <v>17</v>
      </c>
      <c r="I1020" s="38" t="s">
        <v>20</v>
      </c>
      <c r="J1020" s="38">
        <v>0</v>
      </c>
      <c r="K1020" s="39">
        <f>AB1020/COUNTIFS($B:$B,$B1020,$C:$C,$C1020,$H:$H,$H1020,$I:$I,$I1020)</f>
        <v>0.08</v>
      </c>
      <c r="L1020" s="40">
        <f t="shared" si="61"/>
        <v>0.8</v>
      </c>
      <c r="M1020" s="41">
        <f t="shared" si="64"/>
        <v>0</v>
      </c>
      <c r="N1020" s="38"/>
      <c r="AA1020" s="146">
        <f>AB1020/COUNTIFS($B:$B,$B1020,$C:$C,$C1020,$H:$H,$H1020,$I:$I,$I1020)</f>
        <v>0.08</v>
      </c>
      <c r="AB1020" s="108">
        <f>VLOOKUP(I1020,'Weights and Confidence'!$D$16:$AC$26,7,FALSE)</f>
        <v>0.08</v>
      </c>
      <c r="AC1020" s="147">
        <f>VLOOKUP(I1020,'Weights and Confidence'!$D$16:$AC$26,8,FALSE)</f>
        <v>0.8</v>
      </c>
    </row>
    <row r="1021" spans="1:29" ht="17" thickBot="1" x14ac:dyDescent="0.25">
      <c r="A1021" s="34" t="s">
        <v>185</v>
      </c>
      <c r="B1021" s="34" t="s">
        <v>86</v>
      </c>
      <c r="C1021" s="34" t="s">
        <v>70</v>
      </c>
      <c r="D1021" s="34" t="s">
        <v>65</v>
      </c>
      <c r="E1021" s="34"/>
      <c r="F1021" s="50" t="s">
        <v>323</v>
      </c>
      <c r="G1021" s="34">
        <v>2</v>
      </c>
      <c r="H1021" s="34" t="s">
        <v>18</v>
      </c>
      <c r="I1021" s="34" t="s">
        <v>20</v>
      </c>
      <c r="J1021" s="34">
        <v>1</v>
      </c>
      <c r="K1021" s="35">
        <f>AB1021/COUNTIFS($B:$B,$B1021,$C:$C,$C1021,$H:$H,$H1021,$I:$I,$I1021)</f>
        <v>0.08</v>
      </c>
      <c r="L1021" s="36">
        <f t="shared" si="61"/>
        <v>0.8</v>
      </c>
      <c r="M1021" s="37">
        <f t="shared" si="64"/>
        <v>6.4000000000000001E-2</v>
      </c>
      <c r="N1021" s="58" t="s">
        <v>325</v>
      </c>
      <c r="AA1021" s="146">
        <f>AB1021/COUNTIFS($B:$B,$B1021,$C:$C,$C1021,$H:$H,$H1021,$I:$I,$I1021)</f>
        <v>0.08</v>
      </c>
      <c r="AB1021" s="108">
        <f>VLOOKUP(I1021,'Weights and Confidence'!$D$16:$AC$26,7,FALSE)</f>
        <v>0.08</v>
      </c>
      <c r="AC1021" s="147">
        <f>VLOOKUP(I1021,'Weights and Confidence'!$D$16:$AC$26,8,FALSE)</f>
        <v>0.8</v>
      </c>
    </row>
    <row r="1022" spans="1:29" x14ac:dyDescent="0.2">
      <c r="A1022" s="38" t="s">
        <v>185</v>
      </c>
      <c r="B1022" s="38" t="s">
        <v>86</v>
      </c>
      <c r="C1022" s="38" t="s">
        <v>70</v>
      </c>
      <c r="D1022" s="38" t="s">
        <v>65</v>
      </c>
      <c r="E1022" s="38"/>
      <c r="F1022" s="51" t="s">
        <v>323</v>
      </c>
      <c r="G1022" s="38">
        <v>3</v>
      </c>
      <c r="H1022" s="38" t="s">
        <v>17</v>
      </c>
      <c r="I1022" s="38" t="s">
        <v>21</v>
      </c>
      <c r="J1022" s="38">
        <v>1</v>
      </c>
      <c r="K1022" s="39">
        <f>AB1022/COUNTIFS($B:$B,$B1022,$C:$C,$C1022,$H:$H,$H1022,$I:$I,$I1022)</f>
        <v>0.05</v>
      </c>
      <c r="L1022" s="40">
        <f t="shared" si="61"/>
        <v>1</v>
      </c>
      <c r="M1022" s="41">
        <f t="shared" si="64"/>
        <v>0.05</v>
      </c>
      <c r="N1022" s="38"/>
      <c r="P1022" s="28" t="s">
        <v>329</v>
      </c>
      <c r="Q1022" s="10"/>
      <c r="R1022" s="10"/>
      <c r="S1022" s="10"/>
      <c r="T1022" s="10"/>
      <c r="U1022" s="10"/>
      <c r="V1022" s="10"/>
      <c r="AA1022" s="146">
        <f>AB1022/COUNTIFS($B:$B,$B1022,$C:$C,$C1022,$H:$H,$H1022,$I:$I,$I1022)</f>
        <v>0.05</v>
      </c>
      <c r="AB1022" s="108">
        <f>VLOOKUP(I1022,'Weights and Confidence'!$D$16:$AC$26,7,FALSE)</f>
        <v>0.05</v>
      </c>
      <c r="AC1022" s="147">
        <f>VLOOKUP(I1022,'Weights and Confidence'!$D$16:$AC$26,8,FALSE)</f>
        <v>1</v>
      </c>
    </row>
    <row r="1023" spans="1:29" x14ac:dyDescent="0.2">
      <c r="A1023" s="34" t="s">
        <v>185</v>
      </c>
      <c r="B1023" s="34" t="s">
        <v>86</v>
      </c>
      <c r="C1023" s="34" t="s">
        <v>70</v>
      </c>
      <c r="D1023" s="34" t="s">
        <v>65</v>
      </c>
      <c r="E1023" s="34"/>
      <c r="F1023" s="50" t="s">
        <v>323</v>
      </c>
      <c r="G1023" s="34">
        <v>3</v>
      </c>
      <c r="H1023" s="34" t="s">
        <v>18</v>
      </c>
      <c r="I1023" s="34" t="s">
        <v>21</v>
      </c>
      <c r="J1023" s="34">
        <v>1</v>
      </c>
      <c r="K1023" s="35">
        <f>AB1023/COUNTIFS($B:$B,$B1023,$C:$C,$C1023,$H:$H,$H1023,$I:$I,$I1023)</f>
        <v>0.05</v>
      </c>
      <c r="L1023" s="36">
        <f t="shared" si="61"/>
        <v>1</v>
      </c>
      <c r="M1023" s="37">
        <f t="shared" si="64"/>
        <v>0.05</v>
      </c>
      <c r="N1023" s="58"/>
      <c r="P1023" s="25" t="s">
        <v>330</v>
      </c>
      <c r="AA1023" s="146">
        <f>AB1023/COUNTIFS($B:$B,$B1023,$C:$C,$C1023,$H:$H,$H1023,$I:$I,$I1023)</f>
        <v>0.05</v>
      </c>
      <c r="AB1023" s="108">
        <f>VLOOKUP(I1023,'Weights and Confidence'!$D$16:$AC$26,7,FALSE)</f>
        <v>0.05</v>
      </c>
      <c r="AC1023" s="147">
        <f>VLOOKUP(I1023,'Weights and Confidence'!$D$16:$AC$26,8,FALSE)</f>
        <v>1</v>
      </c>
    </row>
    <row r="1024" spans="1:29" x14ac:dyDescent="0.2">
      <c r="A1024" s="38" t="s">
        <v>185</v>
      </c>
      <c r="B1024" s="38" t="s">
        <v>86</v>
      </c>
      <c r="C1024" s="38" t="s">
        <v>70</v>
      </c>
      <c r="D1024" s="38" t="s">
        <v>65</v>
      </c>
      <c r="E1024" s="38"/>
      <c r="F1024" s="51" t="s">
        <v>323</v>
      </c>
      <c r="G1024" s="38">
        <v>4</v>
      </c>
      <c r="H1024" s="38" t="s">
        <v>17</v>
      </c>
      <c r="I1024" s="38" t="s">
        <v>22</v>
      </c>
      <c r="J1024" s="38">
        <v>0</v>
      </c>
      <c r="K1024" s="39">
        <f>AB1024/COUNTIFS($B:$B,$B1024,$C:$C,$C1024,$H:$H,$H1024,$I:$I,$I1024)</f>
        <v>0.14000000000000001</v>
      </c>
      <c r="L1024" s="40">
        <f t="shared" si="61"/>
        <v>1</v>
      </c>
      <c r="M1024" s="41">
        <f t="shared" si="64"/>
        <v>0</v>
      </c>
      <c r="N1024" s="38"/>
      <c r="P1024" s="25" t="s">
        <v>331</v>
      </c>
      <c r="AA1024" s="146">
        <f>AB1024/COUNTIFS($B:$B,$B1024,$C:$C,$C1024,$H:$H,$H1024,$I:$I,$I1024)</f>
        <v>0.14000000000000001</v>
      </c>
      <c r="AB1024" s="108">
        <f>VLOOKUP(I1024,'Weights and Confidence'!$D$16:$AC$26,7,FALSE)</f>
        <v>0.14000000000000001</v>
      </c>
      <c r="AC1024" s="147">
        <f>VLOOKUP(I1024,'Weights and Confidence'!$D$16:$AC$26,8,FALSE)</f>
        <v>1</v>
      </c>
    </row>
    <row r="1025" spans="1:29" ht="17" thickBot="1" x14ac:dyDescent="0.25">
      <c r="A1025" s="34" t="s">
        <v>185</v>
      </c>
      <c r="B1025" s="34" t="s">
        <v>86</v>
      </c>
      <c r="C1025" s="34" t="s">
        <v>70</v>
      </c>
      <c r="D1025" s="34" t="s">
        <v>65</v>
      </c>
      <c r="E1025" s="34"/>
      <c r="F1025" s="50" t="s">
        <v>323</v>
      </c>
      <c r="G1025" s="34">
        <v>4</v>
      </c>
      <c r="H1025" s="34" t="s">
        <v>18</v>
      </c>
      <c r="I1025" s="34" t="s">
        <v>22</v>
      </c>
      <c r="J1025" s="34">
        <v>1</v>
      </c>
      <c r="K1025" s="35">
        <f>AB1025/COUNTIFS($B:$B,$B1025,$C:$C,$C1025,$H:$H,$H1025,$I:$I,$I1025)</f>
        <v>0.14000000000000001</v>
      </c>
      <c r="L1025" s="36">
        <f t="shared" si="61"/>
        <v>1</v>
      </c>
      <c r="M1025" s="37">
        <f t="shared" si="64"/>
        <v>0.14000000000000001</v>
      </c>
      <c r="N1025" s="58" t="s">
        <v>326</v>
      </c>
      <c r="P1025" s="26" t="s">
        <v>332</v>
      </c>
      <c r="Q1025" s="2"/>
      <c r="R1025" s="2"/>
      <c r="S1025" s="2"/>
      <c r="T1025" s="2"/>
      <c r="U1025" s="2"/>
      <c r="V1025" s="2"/>
      <c r="AA1025" s="146">
        <f>AB1025/COUNTIFS($B:$B,$B1025,$C:$C,$C1025,$H:$H,$H1025,$I:$I,$I1025)</f>
        <v>0.14000000000000001</v>
      </c>
      <c r="AB1025" s="108">
        <f>VLOOKUP(I1025,'Weights and Confidence'!$D$16:$AC$26,7,FALSE)</f>
        <v>0.14000000000000001</v>
      </c>
      <c r="AC1025" s="147">
        <f>VLOOKUP(I1025,'Weights and Confidence'!$D$16:$AC$26,8,FALSE)</f>
        <v>1</v>
      </c>
    </row>
    <row r="1026" spans="1:29" x14ac:dyDescent="0.2">
      <c r="A1026" s="38" t="s">
        <v>185</v>
      </c>
      <c r="B1026" s="38" t="s">
        <v>86</v>
      </c>
      <c r="C1026" s="38" t="s">
        <v>70</v>
      </c>
      <c r="D1026" s="38" t="s">
        <v>65</v>
      </c>
      <c r="E1026" s="38"/>
      <c r="F1026" s="51" t="s">
        <v>323</v>
      </c>
      <c r="G1026" s="38">
        <v>5</v>
      </c>
      <c r="H1026" s="38" t="s">
        <v>17</v>
      </c>
      <c r="I1026" s="38" t="s">
        <v>23</v>
      </c>
      <c r="J1026" s="38">
        <v>-1</v>
      </c>
      <c r="K1026" s="39">
        <f>AB1026/COUNTIFS($B:$B,$B1026,$C:$C,$C1026,$H:$H,$H1026,$I:$I,$I1026)</f>
        <v>0.11</v>
      </c>
      <c r="L1026" s="40">
        <f t="shared" si="61"/>
        <v>1</v>
      </c>
      <c r="M1026" s="41">
        <f t="shared" si="64"/>
        <v>-0.11</v>
      </c>
      <c r="N1026" s="38"/>
      <c r="AA1026" s="146">
        <f>AB1026/COUNTIFS($B:$B,$B1026,$C:$C,$C1026,$H:$H,$H1026,$I:$I,$I1026)</f>
        <v>0.11</v>
      </c>
      <c r="AB1026" s="108">
        <f>VLOOKUP(I1026,'Weights and Confidence'!$D$16:$AC$26,7,FALSE)</f>
        <v>0.11</v>
      </c>
      <c r="AC1026" s="147">
        <f>VLOOKUP(I1026,'Weights and Confidence'!$D$16:$AC$26,8,FALSE)</f>
        <v>1</v>
      </c>
    </row>
    <row r="1027" spans="1:29" x14ac:dyDescent="0.2">
      <c r="A1027" s="34" t="s">
        <v>185</v>
      </c>
      <c r="B1027" s="34" t="s">
        <v>86</v>
      </c>
      <c r="C1027" s="34" t="s">
        <v>70</v>
      </c>
      <c r="D1027" s="34" t="s">
        <v>65</v>
      </c>
      <c r="E1027" s="34"/>
      <c r="F1027" s="50" t="s">
        <v>323</v>
      </c>
      <c r="G1027" s="34">
        <v>5</v>
      </c>
      <c r="H1027" s="34" t="s">
        <v>18</v>
      </c>
      <c r="I1027" s="34" t="s">
        <v>23</v>
      </c>
      <c r="J1027" s="34">
        <v>0</v>
      </c>
      <c r="K1027" s="35">
        <f>AB1027/COUNTIFS($B:$B,$B1027,$C:$C,$C1027,$H:$H,$H1027,$I:$I,$I1027)</f>
        <v>0.11</v>
      </c>
      <c r="L1027" s="36">
        <f t="shared" si="61"/>
        <v>1</v>
      </c>
      <c r="M1027" s="37">
        <f t="shared" si="64"/>
        <v>0</v>
      </c>
      <c r="N1027" s="58" t="s">
        <v>327</v>
      </c>
      <c r="AA1027" s="146">
        <f>AB1027/COUNTIFS($B:$B,$B1027,$C:$C,$C1027,$H:$H,$H1027,$I:$I,$I1027)</f>
        <v>0.11</v>
      </c>
      <c r="AB1027" s="108">
        <f>VLOOKUP(I1027,'Weights and Confidence'!$D$16:$AC$26,7,FALSE)</f>
        <v>0.11</v>
      </c>
      <c r="AC1027" s="147">
        <f>VLOOKUP(I1027,'Weights and Confidence'!$D$16:$AC$26,8,FALSE)</f>
        <v>1</v>
      </c>
    </row>
    <row r="1028" spans="1:29" x14ac:dyDescent="0.2">
      <c r="A1028" s="38" t="s">
        <v>185</v>
      </c>
      <c r="B1028" s="38" t="s">
        <v>86</v>
      </c>
      <c r="C1028" s="38" t="s">
        <v>70</v>
      </c>
      <c r="D1028" s="38" t="s">
        <v>65</v>
      </c>
      <c r="E1028" s="38"/>
      <c r="F1028" s="51" t="s">
        <v>323</v>
      </c>
      <c r="G1028" s="38">
        <v>6</v>
      </c>
      <c r="H1028" s="38" t="s">
        <v>17</v>
      </c>
      <c r="I1028" s="38" t="s">
        <v>24</v>
      </c>
      <c r="J1028" s="38">
        <v>-1</v>
      </c>
      <c r="K1028" s="39">
        <f>AB1028/COUNTIFS($B:$B,$B1028,$C:$C,$C1028,$H:$H,$H1028,$I:$I,$I1028)</f>
        <v>0.15</v>
      </c>
      <c r="L1028" s="40">
        <f t="shared" si="61"/>
        <v>1</v>
      </c>
      <c r="M1028" s="41">
        <f t="shared" si="64"/>
        <v>-0.15</v>
      </c>
      <c r="N1028" s="59"/>
      <c r="AA1028" s="146">
        <f>AB1028/COUNTIFS($B:$B,$B1028,$C:$C,$C1028,$H:$H,$H1028,$I:$I,$I1028)</f>
        <v>0.15</v>
      </c>
      <c r="AB1028" s="108">
        <f>VLOOKUP(I1028,'Weights and Confidence'!$D$16:$AC$26,7,FALSE)</f>
        <v>0.15</v>
      </c>
      <c r="AC1028" s="147">
        <f>VLOOKUP(I1028,'Weights and Confidence'!$D$16:$AC$26,8,FALSE)</f>
        <v>1</v>
      </c>
    </row>
    <row r="1029" spans="1:29" x14ac:dyDescent="0.2">
      <c r="A1029" s="34" t="s">
        <v>185</v>
      </c>
      <c r="B1029" s="34" t="s">
        <v>86</v>
      </c>
      <c r="C1029" s="34" t="s">
        <v>70</v>
      </c>
      <c r="D1029" s="34" t="s">
        <v>65</v>
      </c>
      <c r="E1029" s="34"/>
      <c r="F1029" s="50" t="s">
        <v>323</v>
      </c>
      <c r="G1029" s="34">
        <v>6</v>
      </c>
      <c r="H1029" s="34" t="s">
        <v>18</v>
      </c>
      <c r="I1029" s="34" t="s">
        <v>24</v>
      </c>
      <c r="J1029" s="34">
        <v>0</v>
      </c>
      <c r="K1029" s="35">
        <f>AB1029/COUNTIFS($B:$B,$B1029,$C:$C,$C1029,$H:$H,$H1029,$I:$I,$I1029)</f>
        <v>0.15</v>
      </c>
      <c r="L1029" s="36">
        <f t="shared" si="61"/>
        <v>1</v>
      </c>
      <c r="M1029" s="37">
        <f t="shared" si="64"/>
        <v>0</v>
      </c>
      <c r="N1029" s="58" t="s">
        <v>328</v>
      </c>
      <c r="AA1029" s="146">
        <f>AB1029/COUNTIFS($B:$B,$B1029,$C:$C,$C1029,$H:$H,$H1029,$I:$I,$I1029)</f>
        <v>0.15</v>
      </c>
      <c r="AB1029" s="108">
        <f>VLOOKUP(I1029,'Weights and Confidence'!$D$16:$AC$26,7,FALSE)</f>
        <v>0.15</v>
      </c>
      <c r="AC1029" s="147">
        <f>VLOOKUP(I1029,'Weights and Confidence'!$D$16:$AC$26,8,FALSE)</f>
        <v>1</v>
      </c>
    </row>
    <row r="1030" spans="1:29" x14ac:dyDescent="0.2">
      <c r="A1030" s="38" t="s">
        <v>185</v>
      </c>
      <c r="B1030" s="38" t="s">
        <v>86</v>
      </c>
      <c r="C1030" s="38" t="s">
        <v>70</v>
      </c>
      <c r="D1030" s="38" t="s">
        <v>65</v>
      </c>
      <c r="E1030" s="38"/>
      <c r="F1030" s="51" t="s">
        <v>323</v>
      </c>
      <c r="G1030" s="38">
        <v>7</v>
      </c>
      <c r="H1030" s="38" t="s">
        <v>17</v>
      </c>
      <c r="I1030" s="38" t="s">
        <v>25</v>
      </c>
      <c r="J1030" s="38">
        <v>0</v>
      </c>
      <c r="K1030" s="39">
        <f>AB1030/COUNTIFS($B:$B,$B1030,$C:$C,$C1030,$H:$H,$H1030,$I:$I,$I1030)</f>
        <v>0.1</v>
      </c>
      <c r="L1030" s="40">
        <f t="shared" ref="L1030:L1093" si="65">AC1030</f>
        <v>1</v>
      </c>
      <c r="M1030" s="41">
        <f t="shared" si="64"/>
        <v>0</v>
      </c>
      <c r="N1030" s="38"/>
      <c r="AA1030" s="146">
        <f>AB1030/COUNTIFS($B:$B,$B1030,$C:$C,$C1030,$H:$H,$H1030,$I:$I,$I1030)</f>
        <v>0.1</v>
      </c>
      <c r="AB1030" s="108">
        <f>VLOOKUP(I1030,'Weights and Confidence'!$D$16:$AC$26,7,FALSE)</f>
        <v>0.1</v>
      </c>
      <c r="AC1030" s="147">
        <f>VLOOKUP(I1030,'Weights and Confidence'!$D$16:$AC$26,8,FALSE)</f>
        <v>1</v>
      </c>
    </row>
    <row r="1031" spans="1:29" x14ac:dyDescent="0.2">
      <c r="A1031" s="34" t="s">
        <v>185</v>
      </c>
      <c r="B1031" s="34" t="s">
        <v>86</v>
      </c>
      <c r="C1031" s="34" t="s">
        <v>70</v>
      </c>
      <c r="D1031" s="34" t="s">
        <v>65</v>
      </c>
      <c r="E1031" s="34"/>
      <c r="F1031" s="50" t="s">
        <v>323</v>
      </c>
      <c r="G1031" s="34">
        <v>7</v>
      </c>
      <c r="H1031" s="34" t="s">
        <v>18</v>
      </c>
      <c r="I1031" s="34" t="s">
        <v>25</v>
      </c>
      <c r="J1031" s="34">
        <v>0</v>
      </c>
      <c r="K1031" s="35">
        <f>AB1031/COUNTIFS($B:$B,$B1031,$C:$C,$C1031,$H:$H,$H1031,$I:$I,$I1031)</f>
        <v>0.1</v>
      </c>
      <c r="L1031" s="36">
        <f t="shared" si="65"/>
        <v>1</v>
      </c>
      <c r="M1031" s="37">
        <f t="shared" si="64"/>
        <v>0</v>
      </c>
      <c r="N1031" s="58"/>
      <c r="AA1031" s="146">
        <f>AB1031/COUNTIFS($B:$B,$B1031,$C:$C,$C1031,$H:$H,$H1031,$I:$I,$I1031)</f>
        <v>0.1</v>
      </c>
      <c r="AB1031" s="108">
        <f>VLOOKUP(I1031,'Weights and Confidence'!$D$16:$AC$26,7,FALSE)</f>
        <v>0.1</v>
      </c>
      <c r="AC1031" s="147">
        <f>VLOOKUP(I1031,'Weights and Confidence'!$D$16:$AC$26,8,FALSE)</f>
        <v>1</v>
      </c>
    </row>
    <row r="1032" spans="1:29" x14ac:dyDescent="0.2">
      <c r="A1032" s="38" t="s">
        <v>185</v>
      </c>
      <c r="B1032" s="38" t="s">
        <v>86</v>
      </c>
      <c r="C1032" s="38" t="s">
        <v>70</v>
      </c>
      <c r="D1032" s="38" t="s">
        <v>65</v>
      </c>
      <c r="E1032" s="38"/>
      <c r="F1032" s="51" t="s">
        <v>323</v>
      </c>
      <c r="G1032" s="38">
        <v>8</v>
      </c>
      <c r="H1032" s="38" t="s">
        <v>17</v>
      </c>
      <c r="I1032" s="38" t="s">
        <v>26</v>
      </c>
      <c r="J1032" s="38">
        <v>0</v>
      </c>
      <c r="K1032" s="39">
        <f>AB1032/COUNTIFS($B:$B,$B1032,$C:$C,$C1032,$H:$H,$H1032,$I:$I,$I1032)</f>
        <v>0.1</v>
      </c>
      <c r="L1032" s="40">
        <f t="shared" si="65"/>
        <v>1</v>
      </c>
      <c r="M1032" s="41">
        <f t="shared" si="64"/>
        <v>0</v>
      </c>
      <c r="N1032" s="38"/>
      <c r="AA1032" s="146">
        <f>AB1032/COUNTIFS($B:$B,$B1032,$C:$C,$C1032,$H:$H,$H1032,$I:$I,$I1032)</f>
        <v>0.1</v>
      </c>
      <c r="AB1032" s="108">
        <f>VLOOKUP(I1032,'Weights and Confidence'!$D$16:$AC$26,7,FALSE)</f>
        <v>0.1</v>
      </c>
      <c r="AC1032" s="147">
        <f>VLOOKUP(I1032,'Weights and Confidence'!$D$16:$AC$26,8,FALSE)</f>
        <v>1</v>
      </c>
    </row>
    <row r="1033" spans="1:29" x14ac:dyDescent="0.2">
      <c r="A1033" s="34" t="s">
        <v>185</v>
      </c>
      <c r="B1033" s="34" t="s">
        <v>86</v>
      </c>
      <c r="C1033" s="34" t="s">
        <v>70</v>
      </c>
      <c r="D1033" s="34" t="s">
        <v>65</v>
      </c>
      <c r="E1033" s="34"/>
      <c r="F1033" s="50" t="s">
        <v>323</v>
      </c>
      <c r="G1033" s="34">
        <v>8</v>
      </c>
      <c r="H1033" s="34" t="s">
        <v>18</v>
      </c>
      <c r="I1033" s="34" t="s">
        <v>26</v>
      </c>
      <c r="J1033" s="34">
        <v>0</v>
      </c>
      <c r="K1033" s="35">
        <f>AB1033/COUNTIFS($B:$B,$B1033,$C:$C,$C1033,$H:$H,$H1033,$I:$I,$I1033)</f>
        <v>0.1</v>
      </c>
      <c r="L1033" s="36">
        <f t="shared" si="65"/>
        <v>1</v>
      </c>
      <c r="M1033" s="37">
        <f t="shared" si="64"/>
        <v>0</v>
      </c>
      <c r="N1033" s="58"/>
      <c r="AA1033" s="146">
        <f>AB1033/COUNTIFS($B:$B,$B1033,$C:$C,$C1033,$H:$H,$H1033,$I:$I,$I1033)</f>
        <v>0.1</v>
      </c>
      <c r="AB1033" s="108">
        <f>VLOOKUP(I1033,'Weights and Confidence'!$D$16:$AC$26,7,FALSE)</f>
        <v>0.1</v>
      </c>
      <c r="AC1033" s="147">
        <f>VLOOKUP(I1033,'Weights and Confidence'!$D$16:$AC$26,8,FALSE)</f>
        <v>1</v>
      </c>
    </row>
    <row r="1034" spans="1:29" x14ac:dyDescent="0.2">
      <c r="A1034" s="38" t="s">
        <v>185</v>
      </c>
      <c r="B1034" s="38" t="s">
        <v>86</v>
      </c>
      <c r="C1034" s="38" t="s">
        <v>70</v>
      </c>
      <c r="D1034" s="38" t="s">
        <v>65</v>
      </c>
      <c r="E1034" s="38"/>
      <c r="F1034" s="51" t="s">
        <v>323</v>
      </c>
      <c r="G1034" s="38">
        <v>9</v>
      </c>
      <c r="H1034" s="38" t="s">
        <v>17</v>
      </c>
      <c r="I1034" s="38" t="s">
        <v>27</v>
      </c>
      <c r="J1034" s="38">
        <v>-1</v>
      </c>
      <c r="K1034" s="39">
        <f>AB1034/COUNTIFS($B:$B,$B1034,$C:$C,$C1034,$H:$H,$H1034,$I:$I,$I1034)</f>
        <v>0.05</v>
      </c>
      <c r="L1034" s="40">
        <f t="shared" si="65"/>
        <v>0.85</v>
      </c>
      <c r="M1034" s="41">
        <f t="shared" si="64"/>
        <v>-4.2500000000000003E-2</v>
      </c>
      <c r="N1034" s="38"/>
      <c r="AA1034" s="146">
        <f>AB1034/COUNTIFS($B:$B,$B1034,$C:$C,$C1034,$H:$H,$H1034,$I:$I,$I1034)</f>
        <v>0.05</v>
      </c>
      <c r="AB1034" s="108">
        <f>VLOOKUP(I1034,'Weights and Confidence'!$D$16:$AC$26,7,FALSE)</f>
        <v>0.1</v>
      </c>
      <c r="AC1034" s="147">
        <f>VLOOKUP(I1034,'Weights and Confidence'!$D$16:$AC$26,8,FALSE)</f>
        <v>0.85</v>
      </c>
    </row>
    <row r="1035" spans="1:29" x14ac:dyDescent="0.2">
      <c r="A1035" s="34" t="s">
        <v>185</v>
      </c>
      <c r="B1035" s="34" t="s">
        <v>86</v>
      </c>
      <c r="C1035" s="34" t="s">
        <v>70</v>
      </c>
      <c r="D1035" s="34" t="s">
        <v>65</v>
      </c>
      <c r="E1035" s="34"/>
      <c r="F1035" s="50" t="s">
        <v>323</v>
      </c>
      <c r="G1035" s="34">
        <v>9</v>
      </c>
      <c r="H1035" s="34" t="s">
        <v>18</v>
      </c>
      <c r="I1035" s="34" t="s">
        <v>27</v>
      </c>
      <c r="J1035" s="34">
        <v>1</v>
      </c>
      <c r="K1035" s="35">
        <f>AB1035/COUNTIFS($B:$B,$B1035,$C:$C,$C1035,$H:$H,$H1035,$I:$I,$I1035)</f>
        <v>0.05</v>
      </c>
      <c r="L1035" s="36">
        <f t="shared" si="65"/>
        <v>0.85</v>
      </c>
      <c r="M1035" s="37">
        <f t="shared" si="64"/>
        <v>4.2500000000000003E-2</v>
      </c>
      <c r="N1035" s="58"/>
      <c r="AA1035" s="146">
        <f>AB1035/COUNTIFS($B:$B,$B1035,$C:$C,$C1035,$H:$H,$H1035,$I:$I,$I1035)</f>
        <v>0.05</v>
      </c>
      <c r="AB1035" s="108">
        <f>VLOOKUP(I1035,'Weights and Confidence'!$D$16:$AC$26,7,FALSE)</f>
        <v>0.1</v>
      </c>
      <c r="AC1035" s="147">
        <f>VLOOKUP(I1035,'Weights and Confidence'!$D$16:$AC$26,8,FALSE)</f>
        <v>0.85</v>
      </c>
    </row>
    <row r="1036" spans="1:29" x14ac:dyDescent="0.2">
      <c r="A1036" s="38" t="s">
        <v>185</v>
      </c>
      <c r="B1036" s="38" t="s">
        <v>86</v>
      </c>
      <c r="C1036" s="38" t="s">
        <v>70</v>
      </c>
      <c r="D1036" s="38" t="s">
        <v>65</v>
      </c>
      <c r="E1036" s="38"/>
      <c r="F1036" s="51" t="s">
        <v>323</v>
      </c>
      <c r="G1036" s="38">
        <v>10</v>
      </c>
      <c r="H1036" s="38" t="s">
        <v>17</v>
      </c>
      <c r="I1036" s="38" t="s">
        <v>27</v>
      </c>
      <c r="J1036" s="38">
        <v>-1</v>
      </c>
      <c r="K1036" s="39">
        <f>AB1036/COUNTIFS($B:$B,$B1036,$C:$C,$C1036,$H:$H,$H1036,$I:$I,$I1036)</f>
        <v>0.05</v>
      </c>
      <c r="L1036" s="40">
        <f t="shared" si="65"/>
        <v>0.85</v>
      </c>
      <c r="M1036" s="41">
        <f t="shared" si="64"/>
        <v>-4.2500000000000003E-2</v>
      </c>
      <c r="N1036" s="38"/>
      <c r="AA1036" s="146">
        <f>AB1036/COUNTIFS($B:$B,$B1036,$C:$C,$C1036,$H:$H,$H1036,$I:$I,$I1036)</f>
        <v>0.05</v>
      </c>
      <c r="AB1036" s="108">
        <f>VLOOKUP(I1036,'Weights and Confidence'!$D$16:$AC$26,7,FALSE)</f>
        <v>0.1</v>
      </c>
      <c r="AC1036" s="147">
        <f>VLOOKUP(I1036,'Weights and Confidence'!$D$16:$AC$26,8,FALSE)</f>
        <v>0.85</v>
      </c>
    </row>
    <row r="1037" spans="1:29" x14ac:dyDescent="0.2">
      <c r="A1037" s="34" t="s">
        <v>185</v>
      </c>
      <c r="B1037" s="34" t="s">
        <v>86</v>
      </c>
      <c r="C1037" s="34" t="s">
        <v>70</v>
      </c>
      <c r="D1037" s="34" t="s">
        <v>65</v>
      </c>
      <c r="E1037" s="34"/>
      <c r="F1037" s="50" t="s">
        <v>323</v>
      </c>
      <c r="G1037" s="34">
        <v>10</v>
      </c>
      <c r="H1037" s="34" t="s">
        <v>18</v>
      </c>
      <c r="I1037" s="34" t="s">
        <v>27</v>
      </c>
      <c r="J1037" s="34">
        <v>1</v>
      </c>
      <c r="K1037" s="35">
        <f>AB1037/COUNTIFS($B:$B,$B1037,$C:$C,$C1037,$H:$H,$H1037,$I:$I,$I1037)</f>
        <v>0.05</v>
      </c>
      <c r="L1037" s="36">
        <f t="shared" si="65"/>
        <v>0.85</v>
      </c>
      <c r="M1037" s="37">
        <f t="shared" si="64"/>
        <v>4.2500000000000003E-2</v>
      </c>
      <c r="N1037" s="58"/>
      <c r="AA1037" s="146">
        <f>AB1037/COUNTIFS($B:$B,$B1037,$C:$C,$C1037,$H:$H,$H1037,$I:$I,$I1037)</f>
        <v>0.05</v>
      </c>
      <c r="AB1037" s="108">
        <f>VLOOKUP(I1037,'Weights and Confidence'!$D$16:$AC$26,7,FALSE)</f>
        <v>0.1</v>
      </c>
      <c r="AC1037" s="147">
        <f>VLOOKUP(I1037,'Weights and Confidence'!$D$16:$AC$26,8,FALSE)</f>
        <v>0.85</v>
      </c>
    </row>
    <row r="1038" spans="1:29" x14ac:dyDescent="0.2">
      <c r="A1038" s="38" t="s">
        <v>185</v>
      </c>
      <c r="B1038" s="38" t="s">
        <v>86</v>
      </c>
      <c r="C1038" s="38" t="s">
        <v>70</v>
      </c>
      <c r="D1038" s="38" t="s">
        <v>65</v>
      </c>
      <c r="E1038" s="38"/>
      <c r="F1038" s="51" t="s">
        <v>323</v>
      </c>
      <c r="G1038" s="38">
        <v>11</v>
      </c>
      <c r="H1038" s="38" t="s">
        <v>17</v>
      </c>
      <c r="I1038" s="38" t="s">
        <v>28</v>
      </c>
      <c r="J1038" s="38">
        <v>-1</v>
      </c>
      <c r="K1038" s="39">
        <f>AB1038/COUNTIFS($B:$B,$B1038,$C:$C,$C1038,$H:$H,$H1038,$I:$I,$I1038)</f>
        <v>0.05</v>
      </c>
      <c r="L1038" s="40">
        <f t="shared" si="65"/>
        <v>1</v>
      </c>
      <c r="M1038" s="41">
        <f t="shared" si="64"/>
        <v>-0.05</v>
      </c>
      <c r="N1038" s="38"/>
      <c r="AA1038" s="146">
        <f>AB1038/COUNTIFS($B:$B,$B1038,$C:$C,$C1038,$H:$H,$H1038,$I:$I,$I1038)</f>
        <v>0.05</v>
      </c>
      <c r="AB1038" s="108">
        <f>VLOOKUP(I1038,'Weights and Confidence'!$D$16:$AC$26,7,FALSE)</f>
        <v>0.05</v>
      </c>
      <c r="AC1038" s="147">
        <f>VLOOKUP(I1038,'Weights and Confidence'!$D$16:$AC$26,8,FALSE)</f>
        <v>1</v>
      </c>
    </row>
    <row r="1039" spans="1:29" ht="17" thickBot="1" x14ac:dyDescent="0.25">
      <c r="A1039" s="34" t="s">
        <v>185</v>
      </c>
      <c r="B1039" s="34" t="s">
        <v>86</v>
      </c>
      <c r="C1039" s="34" t="s">
        <v>70</v>
      </c>
      <c r="D1039" s="34" t="s">
        <v>65</v>
      </c>
      <c r="E1039" s="34"/>
      <c r="F1039" s="50" t="s">
        <v>323</v>
      </c>
      <c r="G1039" s="34">
        <v>11</v>
      </c>
      <c r="H1039" s="34" t="s">
        <v>18</v>
      </c>
      <c r="I1039" s="34" t="s">
        <v>28</v>
      </c>
      <c r="J1039" s="34">
        <v>0</v>
      </c>
      <c r="K1039" s="35">
        <f>AB1039/COUNTIFS($B:$B,$B1039,$C:$C,$C1039,$H:$H,$H1039,$I:$I,$I1039)</f>
        <v>0.05</v>
      </c>
      <c r="L1039" s="36">
        <f t="shared" si="65"/>
        <v>1</v>
      </c>
      <c r="M1039" s="37">
        <f t="shared" si="64"/>
        <v>0</v>
      </c>
      <c r="N1039" s="58"/>
      <c r="AA1039" s="140">
        <f>AB1039/COUNTIFS($B:$B,$B1039,$C:$C,$C1039,$H:$H,$H1039,$I:$I,$I1039)</f>
        <v>0.05</v>
      </c>
      <c r="AB1039" s="141">
        <f>VLOOKUP(I1039,'Weights and Confidence'!$D$16:$AC$26,7,FALSE)</f>
        <v>0.05</v>
      </c>
      <c r="AC1039" s="142">
        <f>VLOOKUP(I1039,'Weights and Confidence'!$D$16:$AC$26,8,FALSE)</f>
        <v>1</v>
      </c>
    </row>
    <row r="1040" spans="1:29" ht="17" thickTop="1" x14ac:dyDescent="0.2">
      <c r="A1040" s="42" t="s">
        <v>185</v>
      </c>
      <c r="B1040" s="42" t="s">
        <v>86</v>
      </c>
      <c r="C1040" s="42" t="s">
        <v>162</v>
      </c>
      <c r="D1040" s="42" t="s">
        <v>65</v>
      </c>
      <c r="E1040" s="42"/>
      <c r="F1040" s="49" t="s">
        <v>163</v>
      </c>
      <c r="G1040" s="42">
        <v>1</v>
      </c>
      <c r="H1040" s="42" t="s">
        <v>17</v>
      </c>
      <c r="I1040" s="42" t="s">
        <v>19</v>
      </c>
      <c r="J1040" s="42">
        <v>1</v>
      </c>
      <c r="K1040" s="44">
        <f>AB1040/COUNTIFS($B:$B,$B1040,$C:$C,$C1040,$H:$H,$H1040,$I:$I,$I1040)</f>
        <v>0.12</v>
      </c>
      <c r="L1040" s="45">
        <f t="shared" si="65"/>
        <v>1</v>
      </c>
      <c r="M1040" s="46">
        <f t="shared" ref="M1040:M1103" si="66">J1040*K1040*L1040</f>
        <v>0.12</v>
      </c>
      <c r="N1040" s="42"/>
      <c r="AA1040" s="146">
        <f>AB1040/COUNTIFS($B:$B,$B1040,$C:$C,$C1040,$H:$H,$H1040,$I:$I,$I1040)</f>
        <v>0.12</v>
      </c>
      <c r="AB1040" s="108">
        <f>VLOOKUP(I1040,'Weights and Confidence'!$D$16:$AC$26,7,FALSE)</f>
        <v>0.12</v>
      </c>
      <c r="AC1040" s="147">
        <f>VLOOKUP(I1040,'Weights and Confidence'!$D$16:$AC$26,8,FALSE)</f>
        <v>1</v>
      </c>
    </row>
    <row r="1041" spans="1:29" ht="17" thickBot="1" x14ac:dyDescent="0.25">
      <c r="A1041" s="34" t="s">
        <v>185</v>
      </c>
      <c r="B1041" s="34" t="s">
        <v>86</v>
      </c>
      <c r="C1041" s="34" t="s">
        <v>162</v>
      </c>
      <c r="D1041" s="34" t="s">
        <v>65</v>
      </c>
      <c r="E1041" s="34"/>
      <c r="F1041" s="50" t="s">
        <v>163</v>
      </c>
      <c r="G1041" s="34">
        <v>1</v>
      </c>
      <c r="H1041" s="34" t="s">
        <v>18</v>
      </c>
      <c r="I1041" s="34" t="s">
        <v>19</v>
      </c>
      <c r="J1041" s="34">
        <v>-1</v>
      </c>
      <c r="K1041" s="35">
        <f>AB1041/COUNTIFS($B:$B,$B1041,$C:$C,$C1041,$H:$H,$H1041,$I:$I,$I1041)</f>
        <v>0.12</v>
      </c>
      <c r="L1041" s="36">
        <f t="shared" si="65"/>
        <v>1</v>
      </c>
      <c r="M1041" s="37">
        <f t="shared" si="66"/>
        <v>-0.12</v>
      </c>
      <c r="N1041" s="58"/>
      <c r="AA1041" s="146">
        <f>AB1041/COUNTIFS($B:$B,$B1041,$C:$C,$C1041,$H:$H,$H1041,$I:$I,$I1041)</f>
        <v>0.12</v>
      </c>
      <c r="AB1041" s="108">
        <f>VLOOKUP(I1041,'Weights and Confidence'!$D$16:$AC$26,7,FALSE)</f>
        <v>0.12</v>
      </c>
      <c r="AC1041" s="147">
        <f>VLOOKUP(I1041,'Weights and Confidence'!$D$16:$AC$26,8,FALSE)</f>
        <v>1</v>
      </c>
    </row>
    <row r="1042" spans="1:29" x14ac:dyDescent="0.2">
      <c r="A1042" s="38" t="s">
        <v>185</v>
      </c>
      <c r="B1042" s="38" t="s">
        <v>86</v>
      </c>
      <c r="C1042" s="38" t="s">
        <v>162</v>
      </c>
      <c r="D1042" s="38" t="s">
        <v>65</v>
      </c>
      <c r="E1042" s="38"/>
      <c r="F1042" s="51" t="s">
        <v>163</v>
      </c>
      <c r="G1042" s="38">
        <v>2</v>
      </c>
      <c r="H1042" s="38" t="s">
        <v>17</v>
      </c>
      <c r="I1042" s="38" t="s">
        <v>20</v>
      </c>
      <c r="J1042" s="38">
        <v>1</v>
      </c>
      <c r="K1042" s="39">
        <f>AB1042/COUNTIFS($B:$B,$B1042,$C:$C,$C1042,$H:$H,$H1042,$I:$I,$I1042)</f>
        <v>0.08</v>
      </c>
      <c r="L1042" s="40">
        <f t="shared" si="65"/>
        <v>0.8</v>
      </c>
      <c r="M1042" s="41">
        <f t="shared" si="66"/>
        <v>6.4000000000000001E-2</v>
      </c>
      <c r="N1042" s="38"/>
      <c r="P1042" s="24" t="s">
        <v>335</v>
      </c>
      <c r="Q1042" s="10"/>
      <c r="R1042" s="10"/>
      <c r="S1042" s="10"/>
      <c r="T1042" s="10"/>
      <c r="U1042" s="10"/>
      <c r="V1042" s="10"/>
      <c r="AA1042" s="146">
        <f>AB1042/COUNTIFS($B:$B,$B1042,$C:$C,$C1042,$H:$H,$H1042,$I:$I,$I1042)</f>
        <v>0.08</v>
      </c>
      <c r="AB1042" s="108">
        <f>VLOOKUP(I1042,'Weights and Confidence'!$D$16:$AC$26,7,FALSE)</f>
        <v>0.08</v>
      </c>
      <c r="AC1042" s="147">
        <f>VLOOKUP(I1042,'Weights and Confidence'!$D$16:$AC$26,8,FALSE)</f>
        <v>0.8</v>
      </c>
    </row>
    <row r="1043" spans="1:29" x14ac:dyDescent="0.2">
      <c r="A1043" s="34" t="s">
        <v>185</v>
      </c>
      <c r="B1043" s="34" t="s">
        <v>86</v>
      </c>
      <c r="C1043" s="34" t="s">
        <v>162</v>
      </c>
      <c r="D1043" s="34" t="s">
        <v>65</v>
      </c>
      <c r="E1043" s="34"/>
      <c r="F1043" s="50" t="s">
        <v>163</v>
      </c>
      <c r="G1043" s="34">
        <v>2</v>
      </c>
      <c r="H1043" s="34" t="s">
        <v>18</v>
      </c>
      <c r="I1043" s="34" t="s">
        <v>20</v>
      </c>
      <c r="J1043" s="34">
        <v>-1</v>
      </c>
      <c r="K1043" s="35">
        <f>AB1043/COUNTIFS($B:$B,$B1043,$C:$C,$C1043,$H:$H,$H1043,$I:$I,$I1043)</f>
        <v>0.08</v>
      </c>
      <c r="L1043" s="36">
        <f t="shared" si="65"/>
        <v>0.8</v>
      </c>
      <c r="M1043" s="37">
        <f t="shared" si="66"/>
        <v>-6.4000000000000001E-2</v>
      </c>
      <c r="N1043" s="58" t="s">
        <v>333</v>
      </c>
      <c r="P1043" s="25" t="s">
        <v>337</v>
      </c>
      <c r="AA1043" s="146">
        <f>AB1043/COUNTIFS($B:$B,$B1043,$C:$C,$C1043,$H:$H,$H1043,$I:$I,$I1043)</f>
        <v>0.08</v>
      </c>
      <c r="AB1043" s="108">
        <f>VLOOKUP(I1043,'Weights and Confidence'!$D$16:$AC$26,7,FALSE)</f>
        <v>0.08</v>
      </c>
      <c r="AC1043" s="147">
        <f>VLOOKUP(I1043,'Weights and Confidence'!$D$16:$AC$26,8,FALSE)</f>
        <v>0.8</v>
      </c>
    </row>
    <row r="1044" spans="1:29" ht="17" thickBot="1" x14ac:dyDescent="0.25">
      <c r="A1044" s="38" t="s">
        <v>185</v>
      </c>
      <c r="B1044" s="38" t="s">
        <v>86</v>
      </c>
      <c r="C1044" s="38" t="s">
        <v>162</v>
      </c>
      <c r="D1044" s="38" t="s">
        <v>65</v>
      </c>
      <c r="E1044" s="38"/>
      <c r="F1044" s="51" t="s">
        <v>163</v>
      </c>
      <c r="G1044" s="38">
        <v>3</v>
      </c>
      <c r="H1044" s="38" t="s">
        <v>17</v>
      </c>
      <c r="I1044" s="38" t="s">
        <v>21</v>
      </c>
      <c r="J1044" s="38">
        <v>1</v>
      </c>
      <c r="K1044" s="39">
        <f>AB1044/COUNTIFS($B:$B,$B1044,$C:$C,$C1044,$H:$H,$H1044,$I:$I,$I1044)</f>
        <v>0.05</v>
      </c>
      <c r="L1044" s="40">
        <f t="shared" si="65"/>
        <v>1</v>
      </c>
      <c r="M1044" s="41">
        <f t="shared" si="66"/>
        <v>0.05</v>
      </c>
      <c r="N1044" s="38"/>
      <c r="P1044" s="26" t="s">
        <v>338</v>
      </c>
      <c r="Q1044" s="2"/>
      <c r="R1044" s="2"/>
      <c r="S1044" s="2"/>
      <c r="T1044" s="2"/>
      <c r="U1044" s="2"/>
      <c r="V1044" s="2"/>
      <c r="AA1044" s="146">
        <f>AB1044/COUNTIFS($B:$B,$B1044,$C:$C,$C1044,$H:$H,$H1044,$I:$I,$I1044)</f>
        <v>0.05</v>
      </c>
      <c r="AB1044" s="108">
        <f>VLOOKUP(I1044,'Weights and Confidence'!$D$16:$AC$26,7,FALSE)</f>
        <v>0.05</v>
      </c>
      <c r="AC1044" s="147">
        <f>VLOOKUP(I1044,'Weights and Confidence'!$D$16:$AC$26,8,FALSE)</f>
        <v>1</v>
      </c>
    </row>
    <row r="1045" spans="1:29" x14ac:dyDescent="0.2">
      <c r="A1045" s="34" t="s">
        <v>185</v>
      </c>
      <c r="B1045" s="34" t="s">
        <v>86</v>
      </c>
      <c r="C1045" s="34" t="s">
        <v>162</v>
      </c>
      <c r="D1045" s="34" t="s">
        <v>65</v>
      </c>
      <c r="E1045" s="34"/>
      <c r="F1045" s="50" t="s">
        <v>163</v>
      </c>
      <c r="G1045" s="34">
        <v>3</v>
      </c>
      <c r="H1045" s="34" t="s">
        <v>18</v>
      </c>
      <c r="I1045" s="34" t="s">
        <v>21</v>
      </c>
      <c r="J1045" s="34">
        <v>0</v>
      </c>
      <c r="K1045" s="35">
        <f>AB1045/COUNTIFS($B:$B,$B1045,$C:$C,$C1045,$H:$H,$H1045,$I:$I,$I1045)</f>
        <v>0.05</v>
      </c>
      <c r="L1045" s="36">
        <f t="shared" si="65"/>
        <v>1</v>
      </c>
      <c r="M1045" s="37">
        <f t="shared" si="66"/>
        <v>0</v>
      </c>
      <c r="N1045" s="58"/>
      <c r="AA1045" s="146">
        <f>AB1045/COUNTIFS($B:$B,$B1045,$C:$C,$C1045,$H:$H,$H1045,$I:$I,$I1045)</f>
        <v>0.05</v>
      </c>
      <c r="AB1045" s="108">
        <f>VLOOKUP(I1045,'Weights and Confidence'!$D$16:$AC$26,7,FALSE)</f>
        <v>0.05</v>
      </c>
      <c r="AC1045" s="147">
        <f>VLOOKUP(I1045,'Weights and Confidence'!$D$16:$AC$26,8,FALSE)</f>
        <v>1</v>
      </c>
    </row>
    <row r="1046" spans="1:29" x14ac:dyDescent="0.2">
      <c r="A1046" s="38" t="s">
        <v>185</v>
      </c>
      <c r="B1046" s="38" t="s">
        <v>86</v>
      </c>
      <c r="C1046" s="38" t="s">
        <v>162</v>
      </c>
      <c r="D1046" s="38" t="s">
        <v>65</v>
      </c>
      <c r="E1046" s="38"/>
      <c r="F1046" s="51" t="s">
        <v>163</v>
      </c>
      <c r="G1046" s="38">
        <v>4</v>
      </c>
      <c r="H1046" s="38" t="s">
        <v>17</v>
      </c>
      <c r="I1046" s="38" t="s">
        <v>22</v>
      </c>
      <c r="J1046" s="38">
        <v>0</v>
      </c>
      <c r="K1046" s="39">
        <f>AB1046/COUNTIFS($B:$B,$B1046,$C:$C,$C1046,$H:$H,$H1046,$I:$I,$I1046)</f>
        <v>0.14000000000000001</v>
      </c>
      <c r="L1046" s="40">
        <f t="shared" si="65"/>
        <v>1</v>
      </c>
      <c r="M1046" s="41">
        <f t="shared" si="66"/>
        <v>0</v>
      </c>
      <c r="N1046" s="38"/>
      <c r="AA1046" s="146">
        <f>AB1046/COUNTIFS($B:$B,$B1046,$C:$C,$C1046,$H:$H,$H1046,$I:$I,$I1046)</f>
        <v>0.14000000000000001</v>
      </c>
      <c r="AB1046" s="108">
        <f>VLOOKUP(I1046,'Weights and Confidence'!$D$16:$AC$26,7,FALSE)</f>
        <v>0.14000000000000001</v>
      </c>
      <c r="AC1046" s="147">
        <f>VLOOKUP(I1046,'Weights and Confidence'!$D$16:$AC$26,8,FALSE)</f>
        <v>1</v>
      </c>
    </row>
    <row r="1047" spans="1:29" x14ac:dyDescent="0.2">
      <c r="A1047" s="34" t="s">
        <v>185</v>
      </c>
      <c r="B1047" s="34" t="s">
        <v>86</v>
      </c>
      <c r="C1047" s="34" t="s">
        <v>162</v>
      </c>
      <c r="D1047" s="34" t="s">
        <v>65</v>
      </c>
      <c r="E1047" s="34"/>
      <c r="F1047" s="50" t="s">
        <v>163</v>
      </c>
      <c r="G1047" s="34">
        <v>4</v>
      </c>
      <c r="H1047" s="34" t="s">
        <v>18</v>
      </c>
      <c r="I1047" s="34" t="s">
        <v>22</v>
      </c>
      <c r="J1047" s="34">
        <v>0</v>
      </c>
      <c r="K1047" s="35">
        <f>AB1047/COUNTIFS($B:$B,$B1047,$C:$C,$C1047,$H:$H,$H1047,$I:$I,$I1047)</f>
        <v>0.14000000000000001</v>
      </c>
      <c r="L1047" s="36">
        <f t="shared" si="65"/>
        <v>1</v>
      </c>
      <c r="M1047" s="37">
        <f t="shared" si="66"/>
        <v>0</v>
      </c>
      <c r="N1047" s="58" t="s">
        <v>334</v>
      </c>
      <c r="AA1047" s="146">
        <f>AB1047/COUNTIFS($B:$B,$B1047,$C:$C,$C1047,$H:$H,$H1047,$I:$I,$I1047)</f>
        <v>0.14000000000000001</v>
      </c>
      <c r="AB1047" s="108">
        <f>VLOOKUP(I1047,'Weights and Confidence'!$D$16:$AC$26,7,FALSE)</f>
        <v>0.14000000000000001</v>
      </c>
      <c r="AC1047" s="147">
        <f>VLOOKUP(I1047,'Weights and Confidence'!$D$16:$AC$26,8,FALSE)</f>
        <v>1</v>
      </c>
    </row>
    <row r="1048" spans="1:29" x14ac:dyDescent="0.2">
      <c r="A1048" s="38" t="s">
        <v>185</v>
      </c>
      <c r="B1048" s="38" t="s">
        <v>86</v>
      </c>
      <c r="C1048" s="38" t="s">
        <v>162</v>
      </c>
      <c r="D1048" s="38" t="s">
        <v>65</v>
      </c>
      <c r="E1048" s="38"/>
      <c r="F1048" s="51" t="s">
        <v>163</v>
      </c>
      <c r="G1048" s="38">
        <v>5</v>
      </c>
      <c r="H1048" s="38" t="s">
        <v>17</v>
      </c>
      <c r="I1048" s="38" t="s">
        <v>23</v>
      </c>
      <c r="J1048" s="38">
        <v>0</v>
      </c>
      <c r="K1048" s="39">
        <f>AB1048/COUNTIFS($B:$B,$B1048,$C:$C,$C1048,$H:$H,$H1048,$I:$I,$I1048)</f>
        <v>0.11</v>
      </c>
      <c r="L1048" s="40">
        <f t="shared" si="65"/>
        <v>1</v>
      </c>
      <c r="M1048" s="41">
        <f t="shared" si="66"/>
        <v>0</v>
      </c>
      <c r="N1048" s="38"/>
      <c r="AA1048" s="146">
        <f>AB1048/COUNTIFS($B:$B,$B1048,$C:$C,$C1048,$H:$H,$H1048,$I:$I,$I1048)</f>
        <v>0.11</v>
      </c>
      <c r="AB1048" s="108">
        <f>VLOOKUP(I1048,'Weights and Confidence'!$D$16:$AC$26,7,FALSE)</f>
        <v>0.11</v>
      </c>
      <c r="AC1048" s="147">
        <f>VLOOKUP(I1048,'Weights and Confidence'!$D$16:$AC$26,8,FALSE)</f>
        <v>1</v>
      </c>
    </row>
    <row r="1049" spans="1:29" x14ac:dyDescent="0.2">
      <c r="A1049" s="34" t="s">
        <v>185</v>
      </c>
      <c r="B1049" s="34" t="s">
        <v>86</v>
      </c>
      <c r="C1049" s="34" t="s">
        <v>162</v>
      </c>
      <c r="D1049" s="34" t="s">
        <v>65</v>
      </c>
      <c r="E1049" s="34"/>
      <c r="F1049" s="50" t="s">
        <v>163</v>
      </c>
      <c r="G1049" s="34">
        <v>5</v>
      </c>
      <c r="H1049" s="34" t="s">
        <v>18</v>
      </c>
      <c r="I1049" s="34" t="s">
        <v>23</v>
      </c>
      <c r="J1049" s="34">
        <v>-1</v>
      </c>
      <c r="K1049" s="35">
        <f>AB1049/COUNTIFS($B:$B,$B1049,$C:$C,$C1049,$H:$H,$H1049,$I:$I,$I1049)</f>
        <v>0.11</v>
      </c>
      <c r="L1049" s="36">
        <f t="shared" si="65"/>
        <v>1</v>
      </c>
      <c r="M1049" s="37">
        <f t="shared" si="66"/>
        <v>-0.11</v>
      </c>
      <c r="N1049" s="58"/>
      <c r="AA1049" s="146">
        <f>AB1049/COUNTIFS($B:$B,$B1049,$C:$C,$C1049,$H:$H,$H1049,$I:$I,$I1049)</f>
        <v>0.11</v>
      </c>
      <c r="AB1049" s="108">
        <f>VLOOKUP(I1049,'Weights and Confidence'!$D$16:$AC$26,7,FALSE)</f>
        <v>0.11</v>
      </c>
      <c r="AC1049" s="147">
        <f>VLOOKUP(I1049,'Weights and Confidence'!$D$16:$AC$26,8,FALSE)</f>
        <v>1</v>
      </c>
    </row>
    <row r="1050" spans="1:29" x14ac:dyDescent="0.2">
      <c r="A1050" s="38" t="s">
        <v>185</v>
      </c>
      <c r="B1050" s="38" t="s">
        <v>86</v>
      </c>
      <c r="C1050" s="38" t="s">
        <v>162</v>
      </c>
      <c r="D1050" s="38" t="s">
        <v>65</v>
      </c>
      <c r="E1050" s="38"/>
      <c r="F1050" s="51" t="s">
        <v>163</v>
      </c>
      <c r="G1050" s="38">
        <v>6</v>
      </c>
      <c r="H1050" s="38" t="s">
        <v>17</v>
      </c>
      <c r="I1050" s="38" t="s">
        <v>24</v>
      </c>
      <c r="J1050" s="38">
        <v>0</v>
      </c>
      <c r="K1050" s="39">
        <f>AB1050/COUNTIFS($B:$B,$B1050,$C:$C,$C1050,$H:$H,$H1050,$I:$I,$I1050)</f>
        <v>0.15</v>
      </c>
      <c r="L1050" s="40">
        <f t="shared" si="65"/>
        <v>1</v>
      </c>
      <c r="M1050" s="41">
        <f t="shared" si="66"/>
        <v>0</v>
      </c>
      <c r="N1050" s="59"/>
      <c r="AA1050" s="146">
        <f>AB1050/COUNTIFS($B:$B,$B1050,$C:$C,$C1050,$H:$H,$H1050,$I:$I,$I1050)</f>
        <v>0.15</v>
      </c>
      <c r="AB1050" s="108">
        <f>VLOOKUP(I1050,'Weights and Confidence'!$D$16:$AC$26,7,FALSE)</f>
        <v>0.15</v>
      </c>
      <c r="AC1050" s="147">
        <f>VLOOKUP(I1050,'Weights and Confidence'!$D$16:$AC$26,8,FALSE)</f>
        <v>1</v>
      </c>
    </row>
    <row r="1051" spans="1:29" x14ac:dyDescent="0.2">
      <c r="A1051" s="34" t="s">
        <v>185</v>
      </c>
      <c r="B1051" s="34" t="s">
        <v>86</v>
      </c>
      <c r="C1051" s="34" t="s">
        <v>162</v>
      </c>
      <c r="D1051" s="34" t="s">
        <v>65</v>
      </c>
      <c r="E1051" s="34"/>
      <c r="F1051" s="50" t="s">
        <v>163</v>
      </c>
      <c r="G1051" s="34">
        <v>6</v>
      </c>
      <c r="H1051" s="34" t="s">
        <v>18</v>
      </c>
      <c r="I1051" s="34" t="s">
        <v>24</v>
      </c>
      <c r="J1051" s="34">
        <v>0</v>
      </c>
      <c r="K1051" s="35">
        <f>AB1051/COUNTIFS($B:$B,$B1051,$C:$C,$C1051,$H:$H,$H1051,$I:$I,$I1051)</f>
        <v>0.15</v>
      </c>
      <c r="L1051" s="36">
        <f t="shared" si="65"/>
        <v>1</v>
      </c>
      <c r="M1051" s="37">
        <f t="shared" si="66"/>
        <v>0</v>
      </c>
      <c r="N1051" s="58"/>
      <c r="AA1051" s="146">
        <f>AB1051/COUNTIFS($B:$B,$B1051,$C:$C,$C1051,$H:$H,$H1051,$I:$I,$I1051)</f>
        <v>0.15</v>
      </c>
      <c r="AB1051" s="108">
        <f>VLOOKUP(I1051,'Weights and Confidence'!$D$16:$AC$26,7,FALSE)</f>
        <v>0.15</v>
      </c>
      <c r="AC1051" s="147">
        <f>VLOOKUP(I1051,'Weights and Confidence'!$D$16:$AC$26,8,FALSE)</f>
        <v>1</v>
      </c>
    </row>
    <row r="1052" spans="1:29" x14ac:dyDescent="0.2">
      <c r="A1052" s="38" t="s">
        <v>185</v>
      </c>
      <c r="B1052" s="38" t="s">
        <v>86</v>
      </c>
      <c r="C1052" s="38" t="s">
        <v>162</v>
      </c>
      <c r="D1052" s="38" t="s">
        <v>65</v>
      </c>
      <c r="E1052" s="38"/>
      <c r="F1052" s="51" t="s">
        <v>163</v>
      </c>
      <c r="G1052" s="38">
        <v>7</v>
      </c>
      <c r="H1052" s="38" t="s">
        <v>17</v>
      </c>
      <c r="I1052" s="38" t="s">
        <v>25</v>
      </c>
      <c r="J1052" s="38">
        <v>0</v>
      </c>
      <c r="K1052" s="39">
        <f>AB1052/COUNTIFS($B:$B,$B1052,$C:$C,$C1052,$H:$H,$H1052,$I:$I,$I1052)</f>
        <v>0.1</v>
      </c>
      <c r="L1052" s="40">
        <f t="shared" si="65"/>
        <v>1</v>
      </c>
      <c r="M1052" s="41">
        <f t="shared" si="66"/>
        <v>0</v>
      </c>
      <c r="N1052" s="38"/>
      <c r="AA1052" s="146">
        <f>AB1052/COUNTIFS($B:$B,$B1052,$C:$C,$C1052,$H:$H,$H1052,$I:$I,$I1052)</f>
        <v>0.1</v>
      </c>
      <c r="AB1052" s="108">
        <f>VLOOKUP(I1052,'Weights and Confidence'!$D$16:$AC$26,7,FALSE)</f>
        <v>0.1</v>
      </c>
      <c r="AC1052" s="147">
        <f>VLOOKUP(I1052,'Weights and Confidence'!$D$16:$AC$26,8,FALSE)</f>
        <v>1</v>
      </c>
    </row>
    <row r="1053" spans="1:29" x14ac:dyDescent="0.2">
      <c r="A1053" s="34" t="s">
        <v>185</v>
      </c>
      <c r="B1053" s="34" t="s">
        <v>86</v>
      </c>
      <c r="C1053" s="34" t="s">
        <v>162</v>
      </c>
      <c r="D1053" s="34" t="s">
        <v>65</v>
      </c>
      <c r="E1053" s="34"/>
      <c r="F1053" s="50" t="s">
        <v>163</v>
      </c>
      <c r="G1053" s="34">
        <v>7</v>
      </c>
      <c r="H1053" s="34" t="s">
        <v>18</v>
      </c>
      <c r="I1053" s="34" t="s">
        <v>25</v>
      </c>
      <c r="J1053" s="34">
        <v>0</v>
      </c>
      <c r="K1053" s="35">
        <f>AB1053/COUNTIFS($B:$B,$B1053,$C:$C,$C1053,$H:$H,$H1053,$I:$I,$I1053)</f>
        <v>0.1</v>
      </c>
      <c r="L1053" s="36">
        <f t="shared" si="65"/>
        <v>1</v>
      </c>
      <c r="M1053" s="37">
        <f t="shared" si="66"/>
        <v>0</v>
      </c>
      <c r="N1053" s="58"/>
      <c r="AA1053" s="146">
        <f>AB1053/COUNTIFS($B:$B,$B1053,$C:$C,$C1053,$H:$H,$H1053,$I:$I,$I1053)</f>
        <v>0.1</v>
      </c>
      <c r="AB1053" s="108">
        <f>VLOOKUP(I1053,'Weights and Confidence'!$D$16:$AC$26,7,FALSE)</f>
        <v>0.1</v>
      </c>
      <c r="AC1053" s="147">
        <f>VLOOKUP(I1053,'Weights and Confidence'!$D$16:$AC$26,8,FALSE)</f>
        <v>1</v>
      </c>
    </row>
    <row r="1054" spans="1:29" x14ac:dyDescent="0.2">
      <c r="A1054" s="38" t="s">
        <v>185</v>
      </c>
      <c r="B1054" s="38" t="s">
        <v>86</v>
      </c>
      <c r="C1054" s="38" t="s">
        <v>162</v>
      </c>
      <c r="D1054" s="38" t="s">
        <v>65</v>
      </c>
      <c r="E1054" s="38"/>
      <c r="F1054" s="51" t="s">
        <v>163</v>
      </c>
      <c r="G1054" s="38">
        <v>8</v>
      </c>
      <c r="H1054" s="38" t="s">
        <v>17</v>
      </c>
      <c r="I1054" s="38" t="s">
        <v>26</v>
      </c>
      <c r="J1054" s="38">
        <v>0</v>
      </c>
      <c r="K1054" s="39">
        <f>AB1054/COUNTIFS($B:$B,$B1054,$C:$C,$C1054,$H:$H,$H1054,$I:$I,$I1054)</f>
        <v>0.1</v>
      </c>
      <c r="L1054" s="40">
        <f t="shared" si="65"/>
        <v>1</v>
      </c>
      <c r="M1054" s="41">
        <f t="shared" si="66"/>
        <v>0</v>
      </c>
      <c r="N1054" s="38"/>
      <c r="AA1054" s="146">
        <f>AB1054/COUNTIFS($B:$B,$B1054,$C:$C,$C1054,$H:$H,$H1054,$I:$I,$I1054)</f>
        <v>0.1</v>
      </c>
      <c r="AB1054" s="108">
        <f>VLOOKUP(I1054,'Weights and Confidence'!$D$16:$AC$26,7,FALSE)</f>
        <v>0.1</v>
      </c>
      <c r="AC1054" s="147">
        <f>VLOOKUP(I1054,'Weights and Confidence'!$D$16:$AC$26,8,FALSE)</f>
        <v>1</v>
      </c>
    </row>
    <row r="1055" spans="1:29" x14ac:dyDescent="0.2">
      <c r="A1055" s="34" t="s">
        <v>185</v>
      </c>
      <c r="B1055" s="34" t="s">
        <v>86</v>
      </c>
      <c r="C1055" s="34" t="s">
        <v>162</v>
      </c>
      <c r="D1055" s="34" t="s">
        <v>65</v>
      </c>
      <c r="E1055" s="34"/>
      <c r="F1055" s="50" t="s">
        <v>163</v>
      </c>
      <c r="G1055" s="34">
        <v>8</v>
      </c>
      <c r="H1055" s="34" t="s">
        <v>18</v>
      </c>
      <c r="I1055" s="34" t="s">
        <v>26</v>
      </c>
      <c r="J1055" s="34">
        <v>0</v>
      </c>
      <c r="K1055" s="35">
        <f>AB1055/COUNTIFS($B:$B,$B1055,$C:$C,$C1055,$H:$H,$H1055,$I:$I,$I1055)</f>
        <v>0.1</v>
      </c>
      <c r="L1055" s="36">
        <f t="shared" si="65"/>
        <v>1</v>
      </c>
      <c r="M1055" s="37">
        <f t="shared" si="66"/>
        <v>0</v>
      </c>
      <c r="N1055" s="58"/>
      <c r="AA1055" s="146">
        <f>AB1055/COUNTIFS($B:$B,$B1055,$C:$C,$C1055,$H:$H,$H1055,$I:$I,$I1055)</f>
        <v>0.1</v>
      </c>
      <c r="AB1055" s="108">
        <f>VLOOKUP(I1055,'Weights and Confidence'!$D$16:$AC$26,7,FALSE)</f>
        <v>0.1</v>
      </c>
      <c r="AC1055" s="147">
        <f>VLOOKUP(I1055,'Weights and Confidence'!$D$16:$AC$26,8,FALSE)</f>
        <v>1</v>
      </c>
    </row>
    <row r="1056" spans="1:29" x14ac:dyDescent="0.2">
      <c r="A1056" s="38" t="s">
        <v>185</v>
      </c>
      <c r="B1056" s="38" t="s">
        <v>86</v>
      </c>
      <c r="C1056" s="38" t="s">
        <v>162</v>
      </c>
      <c r="D1056" s="38" t="s">
        <v>65</v>
      </c>
      <c r="E1056" s="38"/>
      <c r="F1056" s="51" t="s">
        <v>163</v>
      </c>
      <c r="G1056" s="38">
        <v>9</v>
      </c>
      <c r="H1056" s="38" t="s">
        <v>17</v>
      </c>
      <c r="I1056" s="38" t="s">
        <v>27</v>
      </c>
      <c r="J1056" s="38">
        <v>0</v>
      </c>
      <c r="K1056" s="39">
        <f>AB1056/COUNTIFS($B:$B,$B1056,$C:$C,$C1056,$H:$H,$H1056,$I:$I,$I1056)</f>
        <v>0.05</v>
      </c>
      <c r="L1056" s="40">
        <f t="shared" si="65"/>
        <v>0.85</v>
      </c>
      <c r="M1056" s="41">
        <f t="shared" si="66"/>
        <v>0</v>
      </c>
      <c r="N1056" s="38"/>
      <c r="AA1056" s="146">
        <f>AB1056/COUNTIFS($B:$B,$B1056,$C:$C,$C1056,$H:$H,$H1056,$I:$I,$I1056)</f>
        <v>0.05</v>
      </c>
      <c r="AB1056" s="108">
        <f>VLOOKUP(I1056,'Weights and Confidence'!$D$16:$AC$26,7,FALSE)</f>
        <v>0.1</v>
      </c>
      <c r="AC1056" s="147">
        <f>VLOOKUP(I1056,'Weights and Confidence'!$D$16:$AC$26,8,FALSE)</f>
        <v>0.85</v>
      </c>
    </row>
    <row r="1057" spans="1:29" x14ac:dyDescent="0.2">
      <c r="A1057" s="34" t="s">
        <v>185</v>
      </c>
      <c r="B1057" s="34" t="s">
        <v>86</v>
      </c>
      <c r="C1057" s="34" t="s">
        <v>162</v>
      </c>
      <c r="D1057" s="34" t="s">
        <v>65</v>
      </c>
      <c r="E1057" s="34"/>
      <c r="F1057" s="50" t="s">
        <v>163</v>
      </c>
      <c r="G1057" s="34">
        <v>9</v>
      </c>
      <c r="H1057" s="34" t="s">
        <v>18</v>
      </c>
      <c r="I1057" s="34" t="s">
        <v>27</v>
      </c>
      <c r="J1057" s="34">
        <v>0</v>
      </c>
      <c r="K1057" s="35">
        <f>AB1057/COUNTIFS($B:$B,$B1057,$C:$C,$C1057,$H:$H,$H1057,$I:$I,$I1057)</f>
        <v>0.05</v>
      </c>
      <c r="L1057" s="36">
        <f t="shared" si="65"/>
        <v>0.85</v>
      </c>
      <c r="M1057" s="37">
        <f t="shared" si="66"/>
        <v>0</v>
      </c>
      <c r="N1057" s="58"/>
      <c r="AA1057" s="146">
        <f>AB1057/COUNTIFS($B:$B,$B1057,$C:$C,$C1057,$H:$H,$H1057,$I:$I,$I1057)</f>
        <v>0.05</v>
      </c>
      <c r="AB1057" s="108">
        <f>VLOOKUP(I1057,'Weights and Confidence'!$D$16:$AC$26,7,FALSE)</f>
        <v>0.1</v>
      </c>
      <c r="AC1057" s="147">
        <f>VLOOKUP(I1057,'Weights and Confidence'!$D$16:$AC$26,8,FALSE)</f>
        <v>0.85</v>
      </c>
    </row>
    <row r="1058" spans="1:29" x14ac:dyDescent="0.2">
      <c r="A1058" s="38" t="s">
        <v>185</v>
      </c>
      <c r="B1058" s="38" t="s">
        <v>86</v>
      </c>
      <c r="C1058" s="38" t="s">
        <v>162</v>
      </c>
      <c r="D1058" s="38" t="s">
        <v>65</v>
      </c>
      <c r="E1058" s="38"/>
      <c r="F1058" s="51" t="s">
        <v>163</v>
      </c>
      <c r="G1058" s="38">
        <v>10</v>
      </c>
      <c r="H1058" s="38" t="s">
        <v>17</v>
      </c>
      <c r="I1058" s="38" t="s">
        <v>27</v>
      </c>
      <c r="J1058" s="38">
        <v>0</v>
      </c>
      <c r="K1058" s="39">
        <f>AB1058/COUNTIFS($B:$B,$B1058,$C:$C,$C1058,$H:$H,$H1058,$I:$I,$I1058)</f>
        <v>0.05</v>
      </c>
      <c r="L1058" s="40">
        <f t="shared" si="65"/>
        <v>0.85</v>
      </c>
      <c r="M1058" s="41">
        <f t="shared" si="66"/>
        <v>0</v>
      </c>
      <c r="N1058" s="38"/>
      <c r="AA1058" s="146">
        <f>AB1058/COUNTIFS($B:$B,$B1058,$C:$C,$C1058,$H:$H,$H1058,$I:$I,$I1058)</f>
        <v>0.05</v>
      </c>
      <c r="AB1058" s="108">
        <f>VLOOKUP(I1058,'Weights and Confidence'!$D$16:$AC$26,7,FALSE)</f>
        <v>0.1</v>
      </c>
      <c r="AC1058" s="147">
        <f>VLOOKUP(I1058,'Weights and Confidence'!$D$16:$AC$26,8,FALSE)</f>
        <v>0.85</v>
      </c>
    </row>
    <row r="1059" spans="1:29" x14ac:dyDescent="0.2">
      <c r="A1059" s="34" t="s">
        <v>185</v>
      </c>
      <c r="B1059" s="34" t="s">
        <v>86</v>
      </c>
      <c r="C1059" s="34" t="s">
        <v>162</v>
      </c>
      <c r="D1059" s="34" t="s">
        <v>65</v>
      </c>
      <c r="E1059" s="34"/>
      <c r="F1059" s="50" t="s">
        <v>163</v>
      </c>
      <c r="G1059" s="34">
        <v>10</v>
      </c>
      <c r="H1059" s="34" t="s">
        <v>18</v>
      </c>
      <c r="I1059" s="34" t="s">
        <v>27</v>
      </c>
      <c r="J1059" s="34">
        <v>0</v>
      </c>
      <c r="K1059" s="35">
        <f>AB1059/COUNTIFS($B:$B,$B1059,$C:$C,$C1059,$H:$H,$H1059,$I:$I,$I1059)</f>
        <v>0.05</v>
      </c>
      <c r="L1059" s="36">
        <f t="shared" si="65"/>
        <v>0.85</v>
      </c>
      <c r="M1059" s="37">
        <f t="shared" si="66"/>
        <v>0</v>
      </c>
      <c r="N1059" s="58"/>
      <c r="AA1059" s="146">
        <f>AB1059/COUNTIFS($B:$B,$B1059,$C:$C,$C1059,$H:$H,$H1059,$I:$I,$I1059)</f>
        <v>0.05</v>
      </c>
      <c r="AB1059" s="108">
        <f>VLOOKUP(I1059,'Weights and Confidence'!$D$16:$AC$26,7,FALSE)</f>
        <v>0.1</v>
      </c>
      <c r="AC1059" s="147">
        <f>VLOOKUP(I1059,'Weights and Confidence'!$D$16:$AC$26,8,FALSE)</f>
        <v>0.85</v>
      </c>
    </row>
    <row r="1060" spans="1:29" x14ac:dyDescent="0.2">
      <c r="A1060" s="38" t="s">
        <v>185</v>
      </c>
      <c r="B1060" s="38" t="s">
        <v>86</v>
      </c>
      <c r="C1060" s="38" t="s">
        <v>162</v>
      </c>
      <c r="D1060" s="38" t="s">
        <v>65</v>
      </c>
      <c r="E1060" s="38"/>
      <c r="F1060" s="51" t="s">
        <v>163</v>
      </c>
      <c r="G1060" s="38">
        <v>11</v>
      </c>
      <c r="H1060" s="38" t="s">
        <v>17</v>
      </c>
      <c r="I1060" s="38" t="s">
        <v>28</v>
      </c>
      <c r="J1060" s="38">
        <v>-1</v>
      </c>
      <c r="K1060" s="39">
        <f>AB1060/COUNTIFS($B:$B,$B1060,$C:$C,$C1060,$H:$H,$H1060,$I:$I,$I1060)</f>
        <v>0.05</v>
      </c>
      <c r="L1060" s="40">
        <f t="shared" si="65"/>
        <v>1</v>
      </c>
      <c r="M1060" s="41">
        <f t="shared" si="66"/>
        <v>-0.05</v>
      </c>
      <c r="N1060" s="38"/>
      <c r="AA1060" s="146">
        <f>AB1060/COUNTIFS($B:$B,$B1060,$C:$C,$C1060,$H:$H,$H1060,$I:$I,$I1060)</f>
        <v>0.05</v>
      </c>
      <c r="AB1060" s="108">
        <f>VLOOKUP(I1060,'Weights and Confidence'!$D$16:$AC$26,7,FALSE)</f>
        <v>0.05</v>
      </c>
      <c r="AC1060" s="147">
        <f>VLOOKUP(I1060,'Weights and Confidence'!$D$16:$AC$26,8,FALSE)</f>
        <v>1</v>
      </c>
    </row>
    <row r="1061" spans="1:29" ht="17" thickBot="1" x14ac:dyDescent="0.25">
      <c r="A1061" s="34" t="s">
        <v>185</v>
      </c>
      <c r="B1061" s="53" t="s">
        <v>86</v>
      </c>
      <c r="C1061" s="53" t="s">
        <v>162</v>
      </c>
      <c r="D1061" s="53" t="s">
        <v>65</v>
      </c>
      <c r="E1061" s="53"/>
      <c r="F1061" s="54" t="s">
        <v>163</v>
      </c>
      <c r="G1061" s="53">
        <v>11</v>
      </c>
      <c r="H1061" s="53" t="s">
        <v>18</v>
      </c>
      <c r="I1061" s="53" t="s">
        <v>28</v>
      </c>
      <c r="J1061" s="53">
        <v>-1</v>
      </c>
      <c r="K1061" s="55">
        <f>AB1061/COUNTIFS($B:$B,$B1061,$C:$C,$C1061,$H:$H,$H1061,$I:$I,$I1061)</f>
        <v>0.05</v>
      </c>
      <c r="L1061" s="56">
        <f t="shared" si="65"/>
        <v>1</v>
      </c>
      <c r="M1061" s="57">
        <f t="shared" si="66"/>
        <v>-0.05</v>
      </c>
      <c r="N1061" s="61" t="s">
        <v>336</v>
      </c>
      <c r="AA1061" s="140">
        <f>AB1061/COUNTIFS($B:$B,$B1061,$C:$C,$C1061,$H:$H,$H1061,$I:$I,$I1061)</f>
        <v>0.05</v>
      </c>
      <c r="AB1061" s="141">
        <f>VLOOKUP(I1061,'Weights and Confidence'!$D$16:$AC$26,7,FALSE)</f>
        <v>0.05</v>
      </c>
      <c r="AC1061" s="142">
        <f>VLOOKUP(I1061,'Weights and Confidence'!$D$16:$AC$26,8,FALSE)</f>
        <v>1</v>
      </c>
    </row>
    <row r="1062" spans="1:29" ht="18" thickTop="1" thickBot="1" x14ac:dyDescent="0.25">
      <c r="A1062" s="42" t="s">
        <v>185</v>
      </c>
      <c r="B1062" s="42" t="s">
        <v>86</v>
      </c>
      <c r="C1062" s="42" t="s">
        <v>339</v>
      </c>
      <c r="D1062" s="42" t="s">
        <v>65</v>
      </c>
      <c r="E1062" s="42"/>
      <c r="F1062" s="49" t="s">
        <v>340</v>
      </c>
      <c r="G1062" s="42">
        <v>1</v>
      </c>
      <c r="H1062" s="42" t="s">
        <v>17</v>
      </c>
      <c r="I1062" s="42" t="s">
        <v>19</v>
      </c>
      <c r="J1062" s="42">
        <v>1</v>
      </c>
      <c r="K1062" s="44">
        <f>AB1062/COUNTIFS($B:$B,$B1062,$C:$C,$C1062,$H:$H,$H1062,$I:$I,$I1062)</f>
        <v>0.12</v>
      </c>
      <c r="L1062" s="45">
        <f t="shared" si="65"/>
        <v>1</v>
      </c>
      <c r="M1062" s="46">
        <f t="shared" si="66"/>
        <v>0.12</v>
      </c>
      <c r="N1062" s="42"/>
      <c r="AA1062" s="146">
        <f>AB1062/COUNTIFS($B:$B,$B1062,$C:$C,$C1062,$H:$H,$H1062,$I:$I,$I1062)</f>
        <v>0.12</v>
      </c>
      <c r="AB1062" s="108">
        <f>VLOOKUP(I1062,'Weights and Confidence'!$D$16:$AC$26,7,FALSE)</f>
        <v>0.12</v>
      </c>
      <c r="AC1062" s="147">
        <f>VLOOKUP(I1062,'Weights and Confidence'!$D$16:$AC$26,8,FALSE)</f>
        <v>1</v>
      </c>
    </row>
    <row r="1063" spans="1:29" x14ac:dyDescent="0.2">
      <c r="A1063" s="34" t="s">
        <v>185</v>
      </c>
      <c r="B1063" s="34" t="s">
        <v>86</v>
      </c>
      <c r="C1063" s="34" t="s">
        <v>339</v>
      </c>
      <c r="D1063" s="34" t="s">
        <v>65</v>
      </c>
      <c r="E1063" s="34"/>
      <c r="F1063" s="50" t="s">
        <v>340</v>
      </c>
      <c r="G1063" s="34">
        <v>1</v>
      </c>
      <c r="H1063" s="34" t="s">
        <v>18</v>
      </c>
      <c r="I1063" s="34" t="s">
        <v>19</v>
      </c>
      <c r="J1063" s="34">
        <v>1</v>
      </c>
      <c r="K1063" s="35">
        <f>AB1063/COUNTIFS($B:$B,$B1063,$C:$C,$C1063,$H:$H,$H1063,$I:$I,$I1063)</f>
        <v>0.12</v>
      </c>
      <c r="L1063" s="36">
        <f t="shared" si="65"/>
        <v>1</v>
      </c>
      <c r="M1063" s="37">
        <f t="shared" si="66"/>
        <v>0.12</v>
      </c>
      <c r="N1063" s="58"/>
      <c r="P1063" s="24" t="s">
        <v>343</v>
      </c>
      <c r="Q1063" s="10"/>
      <c r="R1063" s="10"/>
      <c r="S1063" s="10"/>
      <c r="T1063" s="10"/>
      <c r="U1063" s="10"/>
      <c r="V1063" s="10"/>
      <c r="AA1063" s="146">
        <f>AB1063/COUNTIFS($B:$B,$B1063,$C:$C,$C1063,$H:$H,$H1063,$I:$I,$I1063)</f>
        <v>0.12</v>
      </c>
      <c r="AB1063" s="108">
        <f>VLOOKUP(I1063,'Weights and Confidence'!$D$16:$AC$26,7,FALSE)</f>
        <v>0.12</v>
      </c>
      <c r="AC1063" s="147">
        <f>VLOOKUP(I1063,'Weights and Confidence'!$D$16:$AC$26,8,FALSE)</f>
        <v>1</v>
      </c>
    </row>
    <row r="1064" spans="1:29" ht="17" thickBot="1" x14ac:dyDescent="0.25">
      <c r="A1064" s="38" t="s">
        <v>185</v>
      </c>
      <c r="B1064" s="38" t="s">
        <v>86</v>
      </c>
      <c r="C1064" s="38" t="s">
        <v>339</v>
      </c>
      <c r="D1064" s="38" t="s">
        <v>65</v>
      </c>
      <c r="E1064" s="38"/>
      <c r="F1064" s="51" t="s">
        <v>340</v>
      </c>
      <c r="G1064" s="38">
        <v>2</v>
      </c>
      <c r="H1064" s="38" t="s">
        <v>17</v>
      </c>
      <c r="I1064" s="38" t="s">
        <v>20</v>
      </c>
      <c r="J1064" s="38">
        <v>1</v>
      </c>
      <c r="K1064" s="39">
        <f>AB1064/COUNTIFS($B:$B,$B1064,$C:$C,$C1064,$H:$H,$H1064,$I:$I,$I1064)</f>
        <v>0.08</v>
      </c>
      <c r="L1064" s="40">
        <f t="shared" si="65"/>
        <v>0.8</v>
      </c>
      <c r="M1064" s="41">
        <f t="shared" si="66"/>
        <v>6.4000000000000001E-2</v>
      </c>
      <c r="N1064" s="38"/>
      <c r="P1064" s="26" t="s">
        <v>345</v>
      </c>
      <c r="Q1064" s="2"/>
      <c r="R1064" s="2"/>
      <c r="S1064" s="2"/>
      <c r="T1064" s="2"/>
      <c r="U1064" s="2"/>
      <c r="V1064" s="2"/>
      <c r="AA1064" s="146">
        <f>AB1064/COUNTIFS($B:$B,$B1064,$C:$C,$C1064,$H:$H,$H1064,$I:$I,$I1064)</f>
        <v>0.08</v>
      </c>
      <c r="AB1064" s="108">
        <f>VLOOKUP(I1064,'Weights and Confidence'!$D$16:$AC$26,7,FALSE)</f>
        <v>0.08</v>
      </c>
      <c r="AC1064" s="147">
        <f>VLOOKUP(I1064,'Weights and Confidence'!$D$16:$AC$26,8,FALSE)</f>
        <v>0.8</v>
      </c>
    </row>
    <row r="1065" spans="1:29" x14ac:dyDescent="0.2">
      <c r="A1065" s="34" t="s">
        <v>185</v>
      </c>
      <c r="B1065" s="34" t="s">
        <v>86</v>
      </c>
      <c r="C1065" s="34" t="s">
        <v>339</v>
      </c>
      <c r="D1065" s="34" t="s">
        <v>65</v>
      </c>
      <c r="E1065" s="34"/>
      <c r="F1065" s="50" t="s">
        <v>340</v>
      </c>
      <c r="G1065" s="34">
        <v>2</v>
      </c>
      <c r="H1065" s="34" t="s">
        <v>18</v>
      </c>
      <c r="I1065" s="34" t="s">
        <v>20</v>
      </c>
      <c r="J1065" s="34">
        <v>1</v>
      </c>
      <c r="K1065" s="35">
        <f>AB1065/COUNTIFS($B:$B,$B1065,$C:$C,$C1065,$H:$H,$H1065,$I:$I,$I1065)</f>
        <v>0.08</v>
      </c>
      <c r="L1065" s="36">
        <f t="shared" si="65"/>
        <v>0.8</v>
      </c>
      <c r="M1065" s="37">
        <f t="shared" si="66"/>
        <v>6.4000000000000001E-2</v>
      </c>
      <c r="N1065" s="58"/>
      <c r="AA1065" s="146">
        <f>AB1065/COUNTIFS($B:$B,$B1065,$C:$C,$C1065,$H:$H,$H1065,$I:$I,$I1065)</f>
        <v>0.08</v>
      </c>
      <c r="AB1065" s="108">
        <f>VLOOKUP(I1065,'Weights and Confidence'!$D$16:$AC$26,7,FALSE)</f>
        <v>0.08</v>
      </c>
      <c r="AC1065" s="147">
        <f>VLOOKUP(I1065,'Weights and Confidence'!$D$16:$AC$26,8,FALSE)</f>
        <v>0.8</v>
      </c>
    </row>
    <row r="1066" spans="1:29" x14ac:dyDescent="0.2">
      <c r="A1066" s="38" t="s">
        <v>185</v>
      </c>
      <c r="B1066" s="38" t="s">
        <v>86</v>
      </c>
      <c r="C1066" s="38" t="s">
        <v>339</v>
      </c>
      <c r="D1066" s="38" t="s">
        <v>65</v>
      </c>
      <c r="E1066" s="38"/>
      <c r="F1066" s="51" t="s">
        <v>340</v>
      </c>
      <c r="G1066" s="38">
        <v>3</v>
      </c>
      <c r="H1066" s="38" t="s">
        <v>17</v>
      </c>
      <c r="I1066" s="38" t="s">
        <v>21</v>
      </c>
      <c r="J1066" s="38">
        <v>1</v>
      </c>
      <c r="K1066" s="39">
        <f>AB1066/COUNTIFS($B:$B,$B1066,$C:$C,$C1066,$H:$H,$H1066,$I:$I,$I1066)</f>
        <v>0.05</v>
      </c>
      <c r="L1066" s="40">
        <f t="shared" si="65"/>
        <v>1</v>
      </c>
      <c r="M1066" s="41">
        <f t="shared" si="66"/>
        <v>0.05</v>
      </c>
      <c r="N1066" s="38"/>
      <c r="AA1066" s="146">
        <f>AB1066/COUNTIFS($B:$B,$B1066,$C:$C,$C1066,$H:$H,$H1066,$I:$I,$I1066)</f>
        <v>0.05</v>
      </c>
      <c r="AB1066" s="108">
        <f>VLOOKUP(I1066,'Weights and Confidence'!$D$16:$AC$26,7,FALSE)</f>
        <v>0.05</v>
      </c>
      <c r="AC1066" s="147">
        <f>VLOOKUP(I1066,'Weights and Confidence'!$D$16:$AC$26,8,FALSE)</f>
        <v>1</v>
      </c>
    </row>
    <row r="1067" spans="1:29" x14ac:dyDescent="0.2">
      <c r="A1067" s="34" t="s">
        <v>185</v>
      </c>
      <c r="B1067" s="34" t="s">
        <v>86</v>
      </c>
      <c r="C1067" s="34" t="s">
        <v>339</v>
      </c>
      <c r="D1067" s="34" t="s">
        <v>65</v>
      </c>
      <c r="E1067" s="34"/>
      <c r="F1067" s="50" t="s">
        <v>340</v>
      </c>
      <c r="G1067" s="34">
        <v>3</v>
      </c>
      <c r="H1067" s="34" t="s">
        <v>18</v>
      </c>
      <c r="I1067" s="34" t="s">
        <v>21</v>
      </c>
      <c r="J1067" s="34">
        <v>1</v>
      </c>
      <c r="K1067" s="35">
        <f>AB1067/COUNTIFS($B:$B,$B1067,$C:$C,$C1067,$H:$H,$H1067,$I:$I,$I1067)</f>
        <v>0.05</v>
      </c>
      <c r="L1067" s="36">
        <f t="shared" si="65"/>
        <v>1</v>
      </c>
      <c r="M1067" s="37">
        <f t="shared" si="66"/>
        <v>0.05</v>
      </c>
      <c r="N1067" s="58"/>
      <c r="AA1067" s="146">
        <f>AB1067/COUNTIFS($B:$B,$B1067,$C:$C,$C1067,$H:$H,$H1067,$I:$I,$I1067)</f>
        <v>0.05</v>
      </c>
      <c r="AB1067" s="108">
        <f>VLOOKUP(I1067,'Weights and Confidence'!$D$16:$AC$26,7,FALSE)</f>
        <v>0.05</v>
      </c>
      <c r="AC1067" s="147">
        <f>VLOOKUP(I1067,'Weights and Confidence'!$D$16:$AC$26,8,FALSE)</f>
        <v>1</v>
      </c>
    </row>
    <row r="1068" spans="1:29" x14ac:dyDescent="0.2">
      <c r="A1068" s="38" t="s">
        <v>185</v>
      </c>
      <c r="B1068" s="38" t="s">
        <v>86</v>
      </c>
      <c r="C1068" s="38" t="s">
        <v>339</v>
      </c>
      <c r="D1068" s="38" t="s">
        <v>65</v>
      </c>
      <c r="E1068" s="38"/>
      <c r="F1068" s="51" t="s">
        <v>340</v>
      </c>
      <c r="G1068" s="38">
        <v>4</v>
      </c>
      <c r="H1068" s="38" t="s">
        <v>17</v>
      </c>
      <c r="I1068" s="38" t="s">
        <v>22</v>
      </c>
      <c r="J1068" s="38">
        <v>0</v>
      </c>
      <c r="K1068" s="39">
        <f>AB1068/COUNTIFS($B:$B,$B1068,$C:$C,$C1068,$H:$H,$H1068,$I:$I,$I1068)</f>
        <v>0.14000000000000001</v>
      </c>
      <c r="L1068" s="40">
        <f t="shared" si="65"/>
        <v>1</v>
      </c>
      <c r="M1068" s="41">
        <f t="shared" si="66"/>
        <v>0</v>
      </c>
      <c r="N1068" s="38"/>
      <c r="AA1068" s="146">
        <f>AB1068/COUNTIFS($B:$B,$B1068,$C:$C,$C1068,$H:$H,$H1068,$I:$I,$I1068)</f>
        <v>0.14000000000000001</v>
      </c>
      <c r="AB1068" s="108">
        <f>VLOOKUP(I1068,'Weights and Confidence'!$D$16:$AC$26,7,FALSE)</f>
        <v>0.14000000000000001</v>
      </c>
      <c r="AC1068" s="147">
        <f>VLOOKUP(I1068,'Weights and Confidence'!$D$16:$AC$26,8,FALSE)</f>
        <v>1</v>
      </c>
    </row>
    <row r="1069" spans="1:29" x14ac:dyDescent="0.2">
      <c r="A1069" s="34" t="s">
        <v>185</v>
      </c>
      <c r="B1069" s="34" t="s">
        <v>86</v>
      </c>
      <c r="C1069" s="34" t="s">
        <v>339</v>
      </c>
      <c r="D1069" s="34" t="s">
        <v>65</v>
      </c>
      <c r="E1069" s="34"/>
      <c r="F1069" s="50" t="s">
        <v>340</v>
      </c>
      <c r="G1069" s="34">
        <v>4</v>
      </c>
      <c r="H1069" s="34" t="s">
        <v>18</v>
      </c>
      <c r="I1069" s="34" t="s">
        <v>22</v>
      </c>
      <c r="J1069" s="34">
        <v>0</v>
      </c>
      <c r="K1069" s="35">
        <f>AB1069/COUNTIFS($B:$B,$B1069,$C:$C,$C1069,$H:$H,$H1069,$I:$I,$I1069)</f>
        <v>0.14000000000000001</v>
      </c>
      <c r="L1069" s="36">
        <f t="shared" si="65"/>
        <v>1</v>
      </c>
      <c r="M1069" s="37">
        <f t="shared" si="66"/>
        <v>0</v>
      </c>
      <c r="N1069" s="58" t="s">
        <v>341</v>
      </c>
      <c r="AA1069" s="146">
        <f>AB1069/COUNTIFS($B:$B,$B1069,$C:$C,$C1069,$H:$H,$H1069,$I:$I,$I1069)</f>
        <v>0.14000000000000001</v>
      </c>
      <c r="AB1069" s="108">
        <f>VLOOKUP(I1069,'Weights and Confidence'!$D$16:$AC$26,7,FALSE)</f>
        <v>0.14000000000000001</v>
      </c>
      <c r="AC1069" s="147">
        <f>VLOOKUP(I1069,'Weights and Confidence'!$D$16:$AC$26,8,FALSE)</f>
        <v>1</v>
      </c>
    </row>
    <row r="1070" spans="1:29" x14ac:dyDescent="0.2">
      <c r="A1070" s="38" t="s">
        <v>185</v>
      </c>
      <c r="B1070" s="38" t="s">
        <v>86</v>
      </c>
      <c r="C1070" s="38" t="s">
        <v>339</v>
      </c>
      <c r="D1070" s="38" t="s">
        <v>65</v>
      </c>
      <c r="E1070" s="38"/>
      <c r="F1070" s="51" t="s">
        <v>340</v>
      </c>
      <c r="G1070" s="38">
        <v>5</v>
      </c>
      <c r="H1070" s="38" t="s">
        <v>17</v>
      </c>
      <c r="I1070" s="38" t="s">
        <v>23</v>
      </c>
      <c r="J1070" s="38">
        <v>0</v>
      </c>
      <c r="K1070" s="39">
        <f>AB1070/COUNTIFS($B:$B,$B1070,$C:$C,$C1070,$H:$H,$H1070,$I:$I,$I1070)</f>
        <v>0.11</v>
      </c>
      <c r="L1070" s="40">
        <f t="shared" si="65"/>
        <v>1</v>
      </c>
      <c r="M1070" s="41">
        <f t="shared" si="66"/>
        <v>0</v>
      </c>
      <c r="N1070" s="38"/>
      <c r="AA1070" s="146">
        <f>AB1070/COUNTIFS($B:$B,$B1070,$C:$C,$C1070,$H:$H,$H1070,$I:$I,$I1070)</f>
        <v>0.11</v>
      </c>
      <c r="AB1070" s="108">
        <f>VLOOKUP(I1070,'Weights and Confidence'!$D$16:$AC$26,7,FALSE)</f>
        <v>0.11</v>
      </c>
      <c r="AC1070" s="147">
        <f>VLOOKUP(I1070,'Weights and Confidence'!$D$16:$AC$26,8,FALSE)</f>
        <v>1</v>
      </c>
    </row>
    <row r="1071" spans="1:29" x14ac:dyDescent="0.2">
      <c r="A1071" s="34" t="s">
        <v>185</v>
      </c>
      <c r="B1071" s="34" t="s">
        <v>86</v>
      </c>
      <c r="C1071" s="34" t="s">
        <v>339</v>
      </c>
      <c r="D1071" s="34" t="s">
        <v>65</v>
      </c>
      <c r="E1071" s="34"/>
      <c r="F1071" s="50" t="s">
        <v>340</v>
      </c>
      <c r="G1071" s="34">
        <v>5</v>
      </c>
      <c r="H1071" s="34" t="s">
        <v>18</v>
      </c>
      <c r="I1071" s="34" t="s">
        <v>23</v>
      </c>
      <c r="J1071" s="34">
        <v>1</v>
      </c>
      <c r="K1071" s="35">
        <f>AB1071/COUNTIFS($B:$B,$B1071,$C:$C,$C1071,$H:$H,$H1071,$I:$I,$I1071)</f>
        <v>0.11</v>
      </c>
      <c r="L1071" s="36">
        <f t="shared" si="65"/>
        <v>1</v>
      </c>
      <c r="M1071" s="37">
        <f t="shared" si="66"/>
        <v>0.11</v>
      </c>
      <c r="N1071" s="58"/>
      <c r="AA1071" s="146">
        <f>AB1071/COUNTIFS($B:$B,$B1071,$C:$C,$C1071,$H:$H,$H1071,$I:$I,$I1071)</f>
        <v>0.11</v>
      </c>
      <c r="AB1071" s="108">
        <f>VLOOKUP(I1071,'Weights and Confidence'!$D$16:$AC$26,7,FALSE)</f>
        <v>0.11</v>
      </c>
      <c r="AC1071" s="147">
        <f>VLOOKUP(I1071,'Weights and Confidence'!$D$16:$AC$26,8,FALSE)</f>
        <v>1</v>
      </c>
    </row>
    <row r="1072" spans="1:29" x14ac:dyDescent="0.2">
      <c r="A1072" s="38" t="s">
        <v>185</v>
      </c>
      <c r="B1072" s="38" t="s">
        <v>86</v>
      </c>
      <c r="C1072" s="38" t="s">
        <v>339</v>
      </c>
      <c r="D1072" s="38" t="s">
        <v>65</v>
      </c>
      <c r="E1072" s="38"/>
      <c r="F1072" s="51" t="s">
        <v>340</v>
      </c>
      <c r="G1072" s="38">
        <v>6</v>
      </c>
      <c r="H1072" s="38" t="s">
        <v>17</v>
      </c>
      <c r="I1072" s="38" t="s">
        <v>24</v>
      </c>
      <c r="J1072" s="38">
        <v>1</v>
      </c>
      <c r="K1072" s="39">
        <f>AB1072/COUNTIFS($B:$B,$B1072,$C:$C,$C1072,$H:$H,$H1072,$I:$I,$I1072)</f>
        <v>0.15</v>
      </c>
      <c r="L1072" s="40">
        <f t="shared" si="65"/>
        <v>1</v>
      </c>
      <c r="M1072" s="41">
        <f t="shared" si="66"/>
        <v>0.15</v>
      </c>
      <c r="N1072" s="59"/>
      <c r="AA1072" s="146">
        <f>AB1072/COUNTIFS($B:$B,$B1072,$C:$C,$C1072,$H:$H,$H1072,$I:$I,$I1072)</f>
        <v>0.15</v>
      </c>
      <c r="AB1072" s="108">
        <f>VLOOKUP(I1072,'Weights and Confidence'!$D$16:$AC$26,7,FALSE)</f>
        <v>0.15</v>
      </c>
      <c r="AC1072" s="147">
        <f>VLOOKUP(I1072,'Weights and Confidence'!$D$16:$AC$26,8,FALSE)</f>
        <v>1</v>
      </c>
    </row>
    <row r="1073" spans="1:29" x14ac:dyDescent="0.2">
      <c r="A1073" s="34" t="s">
        <v>185</v>
      </c>
      <c r="B1073" s="34" t="s">
        <v>86</v>
      </c>
      <c r="C1073" s="34" t="s">
        <v>339</v>
      </c>
      <c r="D1073" s="34" t="s">
        <v>65</v>
      </c>
      <c r="E1073" s="34"/>
      <c r="F1073" s="50" t="s">
        <v>340</v>
      </c>
      <c r="G1073" s="34">
        <v>6</v>
      </c>
      <c r="H1073" s="34" t="s">
        <v>18</v>
      </c>
      <c r="I1073" s="34" t="s">
        <v>24</v>
      </c>
      <c r="J1073" s="34">
        <v>1</v>
      </c>
      <c r="K1073" s="35">
        <f>AB1073/COUNTIFS($B:$B,$B1073,$C:$C,$C1073,$H:$H,$H1073,$I:$I,$I1073)</f>
        <v>0.15</v>
      </c>
      <c r="L1073" s="36">
        <f t="shared" si="65"/>
        <v>1</v>
      </c>
      <c r="M1073" s="37">
        <f t="shared" si="66"/>
        <v>0.15</v>
      </c>
      <c r="N1073" s="58"/>
      <c r="AA1073" s="146">
        <f>AB1073/COUNTIFS($B:$B,$B1073,$C:$C,$C1073,$H:$H,$H1073,$I:$I,$I1073)</f>
        <v>0.15</v>
      </c>
      <c r="AB1073" s="108">
        <f>VLOOKUP(I1073,'Weights and Confidence'!$D$16:$AC$26,7,FALSE)</f>
        <v>0.15</v>
      </c>
      <c r="AC1073" s="147">
        <f>VLOOKUP(I1073,'Weights and Confidence'!$D$16:$AC$26,8,FALSE)</f>
        <v>1</v>
      </c>
    </row>
    <row r="1074" spans="1:29" x14ac:dyDescent="0.2">
      <c r="A1074" s="38" t="s">
        <v>185</v>
      </c>
      <c r="B1074" s="38" t="s">
        <v>86</v>
      </c>
      <c r="C1074" s="38" t="s">
        <v>339</v>
      </c>
      <c r="D1074" s="38" t="s">
        <v>65</v>
      </c>
      <c r="E1074" s="38"/>
      <c r="F1074" s="51" t="s">
        <v>340</v>
      </c>
      <c r="G1074" s="38">
        <v>7</v>
      </c>
      <c r="H1074" s="38" t="s">
        <v>17</v>
      </c>
      <c r="I1074" s="38" t="s">
        <v>25</v>
      </c>
      <c r="J1074" s="38">
        <v>0</v>
      </c>
      <c r="K1074" s="39">
        <f>AB1074/COUNTIFS($B:$B,$B1074,$C:$C,$C1074,$H:$H,$H1074,$I:$I,$I1074)</f>
        <v>0.1</v>
      </c>
      <c r="L1074" s="40">
        <f t="shared" si="65"/>
        <v>1</v>
      </c>
      <c r="M1074" s="41">
        <f t="shared" si="66"/>
        <v>0</v>
      </c>
      <c r="N1074" s="38"/>
      <c r="AA1074" s="146">
        <f>AB1074/COUNTIFS($B:$B,$B1074,$C:$C,$C1074,$H:$H,$H1074,$I:$I,$I1074)</f>
        <v>0.1</v>
      </c>
      <c r="AB1074" s="108">
        <f>VLOOKUP(I1074,'Weights and Confidence'!$D$16:$AC$26,7,FALSE)</f>
        <v>0.1</v>
      </c>
      <c r="AC1074" s="147">
        <f>VLOOKUP(I1074,'Weights and Confidence'!$D$16:$AC$26,8,FALSE)</f>
        <v>1</v>
      </c>
    </row>
    <row r="1075" spans="1:29" x14ac:dyDescent="0.2">
      <c r="A1075" s="34" t="s">
        <v>185</v>
      </c>
      <c r="B1075" s="34" t="s">
        <v>86</v>
      </c>
      <c r="C1075" s="34" t="s">
        <v>339</v>
      </c>
      <c r="D1075" s="34" t="s">
        <v>65</v>
      </c>
      <c r="E1075" s="34"/>
      <c r="F1075" s="50" t="s">
        <v>340</v>
      </c>
      <c r="G1075" s="34">
        <v>7</v>
      </c>
      <c r="H1075" s="34" t="s">
        <v>18</v>
      </c>
      <c r="I1075" s="34" t="s">
        <v>25</v>
      </c>
      <c r="J1075" s="34">
        <v>1</v>
      </c>
      <c r="K1075" s="35">
        <f>AB1075/COUNTIFS($B:$B,$B1075,$C:$C,$C1075,$H:$H,$H1075,$I:$I,$I1075)</f>
        <v>0.1</v>
      </c>
      <c r="L1075" s="36">
        <f t="shared" si="65"/>
        <v>1</v>
      </c>
      <c r="M1075" s="37">
        <f t="shared" si="66"/>
        <v>0.1</v>
      </c>
      <c r="N1075" s="58"/>
      <c r="AA1075" s="146">
        <f>AB1075/COUNTIFS($B:$B,$B1075,$C:$C,$C1075,$H:$H,$H1075,$I:$I,$I1075)</f>
        <v>0.1</v>
      </c>
      <c r="AB1075" s="108">
        <f>VLOOKUP(I1075,'Weights and Confidence'!$D$16:$AC$26,7,FALSE)</f>
        <v>0.1</v>
      </c>
      <c r="AC1075" s="147">
        <f>VLOOKUP(I1075,'Weights and Confidence'!$D$16:$AC$26,8,FALSE)</f>
        <v>1</v>
      </c>
    </row>
    <row r="1076" spans="1:29" x14ac:dyDescent="0.2">
      <c r="A1076" s="38" t="s">
        <v>185</v>
      </c>
      <c r="B1076" s="38" t="s">
        <v>86</v>
      </c>
      <c r="C1076" s="38" t="s">
        <v>339</v>
      </c>
      <c r="D1076" s="38" t="s">
        <v>65</v>
      </c>
      <c r="E1076" s="38"/>
      <c r="F1076" s="51" t="s">
        <v>340</v>
      </c>
      <c r="G1076" s="38">
        <v>8</v>
      </c>
      <c r="H1076" s="38" t="s">
        <v>17</v>
      </c>
      <c r="I1076" s="38" t="s">
        <v>26</v>
      </c>
      <c r="J1076" s="38">
        <v>0</v>
      </c>
      <c r="K1076" s="39">
        <f>AB1076/COUNTIFS($B:$B,$B1076,$C:$C,$C1076,$H:$H,$H1076,$I:$I,$I1076)</f>
        <v>0.1</v>
      </c>
      <c r="L1076" s="40">
        <f t="shared" si="65"/>
        <v>1</v>
      </c>
      <c r="M1076" s="41">
        <f t="shared" si="66"/>
        <v>0</v>
      </c>
      <c r="N1076" s="38"/>
      <c r="AA1076" s="146">
        <f>AB1076/COUNTIFS($B:$B,$B1076,$C:$C,$C1076,$H:$H,$H1076,$I:$I,$I1076)</f>
        <v>0.1</v>
      </c>
      <c r="AB1076" s="108">
        <f>VLOOKUP(I1076,'Weights and Confidence'!$D$16:$AC$26,7,FALSE)</f>
        <v>0.1</v>
      </c>
      <c r="AC1076" s="147">
        <f>VLOOKUP(I1076,'Weights and Confidence'!$D$16:$AC$26,8,FALSE)</f>
        <v>1</v>
      </c>
    </row>
    <row r="1077" spans="1:29" x14ac:dyDescent="0.2">
      <c r="A1077" s="34" t="s">
        <v>185</v>
      </c>
      <c r="B1077" s="34" t="s">
        <v>86</v>
      </c>
      <c r="C1077" s="34" t="s">
        <v>339</v>
      </c>
      <c r="D1077" s="34" t="s">
        <v>65</v>
      </c>
      <c r="E1077" s="34"/>
      <c r="F1077" s="50" t="s">
        <v>340</v>
      </c>
      <c r="G1077" s="34">
        <v>8</v>
      </c>
      <c r="H1077" s="34" t="s">
        <v>18</v>
      </c>
      <c r="I1077" s="34" t="s">
        <v>26</v>
      </c>
      <c r="J1077" s="34">
        <v>1</v>
      </c>
      <c r="K1077" s="35">
        <f>AB1077/COUNTIFS($B:$B,$B1077,$C:$C,$C1077,$H:$H,$H1077,$I:$I,$I1077)</f>
        <v>0.1</v>
      </c>
      <c r="L1077" s="36">
        <f t="shared" si="65"/>
        <v>1</v>
      </c>
      <c r="M1077" s="37">
        <f t="shared" si="66"/>
        <v>0.1</v>
      </c>
      <c r="N1077" s="58"/>
      <c r="AA1077" s="146">
        <f>AB1077/COUNTIFS($B:$B,$B1077,$C:$C,$C1077,$H:$H,$H1077,$I:$I,$I1077)</f>
        <v>0.1</v>
      </c>
      <c r="AB1077" s="108">
        <f>VLOOKUP(I1077,'Weights and Confidence'!$D$16:$AC$26,7,FALSE)</f>
        <v>0.1</v>
      </c>
      <c r="AC1077" s="147">
        <f>VLOOKUP(I1077,'Weights and Confidence'!$D$16:$AC$26,8,FALSE)</f>
        <v>1</v>
      </c>
    </row>
    <row r="1078" spans="1:29" x14ac:dyDescent="0.2">
      <c r="A1078" s="38" t="s">
        <v>185</v>
      </c>
      <c r="B1078" s="38" t="s">
        <v>86</v>
      </c>
      <c r="C1078" s="38" t="s">
        <v>339</v>
      </c>
      <c r="D1078" s="38" t="s">
        <v>65</v>
      </c>
      <c r="E1078" s="38"/>
      <c r="F1078" s="51" t="s">
        <v>340</v>
      </c>
      <c r="G1078" s="38">
        <v>9</v>
      </c>
      <c r="H1078" s="38" t="s">
        <v>17</v>
      </c>
      <c r="I1078" s="38" t="s">
        <v>27</v>
      </c>
      <c r="J1078" s="38">
        <v>1</v>
      </c>
      <c r="K1078" s="39">
        <f>AB1078/COUNTIFS($B:$B,$B1078,$C:$C,$C1078,$H:$H,$H1078,$I:$I,$I1078)</f>
        <v>0.05</v>
      </c>
      <c r="L1078" s="40">
        <f t="shared" si="65"/>
        <v>0.85</v>
      </c>
      <c r="M1078" s="41">
        <f t="shared" si="66"/>
        <v>4.2500000000000003E-2</v>
      </c>
      <c r="N1078" s="38"/>
      <c r="AA1078" s="146">
        <f>AB1078/COUNTIFS($B:$B,$B1078,$C:$C,$C1078,$H:$H,$H1078,$I:$I,$I1078)</f>
        <v>0.05</v>
      </c>
      <c r="AB1078" s="108">
        <f>VLOOKUP(I1078,'Weights and Confidence'!$D$16:$AC$26,7,FALSE)</f>
        <v>0.1</v>
      </c>
      <c r="AC1078" s="147">
        <f>VLOOKUP(I1078,'Weights and Confidence'!$D$16:$AC$26,8,FALSE)</f>
        <v>0.85</v>
      </c>
    </row>
    <row r="1079" spans="1:29" x14ac:dyDescent="0.2">
      <c r="A1079" s="34" t="s">
        <v>185</v>
      </c>
      <c r="B1079" s="34" t="s">
        <v>86</v>
      </c>
      <c r="C1079" s="34" t="s">
        <v>339</v>
      </c>
      <c r="D1079" s="34" t="s">
        <v>65</v>
      </c>
      <c r="E1079" s="34"/>
      <c r="F1079" s="50" t="s">
        <v>340</v>
      </c>
      <c r="G1079" s="34">
        <v>9</v>
      </c>
      <c r="H1079" s="34" t="s">
        <v>18</v>
      </c>
      <c r="I1079" s="34" t="s">
        <v>27</v>
      </c>
      <c r="J1079" s="34">
        <v>1</v>
      </c>
      <c r="K1079" s="35">
        <f>AB1079/COUNTIFS($B:$B,$B1079,$C:$C,$C1079,$H:$H,$H1079,$I:$I,$I1079)</f>
        <v>0.05</v>
      </c>
      <c r="L1079" s="36">
        <f t="shared" si="65"/>
        <v>0.85</v>
      </c>
      <c r="M1079" s="37">
        <f t="shared" si="66"/>
        <v>4.2500000000000003E-2</v>
      </c>
      <c r="N1079" s="58" t="s">
        <v>342</v>
      </c>
      <c r="AA1079" s="146">
        <f>AB1079/COUNTIFS($B:$B,$B1079,$C:$C,$C1079,$H:$H,$H1079,$I:$I,$I1079)</f>
        <v>0.05</v>
      </c>
      <c r="AB1079" s="108">
        <f>VLOOKUP(I1079,'Weights and Confidence'!$D$16:$AC$26,7,FALSE)</f>
        <v>0.1</v>
      </c>
      <c r="AC1079" s="147">
        <f>VLOOKUP(I1079,'Weights and Confidence'!$D$16:$AC$26,8,FALSE)</f>
        <v>0.85</v>
      </c>
    </row>
    <row r="1080" spans="1:29" x14ac:dyDescent="0.2">
      <c r="A1080" s="38" t="s">
        <v>185</v>
      </c>
      <c r="B1080" s="38" t="s">
        <v>86</v>
      </c>
      <c r="C1080" s="38" t="s">
        <v>339</v>
      </c>
      <c r="D1080" s="38" t="s">
        <v>65</v>
      </c>
      <c r="E1080" s="38"/>
      <c r="F1080" s="51" t="s">
        <v>340</v>
      </c>
      <c r="G1080" s="38">
        <v>10</v>
      </c>
      <c r="H1080" s="38" t="s">
        <v>17</v>
      </c>
      <c r="I1080" s="38" t="s">
        <v>27</v>
      </c>
      <c r="J1080" s="38">
        <v>0</v>
      </c>
      <c r="K1080" s="39">
        <f>AB1080/COUNTIFS($B:$B,$B1080,$C:$C,$C1080,$H:$H,$H1080,$I:$I,$I1080)</f>
        <v>0.05</v>
      </c>
      <c r="L1080" s="40">
        <f t="shared" si="65"/>
        <v>0.85</v>
      </c>
      <c r="M1080" s="41">
        <f t="shared" si="66"/>
        <v>0</v>
      </c>
      <c r="N1080" s="38"/>
      <c r="AA1080" s="146">
        <f>AB1080/COUNTIFS($B:$B,$B1080,$C:$C,$C1080,$H:$H,$H1080,$I:$I,$I1080)</f>
        <v>0.05</v>
      </c>
      <c r="AB1080" s="108">
        <f>VLOOKUP(I1080,'Weights and Confidence'!$D$16:$AC$26,7,FALSE)</f>
        <v>0.1</v>
      </c>
      <c r="AC1080" s="147">
        <f>VLOOKUP(I1080,'Weights and Confidence'!$D$16:$AC$26,8,FALSE)</f>
        <v>0.85</v>
      </c>
    </row>
    <row r="1081" spans="1:29" x14ac:dyDescent="0.2">
      <c r="A1081" s="34" t="s">
        <v>185</v>
      </c>
      <c r="B1081" s="34" t="s">
        <v>86</v>
      </c>
      <c r="C1081" s="34" t="s">
        <v>339</v>
      </c>
      <c r="D1081" s="34" t="s">
        <v>65</v>
      </c>
      <c r="E1081" s="34"/>
      <c r="F1081" s="50" t="s">
        <v>340</v>
      </c>
      <c r="G1081" s="34">
        <v>10</v>
      </c>
      <c r="H1081" s="34" t="s">
        <v>18</v>
      </c>
      <c r="I1081" s="34" t="s">
        <v>27</v>
      </c>
      <c r="J1081" s="34">
        <v>1</v>
      </c>
      <c r="K1081" s="35">
        <f>AB1081/COUNTIFS($B:$B,$B1081,$C:$C,$C1081,$H:$H,$H1081,$I:$I,$I1081)</f>
        <v>0.05</v>
      </c>
      <c r="L1081" s="36">
        <f t="shared" si="65"/>
        <v>0.85</v>
      </c>
      <c r="M1081" s="37">
        <f t="shared" si="66"/>
        <v>4.2500000000000003E-2</v>
      </c>
      <c r="N1081" s="58"/>
      <c r="AA1081" s="146">
        <f>AB1081/COUNTIFS($B:$B,$B1081,$C:$C,$C1081,$H:$H,$H1081,$I:$I,$I1081)</f>
        <v>0.05</v>
      </c>
      <c r="AB1081" s="108">
        <f>VLOOKUP(I1081,'Weights and Confidence'!$D$16:$AC$26,7,FALSE)</f>
        <v>0.1</v>
      </c>
      <c r="AC1081" s="147">
        <f>VLOOKUP(I1081,'Weights and Confidence'!$D$16:$AC$26,8,FALSE)</f>
        <v>0.85</v>
      </c>
    </row>
    <row r="1082" spans="1:29" x14ac:dyDescent="0.2">
      <c r="A1082" s="38" t="s">
        <v>185</v>
      </c>
      <c r="B1082" s="38" t="s">
        <v>86</v>
      </c>
      <c r="C1082" s="38" t="s">
        <v>339</v>
      </c>
      <c r="D1082" s="38" t="s">
        <v>65</v>
      </c>
      <c r="E1082" s="38"/>
      <c r="F1082" s="51" t="s">
        <v>340</v>
      </c>
      <c r="G1082" s="38">
        <v>11</v>
      </c>
      <c r="H1082" s="38" t="s">
        <v>17</v>
      </c>
      <c r="I1082" s="38" t="s">
        <v>28</v>
      </c>
      <c r="J1082" s="38">
        <v>0</v>
      </c>
      <c r="K1082" s="39">
        <f>AB1082/COUNTIFS($B:$B,$B1082,$C:$C,$C1082,$H:$H,$H1082,$I:$I,$I1082)</f>
        <v>0.05</v>
      </c>
      <c r="L1082" s="40">
        <f t="shared" si="65"/>
        <v>1</v>
      </c>
      <c r="M1082" s="41">
        <f t="shared" si="66"/>
        <v>0</v>
      </c>
      <c r="N1082" s="38"/>
      <c r="AA1082" s="146">
        <f>AB1082/COUNTIFS($B:$B,$B1082,$C:$C,$C1082,$H:$H,$H1082,$I:$I,$I1082)</f>
        <v>0.05</v>
      </c>
      <c r="AB1082" s="108">
        <f>VLOOKUP(I1082,'Weights and Confidence'!$D$16:$AC$26,7,FALSE)</f>
        <v>0.05</v>
      </c>
      <c r="AC1082" s="147">
        <f>VLOOKUP(I1082,'Weights and Confidence'!$D$16:$AC$26,8,FALSE)</f>
        <v>1</v>
      </c>
    </row>
    <row r="1083" spans="1:29" ht="17" thickBot="1" x14ac:dyDescent="0.25">
      <c r="A1083" s="34" t="s">
        <v>185</v>
      </c>
      <c r="B1083" s="34" t="s">
        <v>86</v>
      </c>
      <c r="C1083" s="34" t="s">
        <v>339</v>
      </c>
      <c r="D1083" s="34" t="s">
        <v>65</v>
      </c>
      <c r="E1083" s="34"/>
      <c r="F1083" s="54" t="s">
        <v>340</v>
      </c>
      <c r="G1083" s="34">
        <v>11</v>
      </c>
      <c r="H1083" s="34" t="s">
        <v>18</v>
      </c>
      <c r="I1083" s="34" t="s">
        <v>28</v>
      </c>
      <c r="J1083" s="34">
        <v>0</v>
      </c>
      <c r="K1083" s="35">
        <f>AB1083/COUNTIFS($B:$B,$B1083,$C:$C,$C1083,$H:$H,$H1083,$I:$I,$I1083)</f>
        <v>0.05</v>
      </c>
      <c r="L1083" s="36">
        <f t="shared" si="65"/>
        <v>1</v>
      </c>
      <c r="M1083" s="37">
        <f t="shared" si="66"/>
        <v>0</v>
      </c>
      <c r="N1083" s="58" t="s">
        <v>344</v>
      </c>
      <c r="AA1083" s="140">
        <f>AB1083/COUNTIFS($B:$B,$B1083,$C:$C,$C1083,$H:$H,$H1083,$I:$I,$I1083)</f>
        <v>0.05</v>
      </c>
      <c r="AB1083" s="141">
        <f>VLOOKUP(I1083,'Weights and Confidence'!$D$16:$AC$26,7,FALSE)</f>
        <v>0.05</v>
      </c>
      <c r="AC1083" s="142">
        <f>VLOOKUP(I1083,'Weights and Confidence'!$D$16:$AC$26,8,FALSE)</f>
        <v>1</v>
      </c>
    </row>
    <row r="1084" spans="1:29" ht="17" thickTop="1" x14ac:dyDescent="0.2">
      <c r="A1084" s="42" t="s">
        <v>185</v>
      </c>
      <c r="B1084" s="42" t="s">
        <v>86</v>
      </c>
      <c r="C1084" s="42" t="s">
        <v>346</v>
      </c>
      <c r="D1084" s="42" t="s">
        <v>65</v>
      </c>
      <c r="E1084" s="42"/>
      <c r="F1084" s="68" t="s">
        <v>347</v>
      </c>
      <c r="G1084" s="42">
        <v>1</v>
      </c>
      <c r="H1084" s="42" t="s">
        <v>17</v>
      </c>
      <c r="I1084" s="42" t="s">
        <v>19</v>
      </c>
      <c r="J1084" s="42">
        <v>0</v>
      </c>
      <c r="K1084" s="44">
        <f>AB1084/COUNTIFS($B:$B,$B1084,$C:$C,$C1084,$H:$H,$H1084,$I:$I,$I1084)</f>
        <v>0.12</v>
      </c>
      <c r="L1084" s="45">
        <f t="shared" si="65"/>
        <v>1</v>
      </c>
      <c r="M1084" s="46">
        <f t="shared" si="66"/>
        <v>0</v>
      </c>
      <c r="N1084" s="42"/>
      <c r="AA1084" s="146">
        <f>AB1084/COUNTIFS($B:$B,$B1084,$C:$C,$C1084,$H:$H,$H1084,$I:$I,$I1084)</f>
        <v>0.12</v>
      </c>
      <c r="AB1084" s="108">
        <f>VLOOKUP(I1084,'Weights and Confidence'!$D$16:$AC$26,7,FALSE)</f>
        <v>0.12</v>
      </c>
      <c r="AC1084" s="147">
        <f>VLOOKUP(I1084,'Weights and Confidence'!$D$16:$AC$26,8,FALSE)</f>
        <v>1</v>
      </c>
    </row>
    <row r="1085" spans="1:29" x14ac:dyDescent="0.2">
      <c r="A1085" s="34" t="s">
        <v>185</v>
      </c>
      <c r="B1085" s="34" t="s">
        <v>86</v>
      </c>
      <c r="C1085" s="34" t="s">
        <v>346</v>
      </c>
      <c r="D1085" s="34" t="s">
        <v>65</v>
      </c>
      <c r="E1085" s="34"/>
      <c r="F1085" s="50" t="s">
        <v>347</v>
      </c>
      <c r="G1085" s="34">
        <v>1</v>
      </c>
      <c r="H1085" s="34" t="s">
        <v>18</v>
      </c>
      <c r="I1085" s="34" t="s">
        <v>19</v>
      </c>
      <c r="J1085" s="34">
        <v>-1</v>
      </c>
      <c r="K1085" s="35">
        <f>AB1085/COUNTIFS($B:$B,$B1085,$C:$C,$C1085,$H:$H,$H1085,$I:$I,$I1085)</f>
        <v>0.12</v>
      </c>
      <c r="L1085" s="36">
        <f t="shared" si="65"/>
        <v>1</v>
      </c>
      <c r="M1085" s="37">
        <f t="shared" si="66"/>
        <v>-0.12</v>
      </c>
      <c r="N1085" s="17" t="s">
        <v>348</v>
      </c>
      <c r="AA1085" s="146">
        <f>AB1085/COUNTIFS($B:$B,$B1085,$C:$C,$C1085,$H:$H,$H1085,$I:$I,$I1085)</f>
        <v>0.12</v>
      </c>
      <c r="AB1085" s="108">
        <f>VLOOKUP(I1085,'Weights and Confidence'!$D$16:$AC$26,7,FALSE)</f>
        <v>0.12</v>
      </c>
      <c r="AC1085" s="147">
        <f>VLOOKUP(I1085,'Weights and Confidence'!$D$16:$AC$26,8,FALSE)</f>
        <v>1</v>
      </c>
    </row>
    <row r="1086" spans="1:29" ht="17" thickBot="1" x14ac:dyDescent="0.25">
      <c r="A1086" s="38" t="s">
        <v>185</v>
      </c>
      <c r="B1086" s="38" t="s">
        <v>86</v>
      </c>
      <c r="C1086" s="38" t="s">
        <v>346</v>
      </c>
      <c r="D1086" s="38" t="s">
        <v>65</v>
      </c>
      <c r="E1086" s="38"/>
      <c r="F1086" s="51" t="s">
        <v>347</v>
      </c>
      <c r="G1086" s="38">
        <v>2</v>
      </c>
      <c r="H1086" s="38" t="s">
        <v>17</v>
      </c>
      <c r="I1086" s="38" t="s">
        <v>20</v>
      </c>
      <c r="J1086" s="38">
        <v>-1</v>
      </c>
      <c r="K1086" s="39">
        <f>AB1086/COUNTIFS($B:$B,$B1086,$C:$C,$C1086,$H:$H,$H1086,$I:$I,$I1086)</f>
        <v>0.08</v>
      </c>
      <c r="L1086" s="40">
        <f t="shared" si="65"/>
        <v>0.8</v>
      </c>
      <c r="M1086" s="41">
        <f t="shared" si="66"/>
        <v>-6.4000000000000001E-2</v>
      </c>
      <c r="N1086" s="38"/>
      <c r="AA1086" s="146">
        <f>AB1086/COUNTIFS($B:$B,$B1086,$C:$C,$C1086,$H:$H,$H1086,$I:$I,$I1086)</f>
        <v>0.08</v>
      </c>
      <c r="AB1086" s="108">
        <f>VLOOKUP(I1086,'Weights and Confidence'!$D$16:$AC$26,7,FALSE)</f>
        <v>0.08</v>
      </c>
      <c r="AC1086" s="147">
        <f>VLOOKUP(I1086,'Weights and Confidence'!$D$16:$AC$26,8,FALSE)</f>
        <v>0.8</v>
      </c>
    </row>
    <row r="1087" spans="1:29" x14ac:dyDescent="0.2">
      <c r="A1087" s="34" t="s">
        <v>185</v>
      </c>
      <c r="B1087" s="34" t="s">
        <v>86</v>
      </c>
      <c r="C1087" s="34" t="s">
        <v>346</v>
      </c>
      <c r="D1087" s="34" t="s">
        <v>65</v>
      </c>
      <c r="E1087" s="34"/>
      <c r="F1087" s="50" t="s">
        <v>347</v>
      </c>
      <c r="G1087" s="34">
        <v>2</v>
      </c>
      <c r="H1087" s="34" t="s">
        <v>18</v>
      </c>
      <c r="I1087" s="34" t="s">
        <v>20</v>
      </c>
      <c r="J1087" s="34">
        <v>-1</v>
      </c>
      <c r="K1087" s="35">
        <f>AB1087/COUNTIFS($B:$B,$B1087,$C:$C,$C1087,$H:$H,$H1087,$I:$I,$I1087)</f>
        <v>0.08</v>
      </c>
      <c r="L1087" s="36">
        <f t="shared" si="65"/>
        <v>0.8</v>
      </c>
      <c r="M1087" s="37">
        <f t="shared" si="66"/>
        <v>-6.4000000000000001E-2</v>
      </c>
      <c r="N1087" s="58"/>
      <c r="P1087" s="24" t="s">
        <v>352</v>
      </c>
      <c r="Q1087" s="10"/>
      <c r="R1087" s="10"/>
      <c r="S1087" s="10"/>
      <c r="T1087" s="10"/>
      <c r="U1087" s="10"/>
      <c r="V1087" s="10"/>
      <c r="AA1087" s="146">
        <f>AB1087/COUNTIFS($B:$B,$B1087,$C:$C,$C1087,$H:$H,$H1087,$I:$I,$I1087)</f>
        <v>0.08</v>
      </c>
      <c r="AB1087" s="108">
        <f>VLOOKUP(I1087,'Weights and Confidence'!$D$16:$AC$26,7,FALSE)</f>
        <v>0.08</v>
      </c>
      <c r="AC1087" s="147">
        <f>VLOOKUP(I1087,'Weights and Confidence'!$D$16:$AC$26,8,FALSE)</f>
        <v>0.8</v>
      </c>
    </row>
    <row r="1088" spans="1:29" ht="17" thickBot="1" x14ac:dyDescent="0.25">
      <c r="A1088" s="38" t="s">
        <v>185</v>
      </c>
      <c r="B1088" s="38" t="s">
        <v>86</v>
      </c>
      <c r="C1088" s="38" t="s">
        <v>346</v>
      </c>
      <c r="D1088" s="38" t="s">
        <v>65</v>
      </c>
      <c r="E1088" s="38"/>
      <c r="F1088" s="51" t="s">
        <v>347</v>
      </c>
      <c r="G1088" s="38">
        <v>3</v>
      </c>
      <c r="H1088" s="38" t="s">
        <v>17</v>
      </c>
      <c r="I1088" s="38" t="s">
        <v>21</v>
      </c>
      <c r="J1088" s="38">
        <v>1</v>
      </c>
      <c r="K1088" s="39">
        <f>AB1088/COUNTIFS($B:$B,$B1088,$C:$C,$C1088,$H:$H,$H1088,$I:$I,$I1088)</f>
        <v>0.05</v>
      </c>
      <c r="L1088" s="40">
        <f t="shared" si="65"/>
        <v>1</v>
      </c>
      <c r="M1088" s="41">
        <f t="shared" si="66"/>
        <v>0.05</v>
      </c>
      <c r="N1088" s="38"/>
      <c r="P1088" s="26" t="s">
        <v>354</v>
      </c>
      <c r="Q1088" s="2"/>
      <c r="R1088" s="2"/>
      <c r="S1088" s="2"/>
      <c r="T1088" s="2"/>
      <c r="U1088" s="2"/>
      <c r="V1088" s="2"/>
      <c r="AA1088" s="146">
        <f>AB1088/COUNTIFS($B:$B,$B1088,$C:$C,$C1088,$H:$H,$H1088,$I:$I,$I1088)</f>
        <v>0.05</v>
      </c>
      <c r="AB1088" s="108">
        <f>VLOOKUP(I1088,'Weights and Confidence'!$D$16:$AC$26,7,FALSE)</f>
        <v>0.05</v>
      </c>
      <c r="AC1088" s="147">
        <f>VLOOKUP(I1088,'Weights and Confidence'!$D$16:$AC$26,8,FALSE)</f>
        <v>1</v>
      </c>
    </row>
    <row r="1089" spans="1:29" x14ac:dyDescent="0.2">
      <c r="A1089" s="34" t="s">
        <v>185</v>
      </c>
      <c r="B1089" s="34" t="s">
        <v>86</v>
      </c>
      <c r="C1089" s="34" t="s">
        <v>346</v>
      </c>
      <c r="D1089" s="34" t="s">
        <v>65</v>
      </c>
      <c r="E1089" s="34"/>
      <c r="F1089" s="50" t="s">
        <v>347</v>
      </c>
      <c r="G1089" s="34">
        <v>3</v>
      </c>
      <c r="H1089" s="34" t="s">
        <v>18</v>
      </c>
      <c r="I1089" s="34" t="s">
        <v>21</v>
      </c>
      <c r="J1089" s="34">
        <v>-1</v>
      </c>
      <c r="K1089" s="35">
        <f>AB1089/COUNTIFS($B:$B,$B1089,$C:$C,$C1089,$H:$H,$H1089,$I:$I,$I1089)</f>
        <v>0.05</v>
      </c>
      <c r="L1089" s="36">
        <f t="shared" si="65"/>
        <v>1</v>
      </c>
      <c r="M1089" s="37">
        <f t="shared" si="66"/>
        <v>-0.05</v>
      </c>
      <c r="N1089" s="58"/>
      <c r="AA1089" s="146">
        <f>AB1089/COUNTIFS($B:$B,$B1089,$C:$C,$C1089,$H:$H,$H1089,$I:$I,$I1089)</f>
        <v>0.05</v>
      </c>
      <c r="AB1089" s="108">
        <f>VLOOKUP(I1089,'Weights and Confidence'!$D$16:$AC$26,7,FALSE)</f>
        <v>0.05</v>
      </c>
      <c r="AC1089" s="147">
        <f>VLOOKUP(I1089,'Weights and Confidence'!$D$16:$AC$26,8,FALSE)</f>
        <v>1</v>
      </c>
    </row>
    <row r="1090" spans="1:29" x14ac:dyDescent="0.2">
      <c r="A1090" s="38" t="s">
        <v>185</v>
      </c>
      <c r="B1090" s="38" t="s">
        <v>86</v>
      </c>
      <c r="C1090" s="38" t="s">
        <v>346</v>
      </c>
      <c r="D1090" s="38" t="s">
        <v>65</v>
      </c>
      <c r="E1090" s="38"/>
      <c r="F1090" s="51" t="s">
        <v>347</v>
      </c>
      <c r="G1090" s="38">
        <v>4</v>
      </c>
      <c r="H1090" s="38" t="s">
        <v>17</v>
      </c>
      <c r="I1090" s="38" t="s">
        <v>22</v>
      </c>
      <c r="J1090" s="38">
        <v>-1</v>
      </c>
      <c r="K1090" s="39">
        <f>AB1090/COUNTIFS($B:$B,$B1090,$C:$C,$C1090,$H:$H,$H1090,$I:$I,$I1090)</f>
        <v>0.14000000000000001</v>
      </c>
      <c r="L1090" s="40">
        <f t="shared" si="65"/>
        <v>1</v>
      </c>
      <c r="M1090" s="41">
        <f t="shared" si="66"/>
        <v>-0.14000000000000001</v>
      </c>
      <c r="N1090" s="38"/>
      <c r="AA1090" s="146">
        <f>AB1090/COUNTIFS($B:$B,$B1090,$C:$C,$C1090,$H:$H,$H1090,$I:$I,$I1090)</f>
        <v>0.14000000000000001</v>
      </c>
      <c r="AB1090" s="108">
        <f>VLOOKUP(I1090,'Weights and Confidence'!$D$16:$AC$26,7,FALSE)</f>
        <v>0.14000000000000001</v>
      </c>
      <c r="AC1090" s="147">
        <f>VLOOKUP(I1090,'Weights and Confidence'!$D$16:$AC$26,8,FALSE)</f>
        <v>1</v>
      </c>
    </row>
    <row r="1091" spans="1:29" x14ac:dyDescent="0.2">
      <c r="A1091" s="34" t="s">
        <v>185</v>
      </c>
      <c r="B1091" s="34" t="s">
        <v>86</v>
      </c>
      <c r="C1091" s="34" t="s">
        <v>346</v>
      </c>
      <c r="D1091" s="34" t="s">
        <v>65</v>
      </c>
      <c r="E1091" s="34"/>
      <c r="F1091" s="50" t="s">
        <v>347</v>
      </c>
      <c r="G1091" s="34">
        <v>4</v>
      </c>
      <c r="H1091" s="34" t="s">
        <v>18</v>
      </c>
      <c r="I1091" s="34" t="s">
        <v>22</v>
      </c>
      <c r="J1091" s="34">
        <v>0</v>
      </c>
      <c r="K1091" s="35">
        <f>AB1091/COUNTIFS($B:$B,$B1091,$C:$C,$C1091,$H:$H,$H1091,$I:$I,$I1091)</f>
        <v>0.14000000000000001</v>
      </c>
      <c r="L1091" s="36">
        <f t="shared" si="65"/>
        <v>1</v>
      </c>
      <c r="M1091" s="37">
        <f t="shared" si="66"/>
        <v>0</v>
      </c>
      <c r="N1091" s="17" t="s">
        <v>349</v>
      </c>
      <c r="AA1091" s="146">
        <f>AB1091/COUNTIFS($B:$B,$B1091,$C:$C,$C1091,$H:$H,$H1091,$I:$I,$I1091)</f>
        <v>0.14000000000000001</v>
      </c>
      <c r="AB1091" s="108">
        <f>VLOOKUP(I1091,'Weights and Confidence'!$D$16:$AC$26,7,FALSE)</f>
        <v>0.14000000000000001</v>
      </c>
      <c r="AC1091" s="147">
        <f>VLOOKUP(I1091,'Weights and Confidence'!$D$16:$AC$26,8,FALSE)</f>
        <v>1</v>
      </c>
    </row>
    <row r="1092" spans="1:29" x14ac:dyDescent="0.2">
      <c r="A1092" s="38" t="s">
        <v>185</v>
      </c>
      <c r="B1092" s="38" t="s">
        <v>86</v>
      </c>
      <c r="C1092" s="38" t="s">
        <v>346</v>
      </c>
      <c r="D1092" s="38" t="s">
        <v>65</v>
      </c>
      <c r="E1092" s="38"/>
      <c r="F1092" s="51" t="s">
        <v>347</v>
      </c>
      <c r="G1092" s="38">
        <v>5</v>
      </c>
      <c r="H1092" s="38" t="s">
        <v>17</v>
      </c>
      <c r="I1092" s="38" t="s">
        <v>23</v>
      </c>
      <c r="J1092" s="38">
        <v>-1</v>
      </c>
      <c r="K1092" s="39">
        <f>AB1092/COUNTIFS($B:$B,$B1092,$C:$C,$C1092,$H:$H,$H1092,$I:$I,$I1092)</f>
        <v>0.11</v>
      </c>
      <c r="L1092" s="40">
        <f t="shared" si="65"/>
        <v>1</v>
      </c>
      <c r="M1092" s="41">
        <f t="shared" si="66"/>
        <v>-0.11</v>
      </c>
      <c r="N1092" s="38"/>
      <c r="AA1092" s="146">
        <f>AB1092/COUNTIFS($B:$B,$B1092,$C:$C,$C1092,$H:$H,$H1092,$I:$I,$I1092)</f>
        <v>0.11</v>
      </c>
      <c r="AB1092" s="108">
        <f>VLOOKUP(I1092,'Weights and Confidence'!$D$16:$AC$26,7,FALSE)</f>
        <v>0.11</v>
      </c>
      <c r="AC1092" s="147">
        <f>VLOOKUP(I1092,'Weights and Confidence'!$D$16:$AC$26,8,FALSE)</f>
        <v>1</v>
      </c>
    </row>
    <row r="1093" spans="1:29" x14ac:dyDescent="0.2">
      <c r="A1093" s="34" t="s">
        <v>185</v>
      </c>
      <c r="B1093" s="34" t="s">
        <v>86</v>
      </c>
      <c r="C1093" s="34" t="s">
        <v>346</v>
      </c>
      <c r="D1093" s="34" t="s">
        <v>65</v>
      </c>
      <c r="E1093" s="34"/>
      <c r="F1093" s="50" t="s">
        <v>347</v>
      </c>
      <c r="G1093" s="34">
        <v>5</v>
      </c>
      <c r="H1093" s="34" t="s">
        <v>18</v>
      </c>
      <c r="I1093" s="34" t="s">
        <v>23</v>
      </c>
      <c r="J1093" s="34">
        <v>-1</v>
      </c>
      <c r="K1093" s="35">
        <f>AB1093/COUNTIFS($B:$B,$B1093,$C:$C,$C1093,$H:$H,$H1093,$I:$I,$I1093)</f>
        <v>0.11</v>
      </c>
      <c r="L1093" s="36">
        <f t="shared" si="65"/>
        <v>1</v>
      </c>
      <c r="M1093" s="37">
        <f t="shared" si="66"/>
        <v>-0.11</v>
      </c>
      <c r="N1093" s="17" t="s">
        <v>350</v>
      </c>
      <c r="AA1093" s="146">
        <f>AB1093/COUNTIFS($B:$B,$B1093,$C:$C,$C1093,$H:$H,$H1093,$I:$I,$I1093)</f>
        <v>0.11</v>
      </c>
      <c r="AB1093" s="108">
        <f>VLOOKUP(I1093,'Weights and Confidence'!$D$16:$AC$26,7,FALSE)</f>
        <v>0.11</v>
      </c>
      <c r="AC1093" s="147">
        <f>VLOOKUP(I1093,'Weights and Confidence'!$D$16:$AC$26,8,FALSE)</f>
        <v>1</v>
      </c>
    </row>
    <row r="1094" spans="1:29" x14ac:dyDescent="0.2">
      <c r="A1094" s="38" t="s">
        <v>185</v>
      </c>
      <c r="B1094" s="38" t="s">
        <v>86</v>
      </c>
      <c r="C1094" s="38" t="s">
        <v>346</v>
      </c>
      <c r="D1094" s="38" t="s">
        <v>65</v>
      </c>
      <c r="E1094" s="38"/>
      <c r="F1094" s="51" t="s">
        <v>347</v>
      </c>
      <c r="G1094" s="38">
        <v>6</v>
      </c>
      <c r="H1094" s="38" t="s">
        <v>17</v>
      </c>
      <c r="I1094" s="38" t="s">
        <v>24</v>
      </c>
      <c r="J1094" s="38">
        <v>0</v>
      </c>
      <c r="K1094" s="39">
        <f>AB1094/COUNTIFS($B:$B,$B1094,$C:$C,$C1094,$H:$H,$H1094,$I:$I,$I1094)</f>
        <v>0.15</v>
      </c>
      <c r="L1094" s="40">
        <f t="shared" ref="L1094:L1157" si="67">AC1094</f>
        <v>1</v>
      </c>
      <c r="M1094" s="41">
        <f t="shared" si="66"/>
        <v>0</v>
      </c>
      <c r="N1094" s="59"/>
      <c r="AA1094" s="146">
        <f>AB1094/COUNTIFS($B:$B,$B1094,$C:$C,$C1094,$H:$H,$H1094,$I:$I,$I1094)</f>
        <v>0.15</v>
      </c>
      <c r="AB1094" s="108">
        <f>VLOOKUP(I1094,'Weights and Confidence'!$D$16:$AC$26,7,FALSE)</f>
        <v>0.15</v>
      </c>
      <c r="AC1094" s="147">
        <f>VLOOKUP(I1094,'Weights and Confidence'!$D$16:$AC$26,8,FALSE)</f>
        <v>1</v>
      </c>
    </row>
    <row r="1095" spans="1:29" x14ac:dyDescent="0.2">
      <c r="A1095" s="34" t="s">
        <v>185</v>
      </c>
      <c r="B1095" s="34" t="s">
        <v>86</v>
      </c>
      <c r="C1095" s="34" t="s">
        <v>346</v>
      </c>
      <c r="D1095" s="34" t="s">
        <v>65</v>
      </c>
      <c r="E1095" s="34"/>
      <c r="F1095" s="50" t="s">
        <v>347</v>
      </c>
      <c r="G1095" s="34">
        <v>6</v>
      </c>
      <c r="H1095" s="34" t="s">
        <v>18</v>
      </c>
      <c r="I1095" s="34" t="s">
        <v>24</v>
      </c>
      <c r="J1095" s="34">
        <v>0</v>
      </c>
      <c r="K1095" s="35">
        <f>AB1095/COUNTIFS($B:$B,$B1095,$C:$C,$C1095,$H:$H,$H1095,$I:$I,$I1095)</f>
        <v>0.15</v>
      </c>
      <c r="L1095" s="36">
        <f t="shared" si="67"/>
        <v>1</v>
      </c>
      <c r="M1095" s="37">
        <f t="shared" si="66"/>
        <v>0</v>
      </c>
      <c r="N1095" s="17" t="s">
        <v>351</v>
      </c>
      <c r="AA1095" s="146">
        <f>AB1095/COUNTIFS($B:$B,$B1095,$C:$C,$C1095,$H:$H,$H1095,$I:$I,$I1095)</f>
        <v>0.15</v>
      </c>
      <c r="AB1095" s="108">
        <f>VLOOKUP(I1095,'Weights and Confidence'!$D$16:$AC$26,7,FALSE)</f>
        <v>0.15</v>
      </c>
      <c r="AC1095" s="147">
        <f>VLOOKUP(I1095,'Weights and Confidence'!$D$16:$AC$26,8,FALSE)</f>
        <v>1</v>
      </c>
    </row>
    <row r="1096" spans="1:29" x14ac:dyDescent="0.2">
      <c r="A1096" s="38" t="s">
        <v>185</v>
      </c>
      <c r="B1096" s="38" t="s">
        <v>86</v>
      </c>
      <c r="C1096" s="38" t="s">
        <v>346</v>
      </c>
      <c r="D1096" s="38" t="s">
        <v>65</v>
      </c>
      <c r="E1096" s="38"/>
      <c r="F1096" s="51" t="s">
        <v>347</v>
      </c>
      <c r="G1096" s="38">
        <v>7</v>
      </c>
      <c r="H1096" s="38" t="s">
        <v>17</v>
      </c>
      <c r="I1096" s="38" t="s">
        <v>25</v>
      </c>
      <c r="J1096" s="38">
        <v>-1</v>
      </c>
      <c r="K1096" s="39">
        <f>AB1096/COUNTIFS($B:$B,$B1096,$C:$C,$C1096,$H:$H,$H1096,$I:$I,$I1096)</f>
        <v>0.1</v>
      </c>
      <c r="L1096" s="40">
        <f t="shared" si="67"/>
        <v>1</v>
      </c>
      <c r="M1096" s="41">
        <f t="shared" si="66"/>
        <v>-0.1</v>
      </c>
      <c r="N1096" s="38"/>
      <c r="AA1096" s="146">
        <f>AB1096/COUNTIFS($B:$B,$B1096,$C:$C,$C1096,$H:$H,$H1096,$I:$I,$I1096)</f>
        <v>0.1</v>
      </c>
      <c r="AB1096" s="108">
        <f>VLOOKUP(I1096,'Weights and Confidence'!$D$16:$AC$26,7,FALSE)</f>
        <v>0.1</v>
      </c>
      <c r="AC1096" s="147">
        <f>VLOOKUP(I1096,'Weights and Confidence'!$D$16:$AC$26,8,FALSE)</f>
        <v>1</v>
      </c>
    </row>
    <row r="1097" spans="1:29" x14ac:dyDescent="0.2">
      <c r="A1097" s="34" t="s">
        <v>185</v>
      </c>
      <c r="B1097" s="34" t="s">
        <v>86</v>
      </c>
      <c r="C1097" s="34" t="s">
        <v>346</v>
      </c>
      <c r="D1097" s="34" t="s">
        <v>65</v>
      </c>
      <c r="E1097" s="34"/>
      <c r="F1097" s="50" t="s">
        <v>347</v>
      </c>
      <c r="G1097" s="34">
        <v>7</v>
      </c>
      <c r="H1097" s="34" t="s">
        <v>18</v>
      </c>
      <c r="I1097" s="34" t="s">
        <v>25</v>
      </c>
      <c r="J1097" s="34">
        <v>0</v>
      </c>
      <c r="K1097" s="35">
        <f>AB1097/COUNTIFS($B:$B,$B1097,$C:$C,$C1097,$H:$H,$H1097,$I:$I,$I1097)</f>
        <v>0.1</v>
      </c>
      <c r="L1097" s="36">
        <f t="shared" si="67"/>
        <v>1</v>
      </c>
      <c r="M1097" s="37">
        <f t="shared" si="66"/>
        <v>0</v>
      </c>
      <c r="N1097" s="58" t="s">
        <v>286</v>
      </c>
      <c r="AA1097" s="146">
        <f>AB1097/COUNTIFS($B:$B,$B1097,$C:$C,$C1097,$H:$H,$H1097,$I:$I,$I1097)</f>
        <v>0.1</v>
      </c>
      <c r="AB1097" s="108">
        <f>VLOOKUP(I1097,'Weights and Confidence'!$D$16:$AC$26,7,FALSE)</f>
        <v>0.1</v>
      </c>
      <c r="AC1097" s="147">
        <f>VLOOKUP(I1097,'Weights and Confidence'!$D$16:$AC$26,8,FALSE)</f>
        <v>1</v>
      </c>
    </row>
    <row r="1098" spans="1:29" x14ac:dyDescent="0.2">
      <c r="A1098" s="38" t="s">
        <v>185</v>
      </c>
      <c r="B1098" s="38" t="s">
        <v>86</v>
      </c>
      <c r="C1098" s="38" t="s">
        <v>346</v>
      </c>
      <c r="D1098" s="38" t="s">
        <v>65</v>
      </c>
      <c r="E1098" s="38"/>
      <c r="F1098" s="51" t="s">
        <v>347</v>
      </c>
      <c r="G1098" s="38">
        <v>8</v>
      </c>
      <c r="H1098" s="38" t="s">
        <v>17</v>
      </c>
      <c r="I1098" s="38" t="s">
        <v>26</v>
      </c>
      <c r="J1098" s="38">
        <v>-1</v>
      </c>
      <c r="K1098" s="39">
        <f>AB1098/COUNTIFS($B:$B,$B1098,$C:$C,$C1098,$H:$H,$H1098,$I:$I,$I1098)</f>
        <v>0.1</v>
      </c>
      <c r="L1098" s="40">
        <f t="shared" si="67"/>
        <v>1</v>
      </c>
      <c r="M1098" s="41">
        <f t="shared" si="66"/>
        <v>-0.1</v>
      </c>
      <c r="N1098" s="38"/>
      <c r="AA1098" s="146">
        <f>AB1098/COUNTIFS($B:$B,$B1098,$C:$C,$C1098,$H:$H,$H1098,$I:$I,$I1098)</f>
        <v>0.1</v>
      </c>
      <c r="AB1098" s="108">
        <f>VLOOKUP(I1098,'Weights and Confidence'!$D$16:$AC$26,7,FALSE)</f>
        <v>0.1</v>
      </c>
      <c r="AC1098" s="147">
        <f>VLOOKUP(I1098,'Weights and Confidence'!$D$16:$AC$26,8,FALSE)</f>
        <v>1</v>
      </c>
    </row>
    <row r="1099" spans="1:29" x14ac:dyDescent="0.2">
      <c r="A1099" s="34" t="s">
        <v>185</v>
      </c>
      <c r="B1099" s="34" t="s">
        <v>86</v>
      </c>
      <c r="C1099" s="34" t="s">
        <v>346</v>
      </c>
      <c r="D1099" s="34" t="s">
        <v>65</v>
      </c>
      <c r="E1099" s="34"/>
      <c r="F1099" s="50" t="s">
        <v>347</v>
      </c>
      <c r="G1099" s="34">
        <v>8</v>
      </c>
      <c r="H1099" s="34" t="s">
        <v>18</v>
      </c>
      <c r="I1099" s="34" t="s">
        <v>26</v>
      </c>
      <c r="J1099" s="34">
        <v>0</v>
      </c>
      <c r="K1099" s="35">
        <f>AB1099/COUNTIFS($B:$B,$B1099,$C:$C,$C1099,$H:$H,$H1099,$I:$I,$I1099)</f>
        <v>0.1</v>
      </c>
      <c r="L1099" s="36">
        <f t="shared" si="67"/>
        <v>1</v>
      </c>
      <c r="M1099" s="37">
        <f t="shared" si="66"/>
        <v>0</v>
      </c>
      <c r="N1099" s="58" t="s">
        <v>261</v>
      </c>
      <c r="AA1099" s="146">
        <f>AB1099/COUNTIFS($B:$B,$B1099,$C:$C,$C1099,$H:$H,$H1099,$I:$I,$I1099)</f>
        <v>0.1</v>
      </c>
      <c r="AB1099" s="108">
        <f>VLOOKUP(I1099,'Weights and Confidence'!$D$16:$AC$26,7,FALSE)</f>
        <v>0.1</v>
      </c>
      <c r="AC1099" s="147">
        <f>VLOOKUP(I1099,'Weights and Confidence'!$D$16:$AC$26,8,FALSE)</f>
        <v>1</v>
      </c>
    </row>
    <row r="1100" spans="1:29" x14ac:dyDescent="0.2">
      <c r="A1100" s="38" t="s">
        <v>185</v>
      </c>
      <c r="B1100" s="38" t="s">
        <v>86</v>
      </c>
      <c r="C1100" s="38" t="s">
        <v>346</v>
      </c>
      <c r="D1100" s="38" t="s">
        <v>65</v>
      </c>
      <c r="E1100" s="38"/>
      <c r="F1100" s="51" t="s">
        <v>347</v>
      </c>
      <c r="G1100" s="38">
        <v>9</v>
      </c>
      <c r="H1100" s="38" t="s">
        <v>17</v>
      </c>
      <c r="I1100" s="38" t="s">
        <v>27</v>
      </c>
      <c r="J1100" s="38">
        <v>0</v>
      </c>
      <c r="K1100" s="39">
        <f>AB1100/COUNTIFS($B:$B,$B1100,$C:$C,$C1100,$H:$H,$H1100,$I:$I,$I1100)</f>
        <v>0.05</v>
      </c>
      <c r="L1100" s="40">
        <f t="shared" si="67"/>
        <v>0.85</v>
      </c>
      <c r="M1100" s="41">
        <f t="shared" si="66"/>
        <v>0</v>
      </c>
      <c r="N1100" s="38"/>
      <c r="AA1100" s="146">
        <f>AB1100/COUNTIFS($B:$B,$B1100,$C:$C,$C1100,$H:$H,$H1100,$I:$I,$I1100)</f>
        <v>0.05</v>
      </c>
      <c r="AB1100" s="108">
        <f>VLOOKUP(I1100,'Weights and Confidence'!$D$16:$AC$26,7,FALSE)</f>
        <v>0.1</v>
      </c>
      <c r="AC1100" s="147">
        <f>VLOOKUP(I1100,'Weights and Confidence'!$D$16:$AC$26,8,FALSE)</f>
        <v>0.85</v>
      </c>
    </row>
    <row r="1101" spans="1:29" x14ac:dyDescent="0.2">
      <c r="A1101" s="34" t="s">
        <v>185</v>
      </c>
      <c r="B1101" s="34" t="s">
        <v>86</v>
      </c>
      <c r="C1101" s="34" t="s">
        <v>346</v>
      </c>
      <c r="D1101" s="34" t="s">
        <v>65</v>
      </c>
      <c r="E1101" s="34"/>
      <c r="F1101" s="50" t="s">
        <v>347</v>
      </c>
      <c r="G1101" s="34">
        <v>9</v>
      </c>
      <c r="H1101" s="34" t="s">
        <v>18</v>
      </c>
      <c r="I1101" s="34" t="s">
        <v>27</v>
      </c>
      <c r="J1101" s="34">
        <v>-1</v>
      </c>
      <c r="K1101" s="35">
        <f>AB1101/COUNTIFS($B:$B,$B1101,$C:$C,$C1101,$H:$H,$H1101,$I:$I,$I1101)</f>
        <v>0.05</v>
      </c>
      <c r="L1101" s="36">
        <f t="shared" si="67"/>
        <v>0.85</v>
      </c>
      <c r="M1101" s="37">
        <f t="shared" si="66"/>
        <v>-4.2500000000000003E-2</v>
      </c>
      <c r="N1101" s="58"/>
      <c r="AA1101" s="146">
        <f>AB1101/COUNTIFS($B:$B,$B1101,$C:$C,$C1101,$H:$H,$H1101,$I:$I,$I1101)</f>
        <v>0.05</v>
      </c>
      <c r="AB1101" s="108">
        <f>VLOOKUP(I1101,'Weights and Confidence'!$D$16:$AC$26,7,FALSE)</f>
        <v>0.1</v>
      </c>
      <c r="AC1101" s="147">
        <f>VLOOKUP(I1101,'Weights and Confidence'!$D$16:$AC$26,8,FALSE)</f>
        <v>0.85</v>
      </c>
    </row>
    <row r="1102" spans="1:29" x14ac:dyDescent="0.2">
      <c r="A1102" s="38" t="s">
        <v>185</v>
      </c>
      <c r="B1102" s="38" t="s">
        <v>86</v>
      </c>
      <c r="C1102" s="38" t="s">
        <v>346</v>
      </c>
      <c r="D1102" s="38" t="s">
        <v>65</v>
      </c>
      <c r="E1102" s="38"/>
      <c r="F1102" s="51" t="s">
        <v>347</v>
      </c>
      <c r="G1102" s="38">
        <v>10</v>
      </c>
      <c r="H1102" s="38" t="s">
        <v>17</v>
      </c>
      <c r="I1102" s="38" t="s">
        <v>27</v>
      </c>
      <c r="J1102" s="38">
        <v>0</v>
      </c>
      <c r="K1102" s="39">
        <f>AB1102/COUNTIFS($B:$B,$B1102,$C:$C,$C1102,$H:$H,$H1102,$I:$I,$I1102)</f>
        <v>0.05</v>
      </c>
      <c r="L1102" s="40">
        <f t="shared" si="67"/>
        <v>0.85</v>
      </c>
      <c r="M1102" s="41">
        <f t="shared" si="66"/>
        <v>0</v>
      </c>
      <c r="N1102" s="38"/>
      <c r="AA1102" s="146">
        <f>AB1102/COUNTIFS($B:$B,$B1102,$C:$C,$C1102,$H:$H,$H1102,$I:$I,$I1102)</f>
        <v>0.05</v>
      </c>
      <c r="AB1102" s="108">
        <f>VLOOKUP(I1102,'Weights and Confidence'!$D$16:$AC$26,7,FALSE)</f>
        <v>0.1</v>
      </c>
      <c r="AC1102" s="147">
        <f>VLOOKUP(I1102,'Weights and Confidence'!$D$16:$AC$26,8,FALSE)</f>
        <v>0.85</v>
      </c>
    </row>
    <row r="1103" spans="1:29" x14ac:dyDescent="0.2">
      <c r="A1103" s="34" t="s">
        <v>185</v>
      </c>
      <c r="B1103" s="34" t="s">
        <v>86</v>
      </c>
      <c r="C1103" s="34" t="s">
        <v>346</v>
      </c>
      <c r="D1103" s="34" t="s">
        <v>65</v>
      </c>
      <c r="E1103" s="34"/>
      <c r="F1103" s="50" t="s">
        <v>347</v>
      </c>
      <c r="G1103" s="34">
        <v>10</v>
      </c>
      <c r="H1103" s="34" t="s">
        <v>18</v>
      </c>
      <c r="I1103" s="34" t="s">
        <v>27</v>
      </c>
      <c r="J1103" s="34">
        <v>0</v>
      </c>
      <c r="K1103" s="35">
        <f>AB1103/COUNTIFS($B:$B,$B1103,$C:$C,$C1103,$H:$H,$H1103,$I:$I,$I1103)</f>
        <v>0.05</v>
      </c>
      <c r="L1103" s="36">
        <f t="shared" si="67"/>
        <v>0.85</v>
      </c>
      <c r="M1103" s="37">
        <f t="shared" si="66"/>
        <v>0</v>
      </c>
      <c r="N1103" s="58"/>
      <c r="AA1103" s="146">
        <f>AB1103/COUNTIFS($B:$B,$B1103,$C:$C,$C1103,$H:$H,$H1103,$I:$I,$I1103)</f>
        <v>0.05</v>
      </c>
      <c r="AB1103" s="108">
        <f>VLOOKUP(I1103,'Weights and Confidence'!$D$16:$AC$26,7,FALSE)</f>
        <v>0.1</v>
      </c>
      <c r="AC1103" s="147">
        <f>VLOOKUP(I1103,'Weights and Confidence'!$D$16:$AC$26,8,FALSE)</f>
        <v>0.85</v>
      </c>
    </row>
    <row r="1104" spans="1:29" x14ac:dyDescent="0.2">
      <c r="A1104" s="38" t="s">
        <v>185</v>
      </c>
      <c r="B1104" s="38" t="s">
        <v>86</v>
      </c>
      <c r="C1104" s="38" t="s">
        <v>346</v>
      </c>
      <c r="D1104" s="38" t="s">
        <v>65</v>
      </c>
      <c r="E1104" s="38"/>
      <c r="F1104" s="51" t="s">
        <v>347</v>
      </c>
      <c r="G1104" s="38">
        <v>11</v>
      </c>
      <c r="H1104" s="38" t="s">
        <v>17</v>
      </c>
      <c r="I1104" s="38" t="s">
        <v>28</v>
      </c>
      <c r="J1104" s="38">
        <v>-1</v>
      </c>
      <c r="K1104" s="39">
        <f>AB1104/COUNTIFS($B:$B,$B1104,$C:$C,$C1104,$H:$H,$H1104,$I:$I,$I1104)</f>
        <v>0.05</v>
      </c>
      <c r="L1104" s="40">
        <f t="shared" si="67"/>
        <v>1</v>
      </c>
      <c r="M1104" s="41">
        <f t="shared" ref="M1104:M1127" si="68">J1104*K1104*L1104</f>
        <v>-0.05</v>
      </c>
      <c r="N1104" s="38"/>
      <c r="AA1104" s="146">
        <f>AB1104/COUNTIFS($B:$B,$B1104,$C:$C,$C1104,$H:$H,$H1104,$I:$I,$I1104)</f>
        <v>0.05</v>
      </c>
      <c r="AB1104" s="108">
        <f>VLOOKUP(I1104,'Weights and Confidence'!$D$16:$AC$26,7,FALSE)</f>
        <v>0.05</v>
      </c>
      <c r="AC1104" s="147">
        <f>VLOOKUP(I1104,'Weights and Confidence'!$D$16:$AC$26,8,FALSE)</f>
        <v>1</v>
      </c>
    </row>
    <row r="1105" spans="1:29" ht="17" thickBot="1" x14ac:dyDescent="0.25">
      <c r="A1105" s="53" t="s">
        <v>185</v>
      </c>
      <c r="B1105" s="53" t="s">
        <v>86</v>
      </c>
      <c r="C1105" s="53" t="s">
        <v>346</v>
      </c>
      <c r="D1105" s="53" t="s">
        <v>65</v>
      </c>
      <c r="E1105" s="53"/>
      <c r="F1105" s="54" t="s">
        <v>347</v>
      </c>
      <c r="G1105" s="53">
        <v>11</v>
      </c>
      <c r="H1105" s="53" t="s">
        <v>18</v>
      </c>
      <c r="I1105" s="53" t="s">
        <v>28</v>
      </c>
      <c r="J1105" s="53">
        <v>-1</v>
      </c>
      <c r="K1105" s="55">
        <f>AB1105/COUNTIFS($B:$B,$B1105,$C:$C,$C1105,$H:$H,$H1105,$I:$I,$I1105)</f>
        <v>0.05</v>
      </c>
      <c r="L1105" s="56">
        <f t="shared" si="67"/>
        <v>1</v>
      </c>
      <c r="M1105" s="57">
        <f t="shared" si="68"/>
        <v>-0.05</v>
      </c>
      <c r="N1105" s="22" t="s">
        <v>353</v>
      </c>
      <c r="AA1105" s="140">
        <f>AB1105/COUNTIFS($B:$B,$B1105,$C:$C,$C1105,$H:$H,$H1105,$I:$I,$I1105)</f>
        <v>0.05</v>
      </c>
      <c r="AB1105" s="141">
        <f>VLOOKUP(I1105,'Weights and Confidence'!$D$16:$AC$26,7,FALSE)</f>
        <v>0.05</v>
      </c>
      <c r="AC1105" s="142">
        <f>VLOOKUP(I1105,'Weights and Confidence'!$D$16:$AC$26,8,FALSE)</f>
        <v>1</v>
      </c>
    </row>
    <row r="1106" spans="1:29" ht="18" thickTop="1" thickBot="1" x14ac:dyDescent="0.25">
      <c r="A1106" s="64" t="s">
        <v>185</v>
      </c>
      <c r="B1106" s="64" t="s">
        <v>86</v>
      </c>
      <c r="C1106" s="64" t="s">
        <v>355</v>
      </c>
      <c r="D1106" s="64" t="s">
        <v>65</v>
      </c>
      <c r="E1106" s="64"/>
      <c r="F1106" s="18" t="s">
        <v>356</v>
      </c>
      <c r="G1106" s="64">
        <v>1</v>
      </c>
      <c r="H1106" s="64" t="s">
        <v>17</v>
      </c>
      <c r="I1106" s="64" t="s">
        <v>19</v>
      </c>
      <c r="J1106" s="64">
        <v>1</v>
      </c>
      <c r="K1106" s="65">
        <f>AB1106/COUNTIFS($B:$B,$B1106,$C:$C,$C1106,$H:$H,$H1106,$I:$I,$I1106)</f>
        <v>0.12</v>
      </c>
      <c r="L1106" s="66">
        <f t="shared" si="67"/>
        <v>1</v>
      </c>
      <c r="M1106" s="67">
        <f t="shared" si="68"/>
        <v>0.12</v>
      </c>
      <c r="N1106" s="64"/>
      <c r="AA1106" s="143">
        <f>AB1106/COUNTIFS($B:$B,$B1106,$C:$C,$C1106,$H:$H,$H1106,$I:$I,$I1106)</f>
        <v>0.12</v>
      </c>
      <c r="AB1106" s="144">
        <f>VLOOKUP(I1106,'Weights and Confidence'!$D$16:$AC$26,7,FALSE)</f>
        <v>0.12</v>
      </c>
      <c r="AC1106" s="145">
        <f>VLOOKUP(I1106,'Weights and Confidence'!$D$16:$AC$26,8,FALSE)</f>
        <v>1</v>
      </c>
    </row>
    <row r="1107" spans="1:29" x14ac:dyDescent="0.2">
      <c r="A1107" s="34" t="s">
        <v>185</v>
      </c>
      <c r="B1107" s="34" t="s">
        <v>86</v>
      </c>
      <c r="C1107" s="34" t="s">
        <v>355</v>
      </c>
      <c r="D1107" s="34" t="s">
        <v>65</v>
      </c>
      <c r="E1107" s="34"/>
      <c r="F1107" s="50" t="s">
        <v>356</v>
      </c>
      <c r="G1107" s="34">
        <v>1</v>
      </c>
      <c r="H1107" s="34" t="s">
        <v>18</v>
      </c>
      <c r="I1107" s="34" t="s">
        <v>19</v>
      </c>
      <c r="J1107" s="34">
        <v>1</v>
      </c>
      <c r="K1107" s="35">
        <f>AB1107/COUNTIFS($B:$B,$B1107,$C:$C,$C1107,$H:$H,$H1107,$I:$I,$I1107)</f>
        <v>0.12</v>
      </c>
      <c r="L1107" s="36">
        <f t="shared" si="67"/>
        <v>1</v>
      </c>
      <c r="M1107" s="37">
        <f t="shared" si="68"/>
        <v>0.12</v>
      </c>
      <c r="N1107" s="17"/>
      <c r="P1107" s="24" t="s">
        <v>364</v>
      </c>
      <c r="Q1107" s="10"/>
      <c r="R1107" s="10"/>
      <c r="S1107" s="10"/>
      <c r="T1107" s="10"/>
      <c r="U1107" s="10"/>
      <c r="V1107" s="10"/>
      <c r="AA1107" s="146">
        <f>AB1107/COUNTIFS($B:$B,$B1107,$C:$C,$C1107,$H:$H,$H1107,$I:$I,$I1107)</f>
        <v>0.12</v>
      </c>
      <c r="AB1107" s="108">
        <f>VLOOKUP(I1107,'Weights and Confidence'!$D$16:$AC$26,7,FALSE)</f>
        <v>0.12</v>
      </c>
      <c r="AC1107" s="147">
        <f>VLOOKUP(I1107,'Weights and Confidence'!$D$16:$AC$26,8,FALSE)</f>
        <v>1</v>
      </c>
    </row>
    <row r="1108" spans="1:29" x14ac:dyDescent="0.2">
      <c r="A1108" s="38" t="s">
        <v>185</v>
      </c>
      <c r="B1108" s="38" t="s">
        <v>86</v>
      </c>
      <c r="C1108" s="38" t="s">
        <v>355</v>
      </c>
      <c r="D1108" s="38" t="s">
        <v>65</v>
      </c>
      <c r="E1108" s="38"/>
      <c r="F1108" s="51" t="s">
        <v>356</v>
      </c>
      <c r="G1108" s="38">
        <v>2</v>
      </c>
      <c r="H1108" s="38" t="s">
        <v>17</v>
      </c>
      <c r="I1108" s="38" t="s">
        <v>20</v>
      </c>
      <c r="J1108" s="38">
        <v>1</v>
      </c>
      <c r="K1108" s="39">
        <f>AB1108/COUNTIFS($B:$B,$B1108,$C:$C,$C1108,$H:$H,$H1108,$I:$I,$I1108)</f>
        <v>0.08</v>
      </c>
      <c r="L1108" s="40">
        <f t="shared" si="67"/>
        <v>0.8</v>
      </c>
      <c r="M1108" s="41">
        <f t="shared" si="68"/>
        <v>6.4000000000000001E-2</v>
      </c>
      <c r="N1108" s="38"/>
      <c r="P1108" s="25" t="s">
        <v>365</v>
      </c>
      <c r="AA1108" s="146">
        <f>AB1108/COUNTIFS($B:$B,$B1108,$C:$C,$C1108,$H:$H,$H1108,$I:$I,$I1108)</f>
        <v>0.08</v>
      </c>
      <c r="AB1108" s="108">
        <f>VLOOKUP(I1108,'Weights and Confidence'!$D$16:$AC$26,7,FALSE)</f>
        <v>0.08</v>
      </c>
      <c r="AC1108" s="147">
        <f>VLOOKUP(I1108,'Weights and Confidence'!$D$16:$AC$26,8,FALSE)</f>
        <v>0.8</v>
      </c>
    </row>
    <row r="1109" spans="1:29" x14ac:dyDescent="0.2">
      <c r="A1109" s="34" t="s">
        <v>185</v>
      </c>
      <c r="B1109" s="34" t="s">
        <v>86</v>
      </c>
      <c r="C1109" s="34" t="s">
        <v>355</v>
      </c>
      <c r="D1109" s="34" t="s">
        <v>65</v>
      </c>
      <c r="E1109" s="34"/>
      <c r="F1109" s="50" t="s">
        <v>356</v>
      </c>
      <c r="G1109" s="34">
        <v>2</v>
      </c>
      <c r="H1109" s="34" t="s">
        <v>18</v>
      </c>
      <c r="I1109" s="34" t="s">
        <v>20</v>
      </c>
      <c r="J1109" s="34">
        <v>1</v>
      </c>
      <c r="K1109" s="35">
        <f>AB1109/COUNTIFS($B:$B,$B1109,$C:$C,$C1109,$H:$H,$H1109,$I:$I,$I1109)</f>
        <v>0.08</v>
      </c>
      <c r="L1109" s="36">
        <f t="shared" si="67"/>
        <v>0.8</v>
      </c>
      <c r="M1109" s="37">
        <f t="shared" si="68"/>
        <v>6.4000000000000001E-2</v>
      </c>
      <c r="N1109" s="58" t="s">
        <v>357</v>
      </c>
      <c r="P1109" s="25" t="s">
        <v>366</v>
      </c>
      <c r="AA1109" s="146">
        <f>AB1109/COUNTIFS($B:$B,$B1109,$C:$C,$C1109,$H:$H,$H1109,$I:$I,$I1109)</f>
        <v>0.08</v>
      </c>
      <c r="AB1109" s="108">
        <f>VLOOKUP(I1109,'Weights and Confidence'!$D$16:$AC$26,7,FALSE)</f>
        <v>0.08</v>
      </c>
      <c r="AC1109" s="147">
        <f>VLOOKUP(I1109,'Weights and Confidence'!$D$16:$AC$26,8,FALSE)</f>
        <v>0.8</v>
      </c>
    </row>
    <row r="1110" spans="1:29" x14ac:dyDescent="0.2">
      <c r="A1110" s="38" t="s">
        <v>185</v>
      </c>
      <c r="B1110" s="38" t="s">
        <v>86</v>
      </c>
      <c r="C1110" s="38" t="s">
        <v>355</v>
      </c>
      <c r="D1110" s="38" t="s">
        <v>65</v>
      </c>
      <c r="E1110" s="38"/>
      <c r="F1110" s="51" t="s">
        <v>356</v>
      </c>
      <c r="G1110" s="38">
        <v>3</v>
      </c>
      <c r="H1110" s="38" t="s">
        <v>17</v>
      </c>
      <c r="I1110" s="38" t="s">
        <v>21</v>
      </c>
      <c r="J1110" s="38">
        <v>1</v>
      </c>
      <c r="K1110" s="39">
        <f>AB1110/COUNTIFS($B:$B,$B1110,$C:$C,$C1110,$H:$H,$H1110,$I:$I,$I1110)</f>
        <v>0.05</v>
      </c>
      <c r="L1110" s="40">
        <f t="shared" si="67"/>
        <v>1</v>
      </c>
      <c r="M1110" s="41">
        <f t="shared" si="68"/>
        <v>0.05</v>
      </c>
      <c r="N1110" s="38"/>
      <c r="P1110" s="25" t="s">
        <v>367</v>
      </c>
      <c r="AA1110" s="146">
        <f>AB1110/COUNTIFS($B:$B,$B1110,$C:$C,$C1110,$H:$H,$H1110,$I:$I,$I1110)</f>
        <v>0.05</v>
      </c>
      <c r="AB1110" s="108">
        <f>VLOOKUP(I1110,'Weights and Confidence'!$D$16:$AC$26,7,FALSE)</f>
        <v>0.05</v>
      </c>
      <c r="AC1110" s="147">
        <f>VLOOKUP(I1110,'Weights and Confidence'!$D$16:$AC$26,8,FALSE)</f>
        <v>1</v>
      </c>
    </row>
    <row r="1111" spans="1:29" x14ac:dyDescent="0.2">
      <c r="A1111" s="34" t="s">
        <v>185</v>
      </c>
      <c r="B1111" s="34" t="s">
        <v>86</v>
      </c>
      <c r="C1111" s="34" t="s">
        <v>355</v>
      </c>
      <c r="D1111" s="34" t="s">
        <v>65</v>
      </c>
      <c r="E1111" s="34"/>
      <c r="F1111" s="50" t="s">
        <v>356</v>
      </c>
      <c r="G1111" s="34">
        <v>3</v>
      </c>
      <c r="H1111" s="34" t="s">
        <v>18</v>
      </c>
      <c r="I1111" s="34" t="s">
        <v>21</v>
      </c>
      <c r="J1111" s="34">
        <v>1</v>
      </c>
      <c r="K1111" s="35">
        <f>AB1111/COUNTIFS($B:$B,$B1111,$C:$C,$C1111,$H:$H,$H1111,$I:$I,$I1111)</f>
        <v>0.05</v>
      </c>
      <c r="L1111" s="36">
        <f t="shared" si="67"/>
        <v>1</v>
      </c>
      <c r="M1111" s="37">
        <f t="shared" si="68"/>
        <v>0.05</v>
      </c>
      <c r="N1111" s="17" t="s">
        <v>358</v>
      </c>
      <c r="P1111" s="25" t="s">
        <v>368</v>
      </c>
      <c r="AA1111" s="146">
        <f>AB1111/COUNTIFS($B:$B,$B1111,$C:$C,$C1111,$H:$H,$H1111,$I:$I,$I1111)</f>
        <v>0.05</v>
      </c>
      <c r="AB1111" s="108">
        <f>VLOOKUP(I1111,'Weights and Confidence'!$D$16:$AC$26,7,FALSE)</f>
        <v>0.05</v>
      </c>
      <c r="AC1111" s="147">
        <f>VLOOKUP(I1111,'Weights and Confidence'!$D$16:$AC$26,8,FALSE)</f>
        <v>1</v>
      </c>
    </row>
    <row r="1112" spans="1:29" ht="17" thickBot="1" x14ac:dyDescent="0.25">
      <c r="A1112" s="38" t="s">
        <v>185</v>
      </c>
      <c r="B1112" s="38" t="s">
        <v>86</v>
      </c>
      <c r="C1112" s="38" t="s">
        <v>355</v>
      </c>
      <c r="D1112" s="38" t="s">
        <v>65</v>
      </c>
      <c r="E1112" s="38"/>
      <c r="F1112" s="51" t="s">
        <v>356</v>
      </c>
      <c r="G1112" s="38">
        <v>4</v>
      </c>
      <c r="H1112" s="38" t="s">
        <v>17</v>
      </c>
      <c r="I1112" s="38" t="s">
        <v>22</v>
      </c>
      <c r="J1112" s="38">
        <v>0</v>
      </c>
      <c r="K1112" s="39">
        <f>AB1112/COUNTIFS($B:$B,$B1112,$C:$C,$C1112,$H:$H,$H1112,$I:$I,$I1112)</f>
        <v>0.14000000000000001</v>
      </c>
      <c r="L1112" s="40">
        <f t="shared" si="67"/>
        <v>1</v>
      </c>
      <c r="M1112" s="41">
        <f t="shared" si="68"/>
        <v>0</v>
      </c>
      <c r="N1112" s="38"/>
      <c r="P1112" s="26" t="s">
        <v>369</v>
      </c>
      <c r="Q1112" s="2"/>
      <c r="R1112" s="2"/>
      <c r="S1112" s="2"/>
      <c r="T1112" s="2"/>
      <c r="U1112" s="2"/>
      <c r="V1112" s="2"/>
      <c r="AA1112" s="146">
        <f>AB1112/COUNTIFS($B:$B,$B1112,$C:$C,$C1112,$H:$H,$H1112,$I:$I,$I1112)</f>
        <v>0.14000000000000001</v>
      </c>
      <c r="AB1112" s="108">
        <f>VLOOKUP(I1112,'Weights and Confidence'!$D$16:$AC$26,7,FALSE)</f>
        <v>0.14000000000000001</v>
      </c>
      <c r="AC1112" s="147">
        <f>VLOOKUP(I1112,'Weights and Confidence'!$D$16:$AC$26,8,FALSE)</f>
        <v>1</v>
      </c>
    </row>
    <row r="1113" spans="1:29" x14ac:dyDescent="0.2">
      <c r="A1113" s="34" t="s">
        <v>185</v>
      </c>
      <c r="B1113" s="34" t="s">
        <v>86</v>
      </c>
      <c r="C1113" s="34" t="s">
        <v>355</v>
      </c>
      <c r="D1113" s="34" t="s">
        <v>65</v>
      </c>
      <c r="E1113" s="34"/>
      <c r="F1113" s="50" t="s">
        <v>356</v>
      </c>
      <c r="G1113" s="34">
        <v>4</v>
      </c>
      <c r="H1113" s="34" t="s">
        <v>18</v>
      </c>
      <c r="I1113" s="34" t="s">
        <v>22</v>
      </c>
      <c r="J1113" s="34">
        <v>1</v>
      </c>
      <c r="K1113" s="35">
        <f>AB1113/COUNTIFS($B:$B,$B1113,$C:$C,$C1113,$H:$H,$H1113,$I:$I,$I1113)</f>
        <v>0.14000000000000001</v>
      </c>
      <c r="L1113" s="36">
        <f t="shared" si="67"/>
        <v>1</v>
      </c>
      <c r="M1113" s="37">
        <f t="shared" si="68"/>
        <v>0.14000000000000001</v>
      </c>
      <c r="N1113" s="17" t="s">
        <v>359</v>
      </c>
      <c r="AA1113" s="146">
        <f>AB1113/COUNTIFS($B:$B,$B1113,$C:$C,$C1113,$H:$H,$H1113,$I:$I,$I1113)</f>
        <v>0.14000000000000001</v>
      </c>
      <c r="AB1113" s="108">
        <f>VLOOKUP(I1113,'Weights and Confidence'!$D$16:$AC$26,7,FALSE)</f>
        <v>0.14000000000000001</v>
      </c>
      <c r="AC1113" s="147">
        <f>VLOOKUP(I1113,'Weights and Confidence'!$D$16:$AC$26,8,FALSE)</f>
        <v>1</v>
      </c>
    </row>
    <row r="1114" spans="1:29" x14ac:dyDescent="0.2">
      <c r="A1114" s="38" t="s">
        <v>185</v>
      </c>
      <c r="B1114" s="38" t="s">
        <v>86</v>
      </c>
      <c r="C1114" s="38" t="s">
        <v>355</v>
      </c>
      <c r="D1114" s="38" t="s">
        <v>65</v>
      </c>
      <c r="E1114" s="38"/>
      <c r="F1114" s="51" t="s">
        <v>356</v>
      </c>
      <c r="G1114" s="38">
        <v>5</v>
      </c>
      <c r="H1114" s="38" t="s">
        <v>17</v>
      </c>
      <c r="I1114" s="38" t="s">
        <v>23</v>
      </c>
      <c r="J1114" s="38">
        <v>0</v>
      </c>
      <c r="K1114" s="39">
        <f>AB1114/COUNTIFS($B:$B,$B1114,$C:$C,$C1114,$H:$H,$H1114,$I:$I,$I1114)</f>
        <v>0.11</v>
      </c>
      <c r="L1114" s="40">
        <f t="shared" si="67"/>
        <v>1</v>
      </c>
      <c r="M1114" s="41">
        <f t="shared" si="68"/>
        <v>0</v>
      </c>
      <c r="N1114" s="38"/>
      <c r="AA1114" s="146">
        <f>AB1114/COUNTIFS($B:$B,$B1114,$C:$C,$C1114,$H:$H,$H1114,$I:$I,$I1114)</f>
        <v>0.11</v>
      </c>
      <c r="AB1114" s="108">
        <f>VLOOKUP(I1114,'Weights and Confidence'!$D$16:$AC$26,7,FALSE)</f>
        <v>0.11</v>
      </c>
      <c r="AC1114" s="147">
        <f>VLOOKUP(I1114,'Weights and Confidence'!$D$16:$AC$26,8,FALSE)</f>
        <v>1</v>
      </c>
    </row>
    <row r="1115" spans="1:29" x14ac:dyDescent="0.2">
      <c r="A1115" s="34" t="s">
        <v>185</v>
      </c>
      <c r="B1115" s="34" t="s">
        <v>86</v>
      </c>
      <c r="C1115" s="34" t="s">
        <v>355</v>
      </c>
      <c r="D1115" s="34" t="s">
        <v>65</v>
      </c>
      <c r="E1115" s="34"/>
      <c r="F1115" s="50" t="s">
        <v>356</v>
      </c>
      <c r="G1115" s="34">
        <v>5</v>
      </c>
      <c r="H1115" s="34" t="s">
        <v>18</v>
      </c>
      <c r="I1115" s="34" t="s">
        <v>23</v>
      </c>
      <c r="J1115" s="34">
        <v>0</v>
      </c>
      <c r="K1115" s="35">
        <f>AB1115/COUNTIFS($B:$B,$B1115,$C:$C,$C1115,$H:$H,$H1115,$I:$I,$I1115)</f>
        <v>0.11</v>
      </c>
      <c r="L1115" s="36">
        <f t="shared" si="67"/>
        <v>1</v>
      </c>
      <c r="M1115" s="37">
        <f t="shared" si="68"/>
        <v>0</v>
      </c>
      <c r="N1115" s="17" t="s">
        <v>360</v>
      </c>
      <c r="AA1115" s="146">
        <f>AB1115/COUNTIFS($B:$B,$B1115,$C:$C,$C1115,$H:$H,$H1115,$I:$I,$I1115)</f>
        <v>0.11</v>
      </c>
      <c r="AB1115" s="108">
        <f>VLOOKUP(I1115,'Weights and Confidence'!$D$16:$AC$26,7,FALSE)</f>
        <v>0.11</v>
      </c>
      <c r="AC1115" s="147">
        <f>VLOOKUP(I1115,'Weights and Confidence'!$D$16:$AC$26,8,FALSE)</f>
        <v>1</v>
      </c>
    </row>
    <row r="1116" spans="1:29" x14ac:dyDescent="0.2">
      <c r="A1116" s="38" t="s">
        <v>185</v>
      </c>
      <c r="B1116" s="38" t="s">
        <v>86</v>
      </c>
      <c r="C1116" s="38" t="s">
        <v>355</v>
      </c>
      <c r="D1116" s="38" t="s">
        <v>65</v>
      </c>
      <c r="E1116" s="38"/>
      <c r="F1116" s="51" t="s">
        <v>356</v>
      </c>
      <c r="G1116" s="38">
        <v>6</v>
      </c>
      <c r="H1116" s="38" t="s">
        <v>17</v>
      </c>
      <c r="I1116" s="38" t="s">
        <v>24</v>
      </c>
      <c r="J1116" s="38">
        <v>0</v>
      </c>
      <c r="K1116" s="39">
        <f>AB1116/COUNTIFS($B:$B,$B1116,$C:$C,$C1116,$H:$H,$H1116,$I:$I,$I1116)</f>
        <v>0.15</v>
      </c>
      <c r="L1116" s="40">
        <f t="shared" si="67"/>
        <v>1</v>
      </c>
      <c r="M1116" s="41">
        <f t="shared" si="68"/>
        <v>0</v>
      </c>
      <c r="N1116" s="59"/>
      <c r="AA1116" s="146">
        <f>AB1116/COUNTIFS($B:$B,$B1116,$C:$C,$C1116,$H:$H,$H1116,$I:$I,$I1116)</f>
        <v>0.15</v>
      </c>
      <c r="AB1116" s="108">
        <f>VLOOKUP(I1116,'Weights and Confidence'!$D$16:$AC$26,7,FALSE)</f>
        <v>0.15</v>
      </c>
      <c r="AC1116" s="147">
        <f>VLOOKUP(I1116,'Weights and Confidence'!$D$16:$AC$26,8,FALSE)</f>
        <v>1</v>
      </c>
    </row>
    <row r="1117" spans="1:29" x14ac:dyDescent="0.2">
      <c r="A1117" s="34" t="s">
        <v>185</v>
      </c>
      <c r="B1117" s="34" t="s">
        <v>86</v>
      </c>
      <c r="C1117" s="34" t="s">
        <v>355</v>
      </c>
      <c r="D1117" s="34" t="s">
        <v>65</v>
      </c>
      <c r="E1117" s="34"/>
      <c r="F1117" s="50" t="s">
        <v>356</v>
      </c>
      <c r="G1117" s="34">
        <v>6</v>
      </c>
      <c r="H1117" s="34" t="s">
        <v>18</v>
      </c>
      <c r="I1117" s="34" t="s">
        <v>24</v>
      </c>
      <c r="J1117" s="34">
        <v>0</v>
      </c>
      <c r="K1117" s="35">
        <f>AB1117/COUNTIFS($B:$B,$B1117,$C:$C,$C1117,$H:$H,$H1117,$I:$I,$I1117)</f>
        <v>0.15</v>
      </c>
      <c r="L1117" s="36">
        <f t="shared" si="67"/>
        <v>1</v>
      </c>
      <c r="M1117" s="37">
        <f t="shared" si="68"/>
        <v>0</v>
      </c>
      <c r="N1117" s="17" t="s">
        <v>361</v>
      </c>
      <c r="AA1117" s="146">
        <f>AB1117/COUNTIFS($B:$B,$B1117,$C:$C,$C1117,$H:$H,$H1117,$I:$I,$I1117)</f>
        <v>0.15</v>
      </c>
      <c r="AB1117" s="108">
        <f>VLOOKUP(I1117,'Weights and Confidence'!$D$16:$AC$26,7,FALSE)</f>
        <v>0.15</v>
      </c>
      <c r="AC1117" s="147">
        <f>VLOOKUP(I1117,'Weights and Confidence'!$D$16:$AC$26,8,FALSE)</f>
        <v>1</v>
      </c>
    </row>
    <row r="1118" spans="1:29" x14ac:dyDescent="0.2">
      <c r="A1118" s="38" t="s">
        <v>185</v>
      </c>
      <c r="B1118" s="38" t="s">
        <v>86</v>
      </c>
      <c r="C1118" s="38" t="s">
        <v>355</v>
      </c>
      <c r="D1118" s="38" t="s">
        <v>65</v>
      </c>
      <c r="E1118" s="38"/>
      <c r="F1118" s="51" t="s">
        <v>356</v>
      </c>
      <c r="G1118" s="38">
        <v>7</v>
      </c>
      <c r="H1118" s="38" t="s">
        <v>17</v>
      </c>
      <c r="I1118" s="38" t="s">
        <v>25</v>
      </c>
      <c r="J1118" s="38">
        <v>0</v>
      </c>
      <c r="K1118" s="39">
        <f>AB1118/COUNTIFS($B:$B,$B1118,$C:$C,$C1118,$H:$H,$H1118,$I:$I,$I1118)</f>
        <v>0.1</v>
      </c>
      <c r="L1118" s="40">
        <f t="shared" si="67"/>
        <v>1</v>
      </c>
      <c r="M1118" s="41">
        <f t="shared" si="68"/>
        <v>0</v>
      </c>
      <c r="N1118" s="38"/>
      <c r="AA1118" s="146">
        <f>AB1118/COUNTIFS($B:$B,$B1118,$C:$C,$C1118,$H:$H,$H1118,$I:$I,$I1118)</f>
        <v>0.1</v>
      </c>
      <c r="AB1118" s="108">
        <f>VLOOKUP(I1118,'Weights and Confidence'!$D$16:$AC$26,7,FALSE)</f>
        <v>0.1</v>
      </c>
      <c r="AC1118" s="147">
        <f>VLOOKUP(I1118,'Weights and Confidence'!$D$16:$AC$26,8,FALSE)</f>
        <v>1</v>
      </c>
    </row>
    <row r="1119" spans="1:29" x14ac:dyDescent="0.2">
      <c r="A1119" s="34" t="s">
        <v>185</v>
      </c>
      <c r="B1119" s="34" t="s">
        <v>86</v>
      </c>
      <c r="C1119" s="34" t="s">
        <v>355</v>
      </c>
      <c r="D1119" s="34" t="s">
        <v>65</v>
      </c>
      <c r="E1119" s="34"/>
      <c r="F1119" s="50" t="s">
        <v>356</v>
      </c>
      <c r="G1119" s="34">
        <v>7</v>
      </c>
      <c r="H1119" s="34" t="s">
        <v>18</v>
      </c>
      <c r="I1119" s="34" t="s">
        <v>25</v>
      </c>
      <c r="J1119" s="34">
        <v>0</v>
      </c>
      <c r="K1119" s="35">
        <f>AB1119/COUNTIFS($B:$B,$B1119,$C:$C,$C1119,$H:$H,$H1119,$I:$I,$I1119)</f>
        <v>0.1</v>
      </c>
      <c r="L1119" s="36">
        <f t="shared" si="67"/>
        <v>1</v>
      </c>
      <c r="M1119" s="37">
        <f t="shared" si="68"/>
        <v>0</v>
      </c>
      <c r="N1119" s="58" t="s">
        <v>362</v>
      </c>
      <c r="AA1119" s="146">
        <f>AB1119/COUNTIFS($B:$B,$B1119,$C:$C,$C1119,$H:$H,$H1119,$I:$I,$I1119)</f>
        <v>0.1</v>
      </c>
      <c r="AB1119" s="108">
        <f>VLOOKUP(I1119,'Weights and Confidence'!$D$16:$AC$26,7,FALSE)</f>
        <v>0.1</v>
      </c>
      <c r="AC1119" s="147">
        <f>VLOOKUP(I1119,'Weights and Confidence'!$D$16:$AC$26,8,FALSE)</f>
        <v>1</v>
      </c>
    </row>
    <row r="1120" spans="1:29" x14ac:dyDescent="0.2">
      <c r="A1120" s="38" t="s">
        <v>185</v>
      </c>
      <c r="B1120" s="38" t="s">
        <v>86</v>
      </c>
      <c r="C1120" s="38" t="s">
        <v>355</v>
      </c>
      <c r="D1120" s="38" t="s">
        <v>65</v>
      </c>
      <c r="E1120" s="38"/>
      <c r="F1120" s="51" t="s">
        <v>356</v>
      </c>
      <c r="G1120" s="38">
        <v>8</v>
      </c>
      <c r="H1120" s="38" t="s">
        <v>17</v>
      </c>
      <c r="I1120" s="38" t="s">
        <v>26</v>
      </c>
      <c r="J1120" s="38">
        <v>0</v>
      </c>
      <c r="K1120" s="39">
        <f>AB1120/COUNTIFS($B:$B,$B1120,$C:$C,$C1120,$H:$H,$H1120,$I:$I,$I1120)</f>
        <v>0.1</v>
      </c>
      <c r="L1120" s="40">
        <f t="shared" si="67"/>
        <v>1</v>
      </c>
      <c r="M1120" s="41">
        <f t="shared" si="68"/>
        <v>0</v>
      </c>
      <c r="N1120" s="38"/>
      <c r="AA1120" s="146">
        <f>AB1120/COUNTIFS($B:$B,$B1120,$C:$C,$C1120,$H:$H,$H1120,$I:$I,$I1120)</f>
        <v>0.1</v>
      </c>
      <c r="AB1120" s="108">
        <f>VLOOKUP(I1120,'Weights and Confidence'!$D$16:$AC$26,7,FALSE)</f>
        <v>0.1</v>
      </c>
      <c r="AC1120" s="147">
        <f>VLOOKUP(I1120,'Weights and Confidence'!$D$16:$AC$26,8,FALSE)</f>
        <v>1</v>
      </c>
    </row>
    <row r="1121" spans="1:29" x14ac:dyDescent="0.2">
      <c r="A1121" s="34" t="s">
        <v>185</v>
      </c>
      <c r="B1121" s="34" t="s">
        <v>86</v>
      </c>
      <c r="C1121" s="34" t="s">
        <v>355</v>
      </c>
      <c r="D1121" s="34" t="s">
        <v>65</v>
      </c>
      <c r="E1121" s="34"/>
      <c r="F1121" s="50" t="s">
        <v>356</v>
      </c>
      <c r="G1121" s="34">
        <v>8</v>
      </c>
      <c r="H1121" s="34" t="s">
        <v>18</v>
      </c>
      <c r="I1121" s="34" t="s">
        <v>26</v>
      </c>
      <c r="J1121" s="34">
        <v>0</v>
      </c>
      <c r="K1121" s="35">
        <f>AB1121/COUNTIFS($B:$B,$B1121,$C:$C,$C1121,$H:$H,$H1121,$I:$I,$I1121)</f>
        <v>0.1</v>
      </c>
      <c r="L1121" s="36">
        <f t="shared" si="67"/>
        <v>1</v>
      </c>
      <c r="M1121" s="37">
        <f t="shared" si="68"/>
        <v>0</v>
      </c>
      <c r="N1121" s="58" t="s">
        <v>261</v>
      </c>
      <c r="AA1121" s="146">
        <f>AB1121/COUNTIFS($B:$B,$B1121,$C:$C,$C1121,$H:$H,$H1121,$I:$I,$I1121)</f>
        <v>0.1</v>
      </c>
      <c r="AB1121" s="108">
        <f>VLOOKUP(I1121,'Weights and Confidence'!$D$16:$AC$26,7,FALSE)</f>
        <v>0.1</v>
      </c>
      <c r="AC1121" s="147">
        <f>VLOOKUP(I1121,'Weights and Confidence'!$D$16:$AC$26,8,FALSE)</f>
        <v>1</v>
      </c>
    </row>
    <row r="1122" spans="1:29" x14ac:dyDescent="0.2">
      <c r="A1122" s="38" t="s">
        <v>185</v>
      </c>
      <c r="B1122" s="38" t="s">
        <v>86</v>
      </c>
      <c r="C1122" s="38" t="s">
        <v>355</v>
      </c>
      <c r="D1122" s="38" t="s">
        <v>65</v>
      </c>
      <c r="E1122" s="38"/>
      <c r="F1122" s="51" t="s">
        <v>356</v>
      </c>
      <c r="G1122" s="38">
        <v>9</v>
      </c>
      <c r="H1122" s="38" t="s">
        <v>17</v>
      </c>
      <c r="I1122" s="38" t="s">
        <v>27</v>
      </c>
      <c r="J1122" s="38">
        <v>-1</v>
      </c>
      <c r="K1122" s="39">
        <f>AB1122/COUNTIFS($B:$B,$B1122,$C:$C,$C1122,$H:$H,$H1122,$I:$I,$I1122)</f>
        <v>0.05</v>
      </c>
      <c r="L1122" s="40">
        <f t="shared" si="67"/>
        <v>0.85</v>
      </c>
      <c r="M1122" s="41">
        <f t="shared" si="68"/>
        <v>-4.2500000000000003E-2</v>
      </c>
      <c r="N1122" s="38"/>
      <c r="AA1122" s="146">
        <f>AB1122/COUNTIFS($B:$B,$B1122,$C:$C,$C1122,$H:$H,$H1122,$I:$I,$I1122)</f>
        <v>0.05</v>
      </c>
      <c r="AB1122" s="108">
        <f>VLOOKUP(I1122,'Weights and Confidence'!$D$16:$AC$26,7,FALSE)</f>
        <v>0.1</v>
      </c>
      <c r="AC1122" s="147">
        <f>VLOOKUP(I1122,'Weights and Confidence'!$D$16:$AC$26,8,FALSE)</f>
        <v>0.85</v>
      </c>
    </row>
    <row r="1123" spans="1:29" x14ac:dyDescent="0.2">
      <c r="A1123" s="34" t="s">
        <v>185</v>
      </c>
      <c r="B1123" s="34" t="s">
        <v>86</v>
      </c>
      <c r="C1123" s="34" t="s">
        <v>355</v>
      </c>
      <c r="D1123" s="34" t="s">
        <v>65</v>
      </c>
      <c r="E1123" s="34"/>
      <c r="F1123" s="50" t="s">
        <v>356</v>
      </c>
      <c r="G1123" s="34">
        <v>9</v>
      </c>
      <c r="H1123" s="34" t="s">
        <v>18</v>
      </c>
      <c r="I1123" s="34" t="s">
        <v>27</v>
      </c>
      <c r="J1123" s="34">
        <v>1</v>
      </c>
      <c r="K1123" s="35">
        <f>AB1123/COUNTIFS($B:$B,$B1123,$C:$C,$C1123,$H:$H,$H1123,$I:$I,$I1123)</f>
        <v>0.05</v>
      </c>
      <c r="L1123" s="36">
        <f t="shared" si="67"/>
        <v>0.85</v>
      </c>
      <c r="M1123" s="37">
        <f t="shared" si="68"/>
        <v>4.2500000000000003E-2</v>
      </c>
      <c r="N1123" s="58" t="s">
        <v>363</v>
      </c>
      <c r="AA1123" s="146">
        <f>AB1123/COUNTIFS($B:$B,$B1123,$C:$C,$C1123,$H:$H,$H1123,$I:$I,$I1123)</f>
        <v>0.05</v>
      </c>
      <c r="AB1123" s="108">
        <f>VLOOKUP(I1123,'Weights and Confidence'!$D$16:$AC$26,7,FALSE)</f>
        <v>0.1</v>
      </c>
      <c r="AC1123" s="147">
        <f>VLOOKUP(I1123,'Weights and Confidence'!$D$16:$AC$26,8,FALSE)</f>
        <v>0.85</v>
      </c>
    </row>
    <row r="1124" spans="1:29" x14ac:dyDescent="0.2">
      <c r="A1124" s="38" t="s">
        <v>185</v>
      </c>
      <c r="B1124" s="38" t="s">
        <v>86</v>
      </c>
      <c r="C1124" s="38" t="s">
        <v>355</v>
      </c>
      <c r="D1124" s="38" t="s">
        <v>65</v>
      </c>
      <c r="E1124" s="38"/>
      <c r="F1124" s="51" t="s">
        <v>356</v>
      </c>
      <c r="G1124" s="38">
        <v>10</v>
      </c>
      <c r="H1124" s="38" t="s">
        <v>17</v>
      </c>
      <c r="I1124" s="38" t="s">
        <v>27</v>
      </c>
      <c r="J1124" s="38">
        <v>-1</v>
      </c>
      <c r="K1124" s="39">
        <f>AB1124/COUNTIFS($B:$B,$B1124,$C:$C,$C1124,$H:$H,$H1124,$I:$I,$I1124)</f>
        <v>0.05</v>
      </c>
      <c r="L1124" s="40">
        <f t="shared" si="67"/>
        <v>0.85</v>
      </c>
      <c r="M1124" s="41">
        <f t="shared" si="68"/>
        <v>-4.2500000000000003E-2</v>
      </c>
      <c r="N1124" s="38"/>
      <c r="AA1124" s="146">
        <f>AB1124/COUNTIFS($B:$B,$B1124,$C:$C,$C1124,$H:$H,$H1124,$I:$I,$I1124)</f>
        <v>0.05</v>
      </c>
      <c r="AB1124" s="108">
        <f>VLOOKUP(I1124,'Weights and Confidence'!$D$16:$AC$26,7,FALSE)</f>
        <v>0.1</v>
      </c>
      <c r="AC1124" s="147">
        <f>VLOOKUP(I1124,'Weights and Confidence'!$D$16:$AC$26,8,FALSE)</f>
        <v>0.85</v>
      </c>
    </row>
    <row r="1125" spans="1:29" x14ac:dyDescent="0.2">
      <c r="A1125" s="34" t="s">
        <v>185</v>
      </c>
      <c r="B1125" s="34" t="s">
        <v>86</v>
      </c>
      <c r="C1125" s="34" t="s">
        <v>355</v>
      </c>
      <c r="D1125" s="34" t="s">
        <v>65</v>
      </c>
      <c r="E1125" s="34"/>
      <c r="F1125" s="50" t="s">
        <v>356</v>
      </c>
      <c r="G1125" s="34">
        <v>10</v>
      </c>
      <c r="H1125" s="34" t="s">
        <v>18</v>
      </c>
      <c r="I1125" s="34" t="s">
        <v>27</v>
      </c>
      <c r="J1125" s="34">
        <v>1</v>
      </c>
      <c r="K1125" s="35">
        <f>AB1125/COUNTIFS($B:$B,$B1125,$C:$C,$C1125,$H:$H,$H1125,$I:$I,$I1125)</f>
        <v>0.05</v>
      </c>
      <c r="L1125" s="36">
        <f t="shared" si="67"/>
        <v>0.85</v>
      </c>
      <c r="M1125" s="37">
        <f t="shared" si="68"/>
        <v>4.2500000000000003E-2</v>
      </c>
      <c r="N1125" s="58" t="s">
        <v>363</v>
      </c>
      <c r="AA1125" s="146">
        <f>AB1125/COUNTIFS($B:$B,$B1125,$C:$C,$C1125,$H:$H,$H1125,$I:$I,$I1125)</f>
        <v>0.05</v>
      </c>
      <c r="AB1125" s="108">
        <f>VLOOKUP(I1125,'Weights and Confidence'!$D$16:$AC$26,7,FALSE)</f>
        <v>0.1</v>
      </c>
      <c r="AC1125" s="147">
        <f>VLOOKUP(I1125,'Weights and Confidence'!$D$16:$AC$26,8,FALSE)</f>
        <v>0.85</v>
      </c>
    </row>
    <row r="1126" spans="1:29" x14ac:dyDescent="0.2">
      <c r="A1126" s="38" t="s">
        <v>185</v>
      </c>
      <c r="B1126" s="38" t="s">
        <v>86</v>
      </c>
      <c r="C1126" s="38" t="s">
        <v>355</v>
      </c>
      <c r="D1126" s="38" t="s">
        <v>65</v>
      </c>
      <c r="E1126" s="38"/>
      <c r="F1126" s="51" t="s">
        <v>356</v>
      </c>
      <c r="G1126" s="38">
        <v>11</v>
      </c>
      <c r="H1126" s="38" t="s">
        <v>17</v>
      </c>
      <c r="I1126" s="38" t="s">
        <v>28</v>
      </c>
      <c r="J1126" s="38">
        <v>-1</v>
      </c>
      <c r="K1126" s="39">
        <f>AB1126/COUNTIFS($B:$B,$B1126,$C:$C,$C1126,$H:$H,$H1126,$I:$I,$I1126)</f>
        <v>0.05</v>
      </c>
      <c r="L1126" s="40">
        <f t="shared" si="67"/>
        <v>1</v>
      </c>
      <c r="M1126" s="41">
        <f t="shared" si="68"/>
        <v>-0.05</v>
      </c>
      <c r="N1126" s="38"/>
      <c r="AA1126" s="146">
        <f>AB1126/COUNTIFS($B:$B,$B1126,$C:$C,$C1126,$H:$H,$H1126,$I:$I,$I1126)</f>
        <v>0.05</v>
      </c>
      <c r="AB1126" s="108">
        <f>VLOOKUP(I1126,'Weights and Confidence'!$D$16:$AC$26,7,FALSE)</f>
        <v>0.05</v>
      </c>
      <c r="AC1126" s="147">
        <f>VLOOKUP(I1126,'Weights and Confidence'!$D$16:$AC$26,8,FALSE)</f>
        <v>1</v>
      </c>
    </row>
    <row r="1127" spans="1:29" ht="17" thickBot="1" x14ac:dyDescent="0.25">
      <c r="A1127" s="69" t="s">
        <v>185</v>
      </c>
      <c r="B1127" s="69" t="s">
        <v>86</v>
      </c>
      <c r="C1127" s="69" t="s">
        <v>355</v>
      </c>
      <c r="D1127" s="69" t="s">
        <v>65</v>
      </c>
      <c r="E1127" s="69"/>
      <c r="F1127" s="70" t="s">
        <v>356</v>
      </c>
      <c r="G1127" s="69">
        <v>11</v>
      </c>
      <c r="H1127" s="69" t="s">
        <v>18</v>
      </c>
      <c r="I1127" s="69" t="s">
        <v>28</v>
      </c>
      <c r="J1127" s="69">
        <v>0</v>
      </c>
      <c r="K1127" s="71">
        <f>AB1127/COUNTIFS($B:$B,$B1127,$C:$C,$C1127,$H:$H,$H1127,$I:$I,$I1127)</f>
        <v>0.05</v>
      </c>
      <c r="L1127" s="72">
        <f t="shared" si="67"/>
        <v>1</v>
      </c>
      <c r="M1127" s="73">
        <f t="shared" si="68"/>
        <v>0</v>
      </c>
      <c r="N1127" s="21"/>
      <c r="AA1127" s="148">
        <f>AB1127/COUNTIFS($B:$B,$B1127,$C:$C,$C1127,$H:$H,$H1127,$I:$I,$I1127)</f>
        <v>0.05</v>
      </c>
      <c r="AB1127" s="112">
        <f>VLOOKUP(I1127,'Weights and Confidence'!$D$16:$AC$26,7,FALSE)</f>
        <v>0.05</v>
      </c>
      <c r="AC1127" s="149">
        <f>VLOOKUP(I1127,'Weights and Confidence'!$D$16:$AC$26,8,FALSE)</f>
        <v>1</v>
      </c>
    </row>
    <row r="1128" spans="1:29" x14ac:dyDescent="0.2">
      <c r="A1128" s="64" t="s">
        <v>185</v>
      </c>
      <c r="B1128" s="64" t="s">
        <v>187</v>
      </c>
      <c r="C1128" s="64" t="s">
        <v>44</v>
      </c>
      <c r="D1128" s="64" t="s">
        <v>5</v>
      </c>
      <c r="E1128" s="64" t="s">
        <v>103</v>
      </c>
      <c r="F1128" s="18" t="s">
        <v>45</v>
      </c>
      <c r="G1128" s="64">
        <v>1</v>
      </c>
      <c r="H1128" s="64" t="s">
        <v>17</v>
      </c>
      <c r="I1128" s="64" t="s">
        <v>19</v>
      </c>
      <c r="J1128" s="64">
        <v>1</v>
      </c>
      <c r="K1128" s="65">
        <f>AB1128/COUNTIFS($B:$B,$B1128,$C:$C,$C1128,$H:$H,$H1128,$I:$I,$I1128)</f>
        <v>0.12</v>
      </c>
      <c r="L1128" s="66">
        <f t="shared" si="67"/>
        <v>1</v>
      </c>
      <c r="M1128" s="67">
        <f t="shared" ref="M1128:M1149" si="69">J1128*K1128*L1128</f>
        <v>0.12</v>
      </c>
      <c r="N1128" s="64"/>
      <c r="O1128" s="8"/>
      <c r="AA1128" s="146">
        <f>AB1128/COUNTIFS($B:$B,$B1128,$C:$C,$C1128,$H:$H,$H1128,$I:$I,$I1128)</f>
        <v>0.12</v>
      </c>
      <c r="AB1128" s="108">
        <f>VLOOKUP(I1128,'Weights and Confidence'!$D$16:$AC$26,9,FALSE)</f>
        <v>0.12</v>
      </c>
      <c r="AC1128" s="147">
        <f>VLOOKUP(I1128,'Weights and Confidence'!$D$16:$AC$26,10,FALSE)</f>
        <v>1</v>
      </c>
    </row>
    <row r="1129" spans="1:29" ht="17" thickBot="1" x14ac:dyDescent="0.25">
      <c r="A1129" s="34" t="s">
        <v>185</v>
      </c>
      <c r="B1129" s="34" t="s">
        <v>187</v>
      </c>
      <c r="C1129" s="34" t="s">
        <v>44</v>
      </c>
      <c r="D1129" s="34" t="s">
        <v>5</v>
      </c>
      <c r="E1129" s="34" t="s">
        <v>103</v>
      </c>
      <c r="F1129" s="50" t="s">
        <v>45</v>
      </c>
      <c r="G1129" s="34">
        <v>1</v>
      </c>
      <c r="H1129" s="34" t="s">
        <v>18</v>
      </c>
      <c r="I1129" s="34" t="s">
        <v>19</v>
      </c>
      <c r="J1129" s="34">
        <v>1</v>
      </c>
      <c r="K1129" s="35">
        <f>AB1129/COUNTIFS($B:$B,$B1129,$C:$C,$C1129,$H:$H,$H1129,$I:$I,$I1129)</f>
        <v>0.12</v>
      </c>
      <c r="L1129" s="36">
        <f t="shared" si="67"/>
        <v>1</v>
      </c>
      <c r="M1129" s="37">
        <f t="shared" si="69"/>
        <v>0.12</v>
      </c>
      <c r="N1129" s="17"/>
      <c r="O1129" s="8"/>
      <c r="AA1129" s="146">
        <f>AB1129/COUNTIFS($B:$B,$B1129,$C:$C,$C1129,$H:$H,$H1129,$I:$I,$I1129)</f>
        <v>0.12</v>
      </c>
      <c r="AB1129" s="108">
        <f>VLOOKUP(I1129,'Weights and Confidence'!$D$16:$AC$26,9,FALSE)</f>
        <v>0.12</v>
      </c>
      <c r="AC1129" s="147">
        <f>VLOOKUP(I1129,'Weights and Confidence'!$D$16:$AC$26,10,FALSE)</f>
        <v>1</v>
      </c>
    </row>
    <row r="1130" spans="1:29" x14ac:dyDescent="0.2">
      <c r="A1130" s="38" t="s">
        <v>185</v>
      </c>
      <c r="B1130" s="38" t="s">
        <v>187</v>
      </c>
      <c r="C1130" s="38" t="s">
        <v>44</v>
      </c>
      <c r="D1130" s="38" t="s">
        <v>5</v>
      </c>
      <c r="E1130" s="38" t="s">
        <v>103</v>
      </c>
      <c r="F1130" s="51" t="s">
        <v>45</v>
      </c>
      <c r="G1130" s="38">
        <v>2</v>
      </c>
      <c r="H1130" s="38" t="s">
        <v>17</v>
      </c>
      <c r="I1130" s="38" t="s">
        <v>20</v>
      </c>
      <c r="J1130" s="38">
        <v>1</v>
      </c>
      <c r="K1130" s="39">
        <f>AB1130/COUNTIFS($B:$B,$B1130,$C:$C,$C1130,$H:$H,$H1130,$I:$I,$I1130)</f>
        <v>0.08</v>
      </c>
      <c r="L1130" s="40">
        <f t="shared" si="67"/>
        <v>0.8</v>
      </c>
      <c r="M1130" s="41">
        <f t="shared" si="69"/>
        <v>6.4000000000000001E-2</v>
      </c>
      <c r="N1130" s="38"/>
      <c r="P1130" s="24" t="s">
        <v>375</v>
      </c>
      <c r="Q1130" s="10"/>
      <c r="R1130" s="10"/>
      <c r="S1130" s="10"/>
      <c r="T1130" s="10"/>
      <c r="U1130" s="10"/>
      <c r="V1130" s="10"/>
      <c r="AA1130" s="146">
        <f>AB1130/COUNTIFS($B:$B,$B1130,$C:$C,$C1130,$H:$H,$H1130,$I:$I,$I1130)</f>
        <v>0.08</v>
      </c>
      <c r="AB1130" s="108">
        <f>VLOOKUP(I1130,'Weights and Confidence'!$D$16:$AC$26,9,FALSE)</f>
        <v>0.08</v>
      </c>
      <c r="AC1130" s="147">
        <f>VLOOKUP(I1130,'Weights and Confidence'!$D$16:$AC$26,10,FALSE)</f>
        <v>0.8</v>
      </c>
    </row>
    <row r="1131" spans="1:29" x14ac:dyDescent="0.2">
      <c r="A1131" s="34" t="s">
        <v>185</v>
      </c>
      <c r="B1131" s="34" t="s">
        <v>187</v>
      </c>
      <c r="C1131" s="34" t="s">
        <v>44</v>
      </c>
      <c r="D1131" s="34" t="s">
        <v>5</v>
      </c>
      <c r="E1131" s="34" t="s">
        <v>103</v>
      </c>
      <c r="F1131" s="50" t="s">
        <v>45</v>
      </c>
      <c r="G1131" s="34">
        <v>2</v>
      </c>
      <c r="H1131" s="34" t="s">
        <v>18</v>
      </c>
      <c r="I1131" s="34" t="s">
        <v>20</v>
      </c>
      <c r="J1131" s="34">
        <v>-1</v>
      </c>
      <c r="K1131" s="35">
        <f>AB1131/COUNTIFS($B:$B,$B1131,$C:$C,$C1131,$H:$H,$H1131,$I:$I,$I1131)</f>
        <v>0.08</v>
      </c>
      <c r="L1131" s="36">
        <f t="shared" si="67"/>
        <v>0.8</v>
      </c>
      <c r="M1131" s="37">
        <f t="shared" si="69"/>
        <v>-6.4000000000000001E-2</v>
      </c>
      <c r="N1131" s="58"/>
      <c r="P1131" s="25" t="s">
        <v>376</v>
      </c>
      <c r="Q1131" s="75"/>
      <c r="R1131" s="75"/>
      <c r="S1131" s="75"/>
      <c r="T1131" s="75"/>
      <c r="U1131" s="75"/>
      <c r="V1131" s="75"/>
      <c r="AA1131" s="146">
        <f>AB1131/COUNTIFS($B:$B,$B1131,$C:$C,$C1131,$H:$H,$H1131,$I:$I,$I1131)</f>
        <v>0.08</v>
      </c>
      <c r="AB1131" s="108">
        <f>VLOOKUP(I1131,'Weights and Confidence'!$D$16:$AC$26,9,FALSE)</f>
        <v>0.08</v>
      </c>
      <c r="AC1131" s="147">
        <f>VLOOKUP(I1131,'Weights and Confidence'!$D$16:$AC$26,10,FALSE)</f>
        <v>0.8</v>
      </c>
    </row>
    <row r="1132" spans="1:29" x14ac:dyDescent="0.2">
      <c r="A1132" s="38" t="s">
        <v>185</v>
      </c>
      <c r="B1132" s="38" t="s">
        <v>187</v>
      </c>
      <c r="C1132" s="38" t="s">
        <v>44</v>
      </c>
      <c r="D1132" s="38" t="s">
        <v>5</v>
      </c>
      <c r="E1132" s="38" t="s">
        <v>103</v>
      </c>
      <c r="F1132" s="51" t="s">
        <v>45</v>
      </c>
      <c r="G1132" s="38">
        <v>3</v>
      </c>
      <c r="H1132" s="38" t="s">
        <v>17</v>
      </c>
      <c r="I1132" s="38" t="s">
        <v>21</v>
      </c>
      <c r="J1132" s="38">
        <v>1</v>
      </c>
      <c r="K1132" s="39">
        <f>AB1132/COUNTIFS($B:$B,$B1132,$C:$C,$C1132,$H:$H,$H1132,$I:$I,$I1132)</f>
        <v>0.05</v>
      </c>
      <c r="L1132" s="40">
        <f t="shared" si="67"/>
        <v>1</v>
      </c>
      <c r="M1132" s="41">
        <f t="shared" si="69"/>
        <v>0.05</v>
      </c>
      <c r="N1132" s="38"/>
      <c r="P1132" s="25" t="s">
        <v>377</v>
      </c>
      <c r="Q1132" s="75"/>
      <c r="R1132" s="75"/>
      <c r="S1132" s="75"/>
      <c r="T1132" s="75"/>
      <c r="U1132" s="75"/>
      <c r="V1132" s="75"/>
      <c r="AA1132" s="146">
        <f>AB1132/COUNTIFS($B:$B,$B1132,$C:$C,$C1132,$H:$H,$H1132,$I:$I,$I1132)</f>
        <v>0.05</v>
      </c>
      <c r="AB1132" s="108">
        <f>VLOOKUP(I1132,'Weights and Confidence'!$D$16:$AC$26,9,FALSE)</f>
        <v>0.05</v>
      </c>
      <c r="AC1132" s="147">
        <f>VLOOKUP(I1132,'Weights and Confidence'!$D$16:$AC$26,10,FALSE)</f>
        <v>1</v>
      </c>
    </row>
    <row r="1133" spans="1:29" x14ac:dyDescent="0.2">
      <c r="A1133" s="34" t="s">
        <v>185</v>
      </c>
      <c r="B1133" s="34" t="s">
        <v>187</v>
      </c>
      <c r="C1133" s="34" t="s">
        <v>44</v>
      </c>
      <c r="D1133" s="34" t="s">
        <v>5</v>
      </c>
      <c r="E1133" s="34" t="s">
        <v>103</v>
      </c>
      <c r="F1133" s="50" t="s">
        <v>45</v>
      </c>
      <c r="G1133" s="34">
        <v>3</v>
      </c>
      <c r="H1133" s="34" t="s">
        <v>18</v>
      </c>
      <c r="I1133" s="34" t="s">
        <v>21</v>
      </c>
      <c r="J1133" s="34">
        <v>1</v>
      </c>
      <c r="K1133" s="35">
        <f>AB1133/COUNTIFS($B:$B,$B1133,$C:$C,$C1133,$H:$H,$H1133,$I:$I,$I1133)</f>
        <v>0.05</v>
      </c>
      <c r="L1133" s="36">
        <f t="shared" si="67"/>
        <v>1</v>
      </c>
      <c r="M1133" s="37">
        <f t="shared" si="69"/>
        <v>0.05</v>
      </c>
      <c r="N1133" s="17"/>
      <c r="P1133" s="25" t="s">
        <v>378</v>
      </c>
      <c r="Q1133" s="75"/>
      <c r="R1133" s="75"/>
      <c r="S1133" s="75"/>
      <c r="T1133" s="75"/>
      <c r="U1133" s="75"/>
      <c r="V1133" s="75"/>
      <c r="AA1133" s="146">
        <f>AB1133/COUNTIFS($B:$B,$B1133,$C:$C,$C1133,$H:$H,$H1133,$I:$I,$I1133)</f>
        <v>0.05</v>
      </c>
      <c r="AB1133" s="108">
        <f>VLOOKUP(I1133,'Weights and Confidence'!$D$16:$AC$26,9,FALSE)</f>
        <v>0.05</v>
      </c>
      <c r="AC1133" s="147">
        <f>VLOOKUP(I1133,'Weights and Confidence'!$D$16:$AC$26,10,FALSE)</f>
        <v>1</v>
      </c>
    </row>
    <row r="1134" spans="1:29" x14ac:dyDescent="0.2">
      <c r="A1134" s="38" t="s">
        <v>185</v>
      </c>
      <c r="B1134" s="38" t="s">
        <v>187</v>
      </c>
      <c r="C1134" s="38" t="s">
        <v>44</v>
      </c>
      <c r="D1134" s="38" t="s">
        <v>5</v>
      </c>
      <c r="E1134" s="38" t="s">
        <v>103</v>
      </c>
      <c r="F1134" s="51" t="s">
        <v>45</v>
      </c>
      <c r="G1134" s="38">
        <v>4</v>
      </c>
      <c r="H1134" s="38" t="s">
        <v>17</v>
      </c>
      <c r="I1134" s="38" t="s">
        <v>22</v>
      </c>
      <c r="J1134" s="38">
        <v>0</v>
      </c>
      <c r="K1134" s="39">
        <f>AB1134/COUNTIFS($B:$B,$B1134,$C:$C,$C1134,$H:$H,$H1134,$I:$I,$I1134)</f>
        <v>0.14000000000000001</v>
      </c>
      <c r="L1134" s="40">
        <f t="shared" si="67"/>
        <v>1</v>
      </c>
      <c r="M1134" s="41">
        <f t="shared" si="69"/>
        <v>0</v>
      </c>
      <c r="N1134" s="38"/>
      <c r="P1134" s="25" t="s">
        <v>379</v>
      </c>
      <c r="Q1134" s="75"/>
      <c r="R1134" s="75"/>
      <c r="S1134" s="75"/>
      <c r="T1134" s="75"/>
      <c r="U1134" s="75"/>
      <c r="V1134" s="75"/>
      <c r="AA1134" s="146">
        <f>AB1134/COUNTIFS($B:$B,$B1134,$C:$C,$C1134,$H:$H,$H1134,$I:$I,$I1134)</f>
        <v>0.14000000000000001</v>
      </c>
      <c r="AB1134" s="108">
        <f>VLOOKUP(I1134,'Weights and Confidence'!$D$16:$AC$26,9,FALSE)</f>
        <v>0.14000000000000001</v>
      </c>
      <c r="AC1134" s="147">
        <f>VLOOKUP(I1134,'Weights and Confidence'!$D$16:$AC$26,10,FALSE)</f>
        <v>1</v>
      </c>
    </row>
    <row r="1135" spans="1:29" x14ac:dyDescent="0.2">
      <c r="A1135" s="34" t="s">
        <v>185</v>
      </c>
      <c r="B1135" s="34" t="s">
        <v>187</v>
      </c>
      <c r="C1135" s="34" t="s">
        <v>44</v>
      </c>
      <c r="D1135" s="34" t="s">
        <v>5</v>
      </c>
      <c r="E1135" s="34" t="s">
        <v>103</v>
      </c>
      <c r="F1135" s="50" t="s">
        <v>45</v>
      </c>
      <c r="G1135" s="34">
        <v>4</v>
      </c>
      <c r="H1135" s="34" t="s">
        <v>18</v>
      </c>
      <c r="I1135" s="34" t="s">
        <v>22</v>
      </c>
      <c r="J1135" s="34">
        <v>1</v>
      </c>
      <c r="K1135" s="35">
        <f>AB1135/COUNTIFS($B:$B,$B1135,$C:$C,$C1135,$H:$H,$H1135,$I:$I,$I1135)</f>
        <v>0.14000000000000001</v>
      </c>
      <c r="L1135" s="36">
        <f t="shared" si="67"/>
        <v>1</v>
      </c>
      <c r="M1135" s="37">
        <f t="shared" si="69"/>
        <v>0.14000000000000001</v>
      </c>
      <c r="N1135" s="17"/>
      <c r="P1135" s="25" t="s">
        <v>380</v>
      </c>
      <c r="Q1135" s="75"/>
      <c r="R1135" s="75"/>
      <c r="S1135" s="75"/>
      <c r="T1135" s="75"/>
      <c r="U1135" s="75"/>
      <c r="V1135" s="75"/>
      <c r="AA1135" s="146">
        <f>AB1135/COUNTIFS($B:$B,$B1135,$C:$C,$C1135,$H:$H,$H1135,$I:$I,$I1135)</f>
        <v>0.14000000000000001</v>
      </c>
      <c r="AB1135" s="108">
        <f>VLOOKUP(I1135,'Weights and Confidence'!$D$16:$AC$26,9,FALSE)</f>
        <v>0.14000000000000001</v>
      </c>
      <c r="AC1135" s="147">
        <f>VLOOKUP(I1135,'Weights and Confidence'!$D$16:$AC$26,10,FALSE)</f>
        <v>1</v>
      </c>
    </row>
    <row r="1136" spans="1:29" ht="17" thickBot="1" x14ac:dyDescent="0.25">
      <c r="A1136" s="38" t="s">
        <v>185</v>
      </c>
      <c r="B1136" s="38" t="s">
        <v>187</v>
      </c>
      <c r="C1136" s="38" t="s">
        <v>44</v>
      </c>
      <c r="D1136" s="38" t="s">
        <v>5</v>
      </c>
      <c r="E1136" s="38" t="s">
        <v>103</v>
      </c>
      <c r="F1136" s="51" t="s">
        <v>45</v>
      </c>
      <c r="G1136" s="38">
        <v>5</v>
      </c>
      <c r="H1136" s="38" t="s">
        <v>17</v>
      </c>
      <c r="I1136" s="38" t="s">
        <v>23</v>
      </c>
      <c r="J1136" s="38">
        <v>0</v>
      </c>
      <c r="K1136" s="39">
        <f>AB1136/COUNTIFS($B:$B,$B1136,$C:$C,$C1136,$H:$H,$H1136,$I:$I,$I1136)</f>
        <v>0.11</v>
      </c>
      <c r="L1136" s="40">
        <f t="shared" si="67"/>
        <v>1</v>
      </c>
      <c r="M1136" s="41">
        <f t="shared" si="69"/>
        <v>0</v>
      </c>
      <c r="N1136" s="38"/>
      <c r="P1136" s="26" t="s">
        <v>381</v>
      </c>
      <c r="Q1136" s="2"/>
      <c r="R1136" s="2"/>
      <c r="S1136" s="2"/>
      <c r="T1136" s="2"/>
      <c r="U1136" s="2"/>
      <c r="V1136" s="2"/>
      <c r="AA1136" s="146">
        <f>AB1136/COUNTIFS($B:$B,$B1136,$C:$C,$C1136,$H:$H,$H1136,$I:$I,$I1136)</f>
        <v>0.11</v>
      </c>
      <c r="AB1136" s="108">
        <f>VLOOKUP(I1136,'Weights and Confidence'!$D$16:$AC$26,9,FALSE)</f>
        <v>0.11</v>
      </c>
      <c r="AC1136" s="147">
        <f>VLOOKUP(I1136,'Weights and Confidence'!$D$16:$AC$26,10,FALSE)</f>
        <v>1</v>
      </c>
    </row>
    <row r="1137" spans="1:33" x14ac:dyDescent="0.2">
      <c r="A1137" s="34" t="s">
        <v>185</v>
      </c>
      <c r="B1137" s="34" t="s">
        <v>187</v>
      </c>
      <c r="C1137" s="34" t="s">
        <v>44</v>
      </c>
      <c r="D1137" s="34" t="s">
        <v>5</v>
      </c>
      <c r="E1137" s="34" t="s">
        <v>103</v>
      </c>
      <c r="F1137" s="50" t="s">
        <v>45</v>
      </c>
      <c r="G1137" s="34">
        <v>5</v>
      </c>
      <c r="H1137" s="34" t="s">
        <v>18</v>
      </c>
      <c r="I1137" s="34" t="s">
        <v>23</v>
      </c>
      <c r="J1137" s="34">
        <v>1</v>
      </c>
      <c r="K1137" s="35">
        <f>AB1137/COUNTIFS($B:$B,$B1137,$C:$C,$C1137,$H:$H,$H1137,$I:$I,$I1137)</f>
        <v>0.11</v>
      </c>
      <c r="L1137" s="36">
        <f t="shared" si="67"/>
        <v>1</v>
      </c>
      <c r="M1137" s="37">
        <f t="shared" si="69"/>
        <v>0.11</v>
      </c>
      <c r="N1137" s="17"/>
      <c r="AA1137" s="146">
        <f>AB1137/COUNTIFS($B:$B,$B1137,$C:$C,$C1137,$H:$H,$H1137,$I:$I,$I1137)</f>
        <v>0.11</v>
      </c>
      <c r="AB1137" s="108">
        <f>VLOOKUP(I1137,'Weights and Confidence'!$D$16:$AC$26,9,FALSE)</f>
        <v>0.11</v>
      </c>
      <c r="AC1137" s="147">
        <f>VLOOKUP(I1137,'Weights and Confidence'!$D$16:$AC$26,10,FALSE)</f>
        <v>1</v>
      </c>
    </row>
    <row r="1138" spans="1:33" x14ac:dyDescent="0.2">
      <c r="A1138" s="38" t="s">
        <v>185</v>
      </c>
      <c r="B1138" s="38" t="s">
        <v>187</v>
      </c>
      <c r="C1138" s="38" t="s">
        <v>44</v>
      </c>
      <c r="D1138" s="38" t="s">
        <v>5</v>
      </c>
      <c r="E1138" s="38" t="s">
        <v>103</v>
      </c>
      <c r="F1138" s="51" t="s">
        <v>45</v>
      </c>
      <c r="G1138" s="38">
        <v>6</v>
      </c>
      <c r="H1138" s="38" t="s">
        <v>17</v>
      </c>
      <c r="I1138" s="38" t="s">
        <v>24</v>
      </c>
      <c r="J1138" s="38">
        <v>0</v>
      </c>
      <c r="K1138" s="39">
        <f>AB1138/COUNTIFS($B:$B,$B1138,$C:$C,$C1138,$H:$H,$H1138,$I:$I,$I1138)</f>
        <v>0.15</v>
      </c>
      <c r="L1138" s="40">
        <f t="shared" si="67"/>
        <v>1</v>
      </c>
      <c r="M1138" s="41">
        <f t="shared" si="69"/>
        <v>0</v>
      </c>
      <c r="N1138" s="59"/>
      <c r="AA1138" s="146">
        <f>AB1138/COUNTIFS($B:$B,$B1138,$C:$C,$C1138,$H:$H,$H1138,$I:$I,$I1138)</f>
        <v>0.15</v>
      </c>
      <c r="AB1138" s="108">
        <f>VLOOKUP(I1138,'Weights and Confidence'!$D$16:$AC$26,9,FALSE)</f>
        <v>0.15</v>
      </c>
      <c r="AC1138" s="147">
        <f>VLOOKUP(I1138,'Weights and Confidence'!$D$16:$AC$26,10,FALSE)</f>
        <v>1</v>
      </c>
    </row>
    <row r="1139" spans="1:33" x14ac:dyDescent="0.2">
      <c r="A1139" s="34" t="s">
        <v>185</v>
      </c>
      <c r="B1139" s="34" t="s">
        <v>187</v>
      </c>
      <c r="C1139" s="34" t="s">
        <v>44</v>
      </c>
      <c r="D1139" s="34" t="s">
        <v>5</v>
      </c>
      <c r="E1139" s="34" t="s">
        <v>103</v>
      </c>
      <c r="F1139" s="50" t="s">
        <v>45</v>
      </c>
      <c r="G1139" s="34">
        <v>6</v>
      </c>
      <c r="H1139" s="34" t="s">
        <v>18</v>
      </c>
      <c r="I1139" s="34" t="s">
        <v>24</v>
      </c>
      <c r="J1139" s="34">
        <v>1</v>
      </c>
      <c r="K1139" s="35">
        <f>AB1139/COUNTIFS($B:$B,$B1139,$C:$C,$C1139,$H:$H,$H1139,$I:$I,$I1139)</f>
        <v>0.15</v>
      </c>
      <c r="L1139" s="36">
        <f t="shared" si="67"/>
        <v>1</v>
      </c>
      <c r="M1139" s="37">
        <f t="shared" si="69"/>
        <v>0.15</v>
      </c>
      <c r="N1139" s="17"/>
      <c r="AA1139" s="146">
        <f>AB1139/COUNTIFS($B:$B,$B1139,$C:$C,$C1139,$H:$H,$H1139,$I:$I,$I1139)</f>
        <v>0.15</v>
      </c>
      <c r="AB1139" s="108">
        <f>VLOOKUP(I1139,'Weights and Confidence'!$D$16:$AC$26,9,FALSE)</f>
        <v>0.15</v>
      </c>
      <c r="AC1139" s="147">
        <f>VLOOKUP(I1139,'Weights and Confidence'!$D$16:$AC$26,10,FALSE)</f>
        <v>1</v>
      </c>
    </row>
    <row r="1140" spans="1:33" x14ac:dyDescent="0.2">
      <c r="A1140" s="38" t="s">
        <v>185</v>
      </c>
      <c r="B1140" s="38" t="s">
        <v>187</v>
      </c>
      <c r="C1140" s="38" t="s">
        <v>44</v>
      </c>
      <c r="D1140" s="38" t="s">
        <v>5</v>
      </c>
      <c r="E1140" s="38" t="s">
        <v>103</v>
      </c>
      <c r="F1140" s="51" t="s">
        <v>45</v>
      </c>
      <c r="G1140" s="38">
        <v>7</v>
      </c>
      <c r="H1140" s="38" t="s">
        <v>17</v>
      </c>
      <c r="I1140" s="38" t="s">
        <v>25</v>
      </c>
      <c r="J1140" s="38">
        <v>0</v>
      </c>
      <c r="K1140" s="39">
        <f>AB1140/COUNTIFS($B:$B,$B1140,$C:$C,$C1140,$H:$H,$H1140,$I:$I,$I1140)</f>
        <v>0.1</v>
      </c>
      <c r="L1140" s="40">
        <f t="shared" si="67"/>
        <v>1</v>
      </c>
      <c r="M1140" s="41">
        <f t="shared" si="69"/>
        <v>0</v>
      </c>
      <c r="N1140" s="38"/>
      <c r="AA1140" s="146">
        <f>AB1140/COUNTIFS($B:$B,$B1140,$C:$C,$C1140,$H:$H,$H1140,$I:$I,$I1140)</f>
        <v>0.1</v>
      </c>
      <c r="AB1140" s="108">
        <f>VLOOKUP(I1140,'Weights and Confidence'!$D$16:$AC$26,9,FALSE)</f>
        <v>0.1</v>
      </c>
      <c r="AC1140" s="147">
        <f>VLOOKUP(I1140,'Weights and Confidence'!$D$16:$AC$26,10,FALSE)</f>
        <v>1</v>
      </c>
    </row>
    <row r="1141" spans="1:33" x14ac:dyDescent="0.2">
      <c r="A1141" s="34" t="s">
        <v>185</v>
      </c>
      <c r="B1141" s="34" t="s">
        <v>187</v>
      </c>
      <c r="C1141" s="34" t="s">
        <v>44</v>
      </c>
      <c r="D1141" s="34" t="s">
        <v>5</v>
      </c>
      <c r="E1141" s="34" t="s">
        <v>103</v>
      </c>
      <c r="F1141" s="50" t="s">
        <v>45</v>
      </c>
      <c r="G1141" s="34">
        <v>7</v>
      </c>
      <c r="H1141" s="34" t="s">
        <v>18</v>
      </c>
      <c r="I1141" s="34" t="s">
        <v>25</v>
      </c>
      <c r="J1141" s="34">
        <v>1</v>
      </c>
      <c r="K1141" s="35">
        <f>AB1141/COUNTIFS($B:$B,$B1141,$C:$C,$C1141,$H:$H,$H1141,$I:$I,$I1141)</f>
        <v>0.1</v>
      </c>
      <c r="L1141" s="36">
        <f t="shared" si="67"/>
        <v>1</v>
      </c>
      <c r="M1141" s="37">
        <f t="shared" si="69"/>
        <v>0.1</v>
      </c>
      <c r="N1141" s="17" t="s">
        <v>374</v>
      </c>
      <c r="AA1141" s="146">
        <f>AB1141/COUNTIFS($B:$B,$B1141,$C:$C,$C1141,$H:$H,$H1141,$I:$I,$I1141)</f>
        <v>0.1</v>
      </c>
      <c r="AB1141" s="108">
        <f>VLOOKUP(I1141,'Weights and Confidence'!$D$16:$AC$26,9,FALSE)</f>
        <v>0.1</v>
      </c>
      <c r="AC1141" s="147">
        <f>VLOOKUP(I1141,'Weights and Confidence'!$D$16:$AC$26,10,FALSE)</f>
        <v>1</v>
      </c>
    </row>
    <row r="1142" spans="1:33" x14ac:dyDescent="0.2">
      <c r="A1142" s="38" t="s">
        <v>185</v>
      </c>
      <c r="B1142" s="38" t="s">
        <v>187</v>
      </c>
      <c r="C1142" s="38" t="s">
        <v>44</v>
      </c>
      <c r="D1142" s="38" t="s">
        <v>5</v>
      </c>
      <c r="E1142" s="38" t="s">
        <v>103</v>
      </c>
      <c r="F1142" s="51" t="s">
        <v>45</v>
      </c>
      <c r="G1142" s="38">
        <v>8</v>
      </c>
      <c r="H1142" s="38" t="s">
        <v>17</v>
      </c>
      <c r="I1142" s="38" t="s">
        <v>26</v>
      </c>
      <c r="J1142" s="38">
        <v>0</v>
      </c>
      <c r="K1142" s="39">
        <f>AB1142/COUNTIFS($B:$B,$B1142,$C:$C,$C1142,$H:$H,$H1142,$I:$I,$I1142)</f>
        <v>0.1</v>
      </c>
      <c r="L1142" s="40">
        <f t="shared" si="67"/>
        <v>1</v>
      </c>
      <c r="M1142" s="41">
        <f t="shared" si="69"/>
        <v>0</v>
      </c>
      <c r="N1142" s="38"/>
      <c r="AA1142" s="146">
        <f>AB1142/COUNTIFS($B:$B,$B1142,$C:$C,$C1142,$H:$H,$H1142,$I:$I,$I1142)</f>
        <v>0.1</v>
      </c>
      <c r="AB1142" s="108">
        <f>VLOOKUP(I1142,'Weights and Confidence'!$D$16:$AC$26,9,FALSE)</f>
        <v>0.1</v>
      </c>
      <c r="AC1142" s="147">
        <f>VLOOKUP(I1142,'Weights and Confidence'!$D$16:$AC$26,10,FALSE)</f>
        <v>1</v>
      </c>
      <c r="AG1142" t="str">
        <f>CONCATENATE(P1130,P1131)</f>
        <v>Missed the physical models. Its been an inherent part of the process. Also now that physical models were absent, I wishthere were more drawings at enlarged scales of the details and wall sections, since the students had time.May be 3D</v>
      </c>
    </row>
    <row r="1143" spans="1:33" x14ac:dyDescent="0.2">
      <c r="A1143" s="34" t="s">
        <v>185</v>
      </c>
      <c r="B1143" s="34" t="s">
        <v>187</v>
      </c>
      <c r="C1143" s="34" t="s">
        <v>44</v>
      </c>
      <c r="D1143" s="34" t="s">
        <v>5</v>
      </c>
      <c r="E1143" s="34" t="s">
        <v>103</v>
      </c>
      <c r="F1143" s="50" t="s">
        <v>45</v>
      </c>
      <c r="G1143" s="34">
        <v>8</v>
      </c>
      <c r="H1143" s="34" t="s">
        <v>18</v>
      </c>
      <c r="I1143" s="34" t="s">
        <v>26</v>
      </c>
      <c r="J1143" s="34">
        <v>1</v>
      </c>
      <c r="K1143" s="35">
        <f>AB1143/COUNTIFS($B:$B,$B1143,$C:$C,$C1143,$H:$H,$H1143,$I:$I,$I1143)</f>
        <v>0.1</v>
      </c>
      <c r="L1143" s="36">
        <f t="shared" si="67"/>
        <v>1</v>
      </c>
      <c r="M1143" s="37">
        <f t="shared" si="69"/>
        <v>0.1</v>
      </c>
      <c r="N1143" s="58"/>
      <c r="AA1143" s="146">
        <f>AB1143/COUNTIFS($B:$B,$B1143,$C:$C,$C1143,$H:$H,$H1143,$I:$I,$I1143)</f>
        <v>0.1</v>
      </c>
      <c r="AB1143" s="108">
        <f>VLOOKUP(I1143,'Weights and Confidence'!$D$16:$AC$26,9,FALSE)</f>
        <v>0.1</v>
      </c>
      <c r="AC1143" s="147">
        <f>VLOOKUP(I1143,'Weights and Confidence'!$D$16:$AC$26,10,FALSE)</f>
        <v>1</v>
      </c>
    </row>
    <row r="1144" spans="1:33" x14ac:dyDescent="0.2">
      <c r="A1144" s="38" t="s">
        <v>185</v>
      </c>
      <c r="B1144" s="38" t="s">
        <v>187</v>
      </c>
      <c r="C1144" s="38" t="s">
        <v>44</v>
      </c>
      <c r="D1144" s="38" t="s">
        <v>5</v>
      </c>
      <c r="E1144" s="38" t="s">
        <v>103</v>
      </c>
      <c r="F1144" s="51" t="s">
        <v>45</v>
      </c>
      <c r="G1144" s="38">
        <v>9</v>
      </c>
      <c r="H1144" s="38" t="s">
        <v>17</v>
      </c>
      <c r="I1144" s="38" t="s">
        <v>27</v>
      </c>
      <c r="J1144" s="38"/>
      <c r="K1144" s="39">
        <f>AB1144/COUNTIFS($B:$B,$B1144,$C:$C,$C1144,$H:$H,$H1144,$I:$I,$I1144)</f>
        <v>0.05</v>
      </c>
      <c r="L1144" s="40">
        <f t="shared" si="67"/>
        <v>0.85</v>
      </c>
      <c r="M1144" s="41">
        <f t="shared" si="69"/>
        <v>0</v>
      </c>
      <c r="N1144" s="38"/>
      <c r="AA1144" s="146">
        <f>AB1144/COUNTIFS($B:$B,$B1144,$C:$C,$C1144,$H:$H,$H1144,$I:$I,$I1144)</f>
        <v>0.05</v>
      </c>
      <c r="AB1144" s="108">
        <f>VLOOKUP(I1144,'Weights and Confidence'!$D$16:$AC$26,9,FALSE)</f>
        <v>0.1</v>
      </c>
      <c r="AC1144" s="147">
        <f>VLOOKUP(I1144,'Weights and Confidence'!$D$16:$AC$26,10,FALSE)</f>
        <v>0.85</v>
      </c>
    </row>
    <row r="1145" spans="1:33" x14ac:dyDescent="0.2">
      <c r="A1145" s="34" t="s">
        <v>185</v>
      </c>
      <c r="B1145" s="34" t="s">
        <v>187</v>
      </c>
      <c r="C1145" s="34" t="s">
        <v>44</v>
      </c>
      <c r="D1145" s="34" t="s">
        <v>5</v>
      </c>
      <c r="E1145" s="34" t="s">
        <v>103</v>
      </c>
      <c r="F1145" s="50" t="s">
        <v>45</v>
      </c>
      <c r="G1145" s="34">
        <v>9</v>
      </c>
      <c r="H1145" s="34" t="s">
        <v>18</v>
      </c>
      <c r="I1145" s="34" t="s">
        <v>27</v>
      </c>
      <c r="J1145" s="34"/>
      <c r="K1145" s="35">
        <f>AB1145/COUNTIFS($B:$B,$B1145,$C:$C,$C1145,$H:$H,$H1145,$I:$I,$I1145)</f>
        <v>0.05</v>
      </c>
      <c r="L1145" s="36">
        <f t="shared" si="67"/>
        <v>0.85</v>
      </c>
      <c r="M1145" s="37">
        <f t="shared" si="69"/>
        <v>0</v>
      </c>
      <c r="N1145" s="58"/>
      <c r="AA1145" s="146">
        <f>AB1145/COUNTIFS($B:$B,$B1145,$C:$C,$C1145,$H:$H,$H1145,$I:$I,$I1145)</f>
        <v>0.05</v>
      </c>
      <c r="AB1145" s="108">
        <f>VLOOKUP(I1145,'Weights and Confidence'!$D$16:$AC$26,9,FALSE)</f>
        <v>0.1</v>
      </c>
      <c r="AC1145" s="147">
        <f>VLOOKUP(I1145,'Weights and Confidence'!$D$16:$AC$26,10,FALSE)</f>
        <v>0.85</v>
      </c>
      <c r="AG1145" t="str" cm="1">
        <f t="array" ref="AG1145:AG1151">CONCATENATE((P1130:P1136))</f>
        <v>Missed the physical models. Its been an inherent part of the process. Also now that physical models were absent, I wish</v>
      </c>
    </row>
    <row r="1146" spans="1:33" x14ac:dyDescent="0.2">
      <c r="A1146" s="38" t="s">
        <v>185</v>
      </c>
      <c r="B1146" s="38" t="s">
        <v>187</v>
      </c>
      <c r="C1146" s="38" t="s">
        <v>44</v>
      </c>
      <c r="D1146" s="38" t="s">
        <v>5</v>
      </c>
      <c r="E1146" s="38" t="s">
        <v>103</v>
      </c>
      <c r="F1146" s="51" t="s">
        <v>45</v>
      </c>
      <c r="G1146" s="38">
        <v>10</v>
      </c>
      <c r="H1146" s="38" t="s">
        <v>17</v>
      </c>
      <c r="I1146" s="38" t="s">
        <v>27</v>
      </c>
      <c r="J1146" s="38"/>
      <c r="K1146" s="39">
        <f>AB1146/COUNTIFS($B:$B,$B1146,$C:$C,$C1146,$H:$H,$H1146,$I:$I,$I1146)</f>
        <v>0.05</v>
      </c>
      <c r="L1146" s="40">
        <f t="shared" si="67"/>
        <v>0.85</v>
      </c>
      <c r="M1146" s="41">
        <f t="shared" si="69"/>
        <v>0</v>
      </c>
      <c r="N1146" s="38"/>
      <c r="AA1146" s="146">
        <f>AB1146/COUNTIFS($B:$B,$B1146,$C:$C,$C1146,$H:$H,$H1146,$I:$I,$I1146)</f>
        <v>0.05</v>
      </c>
      <c r="AB1146" s="108">
        <f>VLOOKUP(I1146,'Weights and Confidence'!$D$16:$AC$26,9,FALSE)</f>
        <v>0.1</v>
      </c>
      <c r="AC1146" s="147">
        <f>VLOOKUP(I1146,'Weights and Confidence'!$D$16:$AC$26,10,FALSE)</f>
        <v>0.85</v>
      </c>
      <c r="AG1146" t="str">
        <v>there were more drawings at enlarged scales of the details and wall sections, since the students had time.May be 3D</v>
      </c>
    </row>
    <row r="1147" spans="1:33" x14ac:dyDescent="0.2">
      <c r="A1147" s="34" t="s">
        <v>185</v>
      </c>
      <c r="B1147" s="34" t="s">
        <v>187</v>
      </c>
      <c r="C1147" s="34" t="s">
        <v>44</v>
      </c>
      <c r="D1147" s="34" t="s">
        <v>5</v>
      </c>
      <c r="E1147" s="34" t="s">
        <v>103</v>
      </c>
      <c r="F1147" s="50" t="s">
        <v>45</v>
      </c>
      <c r="G1147" s="34">
        <v>10</v>
      </c>
      <c r="H1147" s="34" t="s">
        <v>18</v>
      </c>
      <c r="I1147" s="34" t="s">
        <v>27</v>
      </c>
      <c r="J1147" s="34"/>
      <c r="K1147" s="35">
        <f>AB1147/COUNTIFS($B:$B,$B1147,$C:$C,$C1147,$H:$H,$H1147,$I:$I,$I1147)</f>
        <v>0.05</v>
      </c>
      <c r="L1147" s="36">
        <f t="shared" si="67"/>
        <v>0.85</v>
      </c>
      <c r="M1147" s="37">
        <f t="shared" si="69"/>
        <v>0</v>
      </c>
      <c r="N1147" s="58"/>
      <c r="AA1147" s="146">
        <f>AB1147/COUNTIFS($B:$B,$B1147,$C:$C,$C1147,$H:$H,$H1147,$I:$I,$I1147)</f>
        <v>0.05</v>
      </c>
      <c r="AB1147" s="108">
        <f>VLOOKUP(I1147,'Weights and Confidence'!$D$16:$AC$26,9,FALSE)</f>
        <v>0.1</v>
      </c>
      <c r="AC1147" s="147">
        <f>VLOOKUP(I1147,'Weights and Confidence'!$D$16:$AC$26,10,FALSE)</f>
        <v>0.85</v>
      </c>
      <c r="AG1147" t="str">
        <v>printer is the call of the day, 3 D printers are not so expensive and affordable..</v>
      </c>
    </row>
    <row r="1148" spans="1:33" x14ac:dyDescent="0.2">
      <c r="A1148" s="38" t="s">
        <v>185</v>
      </c>
      <c r="B1148" s="38" t="s">
        <v>187</v>
      </c>
      <c r="C1148" s="38" t="s">
        <v>44</v>
      </c>
      <c r="D1148" s="38" t="s">
        <v>5</v>
      </c>
      <c r="E1148" s="38" t="s">
        <v>103</v>
      </c>
      <c r="F1148" s="51" t="s">
        <v>45</v>
      </c>
      <c r="G1148" s="38">
        <v>11</v>
      </c>
      <c r="H1148" s="38" t="s">
        <v>17</v>
      </c>
      <c r="I1148" s="38" t="s">
        <v>28</v>
      </c>
      <c r="J1148" s="38">
        <v>0</v>
      </c>
      <c r="K1148" s="39">
        <f>AB1148/COUNTIFS($B:$B,$B1148,$C:$C,$C1148,$H:$H,$H1148,$I:$I,$I1148)</f>
        <v>0.05</v>
      </c>
      <c r="L1148" s="40">
        <f t="shared" si="67"/>
        <v>1</v>
      </c>
      <c r="M1148" s="41">
        <f t="shared" si="69"/>
        <v>0</v>
      </c>
      <c r="N1148" s="38"/>
      <c r="AA1148" s="146">
        <f>AB1148/COUNTIFS($B:$B,$B1148,$C:$C,$C1148,$H:$H,$H1148,$I:$I,$I1148)</f>
        <v>0.05</v>
      </c>
      <c r="AB1148" s="108">
        <f>VLOOKUP(I1148,'Weights and Confidence'!$D$16:$AC$26,9,FALSE)</f>
        <v>0.05</v>
      </c>
      <c r="AC1148" s="147">
        <f>VLOOKUP(I1148,'Weights and Confidence'!$D$16:$AC$26,10,FALSE)</f>
        <v>1</v>
      </c>
      <c r="AG1148" t="str">
        <v>Good, interesting, and high volume of work overall. This studio is an improvement over similar studio offered in Nov</v>
      </c>
    </row>
    <row r="1149" spans="1:33" ht="17" thickBot="1" x14ac:dyDescent="0.25">
      <c r="A1149" s="53" t="s">
        <v>185</v>
      </c>
      <c r="B1149" s="53" t="s">
        <v>187</v>
      </c>
      <c r="C1149" s="53" t="s">
        <v>44</v>
      </c>
      <c r="D1149" s="53" t="s">
        <v>5</v>
      </c>
      <c r="E1149" s="53" t="s">
        <v>103</v>
      </c>
      <c r="F1149" s="54" t="s">
        <v>45</v>
      </c>
      <c r="G1149" s="53">
        <v>11</v>
      </c>
      <c r="H1149" s="53" t="s">
        <v>18</v>
      </c>
      <c r="I1149" s="53" t="s">
        <v>28</v>
      </c>
      <c r="J1149" s="53">
        <v>1</v>
      </c>
      <c r="K1149" s="55">
        <f>AB1149/COUNTIFS($B:$B,$B1149,$C:$C,$C1149,$H:$H,$H1149,$I:$I,$I1149)</f>
        <v>0.05</v>
      </c>
      <c r="L1149" s="56">
        <f t="shared" si="67"/>
        <v>1</v>
      </c>
      <c r="M1149" s="57">
        <f t="shared" si="69"/>
        <v>0.05</v>
      </c>
      <c r="N1149" s="22" t="str">
        <f>CONCATENATE(P1130,P1131,P1132,P1133,P1134,P1135,P1136)</f>
        <v>Missed the physical models. Its been an inherent part of the process. Also now that physical models were absent, I wishthere were more drawings at enlarged scales of the details and wall sections, since the students had time.May be 3Dprinter is the call of the day, 3 D printers are not so expensive and affordable..Good, interesting, and high volume of work overall. This studio is an improvement over similar studio offered in Nov2019 since working drawings &amp; detailing were preceded by a complete and very involved process of design. Onlydrawback, if at all, was that all Art Museum floor plans seemed to be quite similar..Much better than earlier</v>
      </c>
      <c r="AA1149" s="140">
        <f>AB1149/COUNTIFS($B:$B,$B1149,$C:$C,$C1149,$H:$H,$H1149,$I:$I,$I1149)</f>
        <v>0.05</v>
      </c>
      <c r="AB1149" s="141">
        <f>VLOOKUP(I1149,'Weights and Confidence'!$D$16:$AC$26,9,FALSE)</f>
        <v>0.05</v>
      </c>
      <c r="AC1149" s="142">
        <f>VLOOKUP(I1149,'Weights and Confidence'!$D$16:$AC$26,10,FALSE)</f>
        <v>1</v>
      </c>
      <c r="AG1149" t="str">
        <v>2019 since working drawings &amp; detailing were preceded by a complete and very involved process of design. Only</v>
      </c>
    </row>
    <row r="1150" spans="1:33" ht="17" thickTop="1" x14ac:dyDescent="0.2">
      <c r="A1150" s="64" t="s">
        <v>185</v>
      </c>
      <c r="B1150" s="64" t="s">
        <v>187</v>
      </c>
      <c r="C1150" s="64" t="s">
        <v>47</v>
      </c>
      <c r="D1150" s="64" t="s">
        <v>5</v>
      </c>
      <c r="E1150" s="64" t="s">
        <v>679</v>
      </c>
      <c r="F1150" s="18" t="s">
        <v>373</v>
      </c>
      <c r="G1150" s="64">
        <v>1</v>
      </c>
      <c r="H1150" s="64" t="s">
        <v>17</v>
      </c>
      <c r="I1150" s="64" t="s">
        <v>19</v>
      </c>
      <c r="J1150" s="64">
        <v>1</v>
      </c>
      <c r="K1150" s="65">
        <f>AB1150/COUNTIFS($B:$B,$B1150,$C:$C,$C1150,$H:$H,$H1150,$I:$I,$I1150)</f>
        <v>0.12</v>
      </c>
      <c r="L1150" s="66">
        <f t="shared" si="67"/>
        <v>1</v>
      </c>
      <c r="M1150" s="67">
        <f t="shared" ref="M1150:M1171" si="70">J1150*K1150*L1150</f>
        <v>0.12</v>
      </c>
      <c r="N1150" s="64"/>
      <c r="AA1150" s="146">
        <f>AB1150/COUNTIFS($B:$B,$B1150,$C:$C,$C1150,$H:$H,$H1150,$I:$I,$I1150)</f>
        <v>0.12</v>
      </c>
      <c r="AB1150" s="108">
        <f>VLOOKUP(I1150,'Weights and Confidence'!$D$16:$AC$26,9,FALSE)</f>
        <v>0.12</v>
      </c>
      <c r="AC1150" s="147">
        <f>VLOOKUP(I1150,'Weights and Confidence'!$D$16:$AC$26,10,FALSE)</f>
        <v>1</v>
      </c>
      <c r="AG1150" t="str">
        <v>drawback, if at all, was that all Art Museum floor plans seemed to be quite similar..</v>
      </c>
    </row>
    <row r="1151" spans="1:33" ht="17" thickBot="1" x14ac:dyDescent="0.25">
      <c r="A1151" s="34" t="s">
        <v>185</v>
      </c>
      <c r="B1151" s="34" t="s">
        <v>187</v>
      </c>
      <c r="C1151" s="34" t="s">
        <v>47</v>
      </c>
      <c r="D1151" s="34" t="s">
        <v>5</v>
      </c>
      <c r="E1151" s="34" t="s">
        <v>679</v>
      </c>
      <c r="F1151" s="50" t="s">
        <v>373</v>
      </c>
      <c r="G1151" s="34">
        <v>1</v>
      </c>
      <c r="H1151" s="34" t="s">
        <v>18</v>
      </c>
      <c r="I1151" s="34" t="s">
        <v>19</v>
      </c>
      <c r="J1151" s="34">
        <v>1</v>
      </c>
      <c r="K1151" s="35">
        <f>AB1151/COUNTIFS($B:$B,$B1151,$C:$C,$C1151,$H:$H,$H1151,$I:$I,$I1151)</f>
        <v>0.12</v>
      </c>
      <c r="L1151" s="36">
        <f t="shared" si="67"/>
        <v>1</v>
      </c>
      <c r="M1151" s="37">
        <f t="shared" si="70"/>
        <v>0.12</v>
      </c>
      <c r="N1151" s="17"/>
      <c r="AA1151" s="146">
        <f>AB1151/COUNTIFS($B:$B,$B1151,$C:$C,$C1151,$H:$H,$H1151,$I:$I,$I1151)</f>
        <v>0.12</v>
      </c>
      <c r="AB1151" s="108">
        <f>VLOOKUP(I1151,'Weights and Confidence'!$D$16:$AC$26,9,FALSE)</f>
        <v>0.12</v>
      </c>
      <c r="AC1151" s="147">
        <f>VLOOKUP(I1151,'Weights and Confidence'!$D$16:$AC$26,10,FALSE)</f>
        <v>1</v>
      </c>
      <c r="AG1151" t="str">
        <v>Much better than earlier</v>
      </c>
    </row>
    <row r="1152" spans="1:33" x14ac:dyDescent="0.2">
      <c r="A1152" s="38" t="s">
        <v>185</v>
      </c>
      <c r="B1152" s="38" t="s">
        <v>187</v>
      </c>
      <c r="C1152" s="38" t="s">
        <v>47</v>
      </c>
      <c r="D1152" s="38" t="s">
        <v>5</v>
      </c>
      <c r="E1152" s="38" t="s">
        <v>679</v>
      </c>
      <c r="F1152" s="51" t="s">
        <v>373</v>
      </c>
      <c r="G1152" s="38">
        <v>2</v>
      </c>
      <c r="H1152" s="38" t="s">
        <v>17</v>
      </c>
      <c r="I1152" s="38" t="s">
        <v>20</v>
      </c>
      <c r="J1152" s="38">
        <v>1</v>
      </c>
      <c r="K1152" s="39">
        <f>AB1152/COUNTIFS($B:$B,$B1152,$C:$C,$C1152,$H:$H,$H1152,$I:$I,$I1152)</f>
        <v>0.08</v>
      </c>
      <c r="L1152" s="40">
        <f t="shared" si="67"/>
        <v>0.8</v>
      </c>
      <c r="M1152" s="41">
        <f t="shared" si="70"/>
        <v>6.4000000000000001E-2</v>
      </c>
      <c r="N1152" s="38"/>
      <c r="P1152" s="24" t="s">
        <v>370</v>
      </c>
      <c r="Q1152" s="10"/>
      <c r="R1152" s="10"/>
      <c r="S1152" s="10"/>
      <c r="T1152" s="10"/>
      <c r="U1152" s="10"/>
      <c r="V1152" s="10"/>
      <c r="AA1152" s="146">
        <f>AB1152/COUNTIFS($B:$B,$B1152,$C:$C,$C1152,$H:$H,$H1152,$I:$I,$I1152)</f>
        <v>0.08</v>
      </c>
      <c r="AB1152" s="108">
        <f>VLOOKUP(I1152,'Weights and Confidence'!$D$16:$AC$26,9,FALSE)</f>
        <v>0.08</v>
      </c>
      <c r="AC1152" s="147">
        <f>VLOOKUP(I1152,'Weights and Confidence'!$D$16:$AC$26,10,FALSE)</f>
        <v>0.8</v>
      </c>
    </row>
    <row r="1153" spans="1:29" x14ac:dyDescent="0.2">
      <c r="A1153" s="34" t="s">
        <v>185</v>
      </c>
      <c r="B1153" s="34" t="s">
        <v>187</v>
      </c>
      <c r="C1153" s="34" t="s">
        <v>47</v>
      </c>
      <c r="D1153" s="34" t="s">
        <v>5</v>
      </c>
      <c r="E1153" s="34" t="s">
        <v>679</v>
      </c>
      <c r="F1153" s="50" t="s">
        <v>373</v>
      </c>
      <c r="G1153" s="34">
        <v>2</v>
      </c>
      <c r="H1153" s="34" t="s">
        <v>18</v>
      </c>
      <c r="I1153" s="34" t="s">
        <v>20</v>
      </c>
      <c r="J1153" s="34">
        <v>1</v>
      </c>
      <c r="K1153" s="35">
        <f>AB1153/COUNTIFS($B:$B,$B1153,$C:$C,$C1153,$H:$H,$H1153,$I:$I,$I1153)</f>
        <v>0.08</v>
      </c>
      <c r="L1153" s="36">
        <f t="shared" si="67"/>
        <v>0.8</v>
      </c>
      <c r="M1153" s="37">
        <f t="shared" si="70"/>
        <v>6.4000000000000001E-2</v>
      </c>
      <c r="N1153" s="58"/>
      <c r="P1153" s="25" t="s">
        <v>371</v>
      </c>
      <c r="Q1153" s="75"/>
      <c r="R1153" s="75"/>
      <c r="S1153" s="75"/>
      <c r="T1153" s="75"/>
      <c r="U1153" s="75"/>
      <c r="V1153" s="75"/>
      <c r="AA1153" s="146">
        <f>AB1153/COUNTIFS($B:$B,$B1153,$C:$C,$C1153,$H:$H,$H1153,$I:$I,$I1153)</f>
        <v>0.08</v>
      </c>
      <c r="AB1153" s="108">
        <f>VLOOKUP(I1153,'Weights and Confidence'!$D$16:$AC$26,9,FALSE)</f>
        <v>0.08</v>
      </c>
      <c r="AC1153" s="147">
        <f>VLOOKUP(I1153,'Weights and Confidence'!$D$16:$AC$26,10,FALSE)</f>
        <v>0.8</v>
      </c>
    </row>
    <row r="1154" spans="1:29" ht="17" thickBot="1" x14ac:dyDescent="0.25">
      <c r="A1154" s="38" t="s">
        <v>185</v>
      </c>
      <c r="B1154" s="38" t="s">
        <v>187</v>
      </c>
      <c r="C1154" s="38" t="s">
        <v>47</v>
      </c>
      <c r="D1154" s="38" t="s">
        <v>5</v>
      </c>
      <c r="E1154" s="38" t="s">
        <v>679</v>
      </c>
      <c r="F1154" s="51" t="s">
        <v>373</v>
      </c>
      <c r="G1154" s="38">
        <v>3</v>
      </c>
      <c r="H1154" s="38" t="s">
        <v>17</v>
      </c>
      <c r="I1154" s="38" t="s">
        <v>21</v>
      </c>
      <c r="J1154" s="38">
        <v>1</v>
      </c>
      <c r="K1154" s="39">
        <f>AB1154/COUNTIFS($B:$B,$B1154,$C:$C,$C1154,$H:$H,$H1154,$I:$I,$I1154)</f>
        <v>0.05</v>
      </c>
      <c r="L1154" s="40">
        <f t="shared" si="67"/>
        <v>1</v>
      </c>
      <c r="M1154" s="41">
        <f t="shared" si="70"/>
        <v>0.05</v>
      </c>
      <c r="N1154" s="38"/>
      <c r="P1154" s="26" t="s">
        <v>372</v>
      </c>
      <c r="Q1154" s="2"/>
      <c r="R1154" s="2"/>
      <c r="S1154" s="2"/>
      <c r="T1154" s="2"/>
      <c r="U1154" s="2"/>
      <c r="V1154" s="2"/>
      <c r="AA1154" s="146">
        <f>AB1154/COUNTIFS($B:$B,$B1154,$C:$C,$C1154,$H:$H,$H1154,$I:$I,$I1154)</f>
        <v>0.05</v>
      </c>
      <c r="AB1154" s="108">
        <f>VLOOKUP(I1154,'Weights and Confidence'!$D$16:$AC$26,9,FALSE)</f>
        <v>0.05</v>
      </c>
      <c r="AC1154" s="147">
        <f>VLOOKUP(I1154,'Weights and Confidence'!$D$16:$AC$26,10,FALSE)</f>
        <v>1</v>
      </c>
    </row>
    <row r="1155" spans="1:29" x14ac:dyDescent="0.2">
      <c r="A1155" s="34" t="s">
        <v>185</v>
      </c>
      <c r="B1155" s="34" t="s">
        <v>187</v>
      </c>
      <c r="C1155" s="34" t="s">
        <v>47</v>
      </c>
      <c r="D1155" s="34" t="s">
        <v>5</v>
      </c>
      <c r="E1155" s="34" t="s">
        <v>679</v>
      </c>
      <c r="F1155" s="50" t="s">
        <v>373</v>
      </c>
      <c r="G1155" s="34">
        <v>3</v>
      </c>
      <c r="H1155" s="34" t="s">
        <v>18</v>
      </c>
      <c r="I1155" s="34" t="s">
        <v>21</v>
      </c>
      <c r="J1155" s="34">
        <v>1</v>
      </c>
      <c r="K1155" s="35">
        <f>AB1155/COUNTIFS($B:$B,$B1155,$C:$C,$C1155,$H:$H,$H1155,$I:$I,$I1155)</f>
        <v>0.05</v>
      </c>
      <c r="L1155" s="36">
        <f t="shared" si="67"/>
        <v>1</v>
      </c>
      <c r="M1155" s="37">
        <f t="shared" si="70"/>
        <v>0.05</v>
      </c>
      <c r="N1155" s="17"/>
      <c r="AA1155" s="146">
        <f>AB1155/COUNTIFS($B:$B,$B1155,$C:$C,$C1155,$H:$H,$H1155,$I:$I,$I1155)</f>
        <v>0.05</v>
      </c>
      <c r="AB1155" s="108">
        <f>VLOOKUP(I1155,'Weights and Confidence'!$D$16:$AC$26,9,FALSE)</f>
        <v>0.05</v>
      </c>
      <c r="AC1155" s="147">
        <f>VLOOKUP(I1155,'Weights and Confidence'!$D$16:$AC$26,10,FALSE)</f>
        <v>1</v>
      </c>
    </row>
    <row r="1156" spans="1:29" x14ac:dyDescent="0.2">
      <c r="A1156" s="38" t="s">
        <v>185</v>
      </c>
      <c r="B1156" s="38" t="s">
        <v>187</v>
      </c>
      <c r="C1156" s="38" t="s">
        <v>47</v>
      </c>
      <c r="D1156" s="38" t="s">
        <v>5</v>
      </c>
      <c r="E1156" s="38" t="s">
        <v>679</v>
      </c>
      <c r="F1156" s="51" t="s">
        <v>373</v>
      </c>
      <c r="G1156" s="38">
        <v>4</v>
      </c>
      <c r="H1156" s="38" t="s">
        <v>17</v>
      </c>
      <c r="I1156" s="38" t="s">
        <v>22</v>
      </c>
      <c r="J1156" s="38">
        <v>0</v>
      </c>
      <c r="K1156" s="39">
        <f>AB1156/COUNTIFS($B:$B,$B1156,$C:$C,$C1156,$H:$H,$H1156,$I:$I,$I1156)</f>
        <v>0.14000000000000001</v>
      </c>
      <c r="L1156" s="40">
        <f t="shared" si="67"/>
        <v>1</v>
      </c>
      <c r="M1156" s="41">
        <f t="shared" si="70"/>
        <v>0</v>
      </c>
      <c r="N1156" s="38"/>
      <c r="AA1156" s="146">
        <f>AB1156/COUNTIFS($B:$B,$B1156,$C:$C,$C1156,$H:$H,$H1156,$I:$I,$I1156)</f>
        <v>0.14000000000000001</v>
      </c>
      <c r="AB1156" s="108">
        <f>VLOOKUP(I1156,'Weights and Confidence'!$D$16:$AC$26,9,FALSE)</f>
        <v>0.14000000000000001</v>
      </c>
      <c r="AC1156" s="147">
        <f>VLOOKUP(I1156,'Weights and Confidence'!$D$16:$AC$26,10,FALSE)</f>
        <v>1</v>
      </c>
    </row>
    <row r="1157" spans="1:29" x14ac:dyDescent="0.2">
      <c r="A1157" s="34" t="s">
        <v>185</v>
      </c>
      <c r="B1157" s="34" t="s">
        <v>187</v>
      </c>
      <c r="C1157" s="34" t="s">
        <v>47</v>
      </c>
      <c r="D1157" s="34" t="s">
        <v>5</v>
      </c>
      <c r="E1157" s="34" t="s">
        <v>679</v>
      </c>
      <c r="F1157" s="50" t="s">
        <v>373</v>
      </c>
      <c r="G1157" s="34">
        <v>4</v>
      </c>
      <c r="H1157" s="34" t="s">
        <v>18</v>
      </c>
      <c r="I1157" s="34" t="s">
        <v>22</v>
      </c>
      <c r="J1157" s="34">
        <v>1</v>
      </c>
      <c r="K1157" s="35">
        <f>AB1157/COUNTIFS($B:$B,$B1157,$C:$C,$C1157,$H:$H,$H1157,$I:$I,$I1157)</f>
        <v>0.14000000000000001</v>
      </c>
      <c r="L1157" s="36">
        <f t="shared" si="67"/>
        <v>1</v>
      </c>
      <c r="M1157" s="37">
        <f t="shared" si="70"/>
        <v>0.14000000000000001</v>
      </c>
      <c r="N1157" s="17"/>
      <c r="AA1157" s="146">
        <f>AB1157/COUNTIFS($B:$B,$B1157,$C:$C,$C1157,$H:$H,$H1157,$I:$I,$I1157)</f>
        <v>0.14000000000000001</v>
      </c>
      <c r="AB1157" s="108">
        <f>VLOOKUP(I1157,'Weights and Confidence'!$D$16:$AC$26,9,FALSE)</f>
        <v>0.14000000000000001</v>
      </c>
      <c r="AC1157" s="147">
        <f>VLOOKUP(I1157,'Weights and Confidence'!$D$16:$AC$26,10,FALSE)</f>
        <v>1</v>
      </c>
    </row>
    <row r="1158" spans="1:29" x14ac:dyDescent="0.2">
      <c r="A1158" s="38" t="s">
        <v>185</v>
      </c>
      <c r="B1158" s="38" t="s">
        <v>187</v>
      </c>
      <c r="C1158" s="38" t="s">
        <v>47</v>
      </c>
      <c r="D1158" s="38" t="s">
        <v>5</v>
      </c>
      <c r="E1158" s="38" t="s">
        <v>679</v>
      </c>
      <c r="F1158" s="51" t="s">
        <v>373</v>
      </c>
      <c r="G1158" s="38">
        <v>5</v>
      </c>
      <c r="H1158" s="38" t="s">
        <v>17</v>
      </c>
      <c r="I1158" s="38" t="s">
        <v>23</v>
      </c>
      <c r="J1158" s="38">
        <v>0</v>
      </c>
      <c r="K1158" s="39">
        <f>AB1158/COUNTIFS($B:$B,$B1158,$C:$C,$C1158,$H:$H,$H1158,$I:$I,$I1158)</f>
        <v>0.11</v>
      </c>
      <c r="L1158" s="40">
        <f t="shared" ref="L1158:L1221" si="71">AC1158</f>
        <v>1</v>
      </c>
      <c r="M1158" s="41">
        <f t="shared" si="70"/>
        <v>0</v>
      </c>
      <c r="N1158" s="38"/>
      <c r="AA1158" s="146">
        <f>AB1158/COUNTIFS($B:$B,$B1158,$C:$C,$C1158,$H:$H,$H1158,$I:$I,$I1158)</f>
        <v>0.11</v>
      </c>
      <c r="AB1158" s="108">
        <f>VLOOKUP(I1158,'Weights and Confidence'!$D$16:$AC$26,9,FALSE)</f>
        <v>0.11</v>
      </c>
      <c r="AC1158" s="147">
        <f>VLOOKUP(I1158,'Weights and Confidence'!$D$16:$AC$26,10,FALSE)</f>
        <v>1</v>
      </c>
    </row>
    <row r="1159" spans="1:29" x14ac:dyDescent="0.2">
      <c r="A1159" s="34" t="s">
        <v>185</v>
      </c>
      <c r="B1159" s="34" t="s">
        <v>187</v>
      </c>
      <c r="C1159" s="34" t="s">
        <v>47</v>
      </c>
      <c r="D1159" s="34" t="s">
        <v>5</v>
      </c>
      <c r="E1159" s="34" t="s">
        <v>679</v>
      </c>
      <c r="F1159" s="50" t="s">
        <v>373</v>
      </c>
      <c r="G1159" s="34">
        <v>5</v>
      </c>
      <c r="H1159" s="34" t="s">
        <v>18</v>
      </c>
      <c r="I1159" s="34" t="s">
        <v>23</v>
      </c>
      <c r="J1159" s="34">
        <v>1</v>
      </c>
      <c r="K1159" s="35">
        <f>AB1159/COUNTIFS($B:$B,$B1159,$C:$C,$C1159,$H:$H,$H1159,$I:$I,$I1159)</f>
        <v>0.11</v>
      </c>
      <c r="L1159" s="36">
        <f t="shared" si="71"/>
        <v>1</v>
      </c>
      <c r="M1159" s="37">
        <f t="shared" si="70"/>
        <v>0.11</v>
      </c>
      <c r="N1159" s="17"/>
      <c r="AA1159" s="146">
        <f>AB1159/COUNTIFS($B:$B,$B1159,$C:$C,$C1159,$H:$H,$H1159,$I:$I,$I1159)</f>
        <v>0.11</v>
      </c>
      <c r="AB1159" s="108">
        <f>VLOOKUP(I1159,'Weights and Confidence'!$D$16:$AC$26,9,FALSE)</f>
        <v>0.11</v>
      </c>
      <c r="AC1159" s="147">
        <f>VLOOKUP(I1159,'Weights and Confidence'!$D$16:$AC$26,10,FALSE)</f>
        <v>1</v>
      </c>
    </row>
    <row r="1160" spans="1:29" x14ac:dyDescent="0.2">
      <c r="A1160" s="38" t="s">
        <v>185</v>
      </c>
      <c r="B1160" s="38" t="s">
        <v>187</v>
      </c>
      <c r="C1160" s="38" t="s">
        <v>47</v>
      </c>
      <c r="D1160" s="38" t="s">
        <v>5</v>
      </c>
      <c r="E1160" s="38" t="s">
        <v>679</v>
      </c>
      <c r="F1160" s="51" t="s">
        <v>373</v>
      </c>
      <c r="G1160" s="38">
        <v>6</v>
      </c>
      <c r="H1160" s="38" t="s">
        <v>17</v>
      </c>
      <c r="I1160" s="38" t="s">
        <v>24</v>
      </c>
      <c r="J1160" s="38">
        <v>0</v>
      </c>
      <c r="K1160" s="39">
        <f>AB1160/COUNTIFS($B:$B,$B1160,$C:$C,$C1160,$H:$H,$H1160,$I:$I,$I1160)</f>
        <v>0.15</v>
      </c>
      <c r="L1160" s="40">
        <f t="shared" si="71"/>
        <v>1</v>
      </c>
      <c r="M1160" s="41">
        <f t="shared" si="70"/>
        <v>0</v>
      </c>
      <c r="N1160" s="59"/>
      <c r="AA1160" s="146">
        <f>AB1160/COUNTIFS($B:$B,$B1160,$C:$C,$C1160,$H:$H,$H1160,$I:$I,$I1160)</f>
        <v>0.15</v>
      </c>
      <c r="AB1160" s="108">
        <f>VLOOKUP(I1160,'Weights and Confidence'!$D$16:$AC$26,9,FALSE)</f>
        <v>0.15</v>
      </c>
      <c r="AC1160" s="147">
        <f>VLOOKUP(I1160,'Weights and Confidence'!$D$16:$AC$26,10,FALSE)</f>
        <v>1</v>
      </c>
    </row>
    <row r="1161" spans="1:29" x14ac:dyDescent="0.2">
      <c r="A1161" s="34" t="s">
        <v>185</v>
      </c>
      <c r="B1161" s="34" t="s">
        <v>187</v>
      </c>
      <c r="C1161" s="34" t="s">
        <v>47</v>
      </c>
      <c r="D1161" s="34" t="s">
        <v>5</v>
      </c>
      <c r="E1161" s="34" t="s">
        <v>679</v>
      </c>
      <c r="F1161" s="50" t="s">
        <v>373</v>
      </c>
      <c r="G1161" s="34">
        <v>6</v>
      </c>
      <c r="H1161" s="34" t="s">
        <v>18</v>
      </c>
      <c r="I1161" s="34" t="s">
        <v>24</v>
      </c>
      <c r="J1161" s="34">
        <v>1</v>
      </c>
      <c r="K1161" s="35">
        <f>AB1161/COUNTIFS($B:$B,$B1161,$C:$C,$C1161,$H:$H,$H1161,$I:$I,$I1161)</f>
        <v>0.15</v>
      </c>
      <c r="L1161" s="36">
        <f t="shared" si="71"/>
        <v>1</v>
      </c>
      <c r="M1161" s="37">
        <f t="shared" si="70"/>
        <v>0.15</v>
      </c>
      <c r="N1161" s="17"/>
      <c r="AA1161" s="146">
        <f>AB1161/COUNTIFS($B:$B,$B1161,$C:$C,$C1161,$H:$H,$H1161,$I:$I,$I1161)</f>
        <v>0.15</v>
      </c>
      <c r="AB1161" s="108">
        <f>VLOOKUP(I1161,'Weights and Confidence'!$D$16:$AC$26,9,FALSE)</f>
        <v>0.15</v>
      </c>
      <c r="AC1161" s="147">
        <f>VLOOKUP(I1161,'Weights and Confidence'!$D$16:$AC$26,10,FALSE)</f>
        <v>1</v>
      </c>
    </row>
    <row r="1162" spans="1:29" x14ac:dyDescent="0.2">
      <c r="A1162" s="38" t="s">
        <v>185</v>
      </c>
      <c r="B1162" s="38" t="s">
        <v>187</v>
      </c>
      <c r="C1162" s="38" t="s">
        <v>47</v>
      </c>
      <c r="D1162" s="38" t="s">
        <v>5</v>
      </c>
      <c r="E1162" s="38" t="s">
        <v>679</v>
      </c>
      <c r="F1162" s="51" t="s">
        <v>373</v>
      </c>
      <c r="G1162" s="38">
        <v>7</v>
      </c>
      <c r="H1162" s="38" t="s">
        <v>17</v>
      </c>
      <c r="I1162" s="38" t="s">
        <v>25</v>
      </c>
      <c r="J1162" s="38">
        <v>0</v>
      </c>
      <c r="K1162" s="39">
        <f>AB1162/COUNTIFS($B:$B,$B1162,$C:$C,$C1162,$H:$H,$H1162,$I:$I,$I1162)</f>
        <v>0.1</v>
      </c>
      <c r="L1162" s="40">
        <f t="shared" si="71"/>
        <v>1</v>
      </c>
      <c r="M1162" s="41">
        <f t="shared" si="70"/>
        <v>0</v>
      </c>
      <c r="N1162" s="38"/>
      <c r="AA1162" s="146">
        <f>AB1162/COUNTIFS($B:$B,$B1162,$C:$C,$C1162,$H:$H,$H1162,$I:$I,$I1162)</f>
        <v>0.1</v>
      </c>
      <c r="AB1162" s="108">
        <f>VLOOKUP(I1162,'Weights and Confidence'!$D$16:$AC$26,9,FALSE)</f>
        <v>0.1</v>
      </c>
      <c r="AC1162" s="147">
        <f>VLOOKUP(I1162,'Weights and Confidence'!$D$16:$AC$26,10,FALSE)</f>
        <v>1</v>
      </c>
    </row>
    <row r="1163" spans="1:29" x14ac:dyDescent="0.2">
      <c r="A1163" s="34" t="s">
        <v>185</v>
      </c>
      <c r="B1163" s="34" t="s">
        <v>187</v>
      </c>
      <c r="C1163" s="34" t="s">
        <v>47</v>
      </c>
      <c r="D1163" s="34" t="s">
        <v>5</v>
      </c>
      <c r="E1163" s="34" t="s">
        <v>679</v>
      </c>
      <c r="F1163" s="50" t="s">
        <v>373</v>
      </c>
      <c r="G1163" s="34">
        <v>7</v>
      </c>
      <c r="H1163" s="34" t="s">
        <v>18</v>
      </c>
      <c r="I1163" s="34" t="s">
        <v>25</v>
      </c>
      <c r="J1163" s="34">
        <v>1</v>
      </c>
      <c r="K1163" s="35">
        <f>AB1163/COUNTIFS($B:$B,$B1163,$C:$C,$C1163,$H:$H,$H1163,$I:$I,$I1163)</f>
        <v>0.1</v>
      </c>
      <c r="L1163" s="36">
        <f t="shared" si="71"/>
        <v>1</v>
      </c>
      <c r="M1163" s="37">
        <f t="shared" si="70"/>
        <v>0.1</v>
      </c>
      <c r="N1163" s="17"/>
      <c r="AA1163" s="146">
        <f>AB1163/COUNTIFS($B:$B,$B1163,$C:$C,$C1163,$H:$H,$H1163,$I:$I,$I1163)</f>
        <v>0.1</v>
      </c>
      <c r="AB1163" s="108">
        <f>VLOOKUP(I1163,'Weights and Confidence'!$D$16:$AC$26,9,FALSE)</f>
        <v>0.1</v>
      </c>
      <c r="AC1163" s="147">
        <f>VLOOKUP(I1163,'Weights and Confidence'!$D$16:$AC$26,10,FALSE)</f>
        <v>1</v>
      </c>
    </row>
    <row r="1164" spans="1:29" x14ac:dyDescent="0.2">
      <c r="A1164" s="38" t="s">
        <v>185</v>
      </c>
      <c r="B1164" s="38" t="s">
        <v>187</v>
      </c>
      <c r="C1164" s="38" t="s">
        <v>47</v>
      </c>
      <c r="D1164" s="38" t="s">
        <v>5</v>
      </c>
      <c r="E1164" s="38" t="s">
        <v>679</v>
      </c>
      <c r="F1164" s="51" t="s">
        <v>373</v>
      </c>
      <c r="G1164" s="38">
        <v>8</v>
      </c>
      <c r="H1164" s="38" t="s">
        <v>17</v>
      </c>
      <c r="I1164" s="38" t="s">
        <v>26</v>
      </c>
      <c r="J1164" s="38">
        <v>0</v>
      </c>
      <c r="K1164" s="39">
        <f>AB1164/COUNTIFS($B:$B,$B1164,$C:$C,$C1164,$H:$H,$H1164,$I:$I,$I1164)</f>
        <v>0.1</v>
      </c>
      <c r="L1164" s="40">
        <f t="shared" si="71"/>
        <v>1</v>
      </c>
      <c r="M1164" s="41">
        <f t="shared" si="70"/>
        <v>0</v>
      </c>
      <c r="N1164" s="38"/>
      <c r="AA1164" s="146">
        <f>AB1164/COUNTIFS($B:$B,$B1164,$C:$C,$C1164,$H:$H,$H1164,$I:$I,$I1164)</f>
        <v>0.1</v>
      </c>
      <c r="AB1164" s="108">
        <f>VLOOKUP(I1164,'Weights and Confidence'!$D$16:$AC$26,9,FALSE)</f>
        <v>0.1</v>
      </c>
      <c r="AC1164" s="147">
        <f>VLOOKUP(I1164,'Weights and Confidence'!$D$16:$AC$26,10,FALSE)</f>
        <v>1</v>
      </c>
    </row>
    <row r="1165" spans="1:29" x14ac:dyDescent="0.2">
      <c r="A1165" s="34" t="s">
        <v>185</v>
      </c>
      <c r="B1165" s="34" t="s">
        <v>187</v>
      </c>
      <c r="C1165" s="34" t="s">
        <v>47</v>
      </c>
      <c r="D1165" s="34" t="s">
        <v>5</v>
      </c>
      <c r="E1165" s="34" t="s">
        <v>679</v>
      </c>
      <c r="F1165" s="50" t="s">
        <v>373</v>
      </c>
      <c r="G1165" s="34">
        <v>8</v>
      </c>
      <c r="H1165" s="34" t="s">
        <v>18</v>
      </c>
      <c r="I1165" s="34" t="s">
        <v>26</v>
      </c>
      <c r="J1165" s="34">
        <v>1</v>
      </c>
      <c r="K1165" s="35">
        <f>AB1165/COUNTIFS($B:$B,$B1165,$C:$C,$C1165,$H:$H,$H1165,$I:$I,$I1165)</f>
        <v>0.1</v>
      </c>
      <c r="L1165" s="36">
        <f t="shared" si="71"/>
        <v>1</v>
      </c>
      <c r="M1165" s="37">
        <f t="shared" si="70"/>
        <v>0.1</v>
      </c>
      <c r="N1165" s="58"/>
      <c r="AA1165" s="146">
        <f>AB1165/COUNTIFS($B:$B,$B1165,$C:$C,$C1165,$H:$H,$H1165,$I:$I,$I1165)</f>
        <v>0.1</v>
      </c>
      <c r="AB1165" s="108">
        <f>VLOOKUP(I1165,'Weights and Confidence'!$D$16:$AC$26,9,FALSE)</f>
        <v>0.1</v>
      </c>
      <c r="AC1165" s="147">
        <f>VLOOKUP(I1165,'Weights and Confidence'!$D$16:$AC$26,10,FALSE)</f>
        <v>1</v>
      </c>
    </row>
    <row r="1166" spans="1:29" x14ac:dyDescent="0.2">
      <c r="A1166" s="38" t="s">
        <v>185</v>
      </c>
      <c r="B1166" s="38" t="s">
        <v>187</v>
      </c>
      <c r="C1166" s="38" t="s">
        <v>47</v>
      </c>
      <c r="D1166" s="38" t="s">
        <v>5</v>
      </c>
      <c r="E1166" s="38" t="s">
        <v>679</v>
      </c>
      <c r="F1166" s="51" t="s">
        <v>373</v>
      </c>
      <c r="G1166" s="38">
        <v>9</v>
      </c>
      <c r="H1166" s="38" t="s">
        <v>17</v>
      </c>
      <c r="I1166" s="38" t="s">
        <v>27</v>
      </c>
      <c r="J1166" s="38"/>
      <c r="K1166" s="39">
        <f>AB1166/COUNTIFS($B:$B,$B1166,$C:$C,$C1166,$H:$H,$H1166,$I:$I,$I1166)</f>
        <v>0.05</v>
      </c>
      <c r="L1166" s="40">
        <f t="shared" si="71"/>
        <v>0.85</v>
      </c>
      <c r="M1166" s="41">
        <f t="shared" si="70"/>
        <v>0</v>
      </c>
      <c r="N1166" s="38"/>
      <c r="AA1166" s="146">
        <f>AB1166/COUNTIFS($B:$B,$B1166,$C:$C,$C1166,$H:$H,$H1166,$I:$I,$I1166)</f>
        <v>0.05</v>
      </c>
      <c r="AB1166" s="108">
        <f>VLOOKUP(I1166,'Weights and Confidence'!$D$16:$AC$26,9,FALSE)</f>
        <v>0.1</v>
      </c>
      <c r="AC1166" s="147">
        <f>VLOOKUP(I1166,'Weights and Confidence'!$D$16:$AC$26,10,FALSE)</f>
        <v>0.85</v>
      </c>
    </row>
    <row r="1167" spans="1:29" x14ac:dyDescent="0.2">
      <c r="A1167" s="34" t="s">
        <v>185</v>
      </c>
      <c r="B1167" s="34" t="s">
        <v>187</v>
      </c>
      <c r="C1167" s="34" t="s">
        <v>47</v>
      </c>
      <c r="D1167" s="34" t="s">
        <v>5</v>
      </c>
      <c r="E1167" s="34" t="s">
        <v>679</v>
      </c>
      <c r="F1167" s="50" t="s">
        <v>373</v>
      </c>
      <c r="G1167" s="34">
        <v>9</v>
      </c>
      <c r="H1167" s="34" t="s">
        <v>18</v>
      </c>
      <c r="I1167" s="34" t="s">
        <v>27</v>
      </c>
      <c r="J1167" s="34"/>
      <c r="K1167" s="35">
        <f>AB1167/COUNTIFS($B:$B,$B1167,$C:$C,$C1167,$H:$H,$H1167,$I:$I,$I1167)</f>
        <v>0.05</v>
      </c>
      <c r="L1167" s="36">
        <f t="shared" si="71"/>
        <v>0.85</v>
      </c>
      <c r="M1167" s="37">
        <f t="shared" si="70"/>
        <v>0</v>
      </c>
      <c r="N1167" s="58"/>
      <c r="AA1167" s="146">
        <f>AB1167/COUNTIFS($B:$B,$B1167,$C:$C,$C1167,$H:$H,$H1167,$I:$I,$I1167)</f>
        <v>0.05</v>
      </c>
      <c r="AB1167" s="108">
        <f>VLOOKUP(I1167,'Weights and Confidence'!$D$16:$AC$26,9,FALSE)</f>
        <v>0.1</v>
      </c>
      <c r="AC1167" s="147">
        <f>VLOOKUP(I1167,'Weights and Confidence'!$D$16:$AC$26,10,FALSE)</f>
        <v>0.85</v>
      </c>
    </row>
    <row r="1168" spans="1:29" x14ac:dyDescent="0.2">
      <c r="A1168" s="38" t="s">
        <v>185</v>
      </c>
      <c r="B1168" s="38" t="s">
        <v>187</v>
      </c>
      <c r="C1168" s="38" t="s">
        <v>47</v>
      </c>
      <c r="D1168" s="38" t="s">
        <v>5</v>
      </c>
      <c r="E1168" s="38" t="s">
        <v>679</v>
      </c>
      <c r="F1168" s="51" t="s">
        <v>373</v>
      </c>
      <c r="G1168" s="38">
        <v>10</v>
      </c>
      <c r="H1168" s="38" t="s">
        <v>17</v>
      </c>
      <c r="I1168" s="38" t="s">
        <v>27</v>
      </c>
      <c r="J1168" s="38"/>
      <c r="K1168" s="39">
        <f>AB1168/COUNTIFS($B:$B,$B1168,$C:$C,$C1168,$H:$H,$H1168,$I:$I,$I1168)</f>
        <v>0.05</v>
      </c>
      <c r="L1168" s="40">
        <f t="shared" si="71"/>
        <v>0.85</v>
      </c>
      <c r="M1168" s="41">
        <f t="shared" si="70"/>
        <v>0</v>
      </c>
      <c r="N1168" s="38"/>
      <c r="AA1168" s="146">
        <f>AB1168/COUNTIFS($B:$B,$B1168,$C:$C,$C1168,$H:$H,$H1168,$I:$I,$I1168)</f>
        <v>0.05</v>
      </c>
      <c r="AB1168" s="108">
        <f>VLOOKUP(I1168,'Weights and Confidence'!$D$16:$AC$26,9,FALSE)</f>
        <v>0.1</v>
      </c>
      <c r="AC1168" s="147">
        <f>VLOOKUP(I1168,'Weights and Confidence'!$D$16:$AC$26,10,FALSE)</f>
        <v>0.85</v>
      </c>
    </row>
    <row r="1169" spans="1:29" x14ac:dyDescent="0.2">
      <c r="A1169" s="34" t="s">
        <v>185</v>
      </c>
      <c r="B1169" s="34" t="s">
        <v>187</v>
      </c>
      <c r="C1169" s="34" t="s">
        <v>47</v>
      </c>
      <c r="D1169" s="34" t="s">
        <v>5</v>
      </c>
      <c r="E1169" s="34" t="s">
        <v>679</v>
      </c>
      <c r="F1169" s="50" t="s">
        <v>373</v>
      </c>
      <c r="G1169" s="34">
        <v>10</v>
      </c>
      <c r="H1169" s="34" t="s">
        <v>18</v>
      </c>
      <c r="I1169" s="34" t="s">
        <v>27</v>
      </c>
      <c r="J1169" s="34"/>
      <c r="K1169" s="35">
        <f>AB1169/COUNTIFS($B:$B,$B1169,$C:$C,$C1169,$H:$H,$H1169,$I:$I,$I1169)</f>
        <v>0.05</v>
      </c>
      <c r="L1169" s="36">
        <f t="shared" si="71"/>
        <v>0.85</v>
      </c>
      <c r="M1169" s="37">
        <f t="shared" si="70"/>
        <v>0</v>
      </c>
      <c r="N1169" s="58"/>
      <c r="AA1169" s="146">
        <f>AB1169/COUNTIFS($B:$B,$B1169,$C:$C,$C1169,$H:$H,$H1169,$I:$I,$I1169)</f>
        <v>0.05</v>
      </c>
      <c r="AB1169" s="108">
        <f>VLOOKUP(I1169,'Weights and Confidence'!$D$16:$AC$26,9,FALSE)</f>
        <v>0.1</v>
      </c>
      <c r="AC1169" s="147">
        <f>VLOOKUP(I1169,'Weights and Confidence'!$D$16:$AC$26,10,FALSE)</f>
        <v>0.85</v>
      </c>
    </row>
    <row r="1170" spans="1:29" x14ac:dyDescent="0.2">
      <c r="A1170" s="38" t="s">
        <v>185</v>
      </c>
      <c r="B1170" s="38" t="s">
        <v>187</v>
      </c>
      <c r="C1170" s="38" t="s">
        <v>47</v>
      </c>
      <c r="D1170" s="38" t="s">
        <v>5</v>
      </c>
      <c r="E1170" s="38" t="s">
        <v>679</v>
      </c>
      <c r="F1170" s="51" t="s">
        <v>373</v>
      </c>
      <c r="G1170" s="38">
        <v>11</v>
      </c>
      <c r="H1170" s="38" t="s">
        <v>17</v>
      </c>
      <c r="I1170" s="38" t="s">
        <v>28</v>
      </c>
      <c r="J1170" s="38">
        <v>0</v>
      </c>
      <c r="K1170" s="39">
        <f>AB1170/COUNTIFS($B:$B,$B1170,$C:$C,$C1170,$H:$H,$H1170,$I:$I,$I1170)</f>
        <v>0.05</v>
      </c>
      <c r="L1170" s="40">
        <f t="shared" si="71"/>
        <v>1</v>
      </c>
      <c r="M1170" s="41">
        <f t="shared" si="70"/>
        <v>0</v>
      </c>
      <c r="N1170" s="38"/>
      <c r="AA1170" s="146">
        <f>AB1170/COUNTIFS($B:$B,$B1170,$C:$C,$C1170,$H:$H,$H1170,$I:$I,$I1170)</f>
        <v>0.05</v>
      </c>
      <c r="AB1170" s="108">
        <f>VLOOKUP(I1170,'Weights and Confidence'!$D$16:$AC$26,9,FALSE)</f>
        <v>0.05</v>
      </c>
      <c r="AC1170" s="147">
        <f>VLOOKUP(I1170,'Weights and Confidence'!$D$16:$AC$26,10,FALSE)</f>
        <v>1</v>
      </c>
    </row>
    <row r="1171" spans="1:29" ht="17" thickBot="1" x14ac:dyDescent="0.25">
      <c r="A1171" s="53" t="s">
        <v>185</v>
      </c>
      <c r="B1171" s="53" t="s">
        <v>187</v>
      </c>
      <c r="C1171" s="53" t="s">
        <v>47</v>
      </c>
      <c r="D1171" s="53" t="s">
        <v>5</v>
      </c>
      <c r="E1171" s="53" t="s">
        <v>679</v>
      </c>
      <c r="F1171" s="54" t="s">
        <v>373</v>
      </c>
      <c r="G1171" s="53">
        <v>11</v>
      </c>
      <c r="H1171" s="53" t="s">
        <v>18</v>
      </c>
      <c r="I1171" s="53" t="s">
        <v>28</v>
      </c>
      <c r="J1171" s="53">
        <v>-1</v>
      </c>
      <c r="K1171" s="55">
        <f>AB1171/COUNTIFS($B:$B,$B1171,$C:$C,$C1171,$H:$H,$H1171,$I:$I,$I1171)</f>
        <v>0.05</v>
      </c>
      <c r="L1171" s="56">
        <f t="shared" si="71"/>
        <v>1</v>
      </c>
      <c r="M1171" s="57">
        <f t="shared" si="70"/>
        <v>-0.05</v>
      </c>
      <c r="N1171" s="22"/>
      <c r="AA1171" s="140">
        <f>AB1171/COUNTIFS($B:$B,$B1171,$C:$C,$C1171,$H:$H,$H1171,$I:$I,$I1171)</f>
        <v>0.05</v>
      </c>
      <c r="AB1171" s="141">
        <f>VLOOKUP(I1171,'Weights and Confidence'!$D$16:$AC$26,9,FALSE)</f>
        <v>0.05</v>
      </c>
      <c r="AC1171" s="142">
        <f>VLOOKUP(I1171,'Weights and Confidence'!$D$16:$AC$26,10,FALSE)</f>
        <v>1</v>
      </c>
    </row>
    <row r="1172" spans="1:29" ht="17" thickTop="1" x14ac:dyDescent="0.2">
      <c r="A1172" s="76" t="s">
        <v>185</v>
      </c>
      <c r="B1172" s="76" t="s">
        <v>187</v>
      </c>
      <c r="C1172" s="76" t="s">
        <v>54</v>
      </c>
      <c r="D1172" s="76" t="s">
        <v>5</v>
      </c>
      <c r="E1172" s="76" t="s">
        <v>679</v>
      </c>
      <c r="F1172" s="50" t="s">
        <v>382</v>
      </c>
      <c r="G1172" s="76">
        <v>1</v>
      </c>
      <c r="H1172" s="76" t="s">
        <v>17</v>
      </c>
      <c r="I1172" s="76" t="s">
        <v>19</v>
      </c>
      <c r="J1172" s="76">
        <v>1</v>
      </c>
      <c r="K1172" s="78">
        <f>AB1172/COUNTIFS($B:$B,$B1172,$C:$C,$C1172,$H:$H,$H1172,$I:$I,$I1172)</f>
        <v>0.12</v>
      </c>
      <c r="L1172" s="80">
        <f t="shared" si="71"/>
        <v>1</v>
      </c>
      <c r="M1172" s="82">
        <f t="shared" ref="M1172:M1193" si="72">J1172*K1172*L1172</f>
        <v>0.12</v>
      </c>
      <c r="N1172" s="59"/>
      <c r="AA1172" s="146">
        <f>AB1172/COUNTIFS($B:$B,$B1172,$C:$C,$C1172,$H:$H,$H1172,$I:$I,$I1172)</f>
        <v>0.12</v>
      </c>
      <c r="AB1172" s="108">
        <f>VLOOKUP(I1172,'Weights and Confidence'!$D$16:$AC$26,9,FALSE)</f>
        <v>0.12</v>
      </c>
      <c r="AC1172" s="147">
        <f>VLOOKUP(I1172,'Weights and Confidence'!$D$16:$AC$26,10,FALSE)</f>
        <v>1</v>
      </c>
    </row>
    <row r="1173" spans="1:29" ht="17" thickBot="1" x14ac:dyDescent="0.25">
      <c r="A1173" s="77" t="s">
        <v>185</v>
      </c>
      <c r="B1173" s="77" t="s">
        <v>187</v>
      </c>
      <c r="C1173" s="77" t="s">
        <v>54</v>
      </c>
      <c r="D1173" s="77" t="s">
        <v>5</v>
      </c>
      <c r="E1173" s="77" t="s">
        <v>679</v>
      </c>
      <c r="F1173" s="50" t="s">
        <v>382</v>
      </c>
      <c r="G1173" s="77">
        <v>1</v>
      </c>
      <c r="H1173" s="77" t="s">
        <v>18</v>
      </c>
      <c r="I1173" s="77" t="s">
        <v>19</v>
      </c>
      <c r="J1173" s="77">
        <v>1</v>
      </c>
      <c r="K1173" s="79">
        <f>AB1173/COUNTIFS($B:$B,$B1173,$C:$C,$C1173,$H:$H,$H1173,$I:$I,$I1173)</f>
        <v>0.12</v>
      </c>
      <c r="L1173" s="81">
        <f t="shared" si="71"/>
        <v>1</v>
      </c>
      <c r="M1173" s="83">
        <f t="shared" si="72"/>
        <v>0.12</v>
      </c>
      <c r="N1173" s="84"/>
      <c r="AA1173" s="146">
        <f>AB1173/COUNTIFS($B:$B,$B1173,$C:$C,$C1173,$H:$H,$H1173,$I:$I,$I1173)</f>
        <v>0.12</v>
      </c>
      <c r="AB1173" s="108">
        <f>VLOOKUP(I1173,'Weights and Confidence'!$D$16:$AC$26,9,FALSE)</f>
        <v>0.12</v>
      </c>
      <c r="AC1173" s="147">
        <f>VLOOKUP(I1173,'Weights and Confidence'!$D$16:$AC$26,10,FALSE)</f>
        <v>1</v>
      </c>
    </row>
    <row r="1174" spans="1:29" x14ac:dyDescent="0.2">
      <c r="A1174" s="76" t="s">
        <v>185</v>
      </c>
      <c r="B1174" s="76" t="s">
        <v>187</v>
      </c>
      <c r="C1174" s="76" t="s">
        <v>54</v>
      </c>
      <c r="D1174" s="76" t="s">
        <v>5</v>
      </c>
      <c r="E1174" s="76" t="s">
        <v>679</v>
      </c>
      <c r="F1174" s="51" t="s">
        <v>382</v>
      </c>
      <c r="G1174" s="76">
        <v>2</v>
      </c>
      <c r="H1174" s="76" t="s">
        <v>17</v>
      </c>
      <c r="I1174" s="76" t="s">
        <v>20</v>
      </c>
      <c r="J1174" s="76">
        <v>1</v>
      </c>
      <c r="K1174" s="78">
        <f>AB1174/COUNTIFS($B:$B,$B1174,$C:$C,$C1174,$H:$H,$H1174,$I:$I,$I1174)</f>
        <v>0.08</v>
      </c>
      <c r="L1174" s="80">
        <f t="shared" si="71"/>
        <v>0.8</v>
      </c>
      <c r="M1174" s="82">
        <f t="shared" si="72"/>
        <v>6.4000000000000001E-2</v>
      </c>
      <c r="N1174" s="59"/>
      <c r="P1174" s="24" t="s">
        <v>383</v>
      </c>
      <c r="Q1174" s="10"/>
      <c r="R1174" s="10"/>
      <c r="S1174" s="10"/>
      <c r="T1174" s="10"/>
      <c r="U1174" s="10"/>
      <c r="V1174" s="10"/>
      <c r="AA1174" s="146">
        <f>AB1174/COUNTIFS($B:$B,$B1174,$C:$C,$C1174,$H:$H,$H1174,$I:$I,$I1174)</f>
        <v>0.08</v>
      </c>
      <c r="AB1174" s="108">
        <f>VLOOKUP(I1174,'Weights and Confidence'!$D$16:$AC$26,9,FALSE)</f>
        <v>0.08</v>
      </c>
      <c r="AC1174" s="147">
        <f>VLOOKUP(I1174,'Weights and Confidence'!$D$16:$AC$26,10,FALSE)</f>
        <v>0.8</v>
      </c>
    </row>
    <row r="1175" spans="1:29" x14ac:dyDescent="0.2">
      <c r="A1175" s="77" t="s">
        <v>185</v>
      </c>
      <c r="B1175" s="77" t="s">
        <v>187</v>
      </c>
      <c r="C1175" s="77" t="s">
        <v>54</v>
      </c>
      <c r="D1175" s="77" t="s">
        <v>5</v>
      </c>
      <c r="E1175" s="77" t="s">
        <v>679</v>
      </c>
      <c r="F1175" s="50" t="s">
        <v>382</v>
      </c>
      <c r="G1175" s="77">
        <v>2</v>
      </c>
      <c r="H1175" s="77" t="s">
        <v>18</v>
      </c>
      <c r="I1175" s="77" t="s">
        <v>20</v>
      </c>
      <c r="J1175" s="77">
        <v>1</v>
      </c>
      <c r="K1175" s="79">
        <f>AB1175/COUNTIFS($B:$B,$B1175,$C:$C,$C1175,$H:$H,$H1175,$I:$I,$I1175)</f>
        <v>0.08</v>
      </c>
      <c r="L1175" s="81">
        <f t="shared" si="71"/>
        <v>0.8</v>
      </c>
      <c r="M1175" s="83">
        <f t="shared" si="72"/>
        <v>6.4000000000000001E-2</v>
      </c>
      <c r="N1175" s="58"/>
      <c r="P1175" s="25" t="s">
        <v>384</v>
      </c>
      <c r="Q1175" s="75"/>
      <c r="R1175" s="75"/>
      <c r="S1175" s="75"/>
      <c r="T1175" s="75"/>
      <c r="U1175" s="75"/>
      <c r="V1175" s="75"/>
      <c r="AA1175" s="146">
        <f>AB1175/COUNTIFS($B:$B,$B1175,$C:$C,$C1175,$H:$H,$H1175,$I:$I,$I1175)</f>
        <v>0.08</v>
      </c>
      <c r="AB1175" s="108">
        <f>VLOOKUP(I1175,'Weights and Confidence'!$D$16:$AC$26,9,FALSE)</f>
        <v>0.08</v>
      </c>
      <c r="AC1175" s="147">
        <f>VLOOKUP(I1175,'Weights and Confidence'!$D$16:$AC$26,10,FALSE)</f>
        <v>0.8</v>
      </c>
    </row>
    <row r="1176" spans="1:29" x14ac:dyDescent="0.2">
      <c r="A1176" s="76" t="s">
        <v>185</v>
      </c>
      <c r="B1176" s="76" t="s">
        <v>187</v>
      </c>
      <c r="C1176" s="76" t="s">
        <v>54</v>
      </c>
      <c r="D1176" s="76" t="s">
        <v>5</v>
      </c>
      <c r="E1176" s="76" t="s">
        <v>679</v>
      </c>
      <c r="F1176" s="51" t="s">
        <v>382</v>
      </c>
      <c r="G1176" s="76">
        <v>3</v>
      </c>
      <c r="H1176" s="76" t="s">
        <v>17</v>
      </c>
      <c r="I1176" s="76" t="s">
        <v>21</v>
      </c>
      <c r="J1176" s="76">
        <v>1</v>
      </c>
      <c r="K1176" s="78">
        <f>AB1176/COUNTIFS($B:$B,$B1176,$C:$C,$C1176,$H:$H,$H1176,$I:$I,$I1176)</f>
        <v>0.05</v>
      </c>
      <c r="L1176" s="80">
        <f t="shared" si="71"/>
        <v>1</v>
      </c>
      <c r="M1176" s="82">
        <f t="shared" si="72"/>
        <v>0.05</v>
      </c>
      <c r="N1176" s="59"/>
      <c r="P1176" s="25" t="s">
        <v>385</v>
      </c>
      <c r="Q1176" s="75"/>
      <c r="R1176" s="75"/>
      <c r="S1176" s="75"/>
      <c r="T1176" s="75"/>
      <c r="U1176" s="75"/>
      <c r="V1176" s="75"/>
      <c r="AA1176" s="146">
        <f>AB1176/COUNTIFS($B:$B,$B1176,$C:$C,$C1176,$H:$H,$H1176,$I:$I,$I1176)</f>
        <v>0.05</v>
      </c>
      <c r="AB1176" s="108">
        <f>VLOOKUP(I1176,'Weights and Confidence'!$D$16:$AC$26,9,FALSE)</f>
        <v>0.05</v>
      </c>
      <c r="AC1176" s="147">
        <f>VLOOKUP(I1176,'Weights and Confidence'!$D$16:$AC$26,10,FALSE)</f>
        <v>1</v>
      </c>
    </row>
    <row r="1177" spans="1:29" ht="17" thickBot="1" x14ac:dyDescent="0.25">
      <c r="A1177" s="77" t="s">
        <v>185</v>
      </c>
      <c r="B1177" s="77" t="s">
        <v>187</v>
      </c>
      <c r="C1177" s="77" t="s">
        <v>54</v>
      </c>
      <c r="D1177" s="77" t="s">
        <v>5</v>
      </c>
      <c r="E1177" s="77" t="s">
        <v>679</v>
      </c>
      <c r="F1177" s="50" t="s">
        <v>382</v>
      </c>
      <c r="G1177" s="77">
        <v>3</v>
      </c>
      <c r="H1177" s="77" t="s">
        <v>18</v>
      </c>
      <c r="I1177" s="77" t="s">
        <v>21</v>
      </c>
      <c r="J1177" s="77">
        <v>1</v>
      </c>
      <c r="K1177" s="79">
        <f>AB1177/COUNTIFS($B:$B,$B1177,$C:$C,$C1177,$H:$H,$H1177,$I:$I,$I1177)</f>
        <v>0.05</v>
      </c>
      <c r="L1177" s="81">
        <f t="shared" si="71"/>
        <v>1</v>
      </c>
      <c r="M1177" s="83">
        <f t="shared" si="72"/>
        <v>0.05</v>
      </c>
      <c r="N1177" s="84"/>
      <c r="P1177" s="26" t="s">
        <v>386</v>
      </c>
      <c r="Q1177" s="2"/>
      <c r="R1177" s="2"/>
      <c r="S1177" s="2"/>
      <c r="T1177" s="2"/>
      <c r="U1177" s="2"/>
      <c r="V1177" s="2"/>
      <c r="AA1177" s="146">
        <f>AB1177/COUNTIFS($B:$B,$B1177,$C:$C,$C1177,$H:$H,$H1177,$I:$I,$I1177)</f>
        <v>0.05</v>
      </c>
      <c r="AB1177" s="108">
        <f>VLOOKUP(I1177,'Weights and Confidence'!$D$16:$AC$26,9,FALSE)</f>
        <v>0.05</v>
      </c>
      <c r="AC1177" s="147">
        <f>VLOOKUP(I1177,'Weights and Confidence'!$D$16:$AC$26,10,FALSE)</f>
        <v>1</v>
      </c>
    </row>
    <row r="1178" spans="1:29" x14ac:dyDescent="0.2">
      <c r="A1178" s="76" t="s">
        <v>185</v>
      </c>
      <c r="B1178" s="76" t="s">
        <v>187</v>
      </c>
      <c r="C1178" s="76" t="s">
        <v>54</v>
      </c>
      <c r="D1178" s="76" t="s">
        <v>5</v>
      </c>
      <c r="E1178" s="76" t="s">
        <v>679</v>
      </c>
      <c r="F1178" s="51" t="s">
        <v>382</v>
      </c>
      <c r="G1178" s="76">
        <v>4</v>
      </c>
      <c r="H1178" s="76" t="s">
        <v>17</v>
      </c>
      <c r="I1178" s="76" t="s">
        <v>22</v>
      </c>
      <c r="J1178" s="76">
        <v>1</v>
      </c>
      <c r="K1178" s="78">
        <f>AB1178/COUNTIFS($B:$B,$B1178,$C:$C,$C1178,$H:$H,$H1178,$I:$I,$I1178)</f>
        <v>0.14000000000000001</v>
      </c>
      <c r="L1178" s="80">
        <f t="shared" si="71"/>
        <v>1</v>
      </c>
      <c r="M1178" s="82">
        <f t="shared" si="72"/>
        <v>0.14000000000000001</v>
      </c>
      <c r="N1178" s="59"/>
      <c r="AA1178" s="146">
        <f>AB1178/COUNTIFS($B:$B,$B1178,$C:$C,$C1178,$H:$H,$H1178,$I:$I,$I1178)</f>
        <v>0.14000000000000001</v>
      </c>
      <c r="AB1178" s="108">
        <f>VLOOKUP(I1178,'Weights and Confidence'!$D$16:$AC$26,9,FALSE)</f>
        <v>0.14000000000000001</v>
      </c>
      <c r="AC1178" s="147">
        <f>VLOOKUP(I1178,'Weights and Confidence'!$D$16:$AC$26,10,FALSE)</f>
        <v>1</v>
      </c>
    </row>
    <row r="1179" spans="1:29" x14ac:dyDescent="0.2">
      <c r="A1179" s="77" t="s">
        <v>185</v>
      </c>
      <c r="B1179" s="77" t="s">
        <v>187</v>
      </c>
      <c r="C1179" s="77" t="s">
        <v>54</v>
      </c>
      <c r="D1179" s="77" t="s">
        <v>5</v>
      </c>
      <c r="E1179" s="77" t="s">
        <v>679</v>
      </c>
      <c r="F1179" s="50" t="s">
        <v>382</v>
      </c>
      <c r="G1179" s="77">
        <v>4</v>
      </c>
      <c r="H1179" s="77" t="s">
        <v>18</v>
      </c>
      <c r="I1179" s="77" t="s">
        <v>22</v>
      </c>
      <c r="J1179" s="77">
        <v>1</v>
      </c>
      <c r="K1179" s="79">
        <f>AB1179/COUNTIFS($B:$B,$B1179,$C:$C,$C1179,$H:$H,$H1179,$I:$I,$I1179)</f>
        <v>0.14000000000000001</v>
      </c>
      <c r="L1179" s="81">
        <f t="shared" si="71"/>
        <v>1</v>
      </c>
      <c r="M1179" s="83">
        <f t="shared" si="72"/>
        <v>0.14000000000000001</v>
      </c>
      <c r="N1179" s="84"/>
      <c r="AA1179" s="146">
        <f>AB1179/COUNTIFS($B:$B,$B1179,$C:$C,$C1179,$H:$H,$H1179,$I:$I,$I1179)</f>
        <v>0.14000000000000001</v>
      </c>
      <c r="AB1179" s="108">
        <f>VLOOKUP(I1179,'Weights and Confidence'!$D$16:$AC$26,9,FALSE)</f>
        <v>0.14000000000000001</v>
      </c>
      <c r="AC1179" s="147">
        <f>VLOOKUP(I1179,'Weights and Confidence'!$D$16:$AC$26,10,FALSE)</f>
        <v>1</v>
      </c>
    </row>
    <row r="1180" spans="1:29" x14ac:dyDescent="0.2">
      <c r="A1180" s="76" t="s">
        <v>185</v>
      </c>
      <c r="B1180" s="76" t="s">
        <v>187</v>
      </c>
      <c r="C1180" s="76" t="s">
        <v>54</v>
      </c>
      <c r="D1180" s="76" t="s">
        <v>5</v>
      </c>
      <c r="E1180" s="76" t="s">
        <v>679</v>
      </c>
      <c r="F1180" s="51" t="s">
        <v>382</v>
      </c>
      <c r="G1180" s="76">
        <v>5</v>
      </c>
      <c r="H1180" s="76" t="s">
        <v>17</v>
      </c>
      <c r="I1180" s="76" t="s">
        <v>23</v>
      </c>
      <c r="J1180" s="76">
        <v>0</v>
      </c>
      <c r="K1180" s="78">
        <f>AB1180/COUNTIFS($B:$B,$B1180,$C:$C,$C1180,$H:$H,$H1180,$I:$I,$I1180)</f>
        <v>0.11</v>
      </c>
      <c r="L1180" s="80">
        <f t="shared" si="71"/>
        <v>1</v>
      </c>
      <c r="M1180" s="82">
        <f t="shared" si="72"/>
        <v>0</v>
      </c>
      <c r="N1180" s="59"/>
      <c r="AA1180" s="146">
        <f>AB1180/COUNTIFS($B:$B,$B1180,$C:$C,$C1180,$H:$H,$H1180,$I:$I,$I1180)</f>
        <v>0.11</v>
      </c>
      <c r="AB1180" s="108">
        <f>VLOOKUP(I1180,'Weights and Confidence'!$D$16:$AC$26,9,FALSE)</f>
        <v>0.11</v>
      </c>
      <c r="AC1180" s="147">
        <f>VLOOKUP(I1180,'Weights and Confidence'!$D$16:$AC$26,10,FALSE)</f>
        <v>1</v>
      </c>
    </row>
    <row r="1181" spans="1:29" x14ac:dyDescent="0.2">
      <c r="A1181" s="77" t="s">
        <v>185</v>
      </c>
      <c r="B1181" s="77" t="s">
        <v>187</v>
      </c>
      <c r="C1181" s="77" t="s">
        <v>54</v>
      </c>
      <c r="D1181" s="77" t="s">
        <v>5</v>
      </c>
      <c r="E1181" s="77" t="s">
        <v>679</v>
      </c>
      <c r="F1181" s="50" t="s">
        <v>382</v>
      </c>
      <c r="G1181" s="77">
        <v>5</v>
      </c>
      <c r="H1181" s="77" t="s">
        <v>18</v>
      </c>
      <c r="I1181" s="77" t="s">
        <v>23</v>
      </c>
      <c r="J1181" s="77">
        <v>1</v>
      </c>
      <c r="K1181" s="79">
        <f>AB1181/COUNTIFS($B:$B,$B1181,$C:$C,$C1181,$H:$H,$H1181,$I:$I,$I1181)</f>
        <v>0.11</v>
      </c>
      <c r="L1181" s="81">
        <f t="shared" si="71"/>
        <v>1</v>
      </c>
      <c r="M1181" s="83">
        <f t="shared" si="72"/>
        <v>0.11</v>
      </c>
      <c r="N1181" s="84"/>
      <c r="AA1181" s="146">
        <f>AB1181/COUNTIFS($B:$B,$B1181,$C:$C,$C1181,$H:$H,$H1181,$I:$I,$I1181)</f>
        <v>0.11</v>
      </c>
      <c r="AB1181" s="108">
        <f>VLOOKUP(I1181,'Weights and Confidence'!$D$16:$AC$26,9,FALSE)</f>
        <v>0.11</v>
      </c>
      <c r="AC1181" s="147">
        <f>VLOOKUP(I1181,'Weights and Confidence'!$D$16:$AC$26,10,FALSE)</f>
        <v>1</v>
      </c>
    </row>
    <row r="1182" spans="1:29" x14ac:dyDescent="0.2">
      <c r="A1182" s="76" t="s">
        <v>185</v>
      </c>
      <c r="B1182" s="76" t="s">
        <v>187</v>
      </c>
      <c r="C1182" s="76" t="s">
        <v>54</v>
      </c>
      <c r="D1182" s="76" t="s">
        <v>5</v>
      </c>
      <c r="E1182" s="76" t="s">
        <v>679</v>
      </c>
      <c r="F1182" s="51" t="s">
        <v>382</v>
      </c>
      <c r="G1182" s="76">
        <v>6</v>
      </c>
      <c r="H1182" s="76" t="s">
        <v>17</v>
      </c>
      <c r="I1182" s="76" t="s">
        <v>24</v>
      </c>
      <c r="J1182" s="76">
        <v>0</v>
      </c>
      <c r="K1182" s="78">
        <f>AB1182/COUNTIFS($B:$B,$B1182,$C:$C,$C1182,$H:$H,$H1182,$I:$I,$I1182)</f>
        <v>0.15</v>
      </c>
      <c r="L1182" s="80">
        <f t="shared" si="71"/>
        <v>1</v>
      </c>
      <c r="M1182" s="82">
        <f t="shared" si="72"/>
        <v>0</v>
      </c>
      <c r="N1182" s="59"/>
      <c r="AA1182" s="146">
        <f>AB1182/COUNTIFS($B:$B,$B1182,$C:$C,$C1182,$H:$H,$H1182,$I:$I,$I1182)</f>
        <v>0.15</v>
      </c>
      <c r="AB1182" s="108">
        <f>VLOOKUP(I1182,'Weights and Confidence'!$D$16:$AC$26,9,FALSE)</f>
        <v>0.15</v>
      </c>
      <c r="AC1182" s="147">
        <f>VLOOKUP(I1182,'Weights and Confidence'!$D$16:$AC$26,10,FALSE)</f>
        <v>1</v>
      </c>
    </row>
    <row r="1183" spans="1:29" x14ac:dyDescent="0.2">
      <c r="A1183" s="77" t="s">
        <v>185</v>
      </c>
      <c r="B1183" s="77" t="s">
        <v>187</v>
      </c>
      <c r="C1183" s="77" t="s">
        <v>54</v>
      </c>
      <c r="D1183" s="77" t="s">
        <v>5</v>
      </c>
      <c r="E1183" s="77" t="s">
        <v>679</v>
      </c>
      <c r="F1183" s="50" t="s">
        <v>382</v>
      </c>
      <c r="G1183" s="77">
        <v>6</v>
      </c>
      <c r="H1183" s="77" t="s">
        <v>18</v>
      </c>
      <c r="I1183" s="77" t="s">
        <v>24</v>
      </c>
      <c r="J1183" s="77">
        <v>1</v>
      </c>
      <c r="K1183" s="79">
        <f>AB1183/COUNTIFS($B:$B,$B1183,$C:$C,$C1183,$H:$H,$H1183,$I:$I,$I1183)</f>
        <v>0.15</v>
      </c>
      <c r="L1183" s="81">
        <f t="shared" si="71"/>
        <v>1</v>
      </c>
      <c r="M1183" s="83">
        <f t="shared" si="72"/>
        <v>0.15</v>
      </c>
      <c r="N1183" s="84"/>
      <c r="AA1183" s="146">
        <f>AB1183/COUNTIFS($B:$B,$B1183,$C:$C,$C1183,$H:$H,$H1183,$I:$I,$I1183)</f>
        <v>0.15</v>
      </c>
      <c r="AB1183" s="108">
        <f>VLOOKUP(I1183,'Weights and Confidence'!$D$16:$AC$26,9,FALSE)</f>
        <v>0.15</v>
      </c>
      <c r="AC1183" s="147">
        <f>VLOOKUP(I1183,'Weights and Confidence'!$D$16:$AC$26,10,FALSE)</f>
        <v>1</v>
      </c>
    </row>
    <row r="1184" spans="1:29" x14ac:dyDescent="0.2">
      <c r="A1184" s="76" t="s">
        <v>185</v>
      </c>
      <c r="B1184" s="76" t="s">
        <v>187</v>
      </c>
      <c r="C1184" s="76" t="s">
        <v>54</v>
      </c>
      <c r="D1184" s="76" t="s">
        <v>5</v>
      </c>
      <c r="E1184" s="76" t="s">
        <v>679</v>
      </c>
      <c r="F1184" s="51" t="s">
        <v>382</v>
      </c>
      <c r="G1184" s="76">
        <v>7</v>
      </c>
      <c r="H1184" s="76" t="s">
        <v>17</v>
      </c>
      <c r="I1184" s="76" t="s">
        <v>25</v>
      </c>
      <c r="J1184" s="76">
        <v>0</v>
      </c>
      <c r="K1184" s="78">
        <f>AB1184/COUNTIFS($B:$B,$B1184,$C:$C,$C1184,$H:$H,$H1184,$I:$I,$I1184)</f>
        <v>0.1</v>
      </c>
      <c r="L1184" s="80">
        <f t="shared" si="71"/>
        <v>1</v>
      </c>
      <c r="M1184" s="82">
        <f t="shared" si="72"/>
        <v>0</v>
      </c>
      <c r="N1184" s="59"/>
      <c r="AA1184" s="146">
        <f>AB1184/COUNTIFS($B:$B,$B1184,$C:$C,$C1184,$H:$H,$H1184,$I:$I,$I1184)</f>
        <v>0.1</v>
      </c>
      <c r="AB1184" s="108">
        <f>VLOOKUP(I1184,'Weights and Confidence'!$D$16:$AC$26,9,FALSE)</f>
        <v>0.1</v>
      </c>
      <c r="AC1184" s="147">
        <f>VLOOKUP(I1184,'Weights and Confidence'!$D$16:$AC$26,10,FALSE)</f>
        <v>1</v>
      </c>
    </row>
    <row r="1185" spans="1:29" x14ac:dyDescent="0.2">
      <c r="A1185" s="77" t="s">
        <v>185</v>
      </c>
      <c r="B1185" s="77" t="s">
        <v>187</v>
      </c>
      <c r="C1185" s="77" t="s">
        <v>54</v>
      </c>
      <c r="D1185" s="77" t="s">
        <v>5</v>
      </c>
      <c r="E1185" s="77" t="s">
        <v>679</v>
      </c>
      <c r="F1185" s="50" t="s">
        <v>382</v>
      </c>
      <c r="G1185" s="77">
        <v>7</v>
      </c>
      <c r="H1185" s="77" t="s">
        <v>18</v>
      </c>
      <c r="I1185" s="77" t="s">
        <v>25</v>
      </c>
      <c r="J1185" s="77">
        <v>1</v>
      </c>
      <c r="K1185" s="79">
        <f>AB1185/COUNTIFS($B:$B,$B1185,$C:$C,$C1185,$H:$H,$H1185,$I:$I,$I1185)</f>
        <v>0.1</v>
      </c>
      <c r="L1185" s="81">
        <f t="shared" si="71"/>
        <v>1</v>
      </c>
      <c r="M1185" s="83">
        <f t="shared" si="72"/>
        <v>0.1</v>
      </c>
      <c r="N1185" s="84"/>
      <c r="AA1185" s="146">
        <f>AB1185/COUNTIFS($B:$B,$B1185,$C:$C,$C1185,$H:$H,$H1185,$I:$I,$I1185)</f>
        <v>0.1</v>
      </c>
      <c r="AB1185" s="108">
        <f>VLOOKUP(I1185,'Weights and Confidence'!$D$16:$AC$26,9,FALSE)</f>
        <v>0.1</v>
      </c>
      <c r="AC1185" s="147">
        <f>VLOOKUP(I1185,'Weights and Confidence'!$D$16:$AC$26,10,FALSE)</f>
        <v>1</v>
      </c>
    </row>
    <row r="1186" spans="1:29" x14ac:dyDescent="0.2">
      <c r="A1186" s="76" t="s">
        <v>185</v>
      </c>
      <c r="B1186" s="76" t="s">
        <v>187</v>
      </c>
      <c r="C1186" s="76" t="s">
        <v>54</v>
      </c>
      <c r="D1186" s="76" t="s">
        <v>5</v>
      </c>
      <c r="E1186" s="76" t="s">
        <v>679</v>
      </c>
      <c r="F1186" s="51" t="s">
        <v>382</v>
      </c>
      <c r="G1186" s="76">
        <v>8</v>
      </c>
      <c r="H1186" s="76" t="s">
        <v>17</v>
      </c>
      <c r="I1186" s="76" t="s">
        <v>26</v>
      </c>
      <c r="J1186" s="76">
        <v>0</v>
      </c>
      <c r="K1186" s="78">
        <f>AB1186/COUNTIFS($B:$B,$B1186,$C:$C,$C1186,$H:$H,$H1186,$I:$I,$I1186)</f>
        <v>0.1</v>
      </c>
      <c r="L1186" s="80">
        <f t="shared" si="71"/>
        <v>1</v>
      </c>
      <c r="M1186" s="82">
        <f t="shared" si="72"/>
        <v>0</v>
      </c>
      <c r="N1186" s="59"/>
      <c r="AA1186" s="146">
        <f>AB1186/COUNTIFS($B:$B,$B1186,$C:$C,$C1186,$H:$H,$H1186,$I:$I,$I1186)</f>
        <v>0.1</v>
      </c>
      <c r="AB1186" s="108">
        <f>VLOOKUP(I1186,'Weights and Confidence'!$D$16:$AC$26,9,FALSE)</f>
        <v>0.1</v>
      </c>
      <c r="AC1186" s="147">
        <f>VLOOKUP(I1186,'Weights and Confidence'!$D$16:$AC$26,10,FALSE)</f>
        <v>1</v>
      </c>
    </row>
    <row r="1187" spans="1:29" x14ac:dyDescent="0.2">
      <c r="A1187" s="77" t="s">
        <v>185</v>
      </c>
      <c r="B1187" s="77" t="s">
        <v>187</v>
      </c>
      <c r="C1187" s="77" t="s">
        <v>54</v>
      </c>
      <c r="D1187" s="77" t="s">
        <v>5</v>
      </c>
      <c r="E1187" s="77" t="s">
        <v>679</v>
      </c>
      <c r="F1187" s="50" t="s">
        <v>382</v>
      </c>
      <c r="G1187" s="77">
        <v>8</v>
      </c>
      <c r="H1187" s="77" t="s">
        <v>18</v>
      </c>
      <c r="I1187" s="77" t="s">
        <v>26</v>
      </c>
      <c r="J1187" s="77">
        <v>1</v>
      </c>
      <c r="K1187" s="79">
        <f>AB1187/COUNTIFS($B:$B,$B1187,$C:$C,$C1187,$H:$H,$H1187,$I:$I,$I1187)</f>
        <v>0.1</v>
      </c>
      <c r="L1187" s="81">
        <f t="shared" si="71"/>
        <v>1</v>
      </c>
      <c r="M1187" s="83">
        <f t="shared" si="72"/>
        <v>0.1</v>
      </c>
      <c r="N1187" s="58"/>
      <c r="AA1187" s="146">
        <f>AB1187/COUNTIFS($B:$B,$B1187,$C:$C,$C1187,$H:$H,$H1187,$I:$I,$I1187)</f>
        <v>0.1</v>
      </c>
      <c r="AB1187" s="108">
        <f>VLOOKUP(I1187,'Weights and Confidence'!$D$16:$AC$26,9,FALSE)</f>
        <v>0.1</v>
      </c>
      <c r="AC1187" s="147">
        <f>VLOOKUP(I1187,'Weights and Confidence'!$D$16:$AC$26,10,FALSE)</f>
        <v>1</v>
      </c>
    </row>
    <row r="1188" spans="1:29" x14ac:dyDescent="0.2">
      <c r="A1188" s="76" t="s">
        <v>185</v>
      </c>
      <c r="B1188" s="76" t="s">
        <v>187</v>
      </c>
      <c r="C1188" s="76" t="s">
        <v>54</v>
      </c>
      <c r="D1188" s="76" t="s">
        <v>5</v>
      </c>
      <c r="E1188" s="76" t="s">
        <v>679</v>
      </c>
      <c r="F1188" s="51" t="s">
        <v>382</v>
      </c>
      <c r="G1188" s="76">
        <v>9</v>
      </c>
      <c r="H1188" s="76" t="s">
        <v>17</v>
      </c>
      <c r="I1188" s="76" t="s">
        <v>27</v>
      </c>
      <c r="J1188" s="76"/>
      <c r="K1188" s="78">
        <f>AB1188/COUNTIFS($B:$B,$B1188,$C:$C,$C1188,$H:$H,$H1188,$I:$I,$I1188)</f>
        <v>0.05</v>
      </c>
      <c r="L1188" s="80">
        <f t="shared" si="71"/>
        <v>0.85</v>
      </c>
      <c r="M1188" s="82">
        <f t="shared" si="72"/>
        <v>0</v>
      </c>
      <c r="N1188" s="59"/>
      <c r="AA1188" s="146">
        <f>AB1188/COUNTIFS($B:$B,$B1188,$C:$C,$C1188,$H:$H,$H1188,$I:$I,$I1188)</f>
        <v>0.05</v>
      </c>
      <c r="AB1188" s="108">
        <f>VLOOKUP(I1188,'Weights and Confidence'!$D$16:$AC$26,9,FALSE)</f>
        <v>0.1</v>
      </c>
      <c r="AC1188" s="147">
        <f>VLOOKUP(I1188,'Weights and Confidence'!$D$16:$AC$26,10,FALSE)</f>
        <v>0.85</v>
      </c>
    </row>
    <row r="1189" spans="1:29" x14ac:dyDescent="0.2">
      <c r="A1189" s="77" t="s">
        <v>185</v>
      </c>
      <c r="B1189" s="77" t="s">
        <v>187</v>
      </c>
      <c r="C1189" s="77" t="s">
        <v>54</v>
      </c>
      <c r="D1189" s="77" t="s">
        <v>5</v>
      </c>
      <c r="E1189" s="77" t="s">
        <v>679</v>
      </c>
      <c r="F1189" s="50" t="s">
        <v>382</v>
      </c>
      <c r="G1189" s="77">
        <v>9</v>
      </c>
      <c r="H1189" s="77" t="s">
        <v>18</v>
      </c>
      <c r="I1189" s="77" t="s">
        <v>27</v>
      </c>
      <c r="J1189" s="77"/>
      <c r="K1189" s="79">
        <f>AB1189/COUNTIFS($B:$B,$B1189,$C:$C,$C1189,$H:$H,$H1189,$I:$I,$I1189)</f>
        <v>0.05</v>
      </c>
      <c r="L1189" s="81">
        <f t="shared" si="71"/>
        <v>0.85</v>
      </c>
      <c r="M1189" s="83">
        <f t="shared" si="72"/>
        <v>0</v>
      </c>
      <c r="N1189" s="58"/>
      <c r="AA1189" s="146">
        <f>AB1189/COUNTIFS($B:$B,$B1189,$C:$C,$C1189,$H:$H,$H1189,$I:$I,$I1189)</f>
        <v>0.05</v>
      </c>
      <c r="AB1189" s="108">
        <f>VLOOKUP(I1189,'Weights and Confidence'!$D$16:$AC$26,9,FALSE)</f>
        <v>0.1</v>
      </c>
      <c r="AC1189" s="147">
        <f>VLOOKUP(I1189,'Weights and Confidence'!$D$16:$AC$26,10,FALSE)</f>
        <v>0.85</v>
      </c>
    </row>
    <row r="1190" spans="1:29" x14ac:dyDescent="0.2">
      <c r="A1190" s="76" t="s">
        <v>185</v>
      </c>
      <c r="B1190" s="76" t="s">
        <v>187</v>
      </c>
      <c r="C1190" s="76" t="s">
        <v>54</v>
      </c>
      <c r="D1190" s="76" t="s">
        <v>5</v>
      </c>
      <c r="E1190" s="76" t="s">
        <v>679</v>
      </c>
      <c r="F1190" s="51" t="s">
        <v>382</v>
      </c>
      <c r="G1190" s="76">
        <v>10</v>
      </c>
      <c r="H1190" s="76" t="s">
        <v>17</v>
      </c>
      <c r="I1190" s="76" t="s">
        <v>27</v>
      </c>
      <c r="J1190" s="76"/>
      <c r="K1190" s="78">
        <f>AB1190/COUNTIFS($B:$B,$B1190,$C:$C,$C1190,$H:$H,$H1190,$I:$I,$I1190)</f>
        <v>0.05</v>
      </c>
      <c r="L1190" s="80">
        <f t="shared" si="71"/>
        <v>0.85</v>
      </c>
      <c r="M1190" s="82">
        <f t="shared" si="72"/>
        <v>0</v>
      </c>
      <c r="N1190" s="59"/>
      <c r="AA1190" s="146">
        <f>AB1190/COUNTIFS($B:$B,$B1190,$C:$C,$C1190,$H:$H,$H1190,$I:$I,$I1190)</f>
        <v>0.05</v>
      </c>
      <c r="AB1190" s="108">
        <f>VLOOKUP(I1190,'Weights and Confidence'!$D$16:$AC$26,9,FALSE)</f>
        <v>0.1</v>
      </c>
      <c r="AC1190" s="147">
        <f>VLOOKUP(I1190,'Weights and Confidence'!$D$16:$AC$26,10,FALSE)</f>
        <v>0.85</v>
      </c>
    </row>
    <row r="1191" spans="1:29" x14ac:dyDescent="0.2">
      <c r="A1191" s="77" t="s">
        <v>185</v>
      </c>
      <c r="B1191" s="77" t="s">
        <v>187</v>
      </c>
      <c r="C1191" s="77" t="s">
        <v>54</v>
      </c>
      <c r="D1191" s="77" t="s">
        <v>5</v>
      </c>
      <c r="E1191" s="77" t="s">
        <v>679</v>
      </c>
      <c r="F1191" s="50" t="s">
        <v>382</v>
      </c>
      <c r="G1191" s="77">
        <v>10</v>
      </c>
      <c r="H1191" s="77" t="s">
        <v>18</v>
      </c>
      <c r="I1191" s="77" t="s">
        <v>27</v>
      </c>
      <c r="J1191" s="77"/>
      <c r="K1191" s="79">
        <f>AB1191/COUNTIFS($B:$B,$B1191,$C:$C,$C1191,$H:$H,$H1191,$I:$I,$I1191)</f>
        <v>0.05</v>
      </c>
      <c r="L1191" s="81">
        <f t="shared" si="71"/>
        <v>0.85</v>
      </c>
      <c r="M1191" s="83">
        <f t="shared" si="72"/>
        <v>0</v>
      </c>
      <c r="N1191" s="58"/>
      <c r="AA1191" s="146">
        <f>AB1191/COUNTIFS($B:$B,$B1191,$C:$C,$C1191,$H:$H,$H1191,$I:$I,$I1191)</f>
        <v>0.05</v>
      </c>
      <c r="AB1191" s="108">
        <f>VLOOKUP(I1191,'Weights and Confidence'!$D$16:$AC$26,9,FALSE)</f>
        <v>0.1</v>
      </c>
      <c r="AC1191" s="147">
        <f>VLOOKUP(I1191,'Weights and Confidence'!$D$16:$AC$26,10,FALSE)</f>
        <v>0.85</v>
      </c>
    </row>
    <row r="1192" spans="1:29" x14ac:dyDescent="0.2">
      <c r="A1192" s="76" t="s">
        <v>185</v>
      </c>
      <c r="B1192" s="76" t="s">
        <v>187</v>
      </c>
      <c r="C1192" s="76" t="s">
        <v>54</v>
      </c>
      <c r="D1192" s="76" t="s">
        <v>5</v>
      </c>
      <c r="E1192" s="76" t="s">
        <v>679</v>
      </c>
      <c r="F1192" s="51" t="s">
        <v>382</v>
      </c>
      <c r="G1192" s="76">
        <v>11</v>
      </c>
      <c r="H1192" s="76" t="s">
        <v>17</v>
      </c>
      <c r="I1192" s="76" t="s">
        <v>28</v>
      </c>
      <c r="J1192" s="76">
        <v>1</v>
      </c>
      <c r="K1192" s="78">
        <f>AB1192/COUNTIFS($B:$B,$B1192,$C:$C,$C1192,$H:$H,$H1192,$I:$I,$I1192)</f>
        <v>0.05</v>
      </c>
      <c r="L1192" s="80">
        <f t="shared" si="71"/>
        <v>1</v>
      </c>
      <c r="M1192" s="82">
        <f t="shared" si="72"/>
        <v>0.05</v>
      </c>
      <c r="N1192" s="59"/>
      <c r="AA1192" s="146">
        <f>AB1192/COUNTIFS($B:$B,$B1192,$C:$C,$C1192,$H:$H,$H1192,$I:$I,$I1192)</f>
        <v>0.05</v>
      </c>
      <c r="AB1192" s="108">
        <f>VLOOKUP(I1192,'Weights and Confidence'!$D$16:$AC$26,9,FALSE)</f>
        <v>0.05</v>
      </c>
      <c r="AC1192" s="147">
        <f>VLOOKUP(I1192,'Weights and Confidence'!$D$16:$AC$26,10,FALSE)</f>
        <v>1</v>
      </c>
    </row>
    <row r="1193" spans="1:29" ht="17" thickBot="1" x14ac:dyDescent="0.25">
      <c r="A1193" s="92" t="s">
        <v>185</v>
      </c>
      <c r="B1193" s="92" t="s">
        <v>187</v>
      </c>
      <c r="C1193" s="92" t="s">
        <v>54</v>
      </c>
      <c r="D1193" s="92" t="s">
        <v>5</v>
      </c>
      <c r="E1193" s="92" t="s">
        <v>679</v>
      </c>
      <c r="F1193" s="93" t="s">
        <v>382</v>
      </c>
      <c r="G1193" s="92">
        <v>11</v>
      </c>
      <c r="H1193" s="92" t="s">
        <v>18</v>
      </c>
      <c r="I1193" s="92" t="s">
        <v>28</v>
      </c>
      <c r="J1193" s="92">
        <v>0</v>
      </c>
      <c r="K1193" s="94">
        <f>AB1193/COUNTIFS($B:$B,$B1193,$C:$C,$C1193,$H:$H,$H1193,$I:$I,$I1193)</f>
        <v>0.05</v>
      </c>
      <c r="L1193" s="95">
        <f t="shared" si="71"/>
        <v>1</v>
      </c>
      <c r="M1193" s="96">
        <f t="shared" si="72"/>
        <v>0</v>
      </c>
      <c r="N1193" s="22"/>
      <c r="AA1193" s="140">
        <f>AB1193/COUNTIFS($B:$B,$B1193,$C:$C,$C1193,$H:$H,$H1193,$I:$I,$I1193)</f>
        <v>0.05</v>
      </c>
      <c r="AB1193" s="141">
        <f>VLOOKUP(I1193,'Weights and Confidence'!$D$16:$AC$26,9,FALSE)</f>
        <v>0.05</v>
      </c>
      <c r="AC1193" s="142">
        <f>VLOOKUP(I1193,'Weights and Confidence'!$D$16:$AC$26,10,FALSE)</f>
        <v>1</v>
      </c>
    </row>
    <row r="1194" spans="1:29" ht="17" thickTop="1" x14ac:dyDescent="0.2">
      <c r="A1194" s="64" t="s">
        <v>185</v>
      </c>
      <c r="B1194" s="64" t="s">
        <v>187</v>
      </c>
      <c r="C1194" s="64" t="s">
        <v>59</v>
      </c>
      <c r="D1194" s="64" t="s">
        <v>5</v>
      </c>
      <c r="E1194" s="64" t="s">
        <v>103</v>
      </c>
      <c r="F1194" s="18" t="s">
        <v>60</v>
      </c>
      <c r="G1194" s="64">
        <v>1</v>
      </c>
      <c r="H1194" s="64" t="s">
        <v>17</v>
      </c>
      <c r="I1194" s="64" t="s">
        <v>19</v>
      </c>
      <c r="J1194" s="64">
        <v>1</v>
      </c>
      <c r="K1194" s="65">
        <f>AB1194/COUNTIFS($B:$B,$B1194,$C:$C,$C1194,$H:$H,$H1194,$I:$I,$I1194)</f>
        <v>0.12</v>
      </c>
      <c r="L1194" s="66">
        <f t="shared" si="71"/>
        <v>1</v>
      </c>
      <c r="M1194" s="67">
        <f t="shared" ref="M1194:M1215" si="73">J1194*K1194*L1194</f>
        <v>0.12</v>
      </c>
      <c r="N1194" s="64"/>
      <c r="AA1194" s="146">
        <f>AB1194/COUNTIFS($B:$B,$B1194,$C:$C,$C1194,$H:$H,$H1194,$I:$I,$I1194)</f>
        <v>0.12</v>
      </c>
      <c r="AB1194" s="108">
        <f>VLOOKUP(I1194,'Weights and Confidence'!$D$16:$AC$26,9,FALSE)</f>
        <v>0.12</v>
      </c>
      <c r="AC1194" s="147">
        <f>VLOOKUP(I1194,'Weights and Confidence'!$D$16:$AC$26,10,FALSE)</f>
        <v>1</v>
      </c>
    </row>
    <row r="1195" spans="1:29" ht="17" thickBot="1" x14ac:dyDescent="0.25">
      <c r="A1195" s="34" t="s">
        <v>185</v>
      </c>
      <c r="B1195" s="34" t="s">
        <v>187</v>
      </c>
      <c r="C1195" s="34" t="s">
        <v>59</v>
      </c>
      <c r="D1195" s="34" t="s">
        <v>5</v>
      </c>
      <c r="E1195" s="34" t="s">
        <v>103</v>
      </c>
      <c r="F1195" s="50" t="s">
        <v>60</v>
      </c>
      <c r="G1195" s="34">
        <v>1</v>
      </c>
      <c r="H1195" s="34" t="s">
        <v>18</v>
      </c>
      <c r="I1195" s="34" t="s">
        <v>19</v>
      </c>
      <c r="J1195" s="34">
        <v>0</v>
      </c>
      <c r="K1195" s="35">
        <f>AB1195/COUNTIFS($B:$B,$B1195,$C:$C,$C1195,$H:$H,$H1195,$I:$I,$I1195)</f>
        <v>0.12</v>
      </c>
      <c r="L1195" s="36">
        <f t="shared" si="71"/>
        <v>1</v>
      </c>
      <c r="M1195" s="37">
        <f t="shared" si="73"/>
        <v>0</v>
      </c>
      <c r="N1195" s="17"/>
      <c r="AA1195" s="146">
        <f>AB1195/COUNTIFS($B:$B,$B1195,$C:$C,$C1195,$H:$H,$H1195,$I:$I,$I1195)</f>
        <v>0.12</v>
      </c>
      <c r="AB1195" s="108">
        <f>VLOOKUP(I1195,'Weights and Confidence'!$D$16:$AC$26,9,FALSE)</f>
        <v>0.12</v>
      </c>
      <c r="AC1195" s="147">
        <f>VLOOKUP(I1195,'Weights and Confidence'!$D$16:$AC$26,10,FALSE)</f>
        <v>1</v>
      </c>
    </row>
    <row r="1196" spans="1:29" x14ac:dyDescent="0.2">
      <c r="A1196" s="38" t="s">
        <v>185</v>
      </c>
      <c r="B1196" s="38" t="s">
        <v>187</v>
      </c>
      <c r="C1196" s="38" t="s">
        <v>59</v>
      </c>
      <c r="D1196" s="38" t="s">
        <v>5</v>
      </c>
      <c r="E1196" s="38" t="s">
        <v>103</v>
      </c>
      <c r="F1196" s="51" t="s">
        <v>60</v>
      </c>
      <c r="G1196" s="38">
        <v>2</v>
      </c>
      <c r="H1196" s="38" t="s">
        <v>17</v>
      </c>
      <c r="I1196" s="38" t="s">
        <v>20</v>
      </c>
      <c r="J1196" s="38">
        <v>1</v>
      </c>
      <c r="K1196" s="39">
        <f>AB1196/COUNTIFS($B:$B,$B1196,$C:$C,$C1196,$H:$H,$H1196,$I:$I,$I1196)</f>
        <v>0.08</v>
      </c>
      <c r="L1196" s="40">
        <f t="shared" si="71"/>
        <v>0.8</v>
      </c>
      <c r="M1196" s="41">
        <f t="shared" si="73"/>
        <v>6.4000000000000001E-2</v>
      </c>
      <c r="N1196" s="38"/>
      <c r="P1196" s="24" t="s">
        <v>387</v>
      </c>
      <c r="Q1196" s="10"/>
      <c r="R1196" s="10"/>
      <c r="S1196" s="10"/>
      <c r="T1196" s="10"/>
      <c r="U1196" s="10"/>
      <c r="V1196" s="10"/>
      <c r="AA1196" s="146">
        <f>AB1196/COUNTIFS($B:$B,$B1196,$C:$C,$C1196,$H:$H,$H1196,$I:$I,$I1196)</f>
        <v>0.08</v>
      </c>
      <c r="AB1196" s="108">
        <f>VLOOKUP(I1196,'Weights and Confidence'!$D$16:$AC$26,9,FALSE)</f>
        <v>0.08</v>
      </c>
      <c r="AC1196" s="147">
        <f>VLOOKUP(I1196,'Weights and Confidence'!$D$16:$AC$26,10,FALSE)</f>
        <v>0.8</v>
      </c>
    </row>
    <row r="1197" spans="1:29" x14ac:dyDescent="0.2">
      <c r="A1197" s="34" t="s">
        <v>185</v>
      </c>
      <c r="B1197" s="34" t="s">
        <v>187</v>
      </c>
      <c r="C1197" s="34" t="s">
        <v>59</v>
      </c>
      <c r="D1197" s="34" t="s">
        <v>5</v>
      </c>
      <c r="E1197" s="34" t="s">
        <v>103</v>
      </c>
      <c r="F1197" s="50" t="s">
        <v>60</v>
      </c>
      <c r="G1197" s="34">
        <v>2</v>
      </c>
      <c r="H1197" s="34" t="s">
        <v>18</v>
      </c>
      <c r="I1197" s="34" t="s">
        <v>20</v>
      </c>
      <c r="J1197" s="34">
        <v>1</v>
      </c>
      <c r="K1197" s="35">
        <f>AB1197/COUNTIFS($B:$B,$B1197,$C:$C,$C1197,$H:$H,$H1197,$I:$I,$I1197)</f>
        <v>0.08</v>
      </c>
      <c r="L1197" s="36">
        <f t="shared" si="71"/>
        <v>0.8</v>
      </c>
      <c r="M1197" s="37">
        <f t="shared" si="73"/>
        <v>6.4000000000000001E-2</v>
      </c>
      <c r="N1197" s="58"/>
      <c r="P1197" s="25" t="s">
        <v>388</v>
      </c>
      <c r="Q1197" s="75"/>
      <c r="R1197" s="75"/>
      <c r="S1197" s="75"/>
      <c r="T1197" s="75"/>
      <c r="U1197" s="75"/>
      <c r="V1197" s="75"/>
      <c r="AA1197" s="146">
        <f>AB1197/COUNTIFS($B:$B,$B1197,$C:$C,$C1197,$H:$H,$H1197,$I:$I,$I1197)</f>
        <v>0.08</v>
      </c>
      <c r="AB1197" s="108">
        <f>VLOOKUP(I1197,'Weights and Confidence'!$D$16:$AC$26,9,FALSE)</f>
        <v>0.08</v>
      </c>
      <c r="AC1197" s="147">
        <f>VLOOKUP(I1197,'Weights and Confidence'!$D$16:$AC$26,10,FALSE)</f>
        <v>0.8</v>
      </c>
    </row>
    <row r="1198" spans="1:29" x14ac:dyDescent="0.2">
      <c r="A1198" s="38" t="s">
        <v>185</v>
      </c>
      <c r="B1198" s="38" t="s">
        <v>187</v>
      </c>
      <c r="C1198" s="38" t="s">
        <v>59</v>
      </c>
      <c r="D1198" s="38" t="s">
        <v>5</v>
      </c>
      <c r="E1198" s="38" t="s">
        <v>103</v>
      </c>
      <c r="F1198" s="51" t="s">
        <v>60</v>
      </c>
      <c r="G1198" s="38">
        <v>3</v>
      </c>
      <c r="H1198" s="38" t="s">
        <v>17</v>
      </c>
      <c r="I1198" s="38" t="s">
        <v>21</v>
      </c>
      <c r="J1198" s="38">
        <v>0</v>
      </c>
      <c r="K1198" s="39">
        <f>AB1198/COUNTIFS($B:$B,$B1198,$C:$C,$C1198,$H:$H,$H1198,$I:$I,$I1198)</f>
        <v>0.05</v>
      </c>
      <c r="L1198" s="40">
        <f t="shared" si="71"/>
        <v>1</v>
      </c>
      <c r="M1198" s="41">
        <f t="shared" si="73"/>
        <v>0</v>
      </c>
      <c r="N1198" s="38"/>
      <c r="P1198" s="25" t="s">
        <v>389</v>
      </c>
      <c r="Q1198" s="75"/>
      <c r="R1198" s="75"/>
      <c r="S1198" s="75"/>
      <c r="T1198" s="75"/>
      <c r="U1198" s="75"/>
      <c r="V1198" s="75"/>
      <c r="AA1198" s="146">
        <f>AB1198/COUNTIFS($B:$B,$B1198,$C:$C,$C1198,$H:$H,$H1198,$I:$I,$I1198)</f>
        <v>0.05</v>
      </c>
      <c r="AB1198" s="108">
        <f>VLOOKUP(I1198,'Weights and Confidence'!$D$16:$AC$26,9,FALSE)</f>
        <v>0.05</v>
      </c>
      <c r="AC1198" s="147">
        <f>VLOOKUP(I1198,'Weights and Confidence'!$D$16:$AC$26,10,FALSE)</f>
        <v>1</v>
      </c>
    </row>
    <row r="1199" spans="1:29" x14ac:dyDescent="0.2">
      <c r="A1199" s="34" t="s">
        <v>185</v>
      </c>
      <c r="B1199" s="34" t="s">
        <v>187</v>
      </c>
      <c r="C1199" s="34" t="s">
        <v>59</v>
      </c>
      <c r="D1199" s="34" t="s">
        <v>5</v>
      </c>
      <c r="E1199" s="34" t="s">
        <v>103</v>
      </c>
      <c r="F1199" s="50" t="s">
        <v>60</v>
      </c>
      <c r="G1199" s="34">
        <v>3</v>
      </c>
      <c r="H1199" s="34" t="s">
        <v>18</v>
      </c>
      <c r="I1199" s="34" t="s">
        <v>21</v>
      </c>
      <c r="J1199" s="34">
        <v>1</v>
      </c>
      <c r="K1199" s="35">
        <f>AB1199/COUNTIFS($B:$B,$B1199,$C:$C,$C1199,$H:$H,$H1199,$I:$I,$I1199)</f>
        <v>0.05</v>
      </c>
      <c r="L1199" s="36">
        <f t="shared" si="71"/>
        <v>1</v>
      </c>
      <c r="M1199" s="37">
        <f t="shared" si="73"/>
        <v>0.05</v>
      </c>
      <c r="N1199" s="17"/>
      <c r="P1199" s="25" t="s">
        <v>390</v>
      </c>
      <c r="Q1199" s="75"/>
      <c r="R1199" s="75"/>
      <c r="S1199" s="75"/>
      <c r="T1199" s="75"/>
      <c r="U1199" s="75"/>
      <c r="V1199" s="75"/>
      <c r="AA1199" s="146">
        <f>AB1199/COUNTIFS($B:$B,$B1199,$C:$C,$C1199,$H:$H,$H1199,$I:$I,$I1199)</f>
        <v>0.05</v>
      </c>
      <c r="AB1199" s="108">
        <f>VLOOKUP(I1199,'Weights and Confidence'!$D$16:$AC$26,9,FALSE)</f>
        <v>0.05</v>
      </c>
      <c r="AC1199" s="147">
        <f>VLOOKUP(I1199,'Weights and Confidence'!$D$16:$AC$26,10,FALSE)</f>
        <v>1</v>
      </c>
    </row>
    <row r="1200" spans="1:29" x14ac:dyDescent="0.2">
      <c r="A1200" s="38" t="s">
        <v>185</v>
      </c>
      <c r="B1200" s="38" t="s">
        <v>187</v>
      </c>
      <c r="C1200" s="38" t="s">
        <v>59</v>
      </c>
      <c r="D1200" s="38" t="s">
        <v>5</v>
      </c>
      <c r="E1200" s="38" t="s">
        <v>103</v>
      </c>
      <c r="F1200" s="51" t="s">
        <v>60</v>
      </c>
      <c r="G1200" s="38">
        <v>4</v>
      </c>
      <c r="H1200" s="38" t="s">
        <v>17</v>
      </c>
      <c r="I1200" s="38" t="s">
        <v>22</v>
      </c>
      <c r="J1200" s="38">
        <v>0</v>
      </c>
      <c r="K1200" s="39">
        <f>AB1200/COUNTIFS($B:$B,$B1200,$C:$C,$C1200,$H:$H,$H1200,$I:$I,$I1200)</f>
        <v>0.14000000000000001</v>
      </c>
      <c r="L1200" s="40">
        <f t="shared" si="71"/>
        <v>1</v>
      </c>
      <c r="M1200" s="41">
        <f t="shared" si="73"/>
        <v>0</v>
      </c>
      <c r="N1200" s="38"/>
      <c r="P1200" s="25" t="s">
        <v>391</v>
      </c>
      <c r="Q1200" s="75"/>
      <c r="R1200" s="75"/>
      <c r="S1200" s="75"/>
      <c r="T1200" s="75"/>
      <c r="U1200" s="75"/>
      <c r="V1200" s="75"/>
      <c r="AA1200" s="146">
        <f>AB1200/COUNTIFS($B:$B,$B1200,$C:$C,$C1200,$H:$H,$H1200,$I:$I,$I1200)</f>
        <v>0.14000000000000001</v>
      </c>
      <c r="AB1200" s="108">
        <f>VLOOKUP(I1200,'Weights and Confidence'!$D$16:$AC$26,9,FALSE)</f>
        <v>0.14000000000000001</v>
      </c>
      <c r="AC1200" s="147">
        <f>VLOOKUP(I1200,'Weights and Confidence'!$D$16:$AC$26,10,FALSE)</f>
        <v>1</v>
      </c>
    </row>
    <row r="1201" spans="1:29" x14ac:dyDescent="0.2">
      <c r="A1201" s="34" t="s">
        <v>185</v>
      </c>
      <c r="B1201" s="34" t="s">
        <v>187</v>
      </c>
      <c r="C1201" s="34" t="s">
        <v>59</v>
      </c>
      <c r="D1201" s="34" t="s">
        <v>5</v>
      </c>
      <c r="E1201" s="34" t="s">
        <v>103</v>
      </c>
      <c r="F1201" s="50" t="s">
        <v>60</v>
      </c>
      <c r="G1201" s="34">
        <v>4</v>
      </c>
      <c r="H1201" s="34" t="s">
        <v>18</v>
      </c>
      <c r="I1201" s="34" t="s">
        <v>22</v>
      </c>
      <c r="J1201" s="34">
        <v>0</v>
      </c>
      <c r="K1201" s="35">
        <f>AB1201/COUNTIFS($B:$B,$B1201,$C:$C,$C1201,$H:$H,$H1201,$I:$I,$I1201)</f>
        <v>0.14000000000000001</v>
      </c>
      <c r="L1201" s="36">
        <f t="shared" si="71"/>
        <v>1</v>
      </c>
      <c r="M1201" s="37">
        <f t="shared" si="73"/>
        <v>0</v>
      </c>
      <c r="N1201" s="17"/>
      <c r="P1201" s="25" t="s">
        <v>392</v>
      </c>
      <c r="Q1201" s="75"/>
      <c r="R1201" s="75"/>
      <c r="S1201" s="75"/>
      <c r="T1201" s="75"/>
      <c r="U1201" s="75"/>
      <c r="V1201" s="75"/>
      <c r="AA1201" s="146">
        <f>AB1201/COUNTIFS($B:$B,$B1201,$C:$C,$C1201,$H:$H,$H1201,$I:$I,$I1201)</f>
        <v>0.14000000000000001</v>
      </c>
      <c r="AB1201" s="108">
        <f>VLOOKUP(I1201,'Weights and Confidence'!$D$16:$AC$26,9,FALSE)</f>
        <v>0.14000000000000001</v>
      </c>
      <c r="AC1201" s="147">
        <f>VLOOKUP(I1201,'Weights and Confidence'!$D$16:$AC$26,10,FALSE)</f>
        <v>1</v>
      </c>
    </row>
    <row r="1202" spans="1:29" ht="17" thickBot="1" x14ac:dyDescent="0.25">
      <c r="A1202" s="38" t="s">
        <v>185</v>
      </c>
      <c r="B1202" s="38" t="s">
        <v>187</v>
      </c>
      <c r="C1202" s="38" t="s">
        <v>59</v>
      </c>
      <c r="D1202" s="38" t="s">
        <v>5</v>
      </c>
      <c r="E1202" s="38" t="s">
        <v>103</v>
      </c>
      <c r="F1202" s="51" t="s">
        <v>60</v>
      </c>
      <c r="G1202" s="38">
        <v>5</v>
      </c>
      <c r="H1202" s="38" t="s">
        <v>17</v>
      </c>
      <c r="I1202" s="38" t="s">
        <v>23</v>
      </c>
      <c r="J1202" s="38">
        <v>0</v>
      </c>
      <c r="K1202" s="39">
        <f>AB1202/COUNTIFS($B:$B,$B1202,$C:$C,$C1202,$H:$H,$H1202,$I:$I,$I1202)</f>
        <v>0.11</v>
      </c>
      <c r="L1202" s="40">
        <f t="shared" si="71"/>
        <v>1</v>
      </c>
      <c r="M1202" s="41">
        <f t="shared" si="73"/>
        <v>0</v>
      </c>
      <c r="N1202" s="38"/>
      <c r="P1202" s="26" t="s">
        <v>393</v>
      </c>
      <c r="Q1202" s="2"/>
      <c r="R1202" s="2"/>
      <c r="S1202" s="2"/>
      <c r="T1202" s="2"/>
      <c r="U1202" s="2"/>
      <c r="V1202" s="2"/>
      <c r="AA1202" s="146">
        <f>AB1202/COUNTIFS($B:$B,$B1202,$C:$C,$C1202,$H:$H,$H1202,$I:$I,$I1202)</f>
        <v>0.11</v>
      </c>
      <c r="AB1202" s="108">
        <f>VLOOKUP(I1202,'Weights and Confidence'!$D$16:$AC$26,9,FALSE)</f>
        <v>0.11</v>
      </c>
      <c r="AC1202" s="147">
        <f>VLOOKUP(I1202,'Weights and Confidence'!$D$16:$AC$26,10,FALSE)</f>
        <v>1</v>
      </c>
    </row>
    <row r="1203" spans="1:29" x14ac:dyDescent="0.2">
      <c r="A1203" s="34" t="s">
        <v>185</v>
      </c>
      <c r="B1203" s="34" t="s">
        <v>187</v>
      </c>
      <c r="C1203" s="34" t="s">
        <v>59</v>
      </c>
      <c r="D1203" s="34" t="s">
        <v>5</v>
      </c>
      <c r="E1203" s="34" t="s">
        <v>103</v>
      </c>
      <c r="F1203" s="50" t="s">
        <v>60</v>
      </c>
      <c r="G1203" s="34">
        <v>5</v>
      </c>
      <c r="H1203" s="34" t="s">
        <v>18</v>
      </c>
      <c r="I1203" s="34" t="s">
        <v>23</v>
      </c>
      <c r="J1203" s="34">
        <v>0</v>
      </c>
      <c r="K1203" s="35">
        <f>AB1203/COUNTIFS($B:$B,$B1203,$C:$C,$C1203,$H:$H,$H1203,$I:$I,$I1203)</f>
        <v>0.11</v>
      </c>
      <c r="L1203" s="36">
        <f t="shared" si="71"/>
        <v>1</v>
      </c>
      <c r="M1203" s="37">
        <f t="shared" si="73"/>
        <v>0</v>
      </c>
      <c r="N1203" s="17"/>
      <c r="AA1203" s="146">
        <f>AB1203/COUNTIFS($B:$B,$B1203,$C:$C,$C1203,$H:$H,$H1203,$I:$I,$I1203)</f>
        <v>0.11</v>
      </c>
      <c r="AB1203" s="108">
        <f>VLOOKUP(I1203,'Weights and Confidence'!$D$16:$AC$26,9,FALSE)</f>
        <v>0.11</v>
      </c>
      <c r="AC1203" s="147">
        <f>VLOOKUP(I1203,'Weights and Confidence'!$D$16:$AC$26,10,FALSE)</f>
        <v>1</v>
      </c>
    </row>
    <row r="1204" spans="1:29" x14ac:dyDescent="0.2">
      <c r="A1204" s="38" t="s">
        <v>185</v>
      </c>
      <c r="B1204" s="38" t="s">
        <v>187</v>
      </c>
      <c r="C1204" s="38" t="s">
        <v>59</v>
      </c>
      <c r="D1204" s="38" t="s">
        <v>5</v>
      </c>
      <c r="E1204" s="38" t="s">
        <v>103</v>
      </c>
      <c r="F1204" s="51" t="s">
        <v>60</v>
      </c>
      <c r="G1204" s="38">
        <v>6</v>
      </c>
      <c r="H1204" s="38" t="s">
        <v>17</v>
      </c>
      <c r="I1204" s="38" t="s">
        <v>24</v>
      </c>
      <c r="J1204" s="38">
        <v>0</v>
      </c>
      <c r="K1204" s="39">
        <f>AB1204/COUNTIFS($B:$B,$B1204,$C:$C,$C1204,$H:$H,$H1204,$I:$I,$I1204)</f>
        <v>0.15</v>
      </c>
      <c r="L1204" s="40">
        <f t="shared" si="71"/>
        <v>1</v>
      </c>
      <c r="M1204" s="41">
        <f t="shared" si="73"/>
        <v>0</v>
      </c>
      <c r="N1204" s="59"/>
      <c r="AA1204" s="146">
        <f>AB1204/COUNTIFS($B:$B,$B1204,$C:$C,$C1204,$H:$H,$H1204,$I:$I,$I1204)</f>
        <v>0.15</v>
      </c>
      <c r="AB1204" s="108">
        <f>VLOOKUP(I1204,'Weights and Confidence'!$D$16:$AC$26,9,FALSE)</f>
        <v>0.15</v>
      </c>
      <c r="AC1204" s="147">
        <f>VLOOKUP(I1204,'Weights and Confidence'!$D$16:$AC$26,10,FALSE)</f>
        <v>1</v>
      </c>
    </row>
    <row r="1205" spans="1:29" x14ac:dyDescent="0.2">
      <c r="A1205" s="34" t="s">
        <v>185</v>
      </c>
      <c r="B1205" s="34" t="s">
        <v>187</v>
      </c>
      <c r="C1205" s="34" t="s">
        <v>59</v>
      </c>
      <c r="D1205" s="34" t="s">
        <v>5</v>
      </c>
      <c r="E1205" s="34" t="s">
        <v>103</v>
      </c>
      <c r="F1205" s="50" t="s">
        <v>60</v>
      </c>
      <c r="G1205" s="34">
        <v>6</v>
      </c>
      <c r="H1205" s="34" t="s">
        <v>18</v>
      </c>
      <c r="I1205" s="34" t="s">
        <v>24</v>
      </c>
      <c r="J1205" s="34">
        <v>0</v>
      </c>
      <c r="K1205" s="35">
        <f>AB1205/COUNTIFS($B:$B,$B1205,$C:$C,$C1205,$H:$H,$H1205,$I:$I,$I1205)</f>
        <v>0.15</v>
      </c>
      <c r="L1205" s="36">
        <f t="shared" si="71"/>
        <v>1</v>
      </c>
      <c r="M1205" s="37">
        <f t="shared" si="73"/>
        <v>0</v>
      </c>
      <c r="N1205" s="17"/>
      <c r="AA1205" s="146">
        <f>AB1205/COUNTIFS($B:$B,$B1205,$C:$C,$C1205,$H:$H,$H1205,$I:$I,$I1205)</f>
        <v>0.15</v>
      </c>
      <c r="AB1205" s="108">
        <f>VLOOKUP(I1205,'Weights and Confidence'!$D$16:$AC$26,9,FALSE)</f>
        <v>0.15</v>
      </c>
      <c r="AC1205" s="147">
        <f>VLOOKUP(I1205,'Weights and Confidence'!$D$16:$AC$26,10,FALSE)</f>
        <v>1</v>
      </c>
    </row>
    <row r="1206" spans="1:29" x14ac:dyDescent="0.2">
      <c r="A1206" s="38" t="s">
        <v>185</v>
      </c>
      <c r="B1206" s="38" t="s">
        <v>187</v>
      </c>
      <c r="C1206" s="38" t="s">
        <v>59</v>
      </c>
      <c r="D1206" s="38" t="s">
        <v>5</v>
      </c>
      <c r="E1206" s="38" t="s">
        <v>103</v>
      </c>
      <c r="F1206" s="51" t="s">
        <v>60</v>
      </c>
      <c r="G1206" s="38">
        <v>7</v>
      </c>
      <c r="H1206" s="38" t="s">
        <v>17</v>
      </c>
      <c r="I1206" s="38" t="s">
        <v>25</v>
      </c>
      <c r="J1206" s="38">
        <v>0</v>
      </c>
      <c r="K1206" s="39">
        <f>AB1206/COUNTIFS($B:$B,$B1206,$C:$C,$C1206,$H:$H,$H1206,$I:$I,$I1206)</f>
        <v>0.1</v>
      </c>
      <c r="L1206" s="40">
        <f t="shared" si="71"/>
        <v>1</v>
      </c>
      <c r="M1206" s="41">
        <f t="shared" si="73"/>
        <v>0</v>
      </c>
      <c r="N1206" s="38"/>
      <c r="AA1206" s="146">
        <f>AB1206/COUNTIFS($B:$B,$B1206,$C:$C,$C1206,$H:$H,$H1206,$I:$I,$I1206)</f>
        <v>0.1</v>
      </c>
      <c r="AB1206" s="108">
        <f>VLOOKUP(I1206,'Weights and Confidence'!$D$16:$AC$26,9,FALSE)</f>
        <v>0.1</v>
      </c>
      <c r="AC1206" s="147">
        <f>VLOOKUP(I1206,'Weights and Confidence'!$D$16:$AC$26,10,FALSE)</f>
        <v>1</v>
      </c>
    </row>
    <row r="1207" spans="1:29" x14ac:dyDescent="0.2">
      <c r="A1207" s="34" t="s">
        <v>185</v>
      </c>
      <c r="B1207" s="34" t="s">
        <v>187</v>
      </c>
      <c r="C1207" s="34" t="s">
        <v>59</v>
      </c>
      <c r="D1207" s="34" t="s">
        <v>5</v>
      </c>
      <c r="E1207" s="34" t="s">
        <v>103</v>
      </c>
      <c r="F1207" s="50" t="s">
        <v>60</v>
      </c>
      <c r="G1207" s="34">
        <v>7</v>
      </c>
      <c r="H1207" s="34" t="s">
        <v>18</v>
      </c>
      <c r="I1207" s="34" t="s">
        <v>25</v>
      </c>
      <c r="J1207" s="34">
        <v>1</v>
      </c>
      <c r="K1207" s="35">
        <f>AB1207/COUNTIFS($B:$B,$B1207,$C:$C,$C1207,$H:$H,$H1207,$I:$I,$I1207)</f>
        <v>0.1</v>
      </c>
      <c r="L1207" s="36">
        <f t="shared" si="71"/>
        <v>1</v>
      </c>
      <c r="M1207" s="37">
        <f t="shared" si="73"/>
        <v>0.1</v>
      </c>
      <c r="N1207" s="17"/>
      <c r="AA1207" s="146">
        <f>AB1207/COUNTIFS($B:$B,$B1207,$C:$C,$C1207,$H:$H,$H1207,$I:$I,$I1207)</f>
        <v>0.1</v>
      </c>
      <c r="AB1207" s="108">
        <f>VLOOKUP(I1207,'Weights and Confidence'!$D$16:$AC$26,9,FALSE)</f>
        <v>0.1</v>
      </c>
      <c r="AC1207" s="147">
        <f>VLOOKUP(I1207,'Weights and Confidence'!$D$16:$AC$26,10,FALSE)</f>
        <v>1</v>
      </c>
    </row>
    <row r="1208" spans="1:29" x14ac:dyDescent="0.2">
      <c r="A1208" s="38" t="s">
        <v>185</v>
      </c>
      <c r="B1208" s="38" t="s">
        <v>187</v>
      </c>
      <c r="C1208" s="38" t="s">
        <v>59</v>
      </c>
      <c r="D1208" s="38" t="s">
        <v>5</v>
      </c>
      <c r="E1208" s="38" t="s">
        <v>103</v>
      </c>
      <c r="F1208" s="51" t="s">
        <v>60</v>
      </c>
      <c r="G1208" s="38">
        <v>8</v>
      </c>
      <c r="H1208" s="38" t="s">
        <v>17</v>
      </c>
      <c r="I1208" s="38" t="s">
        <v>26</v>
      </c>
      <c r="J1208" s="38">
        <v>0</v>
      </c>
      <c r="K1208" s="39">
        <f>AB1208/COUNTIFS($B:$B,$B1208,$C:$C,$C1208,$H:$H,$H1208,$I:$I,$I1208)</f>
        <v>0.1</v>
      </c>
      <c r="L1208" s="40">
        <f t="shared" si="71"/>
        <v>1</v>
      </c>
      <c r="M1208" s="41">
        <f t="shared" si="73"/>
        <v>0</v>
      </c>
      <c r="N1208" s="38"/>
      <c r="AA1208" s="146">
        <f>AB1208/COUNTIFS($B:$B,$B1208,$C:$C,$C1208,$H:$H,$H1208,$I:$I,$I1208)</f>
        <v>0.1</v>
      </c>
      <c r="AB1208" s="108">
        <f>VLOOKUP(I1208,'Weights and Confidence'!$D$16:$AC$26,9,FALSE)</f>
        <v>0.1</v>
      </c>
      <c r="AC1208" s="147">
        <f>VLOOKUP(I1208,'Weights and Confidence'!$D$16:$AC$26,10,FALSE)</f>
        <v>1</v>
      </c>
    </row>
    <row r="1209" spans="1:29" x14ac:dyDescent="0.2">
      <c r="A1209" s="34" t="s">
        <v>185</v>
      </c>
      <c r="B1209" s="34" t="s">
        <v>187</v>
      </c>
      <c r="C1209" s="34" t="s">
        <v>59</v>
      </c>
      <c r="D1209" s="34" t="s">
        <v>5</v>
      </c>
      <c r="E1209" s="34" t="s">
        <v>103</v>
      </c>
      <c r="F1209" s="50" t="s">
        <v>60</v>
      </c>
      <c r="G1209" s="34">
        <v>8</v>
      </c>
      <c r="H1209" s="34" t="s">
        <v>18</v>
      </c>
      <c r="I1209" s="34" t="s">
        <v>26</v>
      </c>
      <c r="J1209" s="34">
        <v>0</v>
      </c>
      <c r="K1209" s="35">
        <f>AB1209/COUNTIFS($B:$B,$B1209,$C:$C,$C1209,$H:$H,$H1209,$I:$I,$I1209)</f>
        <v>0.1</v>
      </c>
      <c r="L1209" s="36">
        <f t="shared" si="71"/>
        <v>1</v>
      </c>
      <c r="M1209" s="37">
        <f t="shared" si="73"/>
        <v>0</v>
      </c>
      <c r="N1209" s="58"/>
      <c r="AA1209" s="146">
        <f>AB1209/COUNTIFS($B:$B,$B1209,$C:$C,$C1209,$H:$H,$H1209,$I:$I,$I1209)</f>
        <v>0.1</v>
      </c>
      <c r="AB1209" s="108">
        <f>VLOOKUP(I1209,'Weights and Confidence'!$D$16:$AC$26,9,FALSE)</f>
        <v>0.1</v>
      </c>
      <c r="AC1209" s="147">
        <f>VLOOKUP(I1209,'Weights and Confidence'!$D$16:$AC$26,10,FALSE)</f>
        <v>1</v>
      </c>
    </row>
    <row r="1210" spans="1:29" x14ac:dyDescent="0.2">
      <c r="A1210" s="38" t="s">
        <v>185</v>
      </c>
      <c r="B1210" s="38" t="s">
        <v>187</v>
      </c>
      <c r="C1210" s="38" t="s">
        <v>59</v>
      </c>
      <c r="D1210" s="38" t="s">
        <v>5</v>
      </c>
      <c r="E1210" s="38" t="s">
        <v>103</v>
      </c>
      <c r="F1210" s="51" t="s">
        <v>60</v>
      </c>
      <c r="G1210" s="38">
        <v>9</v>
      </c>
      <c r="H1210" s="38" t="s">
        <v>17</v>
      </c>
      <c r="I1210" s="38" t="s">
        <v>27</v>
      </c>
      <c r="J1210" s="38"/>
      <c r="K1210" s="39">
        <f>AB1210/COUNTIFS($B:$B,$B1210,$C:$C,$C1210,$H:$H,$H1210,$I:$I,$I1210)</f>
        <v>0.05</v>
      </c>
      <c r="L1210" s="40">
        <f t="shared" si="71"/>
        <v>0.85</v>
      </c>
      <c r="M1210" s="41">
        <f t="shared" si="73"/>
        <v>0</v>
      </c>
      <c r="N1210" s="38"/>
      <c r="AA1210" s="146">
        <f>AB1210/COUNTIFS($B:$B,$B1210,$C:$C,$C1210,$H:$H,$H1210,$I:$I,$I1210)</f>
        <v>0.05</v>
      </c>
      <c r="AB1210" s="108">
        <f>VLOOKUP(I1210,'Weights and Confidence'!$D$16:$AC$26,9,FALSE)</f>
        <v>0.1</v>
      </c>
      <c r="AC1210" s="147">
        <f>VLOOKUP(I1210,'Weights and Confidence'!$D$16:$AC$26,10,FALSE)</f>
        <v>0.85</v>
      </c>
    </row>
    <row r="1211" spans="1:29" x14ac:dyDescent="0.2">
      <c r="A1211" s="34" t="s">
        <v>185</v>
      </c>
      <c r="B1211" s="34" t="s">
        <v>187</v>
      </c>
      <c r="C1211" s="34" t="s">
        <v>59</v>
      </c>
      <c r="D1211" s="34" t="s">
        <v>5</v>
      </c>
      <c r="E1211" s="34" t="s">
        <v>103</v>
      </c>
      <c r="F1211" s="50" t="s">
        <v>60</v>
      </c>
      <c r="G1211" s="34">
        <v>9</v>
      </c>
      <c r="H1211" s="34" t="s">
        <v>18</v>
      </c>
      <c r="I1211" s="34" t="s">
        <v>27</v>
      </c>
      <c r="J1211" s="34"/>
      <c r="K1211" s="35">
        <f>AB1211/COUNTIFS($B:$B,$B1211,$C:$C,$C1211,$H:$H,$H1211,$I:$I,$I1211)</f>
        <v>0.05</v>
      </c>
      <c r="L1211" s="36">
        <f t="shared" si="71"/>
        <v>0.85</v>
      </c>
      <c r="M1211" s="37">
        <f t="shared" si="73"/>
        <v>0</v>
      </c>
      <c r="N1211" s="58"/>
      <c r="AA1211" s="146">
        <f>AB1211/COUNTIFS($B:$B,$B1211,$C:$C,$C1211,$H:$H,$H1211,$I:$I,$I1211)</f>
        <v>0.05</v>
      </c>
      <c r="AB1211" s="108">
        <f>VLOOKUP(I1211,'Weights and Confidence'!$D$16:$AC$26,9,FALSE)</f>
        <v>0.1</v>
      </c>
      <c r="AC1211" s="147">
        <f>VLOOKUP(I1211,'Weights and Confidence'!$D$16:$AC$26,10,FALSE)</f>
        <v>0.85</v>
      </c>
    </row>
    <row r="1212" spans="1:29" x14ac:dyDescent="0.2">
      <c r="A1212" s="38" t="s">
        <v>185</v>
      </c>
      <c r="B1212" s="38" t="s">
        <v>187</v>
      </c>
      <c r="C1212" s="38" t="s">
        <v>59</v>
      </c>
      <c r="D1212" s="38" t="s">
        <v>5</v>
      </c>
      <c r="E1212" s="38" t="s">
        <v>103</v>
      </c>
      <c r="F1212" s="51" t="s">
        <v>60</v>
      </c>
      <c r="G1212" s="38">
        <v>10</v>
      </c>
      <c r="H1212" s="38" t="s">
        <v>17</v>
      </c>
      <c r="I1212" s="38" t="s">
        <v>27</v>
      </c>
      <c r="J1212" s="38"/>
      <c r="K1212" s="39">
        <f>AB1212/COUNTIFS($B:$B,$B1212,$C:$C,$C1212,$H:$H,$H1212,$I:$I,$I1212)</f>
        <v>0.05</v>
      </c>
      <c r="L1212" s="40">
        <f t="shared" si="71"/>
        <v>0.85</v>
      </c>
      <c r="M1212" s="41">
        <f t="shared" si="73"/>
        <v>0</v>
      </c>
      <c r="N1212" s="38"/>
      <c r="AA1212" s="146">
        <f>AB1212/COUNTIFS($B:$B,$B1212,$C:$C,$C1212,$H:$H,$H1212,$I:$I,$I1212)</f>
        <v>0.05</v>
      </c>
      <c r="AB1212" s="108">
        <f>VLOOKUP(I1212,'Weights and Confidence'!$D$16:$AC$26,9,FALSE)</f>
        <v>0.1</v>
      </c>
      <c r="AC1212" s="147">
        <f>VLOOKUP(I1212,'Weights and Confidence'!$D$16:$AC$26,10,FALSE)</f>
        <v>0.85</v>
      </c>
    </row>
    <row r="1213" spans="1:29" x14ac:dyDescent="0.2">
      <c r="A1213" s="34" t="s">
        <v>185</v>
      </c>
      <c r="B1213" s="34" t="s">
        <v>187</v>
      </c>
      <c r="C1213" s="34" t="s">
        <v>59</v>
      </c>
      <c r="D1213" s="34" t="s">
        <v>5</v>
      </c>
      <c r="E1213" s="34" t="s">
        <v>103</v>
      </c>
      <c r="F1213" s="50" t="s">
        <v>60</v>
      </c>
      <c r="G1213" s="34">
        <v>10</v>
      </c>
      <c r="H1213" s="34" t="s">
        <v>18</v>
      </c>
      <c r="I1213" s="34" t="s">
        <v>27</v>
      </c>
      <c r="J1213" s="34"/>
      <c r="K1213" s="35">
        <f>AB1213/COUNTIFS($B:$B,$B1213,$C:$C,$C1213,$H:$H,$H1213,$I:$I,$I1213)</f>
        <v>0.05</v>
      </c>
      <c r="L1213" s="36">
        <f t="shared" si="71"/>
        <v>0.85</v>
      </c>
      <c r="M1213" s="37">
        <f t="shared" si="73"/>
        <v>0</v>
      </c>
      <c r="N1213" s="58"/>
      <c r="AA1213" s="146">
        <f>AB1213/COUNTIFS($B:$B,$B1213,$C:$C,$C1213,$H:$H,$H1213,$I:$I,$I1213)</f>
        <v>0.05</v>
      </c>
      <c r="AB1213" s="108">
        <f>VLOOKUP(I1213,'Weights and Confidence'!$D$16:$AC$26,9,FALSE)</f>
        <v>0.1</v>
      </c>
      <c r="AC1213" s="147">
        <f>VLOOKUP(I1213,'Weights and Confidence'!$D$16:$AC$26,10,FALSE)</f>
        <v>0.85</v>
      </c>
    </row>
    <row r="1214" spans="1:29" x14ac:dyDescent="0.2">
      <c r="A1214" s="38" t="s">
        <v>185</v>
      </c>
      <c r="B1214" s="38" t="s">
        <v>187</v>
      </c>
      <c r="C1214" s="38" t="s">
        <v>59</v>
      </c>
      <c r="D1214" s="38" t="s">
        <v>5</v>
      </c>
      <c r="E1214" s="38" t="s">
        <v>103</v>
      </c>
      <c r="F1214" s="51" t="s">
        <v>60</v>
      </c>
      <c r="G1214" s="38">
        <v>11</v>
      </c>
      <c r="H1214" s="38" t="s">
        <v>17</v>
      </c>
      <c r="I1214" s="38" t="s">
        <v>28</v>
      </c>
      <c r="J1214" s="38">
        <v>0</v>
      </c>
      <c r="K1214" s="39">
        <f>AB1214/COUNTIFS($B:$B,$B1214,$C:$C,$C1214,$H:$H,$H1214,$I:$I,$I1214)</f>
        <v>0.05</v>
      </c>
      <c r="L1214" s="40">
        <f t="shared" si="71"/>
        <v>1</v>
      </c>
      <c r="M1214" s="41">
        <f t="shared" si="73"/>
        <v>0</v>
      </c>
      <c r="N1214" s="38"/>
      <c r="AA1214" s="146">
        <f>AB1214/COUNTIFS($B:$B,$B1214,$C:$C,$C1214,$H:$H,$H1214,$I:$I,$I1214)</f>
        <v>0.05</v>
      </c>
      <c r="AB1214" s="108">
        <f>VLOOKUP(I1214,'Weights and Confidence'!$D$16:$AC$26,9,FALSE)</f>
        <v>0.05</v>
      </c>
      <c r="AC1214" s="147">
        <f>VLOOKUP(I1214,'Weights and Confidence'!$D$16:$AC$26,10,FALSE)</f>
        <v>1</v>
      </c>
    </row>
    <row r="1215" spans="1:29" ht="17" thickBot="1" x14ac:dyDescent="0.25">
      <c r="A1215" s="53" t="s">
        <v>185</v>
      </c>
      <c r="B1215" s="53" t="s">
        <v>187</v>
      </c>
      <c r="C1215" s="53" t="s">
        <v>59</v>
      </c>
      <c r="D1215" s="53" t="s">
        <v>5</v>
      </c>
      <c r="E1215" s="53" t="s">
        <v>103</v>
      </c>
      <c r="F1215" s="54" t="s">
        <v>60</v>
      </c>
      <c r="G1215" s="53">
        <v>11</v>
      </c>
      <c r="H1215" s="53" t="s">
        <v>18</v>
      </c>
      <c r="I1215" s="53" t="s">
        <v>28</v>
      </c>
      <c r="J1215" s="53">
        <v>0</v>
      </c>
      <c r="K1215" s="55">
        <f>AB1215/COUNTIFS($B:$B,$B1215,$C:$C,$C1215,$H:$H,$H1215,$I:$I,$I1215)</f>
        <v>0.05</v>
      </c>
      <c r="L1215" s="56">
        <f t="shared" si="71"/>
        <v>1</v>
      </c>
      <c r="M1215" s="57">
        <f t="shared" si="73"/>
        <v>0</v>
      </c>
      <c r="N1215" s="22"/>
      <c r="AA1215" s="140">
        <f>AB1215/COUNTIFS($B:$B,$B1215,$C:$C,$C1215,$H:$H,$H1215,$I:$I,$I1215)</f>
        <v>0.05</v>
      </c>
      <c r="AB1215" s="141">
        <f>VLOOKUP(I1215,'Weights and Confidence'!$D$16:$AC$26,9,FALSE)</f>
        <v>0.05</v>
      </c>
      <c r="AC1215" s="142">
        <f>VLOOKUP(I1215,'Weights and Confidence'!$D$16:$AC$26,10,FALSE)</f>
        <v>1</v>
      </c>
    </row>
    <row r="1216" spans="1:29" ht="18" thickTop="1" thickBot="1" x14ac:dyDescent="0.25">
      <c r="A1216" s="64" t="s">
        <v>185</v>
      </c>
      <c r="B1216" s="64" t="s">
        <v>187</v>
      </c>
      <c r="C1216" s="64" t="s">
        <v>144</v>
      </c>
      <c r="D1216" s="64" t="s">
        <v>5</v>
      </c>
      <c r="E1216" s="64" t="s">
        <v>679</v>
      </c>
      <c r="F1216" s="18" t="s">
        <v>145</v>
      </c>
      <c r="G1216" s="64">
        <v>1</v>
      </c>
      <c r="H1216" s="64" t="s">
        <v>17</v>
      </c>
      <c r="I1216" s="64" t="s">
        <v>19</v>
      </c>
      <c r="J1216" s="64">
        <v>1</v>
      </c>
      <c r="K1216" s="65">
        <f>AB1216/COUNTIFS($B:$B,$B1216,$C:$C,$C1216,$H:$H,$H1216,$I:$I,$I1216)</f>
        <v>0.12</v>
      </c>
      <c r="L1216" s="66">
        <f t="shared" si="71"/>
        <v>1</v>
      </c>
      <c r="M1216" s="67">
        <f t="shared" ref="M1216:M1237" si="74">J1216*K1216*L1216</f>
        <v>0.12</v>
      </c>
      <c r="N1216" s="64"/>
      <c r="AA1216" s="146">
        <f>AB1216/COUNTIFS($B:$B,$B1216,$C:$C,$C1216,$H:$H,$H1216,$I:$I,$I1216)</f>
        <v>0.12</v>
      </c>
      <c r="AB1216" s="108">
        <f>VLOOKUP(I1216,'Weights and Confidence'!$D$16:$AC$26,9,FALSE)</f>
        <v>0.12</v>
      </c>
      <c r="AC1216" s="147">
        <f>VLOOKUP(I1216,'Weights and Confidence'!$D$16:$AC$26,10,FALSE)</f>
        <v>1</v>
      </c>
    </row>
    <row r="1217" spans="1:29" x14ac:dyDescent="0.2">
      <c r="A1217" s="34" t="s">
        <v>185</v>
      </c>
      <c r="B1217" s="34" t="s">
        <v>187</v>
      </c>
      <c r="C1217" s="34" t="s">
        <v>144</v>
      </c>
      <c r="D1217" s="34" t="s">
        <v>5</v>
      </c>
      <c r="E1217" s="34" t="s">
        <v>679</v>
      </c>
      <c r="F1217" s="50" t="s">
        <v>145</v>
      </c>
      <c r="G1217" s="34">
        <v>1</v>
      </c>
      <c r="H1217" s="34" t="s">
        <v>18</v>
      </c>
      <c r="I1217" s="34" t="s">
        <v>19</v>
      </c>
      <c r="J1217" s="34">
        <v>1</v>
      </c>
      <c r="K1217" s="35">
        <f>AB1217/COUNTIFS($B:$B,$B1217,$C:$C,$C1217,$H:$H,$H1217,$I:$I,$I1217)</f>
        <v>0.12</v>
      </c>
      <c r="L1217" s="36">
        <f t="shared" si="71"/>
        <v>1</v>
      </c>
      <c r="M1217" s="37">
        <f t="shared" si="74"/>
        <v>0.12</v>
      </c>
      <c r="N1217" s="17"/>
      <c r="P1217" s="24" t="s">
        <v>394</v>
      </c>
      <c r="Q1217" s="10"/>
      <c r="R1217" s="10"/>
      <c r="S1217" s="10"/>
      <c r="T1217" s="10"/>
      <c r="U1217" s="10"/>
      <c r="V1217" s="10"/>
      <c r="AA1217" s="146">
        <f>AB1217/COUNTIFS($B:$B,$B1217,$C:$C,$C1217,$H:$H,$H1217,$I:$I,$I1217)</f>
        <v>0.12</v>
      </c>
      <c r="AB1217" s="108">
        <f>VLOOKUP(I1217,'Weights and Confidence'!$D$16:$AC$26,9,FALSE)</f>
        <v>0.12</v>
      </c>
      <c r="AC1217" s="147">
        <f>VLOOKUP(I1217,'Weights and Confidence'!$D$16:$AC$26,10,FALSE)</f>
        <v>1</v>
      </c>
    </row>
    <row r="1218" spans="1:29" x14ac:dyDescent="0.2">
      <c r="A1218" s="38" t="s">
        <v>185</v>
      </c>
      <c r="B1218" s="38" t="s">
        <v>187</v>
      </c>
      <c r="C1218" s="38" t="s">
        <v>144</v>
      </c>
      <c r="D1218" s="38" t="s">
        <v>5</v>
      </c>
      <c r="E1218" s="38" t="s">
        <v>679</v>
      </c>
      <c r="F1218" s="51" t="s">
        <v>145</v>
      </c>
      <c r="G1218" s="38">
        <v>2</v>
      </c>
      <c r="H1218" s="38" t="s">
        <v>17</v>
      </c>
      <c r="I1218" s="38" t="s">
        <v>20</v>
      </c>
      <c r="J1218" s="38">
        <v>1</v>
      </c>
      <c r="K1218" s="39">
        <f>AB1218/COUNTIFS($B:$B,$B1218,$C:$C,$C1218,$H:$H,$H1218,$I:$I,$I1218)</f>
        <v>0.08</v>
      </c>
      <c r="L1218" s="40">
        <f t="shared" si="71"/>
        <v>0.8</v>
      </c>
      <c r="M1218" s="41">
        <f t="shared" si="74"/>
        <v>6.4000000000000001E-2</v>
      </c>
      <c r="N1218" s="38"/>
      <c r="P1218" s="25" t="s">
        <v>395</v>
      </c>
      <c r="Q1218" s="75"/>
      <c r="R1218" s="75"/>
      <c r="S1218" s="75"/>
      <c r="T1218" s="75"/>
      <c r="U1218" s="75"/>
      <c r="V1218" s="75"/>
      <c r="AA1218" s="146">
        <f>AB1218/COUNTIFS($B:$B,$B1218,$C:$C,$C1218,$H:$H,$H1218,$I:$I,$I1218)</f>
        <v>0.08</v>
      </c>
      <c r="AB1218" s="108">
        <f>VLOOKUP(I1218,'Weights and Confidence'!$D$16:$AC$26,9,FALSE)</f>
        <v>0.08</v>
      </c>
      <c r="AC1218" s="147">
        <f>VLOOKUP(I1218,'Weights and Confidence'!$D$16:$AC$26,10,FALSE)</f>
        <v>0.8</v>
      </c>
    </row>
    <row r="1219" spans="1:29" x14ac:dyDescent="0.2">
      <c r="A1219" s="34" t="s">
        <v>185</v>
      </c>
      <c r="B1219" s="34" t="s">
        <v>187</v>
      </c>
      <c r="C1219" s="34" t="s">
        <v>144</v>
      </c>
      <c r="D1219" s="34" t="s">
        <v>5</v>
      </c>
      <c r="E1219" s="34" t="s">
        <v>679</v>
      </c>
      <c r="F1219" s="50" t="s">
        <v>145</v>
      </c>
      <c r="G1219" s="34">
        <v>2</v>
      </c>
      <c r="H1219" s="34" t="s">
        <v>18</v>
      </c>
      <c r="I1219" s="34" t="s">
        <v>20</v>
      </c>
      <c r="J1219" s="34">
        <v>1</v>
      </c>
      <c r="K1219" s="35">
        <f>AB1219/COUNTIFS($B:$B,$B1219,$C:$C,$C1219,$H:$H,$H1219,$I:$I,$I1219)</f>
        <v>0.08</v>
      </c>
      <c r="L1219" s="36">
        <f t="shared" si="71"/>
        <v>0.8</v>
      </c>
      <c r="M1219" s="37">
        <f t="shared" si="74"/>
        <v>6.4000000000000001E-2</v>
      </c>
      <c r="N1219" s="58"/>
      <c r="P1219" s="25" t="s">
        <v>396</v>
      </c>
      <c r="Q1219" s="75"/>
      <c r="R1219" s="75"/>
      <c r="S1219" s="75"/>
      <c r="T1219" s="75"/>
      <c r="U1219" s="75"/>
      <c r="V1219" s="75"/>
      <c r="AA1219" s="146">
        <f>AB1219/COUNTIFS($B:$B,$B1219,$C:$C,$C1219,$H:$H,$H1219,$I:$I,$I1219)</f>
        <v>0.08</v>
      </c>
      <c r="AB1219" s="108">
        <f>VLOOKUP(I1219,'Weights and Confidence'!$D$16:$AC$26,9,FALSE)</f>
        <v>0.08</v>
      </c>
      <c r="AC1219" s="147">
        <f>VLOOKUP(I1219,'Weights and Confidence'!$D$16:$AC$26,10,FALSE)</f>
        <v>0.8</v>
      </c>
    </row>
    <row r="1220" spans="1:29" x14ac:dyDescent="0.2">
      <c r="A1220" s="38" t="s">
        <v>185</v>
      </c>
      <c r="B1220" s="38" t="s">
        <v>187</v>
      </c>
      <c r="C1220" s="38" t="s">
        <v>144</v>
      </c>
      <c r="D1220" s="38" t="s">
        <v>5</v>
      </c>
      <c r="E1220" s="38" t="s">
        <v>679</v>
      </c>
      <c r="F1220" s="51" t="s">
        <v>145</v>
      </c>
      <c r="G1220" s="38">
        <v>3</v>
      </c>
      <c r="H1220" s="38" t="s">
        <v>17</v>
      </c>
      <c r="I1220" s="38" t="s">
        <v>21</v>
      </c>
      <c r="J1220" s="38">
        <v>0</v>
      </c>
      <c r="K1220" s="39">
        <f>AB1220/COUNTIFS($B:$B,$B1220,$C:$C,$C1220,$H:$H,$H1220,$I:$I,$I1220)</f>
        <v>0.05</v>
      </c>
      <c r="L1220" s="40">
        <f t="shared" si="71"/>
        <v>1</v>
      </c>
      <c r="M1220" s="41">
        <f t="shared" si="74"/>
        <v>0</v>
      </c>
      <c r="N1220" s="38"/>
      <c r="P1220" s="25" t="s">
        <v>397</v>
      </c>
      <c r="Q1220" s="75"/>
      <c r="R1220" s="75"/>
      <c r="S1220" s="75"/>
      <c r="T1220" s="75"/>
      <c r="U1220" s="75"/>
      <c r="V1220" s="75"/>
      <c r="AA1220" s="146">
        <f>AB1220/COUNTIFS($B:$B,$B1220,$C:$C,$C1220,$H:$H,$H1220,$I:$I,$I1220)</f>
        <v>0.05</v>
      </c>
      <c r="AB1220" s="108">
        <f>VLOOKUP(I1220,'Weights and Confidence'!$D$16:$AC$26,9,FALSE)</f>
        <v>0.05</v>
      </c>
      <c r="AC1220" s="147">
        <f>VLOOKUP(I1220,'Weights and Confidence'!$D$16:$AC$26,10,FALSE)</f>
        <v>1</v>
      </c>
    </row>
    <row r="1221" spans="1:29" x14ac:dyDescent="0.2">
      <c r="A1221" s="34" t="s">
        <v>185</v>
      </c>
      <c r="B1221" s="34" t="s">
        <v>187</v>
      </c>
      <c r="C1221" s="34" t="s">
        <v>144</v>
      </c>
      <c r="D1221" s="34" t="s">
        <v>5</v>
      </c>
      <c r="E1221" s="34" t="s">
        <v>679</v>
      </c>
      <c r="F1221" s="50" t="s">
        <v>145</v>
      </c>
      <c r="G1221" s="34">
        <v>3</v>
      </c>
      <c r="H1221" s="34" t="s">
        <v>18</v>
      </c>
      <c r="I1221" s="34" t="s">
        <v>21</v>
      </c>
      <c r="J1221" s="34">
        <v>1</v>
      </c>
      <c r="K1221" s="35">
        <f>AB1221/COUNTIFS($B:$B,$B1221,$C:$C,$C1221,$H:$H,$H1221,$I:$I,$I1221)</f>
        <v>0.05</v>
      </c>
      <c r="L1221" s="36">
        <f t="shared" si="71"/>
        <v>1</v>
      </c>
      <c r="M1221" s="37">
        <f t="shared" si="74"/>
        <v>0.05</v>
      </c>
      <c r="N1221" s="17"/>
      <c r="P1221" s="25" t="s">
        <v>398</v>
      </c>
      <c r="Q1221" s="75"/>
      <c r="R1221" s="75"/>
      <c r="S1221" s="75"/>
      <c r="T1221" s="75"/>
      <c r="U1221" s="75"/>
      <c r="V1221" s="75"/>
      <c r="AA1221" s="146">
        <f>AB1221/COUNTIFS($B:$B,$B1221,$C:$C,$C1221,$H:$H,$H1221,$I:$I,$I1221)</f>
        <v>0.05</v>
      </c>
      <c r="AB1221" s="108">
        <f>VLOOKUP(I1221,'Weights and Confidence'!$D$16:$AC$26,9,FALSE)</f>
        <v>0.05</v>
      </c>
      <c r="AC1221" s="147">
        <f>VLOOKUP(I1221,'Weights and Confidence'!$D$16:$AC$26,10,FALSE)</f>
        <v>1</v>
      </c>
    </row>
    <row r="1222" spans="1:29" ht="17" thickBot="1" x14ac:dyDescent="0.25">
      <c r="A1222" s="38" t="s">
        <v>185</v>
      </c>
      <c r="B1222" s="38" t="s">
        <v>187</v>
      </c>
      <c r="C1222" s="38" t="s">
        <v>144</v>
      </c>
      <c r="D1222" s="38" t="s">
        <v>5</v>
      </c>
      <c r="E1222" s="38" t="s">
        <v>679</v>
      </c>
      <c r="F1222" s="51" t="s">
        <v>145</v>
      </c>
      <c r="G1222" s="38">
        <v>4</v>
      </c>
      <c r="H1222" s="38" t="s">
        <v>17</v>
      </c>
      <c r="I1222" s="38" t="s">
        <v>22</v>
      </c>
      <c r="J1222" s="38">
        <v>0</v>
      </c>
      <c r="K1222" s="39">
        <f>AB1222/COUNTIFS($B:$B,$B1222,$C:$C,$C1222,$H:$H,$H1222,$I:$I,$I1222)</f>
        <v>0.14000000000000001</v>
      </c>
      <c r="L1222" s="40">
        <f t="shared" ref="L1222:L1285" si="75">AC1222</f>
        <v>1</v>
      </c>
      <c r="M1222" s="41">
        <f t="shared" si="74"/>
        <v>0</v>
      </c>
      <c r="N1222" s="38"/>
      <c r="P1222" s="26" t="s">
        <v>399</v>
      </c>
      <c r="Q1222" s="2"/>
      <c r="R1222" s="2"/>
      <c r="S1222" s="2"/>
      <c r="T1222" s="2"/>
      <c r="U1222" s="2"/>
      <c r="V1222" s="2"/>
      <c r="AA1222" s="146">
        <f>AB1222/COUNTIFS($B:$B,$B1222,$C:$C,$C1222,$H:$H,$H1222,$I:$I,$I1222)</f>
        <v>0.14000000000000001</v>
      </c>
      <c r="AB1222" s="108">
        <f>VLOOKUP(I1222,'Weights and Confidence'!$D$16:$AC$26,9,FALSE)</f>
        <v>0.14000000000000001</v>
      </c>
      <c r="AC1222" s="147">
        <f>VLOOKUP(I1222,'Weights and Confidence'!$D$16:$AC$26,10,FALSE)</f>
        <v>1</v>
      </c>
    </row>
    <row r="1223" spans="1:29" x14ac:dyDescent="0.2">
      <c r="A1223" s="34" t="s">
        <v>185</v>
      </c>
      <c r="B1223" s="34" t="s">
        <v>187</v>
      </c>
      <c r="C1223" s="34" t="s">
        <v>144</v>
      </c>
      <c r="D1223" s="34" t="s">
        <v>5</v>
      </c>
      <c r="E1223" s="34" t="s">
        <v>679</v>
      </c>
      <c r="F1223" s="50" t="s">
        <v>145</v>
      </c>
      <c r="G1223" s="34">
        <v>4</v>
      </c>
      <c r="H1223" s="34" t="s">
        <v>18</v>
      </c>
      <c r="I1223" s="34" t="s">
        <v>22</v>
      </c>
      <c r="J1223" s="34">
        <v>1</v>
      </c>
      <c r="K1223" s="35">
        <f>AB1223/COUNTIFS($B:$B,$B1223,$C:$C,$C1223,$H:$H,$H1223,$I:$I,$I1223)</f>
        <v>0.14000000000000001</v>
      </c>
      <c r="L1223" s="36">
        <f t="shared" si="75"/>
        <v>1</v>
      </c>
      <c r="M1223" s="37">
        <f t="shared" si="74"/>
        <v>0.14000000000000001</v>
      </c>
      <c r="N1223" s="17"/>
      <c r="AA1223" s="146">
        <f>AB1223/COUNTIFS($B:$B,$B1223,$C:$C,$C1223,$H:$H,$H1223,$I:$I,$I1223)</f>
        <v>0.14000000000000001</v>
      </c>
      <c r="AB1223" s="108">
        <f>VLOOKUP(I1223,'Weights and Confidence'!$D$16:$AC$26,9,FALSE)</f>
        <v>0.14000000000000001</v>
      </c>
      <c r="AC1223" s="147">
        <f>VLOOKUP(I1223,'Weights and Confidence'!$D$16:$AC$26,10,FALSE)</f>
        <v>1</v>
      </c>
    </row>
    <row r="1224" spans="1:29" x14ac:dyDescent="0.2">
      <c r="A1224" s="38" t="s">
        <v>185</v>
      </c>
      <c r="B1224" s="38" t="s">
        <v>187</v>
      </c>
      <c r="C1224" s="38" t="s">
        <v>144</v>
      </c>
      <c r="D1224" s="38" t="s">
        <v>5</v>
      </c>
      <c r="E1224" s="38" t="s">
        <v>679</v>
      </c>
      <c r="F1224" s="51" t="s">
        <v>145</v>
      </c>
      <c r="G1224" s="38">
        <v>5</v>
      </c>
      <c r="H1224" s="38" t="s">
        <v>17</v>
      </c>
      <c r="I1224" s="38" t="s">
        <v>23</v>
      </c>
      <c r="J1224" s="38">
        <v>0</v>
      </c>
      <c r="K1224" s="39">
        <f>AB1224/COUNTIFS($B:$B,$B1224,$C:$C,$C1224,$H:$H,$H1224,$I:$I,$I1224)</f>
        <v>0.11</v>
      </c>
      <c r="L1224" s="40">
        <f t="shared" si="75"/>
        <v>1</v>
      </c>
      <c r="M1224" s="41">
        <f t="shared" si="74"/>
        <v>0</v>
      </c>
      <c r="N1224" s="38"/>
      <c r="AA1224" s="146">
        <f>AB1224/COUNTIFS($B:$B,$B1224,$C:$C,$C1224,$H:$H,$H1224,$I:$I,$I1224)</f>
        <v>0.11</v>
      </c>
      <c r="AB1224" s="108">
        <f>VLOOKUP(I1224,'Weights and Confidence'!$D$16:$AC$26,9,FALSE)</f>
        <v>0.11</v>
      </c>
      <c r="AC1224" s="147">
        <f>VLOOKUP(I1224,'Weights and Confidence'!$D$16:$AC$26,10,FALSE)</f>
        <v>1</v>
      </c>
    </row>
    <row r="1225" spans="1:29" x14ac:dyDescent="0.2">
      <c r="A1225" s="34" t="s">
        <v>185</v>
      </c>
      <c r="B1225" s="34" t="s">
        <v>187</v>
      </c>
      <c r="C1225" s="34" t="s">
        <v>144</v>
      </c>
      <c r="D1225" s="34" t="s">
        <v>5</v>
      </c>
      <c r="E1225" s="34" t="s">
        <v>679</v>
      </c>
      <c r="F1225" s="50" t="s">
        <v>145</v>
      </c>
      <c r="G1225" s="34">
        <v>5</v>
      </c>
      <c r="H1225" s="34" t="s">
        <v>18</v>
      </c>
      <c r="I1225" s="34" t="s">
        <v>23</v>
      </c>
      <c r="J1225" s="34">
        <v>1</v>
      </c>
      <c r="K1225" s="35">
        <f>AB1225/COUNTIFS($B:$B,$B1225,$C:$C,$C1225,$H:$H,$H1225,$I:$I,$I1225)</f>
        <v>0.11</v>
      </c>
      <c r="L1225" s="36">
        <f t="shared" si="75"/>
        <v>1</v>
      </c>
      <c r="M1225" s="37">
        <f t="shared" si="74"/>
        <v>0.11</v>
      </c>
      <c r="N1225" s="17"/>
      <c r="AA1225" s="146">
        <f>AB1225/COUNTIFS($B:$B,$B1225,$C:$C,$C1225,$H:$H,$H1225,$I:$I,$I1225)</f>
        <v>0.11</v>
      </c>
      <c r="AB1225" s="108">
        <f>VLOOKUP(I1225,'Weights and Confidence'!$D$16:$AC$26,9,FALSE)</f>
        <v>0.11</v>
      </c>
      <c r="AC1225" s="147">
        <f>VLOOKUP(I1225,'Weights and Confidence'!$D$16:$AC$26,10,FALSE)</f>
        <v>1</v>
      </c>
    </row>
    <row r="1226" spans="1:29" x14ac:dyDescent="0.2">
      <c r="A1226" s="38" t="s">
        <v>185</v>
      </c>
      <c r="B1226" s="38" t="s">
        <v>187</v>
      </c>
      <c r="C1226" s="38" t="s">
        <v>144</v>
      </c>
      <c r="D1226" s="38" t="s">
        <v>5</v>
      </c>
      <c r="E1226" s="38" t="s">
        <v>679</v>
      </c>
      <c r="F1226" s="51" t="s">
        <v>145</v>
      </c>
      <c r="G1226" s="38">
        <v>6</v>
      </c>
      <c r="H1226" s="38" t="s">
        <v>17</v>
      </c>
      <c r="I1226" s="38" t="s">
        <v>24</v>
      </c>
      <c r="J1226" s="38">
        <v>0</v>
      </c>
      <c r="K1226" s="39">
        <f>AB1226/COUNTIFS($B:$B,$B1226,$C:$C,$C1226,$H:$H,$H1226,$I:$I,$I1226)</f>
        <v>0.15</v>
      </c>
      <c r="L1226" s="40">
        <f t="shared" si="75"/>
        <v>1</v>
      </c>
      <c r="M1226" s="41">
        <f t="shared" si="74"/>
        <v>0</v>
      </c>
      <c r="N1226" s="59"/>
      <c r="AA1226" s="146">
        <f>AB1226/COUNTIFS($B:$B,$B1226,$C:$C,$C1226,$H:$H,$H1226,$I:$I,$I1226)</f>
        <v>0.15</v>
      </c>
      <c r="AB1226" s="108">
        <f>VLOOKUP(I1226,'Weights and Confidence'!$D$16:$AC$26,9,FALSE)</f>
        <v>0.15</v>
      </c>
      <c r="AC1226" s="147">
        <f>VLOOKUP(I1226,'Weights and Confidence'!$D$16:$AC$26,10,FALSE)</f>
        <v>1</v>
      </c>
    </row>
    <row r="1227" spans="1:29" x14ac:dyDescent="0.2">
      <c r="A1227" s="34" t="s">
        <v>185</v>
      </c>
      <c r="B1227" s="34" t="s">
        <v>187</v>
      </c>
      <c r="C1227" s="34" t="s">
        <v>144</v>
      </c>
      <c r="D1227" s="34" t="s">
        <v>5</v>
      </c>
      <c r="E1227" s="34" t="s">
        <v>679</v>
      </c>
      <c r="F1227" s="50" t="s">
        <v>145</v>
      </c>
      <c r="G1227" s="34">
        <v>6</v>
      </c>
      <c r="H1227" s="34" t="s">
        <v>18</v>
      </c>
      <c r="I1227" s="34" t="s">
        <v>24</v>
      </c>
      <c r="J1227" s="34">
        <v>1</v>
      </c>
      <c r="K1227" s="35">
        <f>AB1227/COUNTIFS($B:$B,$B1227,$C:$C,$C1227,$H:$H,$H1227,$I:$I,$I1227)</f>
        <v>0.15</v>
      </c>
      <c r="L1227" s="36">
        <f t="shared" si="75"/>
        <v>1</v>
      </c>
      <c r="M1227" s="37">
        <f t="shared" si="74"/>
        <v>0.15</v>
      </c>
      <c r="N1227" s="17"/>
      <c r="AA1227" s="146">
        <f>AB1227/COUNTIFS($B:$B,$B1227,$C:$C,$C1227,$H:$H,$H1227,$I:$I,$I1227)</f>
        <v>0.15</v>
      </c>
      <c r="AB1227" s="108">
        <f>VLOOKUP(I1227,'Weights and Confidence'!$D$16:$AC$26,9,FALSE)</f>
        <v>0.15</v>
      </c>
      <c r="AC1227" s="147">
        <f>VLOOKUP(I1227,'Weights and Confidence'!$D$16:$AC$26,10,FALSE)</f>
        <v>1</v>
      </c>
    </row>
    <row r="1228" spans="1:29" x14ac:dyDescent="0.2">
      <c r="A1228" s="38" t="s">
        <v>185</v>
      </c>
      <c r="B1228" s="38" t="s">
        <v>187</v>
      </c>
      <c r="C1228" s="38" t="s">
        <v>144</v>
      </c>
      <c r="D1228" s="38" t="s">
        <v>5</v>
      </c>
      <c r="E1228" s="38" t="s">
        <v>679</v>
      </c>
      <c r="F1228" s="51" t="s">
        <v>145</v>
      </c>
      <c r="G1228" s="38">
        <v>7</v>
      </c>
      <c r="H1228" s="38" t="s">
        <v>17</v>
      </c>
      <c r="I1228" s="38" t="s">
        <v>25</v>
      </c>
      <c r="J1228" s="38">
        <v>0</v>
      </c>
      <c r="K1228" s="39">
        <f>AB1228/COUNTIFS($B:$B,$B1228,$C:$C,$C1228,$H:$H,$H1228,$I:$I,$I1228)</f>
        <v>0.1</v>
      </c>
      <c r="L1228" s="40">
        <f t="shared" si="75"/>
        <v>1</v>
      </c>
      <c r="M1228" s="41">
        <f t="shared" si="74"/>
        <v>0</v>
      </c>
      <c r="N1228" s="38"/>
      <c r="AA1228" s="146">
        <f>AB1228/COUNTIFS($B:$B,$B1228,$C:$C,$C1228,$H:$H,$H1228,$I:$I,$I1228)</f>
        <v>0.1</v>
      </c>
      <c r="AB1228" s="108">
        <f>VLOOKUP(I1228,'Weights and Confidence'!$D$16:$AC$26,9,FALSE)</f>
        <v>0.1</v>
      </c>
      <c r="AC1228" s="147">
        <f>VLOOKUP(I1228,'Weights and Confidence'!$D$16:$AC$26,10,FALSE)</f>
        <v>1</v>
      </c>
    </row>
    <row r="1229" spans="1:29" x14ac:dyDescent="0.2">
      <c r="A1229" s="34" t="s">
        <v>185</v>
      </c>
      <c r="B1229" s="34" t="s">
        <v>187</v>
      </c>
      <c r="C1229" s="34" t="s">
        <v>144</v>
      </c>
      <c r="D1229" s="34" t="s">
        <v>5</v>
      </c>
      <c r="E1229" s="34" t="s">
        <v>679</v>
      </c>
      <c r="F1229" s="50" t="s">
        <v>145</v>
      </c>
      <c r="G1229" s="34">
        <v>7</v>
      </c>
      <c r="H1229" s="34" t="s">
        <v>18</v>
      </c>
      <c r="I1229" s="34" t="s">
        <v>25</v>
      </c>
      <c r="J1229" s="34">
        <v>1</v>
      </c>
      <c r="K1229" s="35">
        <f>AB1229/COUNTIFS($B:$B,$B1229,$C:$C,$C1229,$H:$H,$H1229,$I:$I,$I1229)</f>
        <v>0.1</v>
      </c>
      <c r="L1229" s="36">
        <f t="shared" si="75"/>
        <v>1</v>
      </c>
      <c r="M1229" s="37">
        <f t="shared" si="74"/>
        <v>0.1</v>
      </c>
      <c r="N1229" s="17"/>
      <c r="AA1229" s="146">
        <f>AB1229/COUNTIFS($B:$B,$B1229,$C:$C,$C1229,$H:$H,$H1229,$I:$I,$I1229)</f>
        <v>0.1</v>
      </c>
      <c r="AB1229" s="108">
        <f>VLOOKUP(I1229,'Weights and Confidence'!$D$16:$AC$26,9,FALSE)</f>
        <v>0.1</v>
      </c>
      <c r="AC1229" s="147">
        <f>VLOOKUP(I1229,'Weights and Confidence'!$D$16:$AC$26,10,FALSE)</f>
        <v>1</v>
      </c>
    </row>
    <row r="1230" spans="1:29" x14ac:dyDescent="0.2">
      <c r="A1230" s="38" t="s">
        <v>185</v>
      </c>
      <c r="B1230" s="38" t="s">
        <v>187</v>
      </c>
      <c r="C1230" s="38" t="s">
        <v>144</v>
      </c>
      <c r="D1230" s="38" t="s">
        <v>5</v>
      </c>
      <c r="E1230" s="38" t="s">
        <v>679</v>
      </c>
      <c r="F1230" s="51" t="s">
        <v>145</v>
      </c>
      <c r="G1230" s="38">
        <v>8</v>
      </c>
      <c r="H1230" s="38" t="s">
        <v>17</v>
      </c>
      <c r="I1230" s="38" t="s">
        <v>26</v>
      </c>
      <c r="J1230" s="38">
        <v>0</v>
      </c>
      <c r="K1230" s="39">
        <f>AB1230/COUNTIFS($B:$B,$B1230,$C:$C,$C1230,$H:$H,$H1230,$I:$I,$I1230)</f>
        <v>0.1</v>
      </c>
      <c r="L1230" s="40">
        <f t="shared" si="75"/>
        <v>1</v>
      </c>
      <c r="M1230" s="41">
        <f t="shared" si="74"/>
        <v>0</v>
      </c>
      <c r="N1230" s="38"/>
      <c r="AA1230" s="146">
        <f>AB1230/COUNTIFS($B:$B,$B1230,$C:$C,$C1230,$H:$H,$H1230,$I:$I,$I1230)</f>
        <v>0.1</v>
      </c>
      <c r="AB1230" s="108">
        <f>VLOOKUP(I1230,'Weights and Confidence'!$D$16:$AC$26,9,FALSE)</f>
        <v>0.1</v>
      </c>
      <c r="AC1230" s="147">
        <f>VLOOKUP(I1230,'Weights and Confidence'!$D$16:$AC$26,10,FALSE)</f>
        <v>1</v>
      </c>
    </row>
    <row r="1231" spans="1:29" x14ac:dyDescent="0.2">
      <c r="A1231" s="34" t="s">
        <v>185</v>
      </c>
      <c r="B1231" s="34" t="s">
        <v>187</v>
      </c>
      <c r="C1231" s="34" t="s">
        <v>144</v>
      </c>
      <c r="D1231" s="34" t="s">
        <v>5</v>
      </c>
      <c r="E1231" s="34" t="s">
        <v>679</v>
      </c>
      <c r="F1231" s="50" t="s">
        <v>145</v>
      </c>
      <c r="G1231" s="34">
        <v>8</v>
      </c>
      <c r="H1231" s="34" t="s">
        <v>18</v>
      </c>
      <c r="I1231" s="34" t="s">
        <v>26</v>
      </c>
      <c r="J1231" s="34">
        <v>1</v>
      </c>
      <c r="K1231" s="35">
        <f>AB1231/COUNTIFS($B:$B,$B1231,$C:$C,$C1231,$H:$H,$H1231,$I:$I,$I1231)</f>
        <v>0.1</v>
      </c>
      <c r="L1231" s="36">
        <f t="shared" si="75"/>
        <v>1</v>
      </c>
      <c r="M1231" s="37">
        <f t="shared" si="74"/>
        <v>0.1</v>
      </c>
      <c r="N1231" s="58"/>
      <c r="AA1231" s="146">
        <f>AB1231/COUNTIFS($B:$B,$B1231,$C:$C,$C1231,$H:$H,$H1231,$I:$I,$I1231)</f>
        <v>0.1</v>
      </c>
      <c r="AB1231" s="108">
        <f>VLOOKUP(I1231,'Weights and Confidence'!$D$16:$AC$26,9,FALSE)</f>
        <v>0.1</v>
      </c>
      <c r="AC1231" s="147">
        <f>VLOOKUP(I1231,'Weights and Confidence'!$D$16:$AC$26,10,FALSE)</f>
        <v>1</v>
      </c>
    </row>
    <row r="1232" spans="1:29" x14ac:dyDescent="0.2">
      <c r="A1232" s="38" t="s">
        <v>185</v>
      </c>
      <c r="B1232" s="38" t="s">
        <v>187</v>
      </c>
      <c r="C1232" s="38" t="s">
        <v>144</v>
      </c>
      <c r="D1232" s="38" t="s">
        <v>5</v>
      </c>
      <c r="E1232" s="38" t="s">
        <v>679</v>
      </c>
      <c r="F1232" s="51" t="s">
        <v>145</v>
      </c>
      <c r="G1232" s="38">
        <v>9</v>
      </c>
      <c r="H1232" s="38" t="s">
        <v>17</v>
      </c>
      <c r="I1232" s="38" t="s">
        <v>27</v>
      </c>
      <c r="J1232" s="38"/>
      <c r="K1232" s="39">
        <f>AB1232/COUNTIFS($B:$B,$B1232,$C:$C,$C1232,$H:$H,$H1232,$I:$I,$I1232)</f>
        <v>0.05</v>
      </c>
      <c r="L1232" s="40">
        <f t="shared" si="75"/>
        <v>0.85</v>
      </c>
      <c r="M1232" s="41">
        <f t="shared" si="74"/>
        <v>0</v>
      </c>
      <c r="N1232" s="38"/>
      <c r="AA1232" s="146">
        <f>AB1232/COUNTIFS($B:$B,$B1232,$C:$C,$C1232,$H:$H,$H1232,$I:$I,$I1232)</f>
        <v>0.05</v>
      </c>
      <c r="AB1232" s="108">
        <f>VLOOKUP(I1232,'Weights and Confidence'!$D$16:$AC$26,9,FALSE)</f>
        <v>0.1</v>
      </c>
      <c r="AC1232" s="147">
        <f>VLOOKUP(I1232,'Weights and Confidence'!$D$16:$AC$26,10,FALSE)</f>
        <v>0.85</v>
      </c>
    </row>
    <row r="1233" spans="1:29" x14ac:dyDescent="0.2">
      <c r="A1233" s="34" t="s">
        <v>185</v>
      </c>
      <c r="B1233" s="34" t="s">
        <v>187</v>
      </c>
      <c r="C1233" s="34" t="s">
        <v>144</v>
      </c>
      <c r="D1233" s="34" t="s">
        <v>5</v>
      </c>
      <c r="E1233" s="34" t="s">
        <v>679</v>
      </c>
      <c r="F1233" s="50" t="s">
        <v>145</v>
      </c>
      <c r="G1233" s="34">
        <v>9</v>
      </c>
      <c r="H1233" s="34" t="s">
        <v>18</v>
      </c>
      <c r="I1233" s="34" t="s">
        <v>27</v>
      </c>
      <c r="J1233" s="34"/>
      <c r="K1233" s="35">
        <f>AB1233/COUNTIFS($B:$B,$B1233,$C:$C,$C1233,$H:$H,$H1233,$I:$I,$I1233)</f>
        <v>0.05</v>
      </c>
      <c r="L1233" s="36">
        <f t="shared" si="75"/>
        <v>0.85</v>
      </c>
      <c r="M1233" s="37">
        <f t="shared" si="74"/>
        <v>0</v>
      </c>
      <c r="N1233" s="58"/>
      <c r="AA1233" s="146">
        <f>AB1233/COUNTIFS($B:$B,$B1233,$C:$C,$C1233,$H:$H,$H1233,$I:$I,$I1233)</f>
        <v>0.05</v>
      </c>
      <c r="AB1233" s="108">
        <f>VLOOKUP(I1233,'Weights and Confidence'!$D$16:$AC$26,9,FALSE)</f>
        <v>0.1</v>
      </c>
      <c r="AC1233" s="147">
        <f>VLOOKUP(I1233,'Weights and Confidence'!$D$16:$AC$26,10,FALSE)</f>
        <v>0.85</v>
      </c>
    </row>
    <row r="1234" spans="1:29" x14ac:dyDescent="0.2">
      <c r="A1234" s="38" t="s">
        <v>185</v>
      </c>
      <c r="B1234" s="38" t="s">
        <v>187</v>
      </c>
      <c r="C1234" s="38" t="s">
        <v>144</v>
      </c>
      <c r="D1234" s="38" t="s">
        <v>5</v>
      </c>
      <c r="E1234" s="38" t="s">
        <v>679</v>
      </c>
      <c r="F1234" s="51" t="s">
        <v>145</v>
      </c>
      <c r="G1234" s="38">
        <v>10</v>
      </c>
      <c r="H1234" s="38" t="s">
        <v>17</v>
      </c>
      <c r="I1234" s="38" t="s">
        <v>27</v>
      </c>
      <c r="J1234" s="38"/>
      <c r="K1234" s="39">
        <f>AB1234/COUNTIFS($B:$B,$B1234,$C:$C,$C1234,$H:$H,$H1234,$I:$I,$I1234)</f>
        <v>0.05</v>
      </c>
      <c r="L1234" s="40">
        <f t="shared" si="75"/>
        <v>0.85</v>
      </c>
      <c r="M1234" s="41">
        <f t="shared" si="74"/>
        <v>0</v>
      </c>
      <c r="N1234" s="38"/>
      <c r="AA1234" s="146">
        <f>AB1234/COUNTIFS($B:$B,$B1234,$C:$C,$C1234,$H:$H,$H1234,$I:$I,$I1234)</f>
        <v>0.05</v>
      </c>
      <c r="AB1234" s="108">
        <f>VLOOKUP(I1234,'Weights and Confidence'!$D$16:$AC$26,9,FALSE)</f>
        <v>0.1</v>
      </c>
      <c r="AC1234" s="147">
        <f>VLOOKUP(I1234,'Weights and Confidence'!$D$16:$AC$26,10,FALSE)</f>
        <v>0.85</v>
      </c>
    </row>
    <row r="1235" spans="1:29" x14ac:dyDescent="0.2">
      <c r="A1235" s="34" t="s">
        <v>185</v>
      </c>
      <c r="B1235" s="34" t="s">
        <v>187</v>
      </c>
      <c r="C1235" s="34" t="s">
        <v>144</v>
      </c>
      <c r="D1235" s="34" t="s">
        <v>5</v>
      </c>
      <c r="E1235" s="34" t="s">
        <v>679</v>
      </c>
      <c r="F1235" s="50" t="s">
        <v>145</v>
      </c>
      <c r="G1235" s="34">
        <v>10</v>
      </c>
      <c r="H1235" s="34" t="s">
        <v>18</v>
      </c>
      <c r="I1235" s="34" t="s">
        <v>27</v>
      </c>
      <c r="J1235" s="34"/>
      <c r="K1235" s="35">
        <f>AB1235/COUNTIFS($B:$B,$B1235,$C:$C,$C1235,$H:$H,$H1235,$I:$I,$I1235)</f>
        <v>0.05</v>
      </c>
      <c r="L1235" s="36">
        <f t="shared" si="75"/>
        <v>0.85</v>
      </c>
      <c r="M1235" s="37">
        <f t="shared" si="74"/>
        <v>0</v>
      </c>
      <c r="N1235" s="58"/>
      <c r="AA1235" s="146">
        <f>AB1235/COUNTIFS($B:$B,$B1235,$C:$C,$C1235,$H:$H,$H1235,$I:$I,$I1235)</f>
        <v>0.05</v>
      </c>
      <c r="AB1235" s="108">
        <f>VLOOKUP(I1235,'Weights and Confidence'!$D$16:$AC$26,9,FALSE)</f>
        <v>0.1</v>
      </c>
      <c r="AC1235" s="147">
        <f>VLOOKUP(I1235,'Weights and Confidence'!$D$16:$AC$26,10,FALSE)</f>
        <v>0.85</v>
      </c>
    </row>
    <row r="1236" spans="1:29" x14ac:dyDescent="0.2">
      <c r="A1236" s="38" t="s">
        <v>185</v>
      </c>
      <c r="B1236" s="38" t="s">
        <v>187</v>
      </c>
      <c r="C1236" s="38" t="s">
        <v>144</v>
      </c>
      <c r="D1236" s="38" t="s">
        <v>5</v>
      </c>
      <c r="E1236" s="38" t="s">
        <v>679</v>
      </c>
      <c r="F1236" s="51" t="s">
        <v>145</v>
      </c>
      <c r="G1236" s="38">
        <v>11</v>
      </c>
      <c r="H1236" s="38" t="s">
        <v>17</v>
      </c>
      <c r="I1236" s="38" t="s">
        <v>28</v>
      </c>
      <c r="J1236" s="38">
        <v>0</v>
      </c>
      <c r="K1236" s="39">
        <f>AB1236/COUNTIFS($B:$B,$B1236,$C:$C,$C1236,$H:$H,$H1236,$I:$I,$I1236)</f>
        <v>0.05</v>
      </c>
      <c r="L1236" s="40">
        <f t="shared" si="75"/>
        <v>1</v>
      </c>
      <c r="M1236" s="41">
        <f t="shared" si="74"/>
        <v>0</v>
      </c>
      <c r="N1236" s="38"/>
      <c r="AA1236" s="146">
        <f>AB1236/COUNTIFS($B:$B,$B1236,$C:$C,$C1236,$H:$H,$H1236,$I:$I,$I1236)</f>
        <v>0.05</v>
      </c>
      <c r="AB1236" s="108">
        <f>VLOOKUP(I1236,'Weights and Confidence'!$D$16:$AC$26,9,FALSE)</f>
        <v>0.05</v>
      </c>
      <c r="AC1236" s="147">
        <f>VLOOKUP(I1236,'Weights and Confidence'!$D$16:$AC$26,10,FALSE)</f>
        <v>1</v>
      </c>
    </row>
    <row r="1237" spans="1:29" ht="17" thickBot="1" x14ac:dyDescent="0.25">
      <c r="A1237" s="53" t="s">
        <v>185</v>
      </c>
      <c r="B1237" s="53" t="s">
        <v>187</v>
      </c>
      <c r="C1237" s="53" t="s">
        <v>144</v>
      </c>
      <c r="D1237" s="53" t="s">
        <v>5</v>
      </c>
      <c r="E1237" s="53" t="s">
        <v>679</v>
      </c>
      <c r="F1237" s="54" t="s">
        <v>145</v>
      </c>
      <c r="G1237" s="53">
        <v>11</v>
      </c>
      <c r="H1237" s="53" t="s">
        <v>18</v>
      </c>
      <c r="I1237" s="53" t="s">
        <v>28</v>
      </c>
      <c r="J1237" s="53">
        <v>1</v>
      </c>
      <c r="K1237" s="55">
        <f>AB1237/COUNTIFS($B:$B,$B1237,$C:$C,$C1237,$H:$H,$H1237,$I:$I,$I1237)</f>
        <v>0.05</v>
      </c>
      <c r="L1237" s="56">
        <f t="shared" si="75"/>
        <v>1</v>
      </c>
      <c r="M1237" s="57">
        <f t="shared" si="74"/>
        <v>0.05</v>
      </c>
      <c r="N1237" s="22"/>
      <c r="AA1237" s="140">
        <f>AB1237/COUNTIFS($B:$B,$B1237,$C:$C,$C1237,$H:$H,$H1237,$I:$I,$I1237)</f>
        <v>0.05</v>
      </c>
      <c r="AB1237" s="141">
        <f>VLOOKUP(I1237,'Weights and Confidence'!$D$16:$AC$26,9,FALSE)</f>
        <v>0.05</v>
      </c>
      <c r="AC1237" s="142">
        <f>VLOOKUP(I1237,'Weights and Confidence'!$D$16:$AC$26,10,FALSE)</f>
        <v>1</v>
      </c>
    </row>
    <row r="1238" spans="1:29" ht="18" thickTop="1" thickBot="1" x14ac:dyDescent="0.25">
      <c r="A1238" s="76" t="s">
        <v>185</v>
      </c>
      <c r="B1238" s="76" t="s">
        <v>187</v>
      </c>
      <c r="C1238" s="76" t="s">
        <v>149</v>
      </c>
      <c r="D1238" s="76" t="s">
        <v>5</v>
      </c>
      <c r="E1238" s="76" t="s">
        <v>103</v>
      </c>
      <c r="F1238" s="50" t="s">
        <v>150</v>
      </c>
      <c r="G1238" s="76">
        <v>1</v>
      </c>
      <c r="H1238" s="76" t="s">
        <v>17</v>
      </c>
      <c r="I1238" s="76" t="s">
        <v>19</v>
      </c>
      <c r="J1238" s="76">
        <v>1</v>
      </c>
      <c r="K1238" s="78">
        <f>AB1238/COUNTIFS($B:$B,$B1238,$C:$C,$C1238,$H:$H,$H1238,$I:$I,$I1238)</f>
        <v>0.12</v>
      </c>
      <c r="L1238" s="80">
        <f t="shared" si="75"/>
        <v>1</v>
      </c>
      <c r="M1238" s="82">
        <f t="shared" ref="M1238:M1260" si="76">J1238*K1238*L1238</f>
        <v>0.12</v>
      </c>
      <c r="N1238" s="59"/>
      <c r="AA1238" s="146">
        <f>AB1238/COUNTIFS($B:$B,$B1238,$C:$C,$C1238,$H:$H,$H1238,$I:$I,$I1238)</f>
        <v>0.12</v>
      </c>
      <c r="AB1238" s="108">
        <f>VLOOKUP(I1238,'Weights and Confidence'!$D$16:$AC$26,9,FALSE)</f>
        <v>0.12</v>
      </c>
      <c r="AC1238" s="147">
        <f>VLOOKUP(I1238,'Weights and Confidence'!$D$16:$AC$26,10,FALSE)</f>
        <v>1</v>
      </c>
    </row>
    <row r="1239" spans="1:29" x14ac:dyDescent="0.2">
      <c r="A1239" s="77" t="s">
        <v>185</v>
      </c>
      <c r="B1239" s="77" t="s">
        <v>187</v>
      </c>
      <c r="C1239" s="77" t="s">
        <v>149</v>
      </c>
      <c r="D1239" s="77" t="s">
        <v>5</v>
      </c>
      <c r="E1239" s="77" t="s">
        <v>103</v>
      </c>
      <c r="F1239" s="50" t="s">
        <v>150</v>
      </c>
      <c r="G1239" s="77">
        <v>1</v>
      </c>
      <c r="H1239" s="77" t="s">
        <v>18</v>
      </c>
      <c r="I1239" s="77" t="s">
        <v>19</v>
      </c>
      <c r="J1239" s="77">
        <v>1</v>
      </c>
      <c r="K1239" s="79">
        <f>AB1239/COUNTIFS($B:$B,$B1239,$C:$C,$C1239,$H:$H,$H1239,$I:$I,$I1239)</f>
        <v>0.12</v>
      </c>
      <c r="L1239" s="81">
        <f t="shared" si="75"/>
        <v>1</v>
      </c>
      <c r="M1239" s="83">
        <f t="shared" si="76"/>
        <v>0.12</v>
      </c>
      <c r="N1239" s="84"/>
      <c r="P1239" s="24" t="s">
        <v>402</v>
      </c>
      <c r="Q1239" s="10"/>
      <c r="R1239" s="10"/>
      <c r="S1239" s="10"/>
      <c r="T1239" s="10"/>
      <c r="U1239" s="10"/>
      <c r="V1239" s="10"/>
      <c r="AA1239" s="146">
        <f>AB1239/COUNTIFS($B:$B,$B1239,$C:$C,$C1239,$H:$H,$H1239,$I:$I,$I1239)</f>
        <v>0.12</v>
      </c>
      <c r="AB1239" s="108">
        <f>VLOOKUP(I1239,'Weights and Confidence'!$D$16:$AC$26,9,FALSE)</f>
        <v>0.12</v>
      </c>
      <c r="AC1239" s="147">
        <f>VLOOKUP(I1239,'Weights and Confidence'!$D$16:$AC$26,10,FALSE)</f>
        <v>1</v>
      </c>
    </row>
    <row r="1240" spans="1:29" x14ac:dyDescent="0.2">
      <c r="A1240" s="76" t="s">
        <v>185</v>
      </c>
      <c r="B1240" s="76" t="s">
        <v>187</v>
      </c>
      <c r="C1240" s="76" t="s">
        <v>149</v>
      </c>
      <c r="D1240" s="76" t="s">
        <v>5</v>
      </c>
      <c r="E1240" s="76" t="s">
        <v>103</v>
      </c>
      <c r="F1240" s="51" t="s">
        <v>150</v>
      </c>
      <c r="G1240" s="76">
        <v>2</v>
      </c>
      <c r="H1240" s="76" t="s">
        <v>17</v>
      </c>
      <c r="I1240" s="76" t="s">
        <v>20</v>
      </c>
      <c r="J1240" s="76">
        <v>1</v>
      </c>
      <c r="K1240" s="78">
        <f>AB1240/COUNTIFS($B:$B,$B1240,$C:$C,$C1240,$H:$H,$H1240,$I:$I,$I1240)</f>
        <v>0.08</v>
      </c>
      <c r="L1240" s="80">
        <f t="shared" si="75"/>
        <v>0.8</v>
      </c>
      <c r="M1240" s="82">
        <f t="shared" si="76"/>
        <v>6.4000000000000001E-2</v>
      </c>
      <c r="N1240" s="59"/>
      <c r="P1240" s="25" t="s">
        <v>403</v>
      </c>
      <c r="Q1240" s="75"/>
      <c r="R1240" s="75"/>
      <c r="S1240" s="75"/>
      <c r="T1240" s="75"/>
      <c r="U1240" s="75"/>
      <c r="V1240" s="75"/>
      <c r="AA1240" s="146">
        <f>AB1240/COUNTIFS($B:$B,$B1240,$C:$C,$C1240,$H:$H,$H1240,$I:$I,$I1240)</f>
        <v>0.08</v>
      </c>
      <c r="AB1240" s="108">
        <f>VLOOKUP(I1240,'Weights and Confidence'!$D$16:$AC$26,9,FALSE)</f>
        <v>0.08</v>
      </c>
      <c r="AC1240" s="147">
        <f>VLOOKUP(I1240,'Weights and Confidence'!$D$16:$AC$26,10,FALSE)</f>
        <v>0.8</v>
      </c>
    </row>
    <row r="1241" spans="1:29" x14ac:dyDescent="0.2">
      <c r="A1241" s="77" t="s">
        <v>185</v>
      </c>
      <c r="B1241" s="77" t="s">
        <v>187</v>
      </c>
      <c r="C1241" s="77" t="s">
        <v>149</v>
      </c>
      <c r="D1241" s="77" t="s">
        <v>5</v>
      </c>
      <c r="E1241" s="77" t="s">
        <v>103</v>
      </c>
      <c r="F1241" s="50" t="s">
        <v>150</v>
      </c>
      <c r="G1241" s="77">
        <v>2</v>
      </c>
      <c r="H1241" s="77" t="s">
        <v>18</v>
      </c>
      <c r="I1241" s="77" t="s">
        <v>20</v>
      </c>
      <c r="J1241" s="77">
        <v>1</v>
      </c>
      <c r="K1241" s="79">
        <f>AB1241/COUNTIFS($B:$B,$B1241,$C:$C,$C1241,$H:$H,$H1241,$I:$I,$I1241)</f>
        <v>0.08</v>
      </c>
      <c r="L1241" s="81">
        <f t="shared" si="75"/>
        <v>0.8</v>
      </c>
      <c r="M1241" s="83">
        <f t="shared" si="76"/>
        <v>6.4000000000000001E-2</v>
      </c>
      <c r="N1241" s="58"/>
      <c r="P1241" s="25" t="s">
        <v>404</v>
      </c>
      <c r="Q1241" s="75"/>
      <c r="R1241" s="75"/>
      <c r="S1241" s="75"/>
      <c r="T1241" s="75"/>
      <c r="U1241" s="75"/>
      <c r="V1241" s="75"/>
      <c r="AA1241" s="146">
        <f>AB1241/COUNTIFS($B:$B,$B1241,$C:$C,$C1241,$H:$H,$H1241,$I:$I,$I1241)</f>
        <v>0.08</v>
      </c>
      <c r="AB1241" s="108">
        <f>VLOOKUP(I1241,'Weights and Confidence'!$D$16:$AC$26,9,FALSE)</f>
        <v>0.08</v>
      </c>
      <c r="AC1241" s="147">
        <f>VLOOKUP(I1241,'Weights and Confidence'!$D$16:$AC$26,10,FALSE)</f>
        <v>0.8</v>
      </c>
    </row>
    <row r="1242" spans="1:29" x14ac:dyDescent="0.2">
      <c r="A1242" s="76" t="s">
        <v>185</v>
      </c>
      <c r="B1242" s="76" t="s">
        <v>187</v>
      </c>
      <c r="C1242" s="76" t="s">
        <v>149</v>
      </c>
      <c r="D1242" s="76" t="s">
        <v>5</v>
      </c>
      <c r="E1242" s="76" t="s">
        <v>103</v>
      </c>
      <c r="F1242" s="51" t="s">
        <v>150</v>
      </c>
      <c r="G1242" s="76">
        <v>3</v>
      </c>
      <c r="H1242" s="76" t="s">
        <v>17</v>
      </c>
      <c r="I1242" s="76" t="s">
        <v>21</v>
      </c>
      <c r="J1242" s="76">
        <v>1</v>
      </c>
      <c r="K1242" s="78">
        <f>AB1242/COUNTIFS($B:$B,$B1242,$C:$C,$C1242,$H:$H,$H1242,$I:$I,$I1242)</f>
        <v>0.05</v>
      </c>
      <c r="L1242" s="80">
        <f t="shared" si="75"/>
        <v>1</v>
      </c>
      <c r="M1242" s="82">
        <f t="shared" si="76"/>
        <v>0.05</v>
      </c>
      <c r="N1242" s="59"/>
      <c r="P1242" s="25" t="s">
        <v>405</v>
      </c>
      <c r="Q1242" s="75"/>
      <c r="R1242" s="75"/>
      <c r="S1242" s="75"/>
      <c r="T1242" s="75"/>
      <c r="U1242" s="75"/>
      <c r="V1242" s="75"/>
      <c r="AA1242" s="146">
        <f>AB1242/COUNTIFS($B:$B,$B1242,$C:$C,$C1242,$H:$H,$H1242,$I:$I,$I1242)</f>
        <v>0.05</v>
      </c>
      <c r="AB1242" s="108">
        <f>VLOOKUP(I1242,'Weights and Confidence'!$D$16:$AC$26,9,FALSE)</f>
        <v>0.05</v>
      </c>
      <c r="AC1242" s="147">
        <f>VLOOKUP(I1242,'Weights and Confidence'!$D$16:$AC$26,10,FALSE)</f>
        <v>1</v>
      </c>
    </row>
    <row r="1243" spans="1:29" x14ac:dyDescent="0.2">
      <c r="A1243" s="77" t="s">
        <v>185</v>
      </c>
      <c r="B1243" s="77" t="s">
        <v>187</v>
      </c>
      <c r="C1243" s="77" t="s">
        <v>149</v>
      </c>
      <c r="D1243" s="77" t="s">
        <v>5</v>
      </c>
      <c r="E1243" s="77" t="s">
        <v>103</v>
      </c>
      <c r="F1243" s="50" t="s">
        <v>150</v>
      </c>
      <c r="G1243" s="77">
        <v>3</v>
      </c>
      <c r="H1243" s="77" t="s">
        <v>18</v>
      </c>
      <c r="I1243" s="77" t="s">
        <v>21</v>
      </c>
      <c r="J1243" s="77">
        <v>0</v>
      </c>
      <c r="K1243" s="79">
        <f>AB1243/COUNTIFS($B:$B,$B1243,$C:$C,$C1243,$H:$H,$H1243,$I:$I,$I1243)</f>
        <v>0.05</v>
      </c>
      <c r="L1243" s="81">
        <f t="shared" si="75"/>
        <v>1</v>
      </c>
      <c r="M1243" s="83">
        <f t="shared" si="76"/>
        <v>0</v>
      </c>
      <c r="N1243" s="84"/>
      <c r="P1243" s="25" t="s">
        <v>406</v>
      </c>
      <c r="Q1243" s="75"/>
      <c r="R1243" s="75"/>
      <c r="S1243" s="75"/>
      <c r="T1243" s="75"/>
      <c r="U1243" s="75"/>
      <c r="V1243" s="75"/>
      <c r="AA1243" s="146">
        <f>AB1243/COUNTIFS($B:$B,$B1243,$C:$C,$C1243,$H:$H,$H1243,$I:$I,$I1243)</f>
        <v>0.05</v>
      </c>
      <c r="AB1243" s="108">
        <f>VLOOKUP(I1243,'Weights and Confidence'!$D$16:$AC$26,9,FALSE)</f>
        <v>0.05</v>
      </c>
      <c r="AC1243" s="147">
        <f>VLOOKUP(I1243,'Weights and Confidence'!$D$16:$AC$26,10,FALSE)</f>
        <v>1</v>
      </c>
    </row>
    <row r="1244" spans="1:29" x14ac:dyDescent="0.2">
      <c r="A1244" s="76" t="s">
        <v>185</v>
      </c>
      <c r="B1244" s="76" t="s">
        <v>187</v>
      </c>
      <c r="C1244" s="76" t="s">
        <v>149</v>
      </c>
      <c r="D1244" s="76" t="s">
        <v>5</v>
      </c>
      <c r="E1244" s="76" t="s">
        <v>103</v>
      </c>
      <c r="F1244" s="51" t="s">
        <v>150</v>
      </c>
      <c r="G1244" s="76">
        <v>4</v>
      </c>
      <c r="H1244" s="76" t="s">
        <v>17</v>
      </c>
      <c r="I1244" s="76" t="s">
        <v>22</v>
      </c>
      <c r="J1244" s="76">
        <v>1</v>
      </c>
      <c r="K1244" s="78">
        <f>AB1244/COUNTIFS($B:$B,$B1244,$C:$C,$C1244,$H:$H,$H1244,$I:$I,$I1244)</f>
        <v>0.14000000000000001</v>
      </c>
      <c r="L1244" s="80">
        <f t="shared" si="75"/>
        <v>1</v>
      </c>
      <c r="M1244" s="82">
        <f t="shared" si="76"/>
        <v>0.14000000000000001</v>
      </c>
      <c r="N1244" s="59"/>
      <c r="P1244" s="25" t="s">
        <v>407</v>
      </c>
      <c r="Q1244" s="75"/>
      <c r="R1244" s="75"/>
      <c r="S1244" s="75"/>
      <c r="T1244" s="75"/>
      <c r="U1244" s="75"/>
      <c r="V1244" s="75"/>
      <c r="AA1244" s="146">
        <f>AB1244/COUNTIFS($B:$B,$B1244,$C:$C,$C1244,$H:$H,$H1244,$I:$I,$I1244)</f>
        <v>0.14000000000000001</v>
      </c>
      <c r="AB1244" s="108">
        <f>VLOOKUP(I1244,'Weights and Confidence'!$D$16:$AC$26,9,FALSE)</f>
        <v>0.14000000000000001</v>
      </c>
      <c r="AC1244" s="147">
        <f>VLOOKUP(I1244,'Weights and Confidence'!$D$16:$AC$26,10,FALSE)</f>
        <v>1</v>
      </c>
    </row>
    <row r="1245" spans="1:29" x14ac:dyDescent="0.2">
      <c r="A1245" s="77" t="s">
        <v>185</v>
      </c>
      <c r="B1245" s="77" t="s">
        <v>187</v>
      </c>
      <c r="C1245" s="77" t="s">
        <v>149</v>
      </c>
      <c r="D1245" s="77" t="s">
        <v>5</v>
      </c>
      <c r="E1245" s="77" t="s">
        <v>103</v>
      </c>
      <c r="F1245" s="50" t="s">
        <v>150</v>
      </c>
      <c r="G1245" s="77">
        <v>4</v>
      </c>
      <c r="H1245" s="77" t="s">
        <v>18</v>
      </c>
      <c r="I1245" s="77" t="s">
        <v>22</v>
      </c>
      <c r="J1245" s="77">
        <v>0</v>
      </c>
      <c r="K1245" s="79">
        <f>AB1245/COUNTIFS($B:$B,$B1245,$C:$C,$C1245,$H:$H,$H1245,$I:$I,$I1245)</f>
        <v>0.14000000000000001</v>
      </c>
      <c r="L1245" s="81">
        <f t="shared" si="75"/>
        <v>1</v>
      </c>
      <c r="M1245" s="83">
        <f t="shared" si="76"/>
        <v>0</v>
      </c>
      <c r="N1245" s="84"/>
      <c r="P1245" s="25" t="s">
        <v>408</v>
      </c>
      <c r="Q1245" s="75"/>
      <c r="R1245" s="75"/>
      <c r="S1245" s="75"/>
      <c r="T1245" s="75"/>
      <c r="U1245" s="75"/>
      <c r="V1245" s="75"/>
      <c r="AA1245" s="146">
        <f>AB1245/COUNTIFS($B:$B,$B1245,$C:$C,$C1245,$H:$H,$H1245,$I:$I,$I1245)</f>
        <v>0.14000000000000001</v>
      </c>
      <c r="AB1245" s="108">
        <f>VLOOKUP(I1245,'Weights and Confidence'!$D$16:$AC$26,9,FALSE)</f>
        <v>0.14000000000000001</v>
      </c>
      <c r="AC1245" s="147">
        <f>VLOOKUP(I1245,'Weights and Confidence'!$D$16:$AC$26,10,FALSE)</f>
        <v>1</v>
      </c>
    </row>
    <row r="1246" spans="1:29" x14ac:dyDescent="0.2">
      <c r="A1246" s="76" t="s">
        <v>185</v>
      </c>
      <c r="B1246" s="76" t="s">
        <v>187</v>
      </c>
      <c r="C1246" s="76" t="s">
        <v>149</v>
      </c>
      <c r="D1246" s="76" t="s">
        <v>5</v>
      </c>
      <c r="E1246" s="76" t="s">
        <v>103</v>
      </c>
      <c r="F1246" s="51" t="s">
        <v>150</v>
      </c>
      <c r="G1246" s="76">
        <v>5</v>
      </c>
      <c r="H1246" s="76" t="s">
        <v>17</v>
      </c>
      <c r="I1246" s="76" t="s">
        <v>23</v>
      </c>
      <c r="J1246" s="76">
        <v>1</v>
      </c>
      <c r="K1246" s="78">
        <f>AB1246/COUNTIFS($B:$B,$B1246,$C:$C,$C1246,$H:$H,$H1246,$I:$I,$I1246)</f>
        <v>0.11</v>
      </c>
      <c r="L1246" s="80">
        <f t="shared" si="75"/>
        <v>1</v>
      </c>
      <c r="M1246" s="82">
        <f t="shared" si="76"/>
        <v>0.11</v>
      </c>
      <c r="N1246" s="59"/>
      <c r="P1246" s="25" t="s">
        <v>409</v>
      </c>
      <c r="Q1246" s="75"/>
      <c r="R1246" s="75"/>
      <c r="S1246" s="75"/>
      <c r="T1246" s="75"/>
      <c r="U1246" s="75"/>
      <c r="V1246" s="75"/>
      <c r="AA1246" s="146">
        <f>AB1246/COUNTIFS($B:$B,$B1246,$C:$C,$C1246,$H:$H,$H1246,$I:$I,$I1246)</f>
        <v>0.11</v>
      </c>
      <c r="AB1246" s="108">
        <f>VLOOKUP(I1246,'Weights and Confidence'!$D$16:$AC$26,9,FALSE)</f>
        <v>0.11</v>
      </c>
      <c r="AC1246" s="147">
        <f>VLOOKUP(I1246,'Weights and Confidence'!$D$16:$AC$26,10,FALSE)</f>
        <v>1</v>
      </c>
    </row>
    <row r="1247" spans="1:29" ht="17" thickBot="1" x14ac:dyDescent="0.25">
      <c r="A1247" s="77" t="s">
        <v>185</v>
      </c>
      <c r="B1247" s="77" t="s">
        <v>187</v>
      </c>
      <c r="C1247" s="77" t="s">
        <v>149</v>
      </c>
      <c r="D1247" s="77" t="s">
        <v>5</v>
      </c>
      <c r="E1247" s="77" t="s">
        <v>103</v>
      </c>
      <c r="F1247" s="50" t="s">
        <v>150</v>
      </c>
      <c r="G1247" s="77">
        <v>5</v>
      </c>
      <c r="H1247" s="77" t="s">
        <v>18</v>
      </c>
      <c r="I1247" s="77" t="s">
        <v>23</v>
      </c>
      <c r="J1247" s="77">
        <v>0</v>
      </c>
      <c r="K1247" s="79">
        <f>AB1247/COUNTIFS($B:$B,$B1247,$C:$C,$C1247,$H:$H,$H1247,$I:$I,$I1247)</f>
        <v>0.11</v>
      </c>
      <c r="L1247" s="81">
        <f t="shared" si="75"/>
        <v>1</v>
      </c>
      <c r="M1247" s="83">
        <f t="shared" si="76"/>
        <v>0</v>
      </c>
      <c r="N1247" s="84"/>
      <c r="P1247" s="26" t="s">
        <v>410</v>
      </c>
      <c r="Q1247" s="2"/>
      <c r="R1247" s="2"/>
      <c r="S1247" s="2"/>
      <c r="T1247" s="2"/>
      <c r="U1247" s="2"/>
      <c r="V1247" s="2"/>
      <c r="AA1247" s="146">
        <f>AB1247/COUNTIFS($B:$B,$B1247,$C:$C,$C1247,$H:$H,$H1247,$I:$I,$I1247)</f>
        <v>0.11</v>
      </c>
      <c r="AB1247" s="108">
        <f>VLOOKUP(I1247,'Weights and Confidence'!$D$16:$AC$26,9,FALSE)</f>
        <v>0.11</v>
      </c>
      <c r="AC1247" s="147">
        <f>VLOOKUP(I1247,'Weights and Confidence'!$D$16:$AC$26,10,FALSE)</f>
        <v>1</v>
      </c>
    </row>
    <row r="1248" spans="1:29" x14ac:dyDescent="0.2">
      <c r="A1248" s="76" t="s">
        <v>185</v>
      </c>
      <c r="B1248" s="76" t="s">
        <v>187</v>
      </c>
      <c r="C1248" s="76" t="s">
        <v>149</v>
      </c>
      <c r="D1248" s="76" t="s">
        <v>5</v>
      </c>
      <c r="E1248" s="76" t="s">
        <v>103</v>
      </c>
      <c r="F1248" s="51" t="s">
        <v>150</v>
      </c>
      <c r="G1248" s="76">
        <v>6</v>
      </c>
      <c r="H1248" s="76" t="s">
        <v>17</v>
      </c>
      <c r="I1248" s="76" t="s">
        <v>24</v>
      </c>
      <c r="J1248" s="76">
        <v>0</v>
      </c>
      <c r="K1248" s="78">
        <f>AB1248/COUNTIFS($B:$B,$B1248,$C:$C,$C1248,$H:$H,$H1248,$I:$I,$I1248)</f>
        <v>0.15</v>
      </c>
      <c r="L1248" s="80">
        <f t="shared" si="75"/>
        <v>1</v>
      </c>
      <c r="M1248" s="82">
        <f t="shared" si="76"/>
        <v>0</v>
      </c>
      <c r="N1248" s="59"/>
      <c r="AA1248" s="146">
        <f>AB1248/COUNTIFS($B:$B,$B1248,$C:$C,$C1248,$H:$H,$H1248,$I:$I,$I1248)</f>
        <v>0.15</v>
      </c>
      <c r="AB1248" s="108">
        <f>VLOOKUP(I1248,'Weights and Confidence'!$D$16:$AC$26,9,FALSE)</f>
        <v>0.15</v>
      </c>
      <c r="AC1248" s="147">
        <f>VLOOKUP(I1248,'Weights and Confidence'!$D$16:$AC$26,10,FALSE)</f>
        <v>1</v>
      </c>
    </row>
    <row r="1249" spans="1:29" x14ac:dyDescent="0.2">
      <c r="A1249" s="77" t="s">
        <v>185</v>
      </c>
      <c r="B1249" s="77" t="s">
        <v>187</v>
      </c>
      <c r="C1249" s="77" t="s">
        <v>149</v>
      </c>
      <c r="D1249" s="77" t="s">
        <v>5</v>
      </c>
      <c r="E1249" s="77" t="s">
        <v>103</v>
      </c>
      <c r="F1249" s="50" t="s">
        <v>150</v>
      </c>
      <c r="G1249" s="77">
        <v>6</v>
      </c>
      <c r="H1249" s="77" t="s">
        <v>18</v>
      </c>
      <c r="I1249" s="77" t="s">
        <v>24</v>
      </c>
      <c r="J1249" s="77">
        <v>0</v>
      </c>
      <c r="K1249" s="79">
        <f>AB1249/COUNTIFS($B:$B,$B1249,$C:$C,$C1249,$H:$H,$H1249,$I:$I,$I1249)</f>
        <v>0.15</v>
      </c>
      <c r="L1249" s="81">
        <f t="shared" si="75"/>
        <v>1</v>
      </c>
      <c r="M1249" s="83">
        <f t="shared" si="76"/>
        <v>0</v>
      </c>
      <c r="N1249" s="84" t="s">
        <v>400</v>
      </c>
      <c r="AA1249" s="146">
        <f>AB1249/COUNTIFS($B:$B,$B1249,$C:$C,$C1249,$H:$H,$H1249,$I:$I,$I1249)</f>
        <v>0.15</v>
      </c>
      <c r="AB1249" s="108">
        <f>VLOOKUP(I1249,'Weights and Confidence'!$D$16:$AC$26,9,FALSE)</f>
        <v>0.15</v>
      </c>
      <c r="AC1249" s="147">
        <f>VLOOKUP(I1249,'Weights and Confidence'!$D$16:$AC$26,10,FALSE)</f>
        <v>1</v>
      </c>
    </row>
    <row r="1250" spans="1:29" x14ac:dyDescent="0.2">
      <c r="A1250" s="76" t="s">
        <v>185</v>
      </c>
      <c r="B1250" s="76" t="s">
        <v>187</v>
      </c>
      <c r="C1250" s="76" t="s">
        <v>149</v>
      </c>
      <c r="D1250" s="76" t="s">
        <v>5</v>
      </c>
      <c r="E1250" s="76" t="s">
        <v>103</v>
      </c>
      <c r="F1250" s="51" t="s">
        <v>150</v>
      </c>
      <c r="G1250" s="76">
        <v>7</v>
      </c>
      <c r="H1250" s="76" t="s">
        <v>17</v>
      </c>
      <c r="I1250" s="76" t="s">
        <v>25</v>
      </c>
      <c r="J1250" s="76">
        <v>0</v>
      </c>
      <c r="K1250" s="78">
        <f>AB1250/COUNTIFS($B:$B,$B1250,$C:$C,$C1250,$H:$H,$H1250,$I:$I,$I1250)</f>
        <v>0.1</v>
      </c>
      <c r="L1250" s="80">
        <f t="shared" si="75"/>
        <v>1</v>
      </c>
      <c r="M1250" s="82">
        <f t="shared" si="76"/>
        <v>0</v>
      </c>
      <c r="N1250" s="59"/>
      <c r="AA1250" s="146">
        <f>AB1250/COUNTIFS($B:$B,$B1250,$C:$C,$C1250,$H:$H,$H1250,$I:$I,$I1250)</f>
        <v>0.1</v>
      </c>
      <c r="AB1250" s="108">
        <f>VLOOKUP(I1250,'Weights and Confidence'!$D$16:$AC$26,9,FALSE)</f>
        <v>0.1</v>
      </c>
      <c r="AC1250" s="147">
        <f>VLOOKUP(I1250,'Weights and Confidence'!$D$16:$AC$26,10,FALSE)</f>
        <v>1</v>
      </c>
    </row>
    <row r="1251" spans="1:29" x14ac:dyDescent="0.2">
      <c r="A1251" s="77" t="s">
        <v>185</v>
      </c>
      <c r="B1251" s="77" t="s">
        <v>187</v>
      </c>
      <c r="C1251" s="77" t="s">
        <v>149</v>
      </c>
      <c r="D1251" s="77" t="s">
        <v>5</v>
      </c>
      <c r="E1251" s="77" t="s">
        <v>103</v>
      </c>
      <c r="F1251" s="50" t="s">
        <v>150</v>
      </c>
      <c r="G1251" s="77">
        <v>7</v>
      </c>
      <c r="H1251" s="77" t="s">
        <v>18</v>
      </c>
      <c r="I1251" s="77" t="s">
        <v>25</v>
      </c>
      <c r="J1251" s="77">
        <v>0</v>
      </c>
      <c r="K1251" s="79">
        <f>AB1251/COUNTIFS($B:$B,$B1251,$C:$C,$C1251,$H:$H,$H1251,$I:$I,$I1251)</f>
        <v>0.1</v>
      </c>
      <c r="L1251" s="81">
        <f t="shared" si="75"/>
        <v>1</v>
      </c>
      <c r="M1251" s="83">
        <f t="shared" si="76"/>
        <v>0</v>
      </c>
      <c r="N1251" s="84" t="s">
        <v>261</v>
      </c>
      <c r="AA1251" s="146">
        <f>AB1251/COUNTIFS($B:$B,$B1251,$C:$C,$C1251,$H:$H,$H1251,$I:$I,$I1251)</f>
        <v>0.1</v>
      </c>
      <c r="AB1251" s="108">
        <f>VLOOKUP(I1251,'Weights and Confidence'!$D$16:$AC$26,9,FALSE)</f>
        <v>0.1</v>
      </c>
      <c r="AC1251" s="147">
        <f>VLOOKUP(I1251,'Weights and Confidence'!$D$16:$AC$26,10,FALSE)</f>
        <v>1</v>
      </c>
    </row>
    <row r="1252" spans="1:29" x14ac:dyDescent="0.2">
      <c r="A1252" s="76" t="s">
        <v>185</v>
      </c>
      <c r="B1252" s="76" t="s">
        <v>187</v>
      </c>
      <c r="C1252" s="76" t="s">
        <v>149</v>
      </c>
      <c r="D1252" s="76" t="s">
        <v>5</v>
      </c>
      <c r="E1252" s="76" t="s">
        <v>103</v>
      </c>
      <c r="F1252" s="51" t="s">
        <v>150</v>
      </c>
      <c r="G1252" s="76">
        <v>8</v>
      </c>
      <c r="H1252" s="76" t="s">
        <v>17</v>
      </c>
      <c r="I1252" s="76" t="s">
        <v>26</v>
      </c>
      <c r="J1252" s="76">
        <v>0</v>
      </c>
      <c r="K1252" s="78">
        <f>AB1252/COUNTIFS($B:$B,$B1252,$C:$C,$C1252,$H:$H,$H1252,$I:$I,$I1252)</f>
        <v>0.1</v>
      </c>
      <c r="L1252" s="80">
        <f t="shared" si="75"/>
        <v>1</v>
      </c>
      <c r="M1252" s="82">
        <f t="shared" si="76"/>
        <v>0</v>
      </c>
      <c r="N1252" s="59"/>
      <c r="AA1252" s="146">
        <f>AB1252/COUNTIFS($B:$B,$B1252,$C:$C,$C1252,$H:$H,$H1252,$I:$I,$I1252)</f>
        <v>0.1</v>
      </c>
      <c r="AB1252" s="108">
        <f>VLOOKUP(I1252,'Weights and Confidence'!$D$16:$AC$26,9,FALSE)</f>
        <v>0.1</v>
      </c>
      <c r="AC1252" s="147">
        <f>VLOOKUP(I1252,'Weights and Confidence'!$D$16:$AC$26,10,FALSE)</f>
        <v>1</v>
      </c>
    </row>
    <row r="1253" spans="1:29" x14ac:dyDescent="0.2">
      <c r="A1253" s="77" t="s">
        <v>185</v>
      </c>
      <c r="B1253" s="77" t="s">
        <v>187</v>
      </c>
      <c r="C1253" s="77" t="s">
        <v>149</v>
      </c>
      <c r="D1253" s="77" t="s">
        <v>5</v>
      </c>
      <c r="E1253" s="77" t="s">
        <v>103</v>
      </c>
      <c r="F1253" s="50" t="s">
        <v>150</v>
      </c>
      <c r="G1253" s="77">
        <v>8</v>
      </c>
      <c r="H1253" s="77" t="s">
        <v>18</v>
      </c>
      <c r="I1253" s="77" t="s">
        <v>26</v>
      </c>
      <c r="J1253" s="77">
        <v>0</v>
      </c>
      <c r="K1253" s="79">
        <f>AB1253/COUNTIFS($B:$B,$B1253,$C:$C,$C1253,$H:$H,$H1253,$I:$I,$I1253)</f>
        <v>0.1</v>
      </c>
      <c r="L1253" s="81">
        <f t="shared" si="75"/>
        <v>1</v>
      </c>
      <c r="M1253" s="83">
        <f t="shared" si="76"/>
        <v>0</v>
      </c>
      <c r="N1253" s="58"/>
      <c r="AA1253" s="146">
        <f>AB1253/COUNTIFS($B:$B,$B1253,$C:$C,$C1253,$H:$H,$H1253,$I:$I,$I1253)</f>
        <v>0.1</v>
      </c>
      <c r="AB1253" s="108">
        <f>VLOOKUP(I1253,'Weights and Confidence'!$D$16:$AC$26,9,FALSE)</f>
        <v>0.1</v>
      </c>
      <c r="AC1253" s="147">
        <f>VLOOKUP(I1253,'Weights and Confidence'!$D$16:$AC$26,10,FALSE)</f>
        <v>1</v>
      </c>
    </row>
    <row r="1254" spans="1:29" x14ac:dyDescent="0.2">
      <c r="A1254" s="76" t="s">
        <v>185</v>
      </c>
      <c r="B1254" s="76" t="s">
        <v>187</v>
      </c>
      <c r="C1254" s="76" t="s">
        <v>149</v>
      </c>
      <c r="D1254" s="76" t="s">
        <v>5</v>
      </c>
      <c r="E1254" s="76" t="s">
        <v>103</v>
      </c>
      <c r="F1254" s="51" t="s">
        <v>150</v>
      </c>
      <c r="G1254" s="76">
        <v>9</v>
      </c>
      <c r="H1254" s="76" t="s">
        <v>17</v>
      </c>
      <c r="I1254" s="76" t="s">
        <v>27</v>
      </c>
      <c r="J1254" s="76"/>
      <c r="K1254" s="78">
        <f>AB1254/COUNTIFS($B:$B,$B1254,$C:$C,$C1254,$H:$H,$H1254,$I:$I,$I1254)</f>
        <v>0.05</v>
      </c>
      <c r="L1254" s="80">
        <f t="shared" si="75"/>
        <v>0.85</v>
      </c>
      <c r="M1254" s="82">
        <f t="shared" si="76"/>
        <v>0</v>
      </c>
      <c r="N1254" s="59"/>
      <c r="AA1254" s="146">
        <f>AB1254/COUNTIFS($B:$B,$B1254,$C:$C,$C1254,$H:$H,$H1254,$I:$I,$I1254)</f>
        <v>0.05</v>
      </c>
      <c r="AB1254" s="108">
        <f>VLOOKUP(I1254,'Weights and Confidence'!$D$16:$AC$26,9,FALSE)</f>
        <v>0.1</v>
      </c>
      <c r="AC1254" s="147">
        <f>VLOOKUP(I1254,'Weights and Confidence'!$D$16:$AC$26,10,FALSE)</f>
        <v>0.85</v>
      </c>
    </row>
    <row r="1255" spans="1:29" x14ac:dyDescent="0.2">
      <c r="A1255" s="77" t="s">
        <v>185</v>
      </c>
      <c r="B1255" s="77" t="s">
        <v>187</v>
      </c>
      <c r="C1255" s="77" t="s">
        <v>149</v>
      </c>
      <c r="D1255" s="77" t="s">
        <v>5</v>
      </c>
      <c r="E1255" s="77" t="s">
        <v>103</v>
      </c>
      <c r="F1255" s="50" t="s">
        <v>150</v>
      </c>
      <c r="G1255" s="77">
        <v>9</v>
      </c>
      <c r="H1255" s="77" t="s">
        <v>18</v>
      </c>
      <c r="I1255" s="77" t="s">
        <v>27</v>
      </c>
      <c r="J1255" s="77"/>
      <c r="K1255" s="79">
        <f>AB1255/COUNTIFS($B:$B,$B1255,$C:$C,$C1255,$H:$H,$H1255,$I:$I,$I1255)</f>
        <v>0.05</v>
      </c>
      <c r="L1255" s="81">
        <f t="shared" si="75"/>
        <v>0.85</v>
      </c>
      <c r="M1255" s="83">
        <f t="shared" si="76"/>
        <v>0</v>
      </c>
      <c r="N1255" s="58"/>
      <c r="AA1255" s="146">
        <f>AB1255/COUNTIFS($B:$B,$B1255,$C:$C,$C1255,$H:$H,$H1255,$I:$I,$I1255)</f>
        <v>0.05</v>
      </c>
      <c r="AB1255" s="108">
        <f>VLOOKUP(I1255,'Weights and Confidence'!$D$16:$AC$26,9,FALSE)</f>
        <v>0.1</v>
      </c>
      <c r="AC1255" s="147">
        <f>VLOOKUP(I1255,'Weights and Confidence'!$D$16:$AC$26,10,FALSE)</f>
        <v>0.85</v>
      </c>
    </row>
    <row r="1256" spans="1:29" x14ac:dyDescent="0.2">
      <c r="A1256" s="76" t="s">
        <v>185</v>
      </c>
      <c r="B1256" s="76" t="s">
        <v>187</v>
      </c>
      <c r="C1256" s="76" t="s">
        <v>149</v>
      </c>
      <c r="D1256" s="76" t="s">
        <v>5</v>
      </c>
      <c r="E1256" s="76" t="s">
        <v>103</v>
      </c>
      <c r="F1256" s="51" t="s">
        <v>150</v>
      </c>
      <c r="G1256" s="76">
        <v>10</v>
      </c>
      <c r="H1256" s="76" t="s">
        <v>17</v>
      </c>
      <c r="I1256" s="76" t="s">
        <v>27</v>
      </c>
      <c r="J1256" s="76"/>
      <c r="K1256" s="78">
        <f>AB1256/COUNTIFS($B:$B,$B1256,$C:$C,$C1256,$H:$H,$H1256,$I:$I,$I1256)</f>
        <v>0.05</v>
      </c>
      <c r="L1256" s="80">
        <f t="shared" si="75"/>
        <v>0.85</v>
      </c>
      <c r="M1256" s="82">
        <f t="shared" si="76"/>
        <v>0</v>
      </c>
      <c r="N1256" s="59"/>
      <c r="AA1256" s="146">
        <f>AB1256/COUNTIFS($B:$B,$B1256,$C:$C,$C1256,$H:$H,$H1256,$I:$I,$I1256)</f>
        <v>0.05</v>
      </c>
      <c r="AB1256" s="108">
        <f>VLOOKUP(I1256,'Weights and Confidence'!$D$16:$AC$26,9,FALSE)</f>
        <v>0.1</v>
      </c>
      <c r="AC1256" s="147">
        <f>VLOOKUP(I1256,'Weights and Confidence'!$D$16:$AC$26,10,FALSE)</f>
        <v>0.85</v>
      </c>
    </row>
    <row r="1257" spans="1:29" x14ac:dyDescent="0.2">
      <c r="A1257" s="77" t="s">
        <v>185</v>
      </c>
      <c r="B1257" s="77" t="s">
        <v>187</v>
      </c>
      <c r="C1257" s="77" t="s">
        <v>149</v>
      </c>
      <c r="D1257" s="77" t="s">
        <v>5</v>
      </c>
      <c r="E1257" s="77" t="s">
        <v>103</v>
      </c>
      <c r="F1257" s="50" t="s">
        <v>150</v>
      </c>
      <c r="G1257" s="77">
        <v>10</v>
      </c>
      <c r="H1257" s="77" t="s">
        <v>18</v>
      </c>
      <c r="I1257" s="77" t="s">
        <v>27</v>
      </c>
      <c r="J1257" s="77"/>
      <c r="K1257" s="79">
        <f>AB1257/COUNTIFS($B:$B,$B1257,$C:$C,$C1257,$H:$H,$H1257,$I:$I,$I1257)</f>
        <v>0.05</v>
      </c>
      <c r="L1257" s="81">
        <f t="shared" si="75"/>
        <v>0.85</v>
      </c>
      <c r="M1257" s="83">
        <f t="shared" si="76"/>
        <v>0</v>
      </c>
      <c r="N1257" s="58"/>
      <c r="AA1257" s="146">
        <f>AB1257/COUNTIFS($B:$B,$B1257,$C:$C,$C1257,$H:$H,$H1257,$I:$I,$I1257)</f>
        <v>0.05</v>
      </c>
      <c r="AB1257" s="108">
        <f>VLOOKUP(I1257,'Weights and Confidence'!$D$16:$AC$26,9,FALSE)</f>
        <v>0.1</v>
      </c>
      <c r="AC1257" s="147">
        <f>VLOOKUP(I1257,'Weights and Confidence'!$D$16:$AC$26,10,FALSE)</f>
        <v>0.85</v>
      </c>
    </row>
    <row r="1258" spans="1:29" x14ac:dyDescent="0.2">
      <c r="A1258" s="76" t="s">
        <v>185</v>
      </c>
      <c r="B1258" s="76" t="s">
        <v>187</v>
      </c>
      <c r="C1258" s="76" t="s">
        <v>149</v>
      </c>
      <c r="D1258" s="76" t="s">
        <v>5</v>
      </c>
      <c r="E1258" s="76" t="s">
        <v>103</v>
      </c>
      <c r="F1258" s="51" t="s">
        <v>150</v>
      </c>
      <c r="G1258" s="76">
        <v>11</v>
      </c>
      <c r="H1258" s="76" t="s">
        <v>17</v>
      </c>
      <c r="I1258" s="76" t="s">
        <v>28</v>
      </c>
      <c r="J1258" s="76">
        <v>0</v>
      </c>
      <c r="K1258" s="78">
        <f>AB1258/COUNTIFS($B:$B,$B1258,$C:$C,$C1258,$H:$H,$H1258,$I:$I,$I1258)</f>
        <v>0.05</v>
      </c>
      <c r="L1258" s="80">
        <f t="shared" si="75"/>
        <v>1</v>
      </c>
      <c r="M1258" s="82">
        <f t="shared" si="76"/>
        <v>0</v>
      </c>
      <c r="N1258" s="59"/>
      <c r="AA1258" s="146">
        <f>AB1258/COUNTIFS($B:$B,$B1258,$C:$C,$C1258,$H:$H,$H1258,$I:$I,$I1258)</f>
        <v>0.05</v>
      </c>
      <c r="AB1258" s="108">
        <f>VLOOKUP(I1258,'Weights and Confidence'!$D$16:$AC$26,9,FALSE)</f>
        <v>0.05</v>
      </c>
      <c r="AC1258" s="147">
        <f>VLOOKUP(I1258,'Weights and Confidence'!$D$16:$AC$26,10,FALSE)</f>
        <v>1</v>
      </c>
    </row>
    <row r="1259" spans="1:29" ht="17" thickBot="1" x14ac:dyDescent="0.25">
      <c r="A1259" s="98" t="s">
        <v>185</v>
      </c>
      <c r="B1259" s="98" t="s">
        <v>187</v>
      </c>
      <c r="C1259" s="98" t="s">
        <v>149</v>
      </c>
      <c r="D1259" s="98" t="s">
        <v>5</v>
      </c>
      <c r="E1259" s="98" t="s">
        <v>103</v>
      </c>
      <c r="F1259" s="54" t="s">
        <v>150</v>
      </c>
      <c r="G1259" s="98">
        <v>11</v>
      </c>
      <c r="H1259" s="98" t="s">
        <v>18</v>
      </c>
      <c r="I1259" s="98" t="s">
        <v>28</v>
      </c>
      <c r="J1259" s="98">
        <v>0</v>
      </c>
      <c r="K1259" s="99">
        <f>AB1259/COUNTIFS($B:$B,$B1259,$C:$C,$C1259,$H:$H,$H1259,$I:$I,$I1259)</f>
        <v>0.05</v>
      </c>
      <c r="L1259" s="100">
        <f t="shared" si="75"/>
        <v>1</v>
      </c>
      <c r="M1259" s="101">
        <f t="shared" si="76"/>
        <v>0</v>
      </c>
      <c r="N1259" s="22" t="s">
        <v>401</v>
      </c>
      <c r="AA1259" s="140">
        <f>AB1259/COUNTIFS($B:$B,$B1259,$C:$C,$C1259,$H:$H,$H1259,$I:$I,$I1259)</f>
        <v>0.05</v>
      </c>
      <c r="AB1259" s="141">
        <f>VLOOKUP(I1259,'Weights and Confidence'!$D$16:$AC$26,9,FALSE)</f>
        <v>0.05</v>
      </c>
      <c r="AC1259" s="142">
        <f>VLOOKUP(I1259,'Weights and Confidence'!$D$16:$AC$26,10,FALSE)</f>
        <v>1</v>
      </c>
    </row>
    <row r="1260" spans="1:29" ht="17" thickTop="1" x14ac:dyDescent="0.2">
      <c r="A1260" s="86" t="s">
        <v>185</v>
      </c>
      <c r="B1260" s="86" t="s">
        <v>187</v>
      </c>
      <c r="C1260" s="86" t="s">
        <v>281</v>
      </c>
      <c r="D1260" s="102" t="s">
        <v>5</v>
      </c>
      <c r="E1260" s="86" t="s">
        <v>103</v>
      </c>
      <c r="F1260" s="85" t="s">
        <v>282</v>
      </c>
      <c r="G1260" s="86">
        <v>1</v>
      </c>
      <c r="H1260" s="86" t="s">
        <v>17</v>
      </c>
      <c r="I1260" s="86" t="s">
        <v>19</v>
      </c>
      <c r="J1260" s="77">
        <v>1</v>
      </c>
      <c r="K1260" s="87">
        <f>AB1260/COUNTIFS($B:$B,$B1260,$C:$C,$C1260,$H:$H,$H1260,$I:$I,$I1260)</f>
        <v>0.12</v>
      </c>
      <c r="L1260" s="88">
        <f t="shared" si="75"/>
        <v>1</v>
      </c>
      <c r="M1260" s="82">
        <f t="shared" si="76"/>
        <v>0.12</v>
      </c>
      <c r="N1260" s="90"/>
      <c r="AA1260" s="146">
        <f>AB1260/COUNTIFS($B:$B,$B1260,$C:$C,$C1260,$H:$H,$H1260,$I:$I,$I1260)</f>
        <v>0.12</v>
      </c>
      <c r="AB1260" s="108">
        <f>VLOOKUP(I1260,'Weights and Confidence'!$D$16:$AC$26,9,FALSE)</f>
        <v>0.12</v>
      </c>
      <c r="AC1260" s="147">
        <f>VLOOKUP(I1260,'Weights and Confidence'!$D$16:$AC$26,10,FALSE)</f>
        <v>1</v>
      </c>
    </row>
    <row r="1261" spans="1:29" ht="17" thickBot="1" x14ac:dyDescent="0.25">
      <c r="A1261" s="77" t="s">
        <v>185</v>
      </c>
      <c r="B1261" s="77" t="s">
        <v>187</v>
      </c>
      <c r="C1261" s="77" t="s">
        <v>281</v>
      </c>
      <c r="D1261" s="77" t="s">
        <v>5</v>
      </c>
      <c r="E1261" s="77" t="s">
        <v>103</v>
      </c>
      <c r="F1261" s="50" t="s">
        <v>282</v>
      </c>
      <c r="G1261" s="77">
        <v>1</v>
      </c>
      <c r="H1261" s="77" t="s">
        <v>18</v>
      </c>
      <c r="I1261" s="77" t="s">
        <v>19</v>
      </c>
      <c r="J1261" s="77">
        <v>0</v>
      </c>
      <c r="K1261" s="79">
        <f>AB1261/COUNTIFS($B:$B,$B1261,$C:$C,$C1261,$H:$H,$H1261,$I:$I,$I1261)</f>
        <v>0.12</v>
      </c>
      <c r="L1261" s="81">
        <f t="shared" si="75"/>
        <v>1</v>
      </c>
      <c r="M1261" s="83">
        <f>J1260*K1261*L1261</f>
        <v>0.12</v>
      </c>
      <c r="N1261" s="84"/>
      <c r="AA1261" s="146">
        <f>AB1261/COUNTIFS($B:$B,$B1261,$C:$C,$C1261,$H:$H,$H1261,$I:$I,$I1261)</f>
        <v>0.12</v>
      </c>
      <c r="AB1261" s="108">
        <f>VLOOKUP(I1261,'Weights and Confidence'!$D$16:$AC$26,9,FALSE)</f>
        <v>0.12</v>
      </c>
      <c r="AC1261" s="147">
        <f>VLOOKUP(I1261,'Weights and Confidence'!$D$16:$AC$26,10,FALSE)</f>
        <v>1</v>
      </c>
    </row>
    <row r="1262" spans="1:29" x14ac:dyDescent="0.2">
      <c r="A1262" s="76" t="s">
        <v>185</v>
      </c>
      <c r="B1262" s="76" t="s">
        <v>187</v>
      </c>
      <c r="C1262" s="76" t="s">
        <v>281</v>
      </c>
      <c r="D1262" s="76" t="s">
        <v>5</v>
      </c>
      <c r="E1262" s="76" t="s">
        <v>103</v>
      </c>
      <c r="F1262" s="51" t="s">
        <v>282</v>
      </c>
      <c r="G1262" s="76">
        <v>2</v>
      </c>
      <c r="H1262" s="76" t="s">
        <v>17</v>
      </c>
      <c r="I1262" s="76" t="s">
        <v>20</v>
      </c>
      <c r="J1262" s="76">
        <v>0</v>
      </c>
      <c r="K1262" s="78">
        <f>AB1262/COUNTIFS($B:$B,$B1262,$C:$C,$C1262,$H:$H,$H1262,$I:$I,$I1262)</f>
        <v>0.08</v>
      </c>
      <c r="L1262" s="80">
        <f t="shared" si="75"/>
        <v>0.8</v>
      </c>
      <c r="M1262" s="82">
        <f t="shared" ref="M1262:M1282" si="77">J1262*K1262*L1262</f>
        <v>0</v>
      </c>
      <c r="N1262" s="59"/>
      <c r="P1262" s="24" t="s">
        <v>411</v>
      </c>
      <c r="Q1262" s="10"/>
      <c r="R1262" s="10"/>
      <c r="S1262" s="10"/>
      <c r="T1262" s="10"/>
      <c r="U1262" s="10"/>
      <c r="V1262" s="10"/>
      <c r="AA1262" s="146">
        <f>AB1262/COUNTIFS($B:$B,$B1262,$C:$C,$C1262,$H:$H,$H1262,$I:$I,$I1262)</f>
        <v>0.08</v>
      </c>
      <c r="AB1262" s="108">
        <f>VLOOKUP(I1262,'Weights and Confidence'!$D$16:$AC$26,9,FALSE)</f>
        <v>0.08</v>
      </c>
      <c r="AC1262" s="147">
        <f>VLOOKUP(I1262,'Weights and Confidence'!$D$16:$AC$26,10,FALSE)</f>
        <v>0.8</v>
      </c>
    </row>
    <row r="1263" spans="1:29" x14ac:dyDescent="0.2">
      <c r="A1263" s="77" t="s">
        <v>185</v>
      </c>
      <c r="B1263" s="77" t="s">
        <v>187</v>
      </c>
      <c r="C1263" s="77" t="s">
        <v>281</v>
      </c>
      <c r="D1263" s="77" t="s">
        <v>5</v>
      </c>
      <c r="E1263" s="77" t="s">
        <v>103</v>
      </c>
      <c r="F1263" s="50" t="s">
        <v>282</v>
      </c>
      <c r="G1263" s="77">
        <v>2</v>
      </c>
      <c r="H1263" s="77" t="s">
        <v>18</v>
      </c>
      <c r="I1263" s="77" t="s">
        <v>20</v>
      </c>
      <c r="J1263" s="77">
        <v>1</v>
      </c>
      <c r="K1263" s="79">
        <f>AB1263/COUNTIFS($B:$B,$B1263,$C:$C,$C1263,$H:$H,$H1263,$I:$I,$I1263)</f>
        <v>0.08</v>
      </c>
      <c r="L1263" s="81">
        <f t="shared" si="75"/>
        <v>0.8</v>
      </c>
      <c r="M1263" s="83">
        <f t="shared" si="77"/>
        <v>6.4000000000000001E-2</v>
      </c>
      <c r="N1263" s="58"/>
      <c r="P1263" s="25" t="s">
        <v>412</v>
      </c>
      <c r="Q1263" s="75"/>
      <c r="R1263" s="75"/>
      <c r="S1263" s="75"/>
      <c r="T1263" s="75"/>
      <c r="U1263" s="75"/>
      <c r="V1263" s="75"/>
      <c r="AA1263" s="146">
        <f>AB1263/COUNTIFS($B:$B,$B1263,$C:$C,$C1263,$H:$H,$H1263,$I:$I,$I1263)</f>
        <v>0.08</v>
      </c>
      <c r="AB1263" s="108">
        <f>VLOOKUP(I1263,'Weights and Confidence'!$D$16:$AC$26,9,FALSE)</f>
        <v>0.08</v>
      </c>
      <c r="AC1263" s="147">
        <f>VLOOKUP(I1263,'Weights and Confidence'!$D$16:$AC$26,10,FALSE)</f>
        <v>0.8</v>
      </c>
    </row>
    <row r="1264" spans="1:29" x14ac:dyDescent="0.2">
      <c r="A1264" s="76" t="s">
        <v>185</v>
      </c>
      <c r="B1264" s="76" t="s">
        <v>187</v>
      </c>
      <c r="C1264" s="76" t="s">
        <v>281</v>
      </c>
      <c r="D1264" s="76" t="s">
        <v>5</v>
      </c>
      <c r="E1264" s="76" t="s">
        <v>103</v>
      </c>
      <c r="F1264" s="51" t="s">
        <v>282</v>
      </c>
      <c r="G1264" s="76">
        <v>3</v>
      </c>
      <c r="H1264" s="76" t="s">
        <v>17</v>
      </c>
      <c r="I1264" s="76" t="s">
        <v>21</v>
      </c>
      <c r="J1264" s="76">
        <v>1</v>
      </c>
      <c r="K1264" s="78">
        <f>AB1264/COUNTIFS($B:$B,$B1264,$C:$C,$C1264,$H:$H,$H1264,$I:$I,$I1264)</f>
        <v>0.05</v>
      </c>
      <c r="L1264" s="80">
        <f t="shared" si="75"/>
        <v>1</v>
      </c>
      <c r="M1264" s="82">
        <f t="shared" si="77"/>
        <v>0.05</v>
      </c>
      <c r="N1264" s="59"/>
      <c r="P1264" s="25" t="s">
        <v>413</v>
      </c>
      <c r="Q1264" s="75"/>
      <c r="R1264" s="75"/>
      <c r="S1264" s="75"/>
      <c r="T1264" s="75"/>
      <c r="U1264" s="75"/>
      <c r="V1264" s="75"/>
      <c r="AA1264" s="146">
        <f>AB1264/COUNTIFS($B:$B,$B1264,$C:$C,$C1264,$H:$H,$H1264,$I:$I,$I1264)</f>
        <v>0.05</v>
      </c>
      <c r="AB1264" s="108">
        <f>VLOOKUP(I1264,'Weights and Confidence'!$D$16:$AC$26,9,FALSE)</f>
        <v>0.05</v>
      </c>
      <c r="AC1264" s="147">
        <f>VLOOKUP(I1264,'Weights and Confidence'!$D$16:$AC$26,10,FALSE)</f>
        <v>1</v>
      </c>
    </row>
    <row r="1265" spans="1:29" x14ac:dyDescent="0.2">
      <c r="A1265" s="77" t="s">
        <v>185</v>
      </c>
      <c r="B1265" s="77" t="s">
        <v>187</v>
      </c>
      <c r="C1265" s="77" t="s">
        <v>281</v>
      </c>
      <c r="D1265" s="77" t="s">
        <v>5</v>
      </c>
      <c r="E1265" s="77" t="s">
        <v>103</v>
      </c>
      <c r="F1265" s="50" t="s">
        <v>282</v>
      </c>
      <c r="G1265" s="77">
        <v>3</v>
      </c>
      <c r="H1265" s="77" t="s">
        <v>18</v>
      </c>
      <c r="I1265" s="77" t="s">
        <v>21</v>
      </c>
      <c r="J1265" s="77">
        <v>0</v>
      </c>
      <c r="K1265" s="79">
        <f>AB1265/COUNTIFS($B:$B,$B1265,$C:$C,$C1265,$H:$H,$H1265,$I:$I,$I1265)</f>
        <v>0.05</v>
      </c>
      <c r="L1265" s="81">
        <f t="shared" si="75"/>
        <v>1</v>
      </c>
      <c r="M1265" s="83">
        <f t="shared" si="77"/>
        <v>0</v>
      </c>
      <c r="N1265" s="84"/>
      <c r="P1265" s="25" t="s">
        <v>414</v>
      </c>
      <c r="Q1265" s="75"/>
      <c r="R1265" s="75"/>
      <c r="S1265" s="75"/>
      <c r="T1265" s="75"/>
      <c r="U1265" s="75"/>
      <c r="V1265" s="75"/>
      <c r="AA1265" s="146">
        <f>AB1265/COUNTIFS($B:$B,$B1265,$C:$C,$C1265,$H:$H,$H1265,$I:$I,$I1265)</f>
        <v>0.05</v>
      </c>
      <c r="AB1265" s="108">
        <f>VLOOKUP(I1265,'Weights and Confidence'!$D$16:$AC$26,9,FALSE)</f>
        <v>0.05</v>
      </c>
      <c r="AC1265" s="147">
        <f>VLOOKUP(I1265,'Weights and Confidence'!$D$16:$AC$26,10,FALSE)</f>
        <v>1</v>
      </c>
    </row>
    <row r="1266" spans="1:29" x14ac:dyDescent="0.2">
      <c r="A1266" s="76" t="s">
        <v>185</v>
      </c>
      <c r="B1266" s="76" t="s">
        <v>187</v>
      </c>
      <c r="C1266" s="76" t="s">
        <v>281</v>
      </c>
      <c r="D1266" s="76" t="s">
        <v>5</v>
      </c>
      <c r="E1266" s="76" t="s">
        <v>103</v>
      </c>
      <c r="F1266" s="51" t="s">
        <v>282</v>
      </c>
      <c r="G1266" s="76">
        <v>4</v>
      </c>
      <c r="H1266" s="76" t="s">
        <v>17</v>
      </c>
      <c r="I1266" s="76" t="s">
        <v>22</v>
      </c>
      <c r="J1266" s="76">
        <v>0</v>
      </c>
      <c r="K1266" s="78">
        <f>AB1266/COUNTIFS($B:$B,$B1266,$C:$C,$C1266,$H:$H,$H1266,$I:$I,$I1266)</f>
        <v>0.14000000000000001</v>
      </c>
      <c r="L1266" s="80">
        <f t="shared" si="75"/>
        <v>1</v>
      </c>
      <c r="M1266" s="82">
        <f t="shared" si="77"/>
        <v>0</v>
      </c>
      <c r="N1266" s="59"/>
      <c r="P1266" s="25" t="s">
        <v>415</v>
      </c>
      <c r="Q1266" s="75"/>
      <c r="R1266" s="75"/>
      <c r="S1266" s="75"/>
      <c r="T1266" s="75"/>
      <c r="U1266" s="75"/>
      <c r="V1266" s="75"/>
      <c r="AA1266" s="146">
        <f>AB1266/COUNTIFS($B:$B,$B1266,$C:$C,$C1266,$H:$H,$H1266,$I:$I,$I1266)</f>
        <v>0.14000000000000001</v>
      </c>
      <c r="AB1266" s="108">
        <f>VLOOKUP(I1266,'Weights and Confidence'!$D$16:$AC$26,9,FALSE)</f>
        <v>0.14000000000000001</v>
      </c>
      <c r="AC1266" s="147">
        <f>VLOOKUP(I1266,'Weights and Confidence'!$D$16:$AC$26,10,FALSE)</f>
        <v>1</v>
      </c>
    </row>
    <row r="1267" spans="1:29" ht="17" thickBot="1" x14ac:dyDescent="0.25">
      <c r="A1267" s="77" t="s">
        <v>185</v>
      </c>
      <c r="B1267" s="77" t="s">
        <v>187</v>
      </c>
      <c r="C1267" s="77" t="s">
        <v>281</v>
      </c>
      <c r="D1267" s="77" t="s">
        <v>5</v>
      </c>
      <c r="E1267" s="77" t="s">
        <v>103</v>
      </c>
      <c r="F1267" s="50" t="s">
        <v>282</v>
      </c>
      <c r="G1267" s="77">
        <v>4</v>
      </c>
      <c r="H1267" s="77" t="s">
        <v>18</v>
      </c>
      <c r="I1267" s="77" t="s">
        <v>22</v>
      </c>
      <c r="J1267" s="77">
        <v>1</v>
      </c>
      <c r="K1267" s="79">
        <f>AB1267/COUNTIFS($B:$B,$B1267,$C:$C,$C1267,$H:$H,$H1267,$I:$I,$I1267)</f>
        <v>0.14000000000000001</v>
      </c>
      <c r="L1267" s="81">
        <f t="shared" si="75"/>
        <v>1</v>
      </c>
      <c r="M1267" s="83">
        <f t="shared" si="77"/>
        <v>0.14000000000000001</v>
      </c>
      <c r="N1267" s="84"/>
      <c r="P1267" s="26" t="s">
        <v>416</v>
      </c>
      <c r="Q1267" s="2"/>
      <c r="R1267" s="2"/>
      <c r="S1267" s="2"/>
      <c r="T1267" s="2"/>
      <c r="U1267" s="2"/>
      <c r="V1267" s="2"/>
      <c r="AA1267" s="146">
        <f>AB1267/COUNTIFS($B:$B,$B1267,$C:$C,$C1267,$H:$H,$H1267,$I:$I,$I1267)</f>
        <v>0.14000000000000001</v>
      </c>
      <c r="AB1267" s="108">
        <f>VLOOKUP(I1267,'Weights and Confidence'!$D$16:$AC$26,9,FALSE)</f>
        <v>0.14000000000000001</v>
      </c>
      <c r="AC1267" s="147">
        <f>VLOOKUP(I1267,'Weights and Confidence'!$D$16:$AC$26,10,FALSE)</f>
        <v>1</v>
      </c>
    </row>
    <row r="1268" spans="1:29" x14ac:dyDescent="0.2">
      <c r="A1268" s="76" t="s">
        <v>185</v>
      </c>
      <c r="B1268" s="76" t="s">
        <v>187</v>
      </c>
      <c r="C1268" s="76" t="s">
        <v>281</v>
      </c>
      <c r="D1268" s="76" t="s">
        <v>5</v>
      </c>
      <c r="E1268" s="76" t="s">
        <v>103</v>
      </c>
      <c r="F1268" s="51" t="s">
        <v>282</v>
      </c>
      <c r="G1268" s="76">
        <v>5</v>
      </c>
      <c r="H1268" s="76" t="s">
        <v>17</v>
      </c>
      <c r="I1268" s="76" t="s">
        <v>23</v>
      </c>
      <c r="J1268" s="76">
        <v>0</v>
      </c>
      <c r="K1268" s="78">
        <f>AB1268/COUNTIFS($B:$B,$B1268,$C:$C,$C1268,$H:$H,$H1268,$I:$I,$I1268)</f>
        <v>0.11</v>
      </c>
      <c r="L1268" s="80">
        <f t="shared" si="75"/>
        <v>1</v>
      </c>
      <c r="M1268" s="82">
        <f t="shared" si="77"/>
        <v>0</v>
      </c>
      <c r="N1268" s="59"/>
      <c r="AA1268" s="146">
        <f>AB1268/COUNTIFS($B:$B,$B1268,$C:$C,$C1268,$H:$H,$H1268,$I:$I,$I1268)</f>
        <v>0.11</v>
      </c>
      <c r="AB1268" s="108">
        <f>VLOOKUP(I1268,'Weights and Confidence'!$D$16:$AC$26,9,FALSE)</f>
        <v>0.11</v>
      </c>
      <c r="AC1268" s="147">
        <f>VLOOKUP(I1268,'Weights and Confidence'!$D$16:$AC$26,10,FALSE)</f>
        <v>1</v>
      </c>
    </row>
    <row r="1269" spans="1:29" x14ac:dyDescent="0.2">
      <c r="A1269" s="77" t="s">
        <v>185</v>
      </c>
      <c r="B1269" s="77" t="s">
        <v>187</v>
      </c>
      <c r="C1269" s="77" t="s">
        <v>281</v>
      </c>
      <c r="D1269" s="77" t="s">
        <v>5</v>
      </c>
      <c r="E1269" s="77" t="s">
        <v>103</v>
      </c>
      <c r="F1269" s="50" t="s">
        <v>282</v>
      </c>
      <c r="G1269" s="77">
        <v>5</v>
      </c>
      <c r="H1269" s="77" t="s">
        <v>18</v>
      </c>
      <c r="I1269" s="77" t="s">
        <v>23</v>
      </c>
      <c r="J1269" s="77">
        <v>0</v>
      </c>
      <c r="K1269" s="79">
        <f>AB1269/COUNTIFS($B:$B,$B1269,$C:$C,$C1269,$H:$H,$H1269,$I:$I,$I1269)</f>
        <v>0.11</v>
      </c>
      <c r="L1269" s="81">
        <f t="shared" si="75"/>
        <v>1</v>
      </c>
      <c r="M1269" s="83">
        <f t="shared" si="77"/>
        <v>0</v>
      </c>
      <c r="N1269" s="84"/>
      <c r="AA1269" s="146">
        <f>AB1269/COUNTIFS($B:$B,$B1269,$C:$C,$C1269,$H:$H,$H1269,$I:$I,$I1269)</f>
        <v>0.11</v>
      </c>
      <c r="AB1269" s="108">
        <f>VLOOKUP(I1269,'Weights and Confidence'!$D$16:$AC$26,9,FALSE)</f>
        <v>0.11</v>
      </c>
      <c r="AC1269" s="147">
        <f>VLOOKUP(I1269,'Weights and Confidence'!$D$16:$AC$26,10,FALSE)</f>
        <v>1</v>
      </c>
    </row>
    <row r="1270" spans="1:29" x14ac:dyDescent="0.2">
      <c r="A1270" s="76" t="s">
        <v>185</v>
      </c>
      <c r="B1270" s="76" t="s">
        <v>187</v>
      </c>
      <c r="C1270" s="76" t="s">
        <v>281</v>
      </c>
      <c r="D1270" s="76" t="s">
        <v>5</v>
      </c>
      <c r="E1270" s="76" t="s">
        <v>103</v>
      </c>
      <c r="F1270" s="51" t="s">
        <v>282</v>
      </c>
      <c r="G1270" s="76">
        <v>6</v>
      </c>
      <c r="H1270" s="76" t="s">
        <v>17</v>
      </c>
      <c r="I1270" s="76" t="s">
        <v>24</v>
      </c>
      <c r="J1270" s="76">
        <v>0</v>
      </c>
      <c r="K1270" s="78">
        <f>AB1270/COUNTIFS($B:$B,$B1270,$C:$C,$C1270,$H:$H,$H1270,$I:$I,$I1270)</f>
        <v>0.15</v>
      </c>
      <c r="L1270" s="80">
        <f t="shared" si="75"/>
        <v>1</v>
      </c>
      <c r="M1270" s="82">
        <f t="shared" si="77"/>
        <v>0</v>
      </c>
      <c r="N1270" s="59"/>
      <c r="AA1270" s="146">
        <f>AB1270/COUNTIFS($B:$B,$B1270,$C:$C,$C1270,$H:$H,$H1270,$I:$I,$I1270)</f>
        <v>0.15</v>
      </c>
      <c r="AB1270" s="108">
        <f>VLOOKUP(I1270,'Weights and Confidence'!$D$16:$AC$26,9,FALSE)</f>
        <v>0.15</v>
      </c>
      <c r="AC1270" s="147">
        <f>VLOOKUP(I1270,'Weights and Confidence'!$D$16:$AC$26,10,FALSE)</f>
        <v>1</v>
      </c>
    </row>
    <row r="1271" spans="1:29" x14ac:dyDescent="0.2">
      <c r="A1271" s="77" t="s">
        <v>185</v>
      </c>
      <c r="B1271" s="77" t="s">
        <v>187</v>
      </c>
      <c r="C1271" s="77" t="s">
        <v>281</v>
      </c>
      <c r="D1271" s="77" t="s">
        <v>5</v>
      </c>
      <c r="E1271" s="77" t="s">
        <v>103</v>
      </c>
      <c r="F1271" s="50" t="s">
        <v>282</v>
      </c>
      <c r="G1271" s="77">
        <v>6</v>
      </c>
      <c r="H1271" s="77" t="s">
        <v>18</v>
      </c>
      <c r="I1271" s="77" t="s">
        <v>24</v>
      </c>
      <c r="J1271" s="77">
        <v>0</v>
      </c>
      <c r="K1271" s="79">
        <f>AB1271/COUNTIFS($B:$B,$B1271,$C:$C,$C1271,$H:$H,$H1271,$I:$I,$I1271)</f>
        <v>0.15</v>
      </c>
      <c r="L1271" s="81">
        <f t="shared" si="75"/>
        <v>1</v>
      </c>
      <c r="M1271" s="83">
        <f t="shared" si="77"/>
        <v>0</v>
      </c>
      <c r="N1271" s="84"/>
      <c r="AA1271" s="146">
        <f>AB1271/COUNTIFS($B:$B,$B1271,$C:$C,$C1271,$H:$H,$H1271,$I:$I,$I1271)</f>
        <v>0.15</v>
      </c>
      <c r="AB1271" s="108">
        <f>VLOOKUP(I1271,'Weights and Confidence'!$D$16:$AC$26,9,FALSE)</f>
        <v>0.15</v>
      </c>
      <c r="AC1271" s="147">
        <f>VLOOKUP(I1271,'Weights and Confidence'!$D$16:$AC$26,10,FALSE)</f>
        <v>1</v>
      </c>
    </row>
    <row r="1272" spans="1:29" x14ac:dyDescent="0.2">
      <c r="A1272" s="76" t="s">
        <v>185</v>
      </c>
      <c r="B1272" s="76" t="s">
        <v>187</v>
      </c>
      <c r="C1272" s="76" t="s">
        <v>281</v>
      </c>
      <c r="D1272" s="76" t="s">
        <v>5</v>
      </c>
      <c r="E1272" s="76" t="s">
        <v>103</v>
      </c>
      <c r="F1272" s="51" t="s">
        <v>282</v>
      </c>
      <c r="G1272" s="76">
        <v>7</v>
      </c>
      <c r="H1272" s="76" t="s">
        <v>17</v>
      </c>
      <c r="I1272" s="76" t="s">
        <v>25</v>
      </c>
      <c r="J1272" s="76">
        <v>0</v>
      </c>
      <c r="K1272" s="78">
        <f>AB1272/COUNTIFS($B:$B,$B1272,$C:$C,$C1272,$H:$H,$H1272,$I:$I,$I1272)</f>
        <v>0.1</v>
      </c>
      <c r="L1272" s="80">
        <f t="shared" si="75"/>
        <v>1</v>
      </c>
      <c r="M1272" s="82">
        <f t="shared" si="77"/>
        <v>0</v>
      </c>
      <c r="N1272" s="59"/>
      <c r="AA1272" s="146">
        <f>AB1272/COUNTIFS($B:$B,$B1272,$C:$C,$C1272,$H:$H,$H1272,$I:$I,$I1272)</f>
        <v>0.1</v>
      </c>
      <c r="AB1272" s="108">
        <f>VLOOKUP(I1272,'Weights and Confidence'!$D$16:$AC$26,9,FALSE)</f>
        <v>0.1</v>
      </c>
      <c r="AC1272" s="147">
        <f>VLOOKUP(I1272,'Weights and Confidence'!$D$16:$AC$26,10,FALSE)</f>
        <v>1</v>
      </c>
    </row>
    <row r="1273" spans="1:29" x14ac:dyDescent="0.2">
      <c r="A1273" s="77" t="s">
        <v>185</v>
      </c>
      <c r="B1273" s="77" t="s">
        <v>187</v>
      </c>
      <c r="C1273" s="77" t="s">
        <v>281</v>
      </c>
      <c r="D1273" s="77" t="s">
        <v>5</v>
      </c>
      <c r="E1273" s="77" t="s">
        <v>103</v>
      </c>
      <c r="F1273" s="50" t="s">
        <v>282</v>
      </c>
      <c r="G1273" s="77">
        <v>7</v>
      </c>
      <c r="H1273" s="77" t="s">
        <v>18</v>
      </c>
      <c r="I1273" s="77" t="s">
        <v>25</v>
      </c>
      <c r="J1273" s="77">
        <v>1</v>
      </c>
      <c r="K1273" s="79">
        <f>AB1273/COUNTIFS($B:$B,$B1273,$C:$C,$C1273,$H:$H,$H1273,$I:$I,$I1273)</f>
        <v>0.1</v>
      </c>
      <c r="L1273" s="81">
        <f t="shared" si="75"/>
        <v>1</v>
      </c>
      <c r="M1273" s="83">
        <f t="shared" si="77"/>
        <v>0.1</v>
      </c>
      <c r="N1273" s="84"/>
      <c r="AA1273" s="146">
        <f>AB1273/COUNTIFS($B:$B,$B1273,$C:$C,$C1273,$H:$H,$H1273,$I:$I,$I1273)</f>
        <v>0.1</v>
      </c>
      <c r="AB1273" s="108">
        <f>VLOOKUP(I1273,'Weights and Confidence'!$D$16:$AC$26,9,FALSE)</f>
        <v>0.1</v>
      </c>
      <c r="AC1273" s="147">
        <f>VLOOKUP(I1273,'Weights and Confidence'!$D$16:$AC$26,10,FALSE)</f>
        <v>1</v>
      </c>
    </row>
    <row r="1274" spans="1:29" x14ac:dyDescent="0.2">
      <c r="A1274" s="76" t="s">
        <v>185</v>
      </c>
      <c r="B1274" s="76" t="s">
        <v>187</v>
      </c>
      <c r="C1274" s="76" t="s">
        <v>281</v>
      </c>
      <c r="D1274" s="76" t="s">
        <v>5</v>
      </c>
      <c r="E1274" s="76" t="s">
        <v>103</v>
      </c>
      <c r="F1274" s="51" t="s">
        <v>282</v>
      </c>
      <c r="G1274" s="76">
        <v>8</v>
      </c>
      <c r="H1274" s="76" t="s">
        <v>17</v>
      </c>
      <c r="I1274" s="76" t="s">
        <v>26</v>
      </c>
      <c r="J1274" s="76">
        <v>0</v>
      </c>
      <c r="K1274" s="78">
        <f>AB1274/COUNTIFS($B:$B,$B1274,$C:$C,$C1274,$H:$H,$H1274,$I:$I,$I1274)</f>
        <v>0.1</v>
      </c>
      <c r="L1274" s="80">
        <f t="shared" si="75"/>
        <v>1</v>
      </c>
      <c r="M1274" s="82">
        <f t="shared" si="77"/>
        <v>0</v>
      </c>
      <c r="N1274" s="59"/>
      <c r="AA1274" s="146">
        <f>AB1274/COUNTIFS($B:$B,$B1274,$C:$C,$C1274,$H:$H,$H1274,$I:$I,$I1274)</f>
        <v>0.1</v>
      </c>
      <c r="AB1274" s="108">
        <f>VLOOKUP(I1274,'Weights and Confidence'!$D$16:$AC$26,9,FALSE)</f>
        <v>0.1</v>
      </c>
      <c r="AC1274" s="147">
        <f>VLOOKUP(I1274,'Weights and Confidence'!$D$16:$AC$26,10,FALSE)</f>
        <v>1</v>
      </c>
    </row>
    <row r="1275" spans="1:29" x14ac:dyDescent="0.2">
      <c r="A1275" s="77" t="s">
        <v>185</v>
      </c>
      <c r="B1275" s="77" t="s">
        <v>187</v>
      </c>
      <c r="C1275" s="77" t="s">
        <v>281</v>
      </c>
      <c r="D1275" s="77" t="s">
        <v>5</v>
      </c>
      <c r="E1275" s="77" t="s">
        <v>103</v>
      </c>
      <c r="F1275" s="50" t="s">
        <v>282</v>
      </c>
      <c r="G1275" s="77">
        <v>8</v>
      </c>
      <c r="H1275" s="77" t="s">
        <v>18</v>
      </c>
      <c r="I1275" s="77" t="s">
        <v>26</v>
      </c>
      <c r="J1275" s="77">
        <v>1</v>
      </c>
      <c r="K1275" s="79">
        <f>AB1275/COUNTIFS($B:$B,$B1275,$C:$C,$C1275,$H:$H,$H1275,$I:$I,$I1275)</f>
        <v>0.1</v>
      </c>
      <c r="L1275" s="81">
        <f t="shared" si="75"/>
        <v>1</v>
      </c>
      <c r="M1275" s="83">
        <f t="shared" si="77"/>
        <v>0.1</v>
      </c>
      <c r="N1275" s="58"/>
      <c r="AA1275" s="146">
        <f>AB1275/COUNTIFS($B:$B,$B1275,$C:$C,$C1275,$H:$H,$H1275,$I:$I,$I1275)</f>
        <v>0.1</v>
      </c>
      <c r="AB1275" s="108">
        <f>VLOOKUP(I1275,'Weights and Confidence'!$D$16:$AC$26,9,FALSE)</f>
        <v>0.1</v>
      </c>
      <c r="AC1275" s="147">
        <f>VLOOKUP(I1275,'Weights and Confidence'!$D$16:$AC$26,10,FALSE)</f>
        <v>1</v>
      </c>
    </row>
    <row r="1276" spans="1:29" x14ac:dyDescent="0.2">
      <c r="A1276" s="76" t="s">
        <v>185</v>
      </c>
      <c r="B1276" s="76" t="s">
        <v>187</v>
      </c>
      <c r="C1276" s="76" t="s">
        <v>281</v>
      </c>
      <c r="D1276" s="76" t="s">
        <v>5</v>
      </c>
      <c r="E1276" s="76" t="s">
        <v>103</v>
      </c>
      <c r="F1276" s="51" t="s">
        <v>282</v>
      </c>
      <c r="G1276" s="76">
        <v>9</v>
      </c>
      <c r="H1276" s="76" t="s">
        <v>17</v>
      </c>
      <c r="I1276" s="76" t="s">
        <v>27</v>
      </c>
      <c r="J1276" s="76"/>
      <c r="K1276" s="78">
        <f>AB1276/COUNTIFS($B:$B,$B1276,$C:$C,$C1276,$H:$H,$H1276,$I:$I,$I1276)</f>
        <v>0.05</v>
      </c>
      <c r="L1276" s="80">
        <f t="shared" si="75"/>
        <v>0.85</v>
      </c>
      <c r="M1276" s="82">
        <f t="shared" si="77"/>
        <v>0</v>
      </c>
      <c r="N1276" s="59"/>
      <c r="AA1276" s="146">
        <f>AB1276/COUNTIFS($B:$B,$B1276,$C:$C,$C1276,$H:$H,$H1276,$I:$I,$I1276)</f>
        <v>0.05</v>
      </c>
      <c r="AB1276" s="108">
        <f>VLOOKUP(I1276,'Weights and Confidence'!$D$16:$AC$26,9,FALSE)</f>
        <v>0.1</v>
      </c>
      <c r="AC1276" s="147">
        <f>VLOOKUP(I1276,'Weights and Confidence'!$D$16:$AC$26,10,FALSE)</f>
        <v>0.85</v>
      </c>
    </row>
    <row r="1277" spans="1:29" x14ac:dyDescent="0.2">
      <c r="A1277" s="77" t="s">
        <v>185</v>
      </c>
      <c r="B1277" s="77" t="s">
        <v>187</v>
      </c>
      <c r="C1277" s="77" t="s">
        <v>281</v>
      </c>
      <c r="D1277" s="77" t="s">
        <v>5</v>
      </c>
      <c r="E1277" s="77" t="s">
        <v>103</v>
      </c>
      <c r="F1277" s="50" t="s">
        <v>282</v>
      </c>
      <c r="G1277" s="77">
        <v>9</v>
      </c>
      <c r="H1277" s="77" t="s">
        <v>18</v>
      </c>
      <c r="I1277" s="77" t="s">
        <v>27</v>
      </c>
      <c r="J1277" s="77"/>
      <c r="K1277" s="79">
        <f>AB1277/COUNTIFS($B:$B,$B1277,$C:$C,$C1277,$H:$H,$H1277,$I:$I,$I1277)</f>
        <v>0.05</v>
      </c>
      <c r="L1277" s="81">
        <f t="shared" si="75"/>
        <v>0.85</v>
      </c>
      <c r="M1277" s="83">
        <f t="shared" si="77"/>
        <v>0</v>
      </c>
      <c r="N1277" s="58"/>
      <c r="AA1277" s="146">
        <f>AB1277/COUNTIFS($B:$B,$B1277,$C:$C,$C1277,$H:$H,$H1277,$I:$I,$I1277)</f>
        <v>0.05</v>
      </c>
      <c r="AB1277" s="108">
        <f>VLOOKUP(I1277,'Weights and Confidence'!$D$16:$AC$26,9,FALSE)</f>
        <v>0.1</v>
      </c>
      <c r="AC1277" s="147">
        <f>VLOOKUP(I1277,'Weights and Confidence'!$D$16:$AC$26,10,FALSE)</f>
        <v>0.85</v>
      </c>
    </row>
    <row r="1278" spans="1:29" x14ac:dyDescent="0.2">
      <c r="A1278" s="76" t="s">
        <v>185</v>
      </c>
      <c r="B1278" s="76" t="s">
        <v>187</v>
      </c>
      <c r="C1278" s="76" t="s">
        <v>281</v>
      </c>
      <c r="D1278" s="76" t="s">
        <v>5</v>
      </c>
      <c r="E1278" s="76" t="s">
        <v>103</v>
      </c>
      <c r="F1278" s="51" t="s">
        <v>282</v>
      </c>
      <c r="G1278" s="76">
        <v>10</v>
      </c>
      <c r="H1278" s="76" t="s">
        <v>17</v>
      </c>
      <c r="I1278" s="76" t="s">
        <v>27</v>
      </c>
      <c r="J1278" s="76"/>
      <c r="K1278" s="78">
        <f>AB1278/COUNTIFS($B:$B,$B1278,$C:$C,$C1278,$H:$H,$H1278,$I:$I,$I1278)</f>
        <v>0.05</v>
      </c>
      <c r="L1278" s="80">
        <f t="shared" si="75"/>
        <v>0.85</v>
      </c>
      <c r="M1278" s="82">
        <f t="shared" si="77"/>
        <v>0</v>
      </c>
      <c r="N1278" s="59"/>
      <c r="AA1278" s="146">
        <f>AB1278/COUNTIFS($B:$B,$B1278,$C:$C,$C1278,$H:$H,$H1278,$I:$I,$I1278)</f>
        <v>0.05</v>
      </c>
      <c r="AB1278" s="108">
        <f>VLOOKUP(I1278,'Weights and Confidence'!$D$16:$AC$26,9,FALSE)</f>
        <v>0.1</v>
      </c>
      <c r="AC1278" s="147">
        <f>VLOOKUP(I1278,'Weights and Confidence'!$D$16:$AC$26,10,FALSE)</f>
        <v>0.85</v>
      </c>
    </row>
    <row r="1279" spans="1:29" x14ac:dyDescent="0.2">
      <c r="A1279" s="77" t="s">
        <v>185</v>
      </c>
      <c r="B1279" s="77" t="s">
        <v>187</v>
      </c>
      <c r="C1279" s="77" t="s">
        <v>281</v>
      </c>
      <c r="D1279" s="77" t="s">
        <v>5</v>
      </c>
      <c r="E1279" s="77" t="s">
        <v>103</v>
      </c>
      <c r="F1279" s="50" t="s">
        <v>282</v>
      </c>
      <c r="G1279" s="77">
        <v>10</v>
      </c>
      <c r="H1279" s="77" t="s">
        <v>18</v>
      </c>
      <c r="I1279" s="77" t="s">
        <v>27</v>
      </c>
      <c r="J1279" s="77">
        <v>0</v>
      </c>
      <c r="K1279" s="79">
        <f>AB1279/COUNTIFS($B:$B,$B1279,$C:$C,$C1279,$H:$H,$H1279,$I:$I,$I1279)</f>
        <v>0.05</v>
      </c>
      <c r="L1279" s="81">
        <f t="shared" si="75"/>
        <v>0.85</v>
      </c>
      <c r="M1279" s="83">
        <f t="shared" si="77"/>
        <v>0</v>
      </c>
      <c r="N1279" s="58"/>
      <c r="AA1279" s="146">
        <f>AB1279/COUNTIFS($B:$B,$B1279,$C:$C,$C1279,$H:$H,$H1279,$I:$I,$I1279)</f>
        <v>0.05</v>
      </c>
      <c r="AB1279" s="108">
        <f>VLOOKUP(I1279,'Weights and Confidence'!$D$16:$AC$26,9,FALSE)</f>
        <v>0.1</v>
      </c>
      <c r="AC1279" s="147">
        <f>VLOOKUP(I1279,'Weights and Confidence'!$D$16:$AC$26,10,FALSE)</f>
        <v>0.85</v>
      </c>
    </row>
    <row r="1280" spans="1:29" x14ac:dyDescent="0.2">
      <c r="A1280" s="76" t="s">
        <v>185</v>
      </c>
      <c r="B1280" s="76" t="s">
        <v>187</v>
      </c>
      <c r="C1280" s="76" t="s">
        <v>281</v>
      </c>
      <c r="D1280" s="76" t="s">
        <v>5</v>
      </c>
      <c r="E1280" s="76" t="s">
        <v>103</v>
      </c>
      <c r="F1280" s="51" t="s">
        <v>282</v>
      </c>
      <c r="G1280" s="76">
        <v>11</v>
      </c>
      <c r="H1280" s="76" t="s">
        <v>17</v>
      </c>
      <c r="I1280" s="76" t="s">
        <v>28</v>
      </c>
      <c r="J1280" s="76">
        <v>0</v>
      </c>
      <c r="K1280" s="78">
        <f>AB1280/COUNTIFS($B:$B,$B1280,$C:$C,$C1280,$H:$H,$H1280,$I:$I,$I1280)</f>
        <v>0.05</v>
      </c>
      <c r="L1280" s="80">
        <f t="shared" si="75"/>
        <v>1</v>
      </c>
      <c r="M1280" s="82">
        <f t="shared" si="77"/>
        <v>0</v>
      </c>
      <c r="N1280" s="59"/>
      <c r="AA1280" s="146">
        <f>AB1280/COUNTIFS($B:$B,$B1280,$C:$C,$C1280,$H:$H,$H1280,$I:$I,$I1280)</f>
        <v>0.05</v>
      </c>
      <c r="AB1280" s="108">
        <f>VLOOKUP(I1280,'Weights and Confidence'!$D$16:$AC$26,9,FALSE)</f>
        <v>0.05</v>
      </c>
      <c r="AC1280" s="147">
        <f>VLOOKUP(I1280,'Weights and Confidence'!$D$16:$AC$26,10,FALSE)</f>
        <v>1</v>
      </c>
    </row>
    <row r="1281" spans="1:29" ht="17" thickBot="1" x14ac:dyDescent="0.25">
      <c r="A1281" s="98" t="s">
        <v>185</v>
      </c>
      <c r="B1281" s="98" t="s">
        <v>187</v>
      </c>
      <c r="C1281" s="98" t="s">
        <v>281</v>
      </c>
      <c r="D1281" s="98" t="s">
        <v>5</v>
      </c>
      <c r="E1281" s="98" t="s">
        <v>103</v>
      </c>
      <c r="F1281" s="54" t="s">
        <v>282</v>
      </c>
      <c r="G1281" s="98">
        <v>11</v>
      </c>
      <c r="H1281" s="98" t="s">
        <v>18</v>
      </c>
      <c r="I1281" s="98" t="s">
        <v>28</v>
      </c>
      <c r="J1281" s="98"/>
      <c r="K1281" s="99">
        <f>AB1281/COUNTIFS($B:$B,$B1281,$C:$C,$C1281,$H:$H,$H1281,$I:$I,$I1281)</f>
        <v>0.05</v>
      </c>
      <c r="L1281" s="100">
        <f t="shared" si="75"/>
        <v>1</v>
      </c>
      <c r="M1281" s="101">
        <f t="shared" si="77"/>
        <v>0</v>
      </c>
      <c r="N1281" s="22"/>
      <c r="AA1281" s="140">
        <f>AB1281/COUNTIFS($B:$B,$B1281,$C:$C,$C1281,$H:$H,$H1281,$I:$I,$I1281)</f>
        <v>0.05</v>
      </c>
      <c r="AB1281" s="141">
        <f>VLOOKUP(I1281,'Weights and Confidence'!$D$16:$AC$26,9,FALSE)</f>
        <v>0.05</v>
      </c>
      <c r="AC1281" s="142">
        <f>VLOOKUP(I1281,'Weights and Confidence'!$D$16:$AC$26,10,FALSE)</f>
        <v>1</v>
      </c>
    </row>
    <row r="1282" spans="1:29" ht="17" thickTop="1" x14ac:dyDescent="0.2">
      <c r="A1282" s="86" t="s">
        <v>185</v>
      </c>
      <c r="B1282" s="86" t="s">
        <v>187</v>
      </c>
      <c r="C1282" s="86" t="s">
        <v>417</v>
      </c>
      <c r="D1282" s="129" t="s">
        <v>5</v>
      </c>
      <c r="E1282" s="86" t="s">
        <v>679</v>
      </c>
      <c r="F1282" s="91" t="s">
        <v>418</v>
      </c>
      <c r="G1282" s="86">
        <v>1</v>
      </c>
      <c r="H1282" s="86" t="s">
        <v>17</v>
      </c>
      <c r="I1282" s="86" t="s">
        <v>19</v>
      </c>
      <c r="J1282" s="97">
        <v>1</v>
      </c>
      <c r="K1282" s="87">
        <f>AB1282/COUNTIFS($B:$B,$B1282,$C:$C,$C1282,$H:$H,$H1282,$I:$I,$I1282)</f>
        <v>0.12</v>
      </c>
      <c r="L1282" s="88">
        <f t="shared" si="75"/>
        <v>1</v>
      </c>
      <c r="M1282" s="89">
        <f t="shared" si="77"/>
        <v>0.12</v>
      </c>
      <c r="N1282" s="90"/>
      <c r="AA1282" s="146">
        <f>AB1282/COUNTIFS($B:$B,$B1282,$C:$C,$C1282,$H:$H,$H1282,$I:$I,$I1282)</f>
        <v>0.12</v>
      </c>
      <c r="AB1282" s="108">
        <f>VLOOKUP(I1282,'Weights and Confidence'!$D$16:$AC$26,9,FALSE)</f>
        <v>0.12</v>
      </c>
      <c r="AC1282" s="147">
        <f>VLOOKUP(I1282,'Weights and Confidence'!$D$16:$AC$26,10,FALSE)</f>
        <v>1</v>
      </c>
    </row>
    <row r="1283" spans="1:29" ht="17" thickBot="1" x14ac:dyDescent="0.25">
      <c r="A1283" s="77" t="s">
        <v>185</v>
      </c>
      <c r="B1283" s="77" t="s">
        <v>187</v>
      </c>
      <c r="C1283" s="77" t="s">
        <v>417</v>
      </c>
      <c r="D1283" s="77" t="s">
        <v>5</v>
      </c>
      <c r="E1283" s="77" t="s">
        <v>679</v>
      </c>
      <c r="F1283" s="50" t="s">
        <v>418</v>
      </c>
      <c r="G1283" s="77">
        <v>1</v>
      </c>
      <c r="H1283" s="77" t="s">
        <v>18</v>
      </c>
      <c r="I1283" s="77" t="s">
        <v>19</v>
      </c>
      <c r="J1283" s="77">
        <v>0</v>
      </c>
      <c r="K1283" s="79">
        <f>AB1283/COUNTIFS($B:$B,$B1283,$C:$C,$C1283,$H:$H,$H1283,$I:$I,$I1283)</f>
        <v>0.12</v>
      </c>
      <c r="L1283" s="81">
        <f t="shared" si="75"/>
        <v>1</v>
      </c>
      <c r="M1283" s="83">
        <f>J1282*K1283*L1283</f>
        <v>0.12</v>
      </c>
      <c r="N1283" s="84"/>
      <c r="AA1283" s="146">
        <f>AB1283/COUNTIFS($B:$B,$B1283,$C:$C,$C1283,$H:$H,$H1283,$I:$I,$I1283)</f>
        <v>0.12</v>
      </c>
      <c r="AB1283" s="108">
        <f>VLOOKUP(I1283,'Weights and Confidence'!$D$16:$AC$26,9,FALSE)</f>
        <v>0.12</v>
      </c>
      <c r="AC1283" s="147">
        <f>VLOOKUP(I1283,'Weights and Confidence'!$D$16:$AC$26,10,FALSE)</f>
        <v>1</v>
      </c>
    </row>
    <row r="1284" spans="1:29" x14ac:dyDescent="0.2">
      <c r="A1284" s="76" t="s">
        <v>185</v>
      </c>
      <c r="B1284" s="76" t="s">
        <v>187</v>
      </c>
      <c r="C1284" s="76" t="s">
        <v>417</v>
      </c>
      <c r="D1284" s="76" t="s">
        <v>5</v>
      </c>
      <c r="E1284" s="76" t="s">
        <v>679</v>
      </c>
      <c r="F1284" s="51" t="s">
        <v>418</v>
      </c>
      <c r="G1284" s="76">
        <v>2</v>
      </c>
      <c r="H1284" s="76" t="s">
        <v>17</v>
      </c>
      <c r="I1284" s="76" t="s">
        <v>20</v>
      </c>
      <c r="J1284" s="76">
        <v>1</v>
      </c>
      <c r="K1284" s="78">
        <f>AB1284/COUNTIFS($B:$B,$B1284,$C:$C,$C1284,$H:$H,$H1284,$I:$I,$I1284)</f>
        <v>0.08</v>
      </c>
      <c r="L1284" s="80">
        <f t="shared" si="75"/>
        <v>0.8</v>
      </c>
      <c r="M1284" s="82">
        <f t="shared" ref="M1284:M1304" si="78">J1284*K1284*L1284</f>
        <v>6.4000000000000001E-2</v>
      </c>
      <c r="N1284" s="59"/>
      <c r="P1284" s="24" t="s">
        <v>419</v>
      </c>
      <c r="Q1284" s="10"/>
      <c r="R1284" s="10"/>
      <c r="S1284" s="10"/>
      <c r="T1284" s="10"/>
      <c r="U1284" s="10"/>
      <c r="V1284" s="10"/>
      <c r="AA1284" s="146">
        <f>AB1284/COUNTIFS($B:$B,$B1284,$C:$C,$C1284,$H:$H,$H1284,$I:$I,$I1284)</f>
        <v>0.08</v>
      </c>
      <c r="AB1284" s="108">
        <f>VLOOKUP(I1284,'Weights and Confidence'!$D$16:$AC$26,9,FALSE)</f>
        <v>0.08</v>
      </c>
      <c r="AC1284" s="147">
        <f>VLOOKUP(I1284,'Weights and Confidence'!$D$16:$AC$26,10,FALSE)</f>
        <v>0.8</v>
      </c>
    </row>
    <row r="1285" spans="1:29" x14ac:dyDescent="0.2">
      <c r="A1285" s="77" t="s">
        <v>185</v>
      </c>
      <c r="B1285" s="77" t="s">
        <v>187</v>
      </c>
      <c r="C1285" s="77" t="s">
        <v>417</v>
      </c>
      <c r="D1285" s="77" t="s">
        <v>5</v>
      </c>
      <c r="E1285" s="77" t="s">
        <v>679</v>
      </c>
      <c r="F1285" s="50" t="s">
        <v>418</v>
      </c>
      <c r="G1285" s="77">
        <v>2</v>
      </c>
      <c r="H1285" s="77" t="s">
        <v>18</v>
      </c>
      <c r="I1285" s="77" t="s">
        <v>20</v>
      </c>
      <c r="J1285" s="77">
        <v>0</v>
      </c>
      <c r="K1285" s="79">
        <f>AB1285/COUNTIFS($B:$B,$B1285,$C:$C,$C1285,$H:$H,$H1285,$I:$I,$I1285)</f>
        <v>0.08</v>
      </c>
      <c r="L1285" s="81">
        <f t="shared" si="75"/>
        <v>0.8</v>
      </c>
      <c r="M1285" s="83">
        <f t="shared" si="78"/>
        <v>0</v>
      </c>
      <c r="N1285" s="58"/>
      <c r="P1285" s="25" t="s">
        <v>420</v>
      </c>
      <c r="Q1285" s="75"/>
      <c r="R1285" s="75"/>
      <c r="S1285" s="75"/>
      <c r="T1285" s="75"/>
      <c r="U1285" s="75"/>
      <c r="V1285" s="75"/>
      <c r="AA1285" s="146">
        <f>AB1285/COUNTIFS($B:$B,$B1285,$C:$C,$C1285,$H:$H,$H1285,$I:$I,$I1285)</f>
        <v>0.08</v>
      </c>
      <c r="AB1285" s="108">
        <f>VLOOKUP(I1285,'Weights and Confidence'!$D$16:$AC$26,9,FALSE)</f>
        <v>0.08</v>
      </c>
      <c r="AC1285" s="147">
        <f>VLOOKUP(I1285,'Weights and Confidence'!$D$16:$AC$26,10,FALSE)</f>
        <v>0.8</v>
      </c>
    </row>
    <row r="1286" spans="1:29" x14ac:dyDescent="0.2">
      <c r="A1286" s="76" t="s">
        <v>185</v>
      </c>
      <c r="B1286" s="76" t="s">
        <v>187</v>
      </c>
      <c r="C1286" s="76" t="s">
        <v>417</v>
      </c>
      <c r="D1286" s="76" t="s">
        <v>5</v>
      </c>
      <c r="E1286" s="76" t="s">
        <v>679</v>
      </c>
      <c r="F1286" s="51" t="s">
        <v>418</v>
      </c>
      <c r="G1286" s="76">
        <v>3</v>
      </c>
      <c r="H1286" s="76" t="s">
        <v>17</v>
      </c>
      <c r="I1286" s="76" t="s">
        <v>21</v>
      </c>
      <c r="J1286" s="76">
        <v>1</v>
      </c>
      <c r="K1286" s="78">
        <f>AB1286/COUNTIFS($B:$B,$B1286,$C:$C,$C1286,$H:$H,$H1286,$I:$I,$I1286)</f>
        <v>0.05</v>
      </c>
      <c r="L1286" s="80">
        <f t="shared" ref="L1286:L1349" si="79">AC1286</f>
        <v>1</v>
      </c>
      <c r="M1286" s="82">
        <f t="shared" si="78"/>
        <v>0.05</v>
      </c>
      <c r="N1286" s="59"/>
      <c r="P1286" s="25" t="s">
        <v>421</v>
      </c>
      <c r="Q1286" s="75"/>
      <c r="R1286" s="75"/>
      <c r="S1286" s="75"/>
      <c r="T1286" s="75"/>
      <c r="U1286" s="75"/>
      <c r="V1286" s="75"/>
      <c r="AA1286" s="146">
        <f>AB1286/COUNTIFS($B:$B,$B1286,$C:$C,$C1286,$H:$H,$H1286,$I:$I,$I1286)</f>
        <v>0.05</v>
      </c>
      <c r="AB1286" s="108">
        <f>VLOOKUP(I1286,'Weights and Confidence'!$D$16:$AC$26,9,FALSE)</f>
        <v>0.05</v>
      </c>
      <c r="AC1286" s="147">
        <f>VLOOKUP(I1286,'Weights and Confidence'!$D$16:$AC$26,10,FALSE)</f>
        <v>1</v>
      </c>
    </row>
    <row r="1287" spans="1:29" x14ac:dyDescent="0.2">
      <c r="A1287" s="77" t="s">
        <v>185</v>
      </c>
      <c r="B1287" s="77" t="s">
        <v>187</v>
      </c>
      <c r="C1287" s="77" t="s">
        <v>417</v>
      </c>
      <c r="D1287" s="77" t="s">
        <v>5</v>
      </c>
      <c r="E1287" s="77" t="s">
        <v>679</v>
      </c>
      <c r="F1287" s="50" t="s">
        <v>418</v>
      </c>
      <c r="G1287" s="77">
        <v>3</v>
      </c>
      <c r="H1287" s="77" t="s">
        <v>18</v>
      </c>
      <c r="I1287" s="77" t="s">
        <v>21</v>
      </c>
      <c r="J1287" s="77">
        <v>0</v>
      </c>
      <c r="K1287" s="79">
        <f>AB1287/COUNTIFS($B:$B,$B1287,$C:$C,$C1287,$H:$H,$H1287,$I:$I,$I1287)</f>
        <v>0.05</v>
      </c>
      <c r="L1287" s="81">
        <f t="shared" si="79"/>
        <v>1</v>
      </c>
      <c r="M1287" s="83">
        <f t="shared" si="78"/>
        <v>0</v>
      </c>
      <c r="N1287" s="84"/>
      <c r="P1287" s="25" t="s">
        <v>422</v>
      </c>
      <c r="Q1287" s="75"/>
      <c r="R1287" s="75"/>
      <c r="S1287" s="75"/>
      <c r="T1287" s="75"/>
      <c r="U1287" s="75"/>
      <c r="V1287" s="75"/>
      <c r="AA1287" s="146">
        <f>AB1287/COUNTIFS($B:$B,$B1287,$C:$C,$C1287,$H:$H,$H1287,$I:$I,$I1287)</f>
        <v>0.05</v>
      </c>
      <c r="AB1287" s="108">
        <f>VLOOKUP(I1287,'Weights and Confidence'!$D$16:$AC$26,9,FALSE)</f>
        <v>0.05</v>
      </c>
      <c r="AC1287" s="147">
        <f>VLOOKUP(I1287,'Weights and Confidence'!$D$16:$AC$26,10,FALSE)</f>
        <v>1</v>
      </c>
    </row>
    <row r="1288" spans="1:29" x14ac:dyDescent="0.2">
      <c r="A1288" s="76" t="s">
        <v>185</v>
      </c>
      <c r="B1288" s="76" t="s">
        <v>187</v>
      </c>
      <c r="C1288" s="76" t="s">
        <v>417</v>
      </c>
      <c r="D1288" s="76" t="s">
        <v>5</v>
      </c>
      <c r="E1288" s="76" t="s">
        <v>679</v>
      </c>
      <c r="F1288" s="51" t="s">
        <v>418</v>
      </c>
      <c r="G1288" s="76">
        <v>4</v>
      </c>
      <c r="H1288" s="76" t="s">
        <v>17</v>
      </c>
      <c r="I1288" s="76" t="s">
        <v>22</v>
      </c>
      <c r="J1288" s="76">
        <v>0</v>
      </c>
      <c r="K1288" s="78">
        <f>AB1288/COUNTIFS($B:$B,$B1288,$C:$C,$C1288,$H:$H,$H1288,$I:$I,$I1288)</f>
        <v>0.14000000000000001</v>
      </c>
      <c r="L1288" s="80">
        <f t="shared" si="79"/>
        <v>1</v>
      </c>
      <c r="M1288" s="82">
        <f t="shared" si="78"/>
        <v>0</v>
      </c>
      <c r="N1288" s="59"/>
      <c r="P1288" s="25" t="s">
        <v>423</v>
      </c>
      <c r="Q1288" s="75"/>
      <c r="R1288" s="75"/>
      <c r="S1288" s="75"/>
      <c r="T1288" s="75"/>
      <c r="U1288" s="75"/>
      <c r="V1288" s="75"/>
      <c r="AA1288" s="146">
        <f>AB1288/COUNTIFS($B:$B,$B1288,$C:$C,$C1288,$H:$H,$H1288,$I:$I,$I1288)</f>
        <v>0.14000000000000001</v>
      </c>
      <c r="AB1288" s="108">
        <f>VLOOKUP(I1288,'Weights and Confidence'!$D$16:$AC$26,9,FALSE)</f>
        <v>0.14000000000000001</v>
      </c>
      <c r="AC1288" s="147">
        <f>VLOOKUP(I1288,'Weights and Confidence'!$D$16:$AC$26,10,FALSE)</f>
        <v>1</v>
      </c>
    </row>
    <row r="1289" spans="1:29" x14ac:dyDescent="0.2">
      <c r="A1289" s="77" t="s">
        <v>185</v>
      </c>
      <c r="B1289" s="77" t="s">
        <v>187</v>
      </c>
      <c r="C1289" s="77" t="s">
        <v>417</v>
      </c>
      <c r="D1289" s="77" t="s">
        <v>5</v>
      </c>
      <c r="E1289" s="77" t="s">
        <v>679</v>
      </c>
      <c r="F1289" s="50" t="s">
        <v>418</v>
      </c>
      <c r="G1289" s="77">
        <v>4</v>
      </c>
      <c r="H1289" s="77" t="s">
        <v>18</v>
      </c>
      <c r="I1289" s="77" t="s">
        <v>22</v>
      </c>
      <c r="J1289" s="77">
        <v>-1</v>
      </c>
      <c r="K1289" s="79">
        <f>AB1289/COUNTIFS($B:$B,$B1289,$C:$C,$C1289,$H:$H,$H1289,$I:$I,$I1289)</f>
        <v>0.14000000000000001</v>
      </c>
      <c r="L1289" s="81">
        <f t="shared" si="79"/>
        <v>1</v>
      </c>
      <c r="M1289" s="83">
        <f t="shared" si="78"/>
        <v>-0.14000000000000001</v>
      </c>
      <c r="N1289" s="84"/>
      <c r="P1289" s="25" t="s">
        <v>424</v>
      </c>
      <c r="Q1289" s="75"/>
      <c r="R1289" s="75"/>
      <c r="S1289" s="75"/>
      <c r="T1289" s="75"/>
      <c r="U1289" s="75"/>
      <c r="V1289" s="75"/>
      <c r="AA1289" s="146">
        <f>AB1289/COUNTIFS($B:$B,$B1289,$C:$C,$C1289,$H:$H,$H1289,$I:$I,$I1289)</f>
        <v>0.14000000000000001</v>
      </c>
      <c r="AB1289" s="108">
        <f>VLOOKUP(I1289,'Weights and Confidence'!$D$16:$AC$26,9,FALSE)</f>
        <v>0.14000000000000001</v>
      </c>
      <c r="AC1289" s="147">
        <f>VLOOKUP(I1289,'Weights and Confidence'!$D$16:$AC$26,10,FALSE)</f>
        <v>1</v>
      </c>
    </row>
    <row r="1290" spans="1:29" x14ac:dyDescent="0.2">
      <c r="A1290" s="76" t="s">
        <v>185</v>
      </c>
      <c r="B1290" s="76" t="s">
        <v>187</v>
      </c>
      <c r="C1290" s="76" t="s">
        <v>417</v>
      </c>
      <c r="D1290" s="76" t="s">
        <v>5</v>
      </c>
      <c r="E1290" s="76" t="s">
        <v>679</v>
      </c>
      <c r="F1290" s="51" t="s">
        <v>418</v>
      </c>
      <c r="G1290" s="76">
        <v>5</v>
      </c>
      <c r="H1290" s="76" t="s">
        <v>17</v>
      </c>
      <c r="I1290" s="76" t="s">
        <v>23</v>
      </c>
      <c r="J1290" s="76">
        <v>0</v>
      </c>
      <c r="K1290" s="78">
        <f>AB1290/COUNTIFS($B:$B,$B1290,$C:$C,$C1290,$H:$H,$H1290,$I:$I,$I1290)</f>
        <v>0.11</v>
      </c>
      <c r="L1290" s="80">
        <f t="shared" si="79"/>
        <v>1</v>
      </c>
      <c r="M1290" s="82">
        <f t="shared" si="78"/>
        <v>0</v>
      </c>
      <c r="N1290" s="59"/>
      <c r="P1290" s="25" t="s">
        <v>425</v>
      </c>
      <c r="Q1290" s="75"/>
      <c r="R1290" s="75"/>
      <c r="S1290" s="75"/>
      <c r="T1290" s="75"/>
      <c r="U1290" s="75"/>
      <c r="V1290" s="75"/>
      <c r="AA1290" s="146">
        <f>AB1290/COUNTIFS($B:$B,$B1290,$C:$C,$C1290,$H:$H,$H1290,$I:$I,$I1290)</f>
        <v>0.11</v>
      </c>
      <c r="AB1290" s="108">
        <f>VLOOKUP(I1290,'Weights and Confidence'!$D$16:$AC$26,9,FALSE)</f>
        <v>0.11</v>
      </c>
      <c r="AC1290" s="147">
        <f>VLOOKUP(I1290,'Weights and Confidence'!$D$16:$AC$26,10,FALSE)</f>
        <v>1</v>
      </c>
    </row>
    <row r="1291" spans="1:29" x14ac:dyDescent="0.2">
      <c r="A1291" s="77" t="s">
        <v>185</v>
      </c>
      <c r="B1291" s="77" t="s">
        <v>187</v>
      </c>
      <c r="C1291" s="77" t="s">
        <v>417</v>
      </c>
      <c r="D1291" s="77" t="s">
        <v>5</v>
      </c>
      <c r="E1291" s="77" t="s">
        <v>679</v>
      </c>
      <c r="F1291" s="50" t="s">
        <v>418</v>
      </c>
      <c r="G1291" s="77">
        <v>5</v>
      </c>
      <c r="H1291" s="77" t="s">
        <v>18</v>
      </c>
      <c r="I1291" s="77" t="s">
        <v>23</v>
      </c>
      <c r="J1291" s="77">
        <v>-1</v>
      </c>
      <c r="K1291" s="79">
        <f>AB1291/COUNTIFS($B:$B,$B1291,$C:$C,$C1291,$H:$H,$H1291,$I:$I,$I1291)</f>
        <v>0.11</v>
      </c>
      <c r="L1291" s="81">
        <f t="shared" si="79"/>
        <v>1</v>
      </c>
      <c r="M1291" s="83">
        <f t="shared" si="78"/>
        <v>-0.11</v>
      </c>
      <c r="N1291" s="84"/>
      <c r="P1291" s="25" t="s">
        <v>426</v>
      </c>
      <c r="Q1291" s="75"/>
      <c r="R1291" s="75"/>
      <c r="S1291" s="75"/>
      <c r="T1291" s="75"/>
      <c r="U1291" s="75"/>
      <c r="V1291" s="75"/>
      <c r="AA1291" s="146">
        <f>AB1291/COUNTIFS($B:$B,$B1291,$C:$C,$C1291,$H:$H,$H1291,$I:$I,$I1291)</f>
        <v>0.11</v>
      </c>
      <c r="AB1291" s="108">
        <f>VLOOKUP(I1291,'Weights and Confidence'!$D$16:$AC$26,9,FALSE)</f>
        <v>0.11</v>
      </c>
      <c r="AC1291" s="147">
        <f>VLOOKUP(I1291,'Weights and Confidence'!$D$16:$AC$26,10,FALSE)</f>
        <v>1</v>
      </c>
    </row>
    <row r="1292" spans="1:29" x14ac:dyDescent="0.2">
      <c r="A1292" s="76" t="s">
        <v>185</v>
      </c>
      <c r="B1292" s="76" t="s">
        <v>187</v>
      </c>
      <c r="C1292" s="76" t="s">
        <v>417</v>
      </c>
      <c r="D1292" s="76" t="s">
        <v>5</v>
      </c>
      <c r="E1292" s="76" t="s">
        <v>679</v>
      </c>
      <c r="F1292" s="51" t="s">
        <v>418</v>
      </c>
      <c r="G1292" s="76">
        <v>6</v>
      </c>
      <c r="H1292" s="76" t="s">
        <v>17</v>
      </c>
      <c r="I1292" s="76" t="s">
        <v>24</v>
      </c>
      <c r="J1292" s="76">
        <v>0</v>
      </c>
      <c r="K1292" s="78">
        <f>AB1292/COUNTIFS($B:$B,$B1292,$C:$C,$C1292,$H:$H,$H1292,$I:$I,$I1292)</f>
        <v>0.15</v>
      </c>
      <c r="L1292" s="80">
        <f t="shared" si="79"/>
        <v>1</v>
      </c>
      <c r="M1292" s="82">
        <f t="shared" si="78"/>
        <v>0</v>
      </c>
      <c r="N1292" s="59"/>
      <c r="P1292" s="25" t="s">
        <v>427</v>
      </c>
      <c r="Q1292" s="75"/>
      <c r="R1292" s="75"/>
      <c r="S1292" s="75"/>
      <c r="T1292" s="75"/>
      <c r="U1292" s="75"/>
      <c r="V1292" s="75"/>
      <c r="AA1292" s="146">
        <f>AB1292/COUNTIFS($B:$B,$B1292,$C:$C,$C1292,$H:$H,$H1292,$I:$I,$I1292)</f>
        <v>0.15</v>
      </c>
      <c r="AB1292" s="108">
        <f>VLOOKUP(I1292,'Weights and Confidence'!$D$16:$AC$26,9,FALSE)</f>
        <v>0.15</v>
      </c>
      <c r="AC1292" s="147">
        <f>VLOOKUP(I1292,'Weights and Confidence'!$D$16:$AC$26,10,FALSE)</f>
        <v>1</v>
      </c>
    </row>
    <row r="1293" spans="1:29" ht="17" thickBot="1" x14ac:dyDescent="0.25">
      <c r="A1293" s="77" t="s">
        <v>185</v>
      </c>
      <c r="B1293" s="77" t="s">
        <v>187</v>
      </c>
      <c r="C1293" s="77" t="s">
        <v>417</v>
      </c>
      <c r="D1293" s="77" t="s">
        <v>5</v>
      </c>
      <c r="E1293" s="77" t="s">
        <v>679</v>
      </c>
      <c r="F1293" s="50" t="s">
        <v>418</v>
      </c>
      <c r="G1293" s="77">
        <v>6</v>
      </c>
      <c r="H1293" s="77" t="s">
        <v>18</v>
      </c>
      <c r="I1293" s="77" t="s">
        <v>24</v>
      </c>
      <c r="J1293" s="77">
        <v>-1</v>
      </c>
      <c r="K1293" s="79">
        <f>AB1293/COUNTIFS($B:$B,$B1293,$C:$C,$C1293,$H:$H,$H1293,$I:$I,$I1293)</f>
        <v>0.15</v>
      </c>
      <c r="L1293" s="81">
        <f t="shared" si="79"/>
        <v>1</v>
      </c>
      <c r="M1293" s="83">
        <f t="shared" si="78"/>
        <v>-0.15</v>
      </c>
      <c r="N1293" s="84"/>
      <c r="P1293" s="26" t="s">
        <v>428</v>
      </c>
      <c r="Q1293" s="2"/>
      <c r="R1293" s="2"/>
      <c r="S1293" s="2"/>
      <c r="T1293" s="2"/>
      <c r="U1293" s="2"/>
      <c r="V1293" s="2"/>
      <c r="AA1293" s="146">
        <f>AB1293/COUNTIFS($B:$B,$B1293,$C:$C,$C1293,$H:$H,$H1293,$I:$I,$I1293)</f>
        <v>0.15</v>
      </c>
      <c r="AB1293" s="108">
        <f>VLOOKUP(I1293,'Weights and Confidence'!$D$16:$AC$26,9,FALSE)</f>
        <v>0.15</v>
      </c>
      <c r="AC1293" s="147">
        <f>VLOOKUP(I1293,'Weights and Confidence'!$D$16:$AC$26,10,FALSE)</f>
        <v>1</v>
      </c>
    </row>
    <row r="1294" spans="1:29" x14ac:dyDescent="0.2">
      <c r="A1294" s="76" t="s">
        <v>185</v>
      </c>
      <c r="B1294" s="76" t="s">
        <v>187</v>
      </c>
      <c r="C1294" s="76" t="s">
        <v>417</v>
      </c>
      <c r="D1294" s="76" t="s">
        <v>5</v>
      </c>
      <c r="E1294" s="76" t="s">
        <v>679</v>
      </c>
      <c r="F1294" s="51" t="s">
        <v>418</v>
      </c>
      <c r="G1294" s="76">
        <v>7</v>
      </c>
      <c r="H1294" s="76" t="s">
        <v>17</v>
      </c>
      <c r="I1294" s="76" t="s">
        <v>25</v>
      </c>
      <c r="J1294" s="76">
        <v>0</v>
      </c>
      <c r="K1294" s="78">
        <f>AB1294/COUNTIFS($B:$B,$B1294,$C:$C,$C1294,$H:$H,$H1294,$I:$I,$I1294)</f>
        <v>0.1</v>
      </c>
      <c r="L1294" s="80">
        <f t="shared" si="79"/>
        <v>1</v>
      </c>
      <c r="M1294" s="82">
        <f t="shared" si="78"/>
        <v>0</v>
      </c>
      <c r="N1294" s="59"/>
      <c r="AA1294" s="146">
        <f>AB1294/COUNTIFS($B:$B,$B1294,$C:$C,$C1294,$H:$H,$H1294,$I:$I,$I1294)</f>
        <v>0.1</v>
      </c>
      <c r="AB1294" s="108">
        <f>VLOOKUP(I1294,'Weights and Confidence'!$D$16:$AC$26,9,FALSE)</f>
        <v>0.1</v>
      </c>
      <c r="AC1294" s="147">
        <f>VLOOKUP(I1294,'Weights and Confidence'!$D$16:$AC$26,10,FALSE)</f>
        <v>1</v>
      </c>
    </row>
    <row r="1295" spans="1:29" x14ac:dyDescent="0.2">
      <c r="A1295" s="77" t="s">
        <v>185</v>
      </c>
      <c r="B1295" s="77" t="s">
        <v>187</v>
      </c>
      <c r="C1295" s="77" t="s">
        <v>417</v>
      </c>
      <c r="D1295" s="77" t="s">
        <v>5</v>
      </c>
      <c r="E1295" s="77" t="s">
        <v>679</v>
      </c>
      <c r="F1295" s="50" t="s">
        <v>418</v>
      </c>
      <c r="G1295" s="77">
        <v>7</v>
      </c>
      <c r="H1295" s="77" t="s">
        <v>18</v>
      </c>
      <c r="I1295" s="77" t="s">
        <v>25</v>
      </c>
      <c r="J1295" s="77">
        <v>-1</v>
      </c>
      <c r="K1295" s="79">
        <f>AB1295/COUNTIFS($B:$B,$B1295,$C:$C,$C1295,$H:$H,$H1295,$I:$I,$I1295)</f>
        <v>0.1</v>
      </c>
      <c r="L1295" s="81">
        <f t="shared" si="79"/>
        <v>1</v>
      </c>
      <c r="M1295" s="83">
        <f t="shared" si="78"/>
        <v>-0.1</v>
      </c>
      <c r="N1295" s="84"/>
      <c r="AA1295" s="146">
        <f>AB1295/COUNTIFS($B:$B,$B1295,$C:$C,$C1295,$H:$H,$H1295,$I:$I,$I1295)</f>
        <v>0.1</v>
      </c>
      <c r="AB1295" s="108">
        <f>VLOOKUP(I1295,'Weights and Confidence'!$D$16:$AC$26,9,FALSE)</f>
        <v>0.1</v>
      </c>
      <c r="AC1295" s="147">
        <f>VLOOKUP(I1295,'Weights and Confidence'!$D$16:$AC$26,10,FALSE)</f>
        <v>1</v>
      </c>
    </row>
    <row r="1296" spans="1:29" x14ac:dyDescent="0.2">
      <c r="A1296" s="76" t="s">
        <v>185</v>
      </c>
      <c r="B1296" s="76" t="s">
        <v>187</v>
      </c>
      <c r="C1296" s="76" t="s">
        <v>417</v>
      </c>
      <c r="D1296" s="76" t="s">
        <v>5</v>
      </c>
      <c r="E1296" s="76" t="s">
        <v>679</v>
      </c>
      <c r="F1296" s="51" t="s">
        <v>418</v>
      </c>
      <c r="G1296" s="76">
        <v>8</v>
      </c>
      <c r="H1296" s="76" t="s">
        <v>17</v>
      </c>
      <c r="I1296" s="76" t="s">
        <v>26</v>
      </c>
      <c r="J1296" s="76">
        <v>1</v>
      </c>
      <c r="K1296" s="78">
        <f>AB1296/COUNTIFS($B:$B,$B1296,$C:$C,$C1296,$H:$H,$H1296,$I:$I,$I1296)</f>
        <v>0.1</v>
      </c>
      <c r="L1296" s="80">
        <f t="shared" si="79"/>
        <v>1</v>
      </c>
      <c r="M1296" s="82">
        <f t="shared" si="78"/>
        <v>0.1</v>
      </c>
      <c r="N1296" s="59"/>
      <c r="AA1296" s="146">
        <f>AB1296/COUNTIFS($B:$B,$B1296,$C:$C,$C1296,$H:$H,$H1296,$I:$I,$I1296)</f>
        <v>0.1</v>
      </c>
      <c r="AB1296" s="108">
        <f>VLOOKUP(I1296,'Weights and Confidence'!$D$16:$AC$26,9,FALSE)</f>
        <v>0.1</v>
      </c>
      <c r="AC1296" s="147">
        <f>VLOOKUP(I1296,'Weights and Confidence'!$D$16:$AC$26,10,FALSE)</f>
        <v>1</v>
      </c>
    </row>
    <row r="1297" spans="1:29" x14ac:dyDescent="0.2">
      <c r="A1297" s="77" t="s">
        <v>185</v>
      </c>
      <c r="B1297" s="77" t="s">
        <v>187</v>
      </c>
      <c r="C1297" s="77" t="s">
        <v>417</v>
      </c>
      <c r="D1297" s="77" t="s">
        <v>5</v>
      </c>
      <c r="E1297" s="77" t="s">
        <v>679</v>
      </c>
      <c r="F1297" s="50" t="s">
        <v>418</v>
      </c>
      <c r="G1297" s="77">
        <v>8</v>
      </c>
      <c r="H1297" s="77" t="s">
        <v>18</v>
      </c>
      <c r="I1297" s="77" t="s">
        <v>26</v>
      </c>
      <c r="J1297" s="77">
        <v>-1</v>
      </c>
      <c r="K1297" s="79">
        <f>AB1297/COUNTIFS($B:$B,$B1297,$C:$C,$C1297,$H:$H,$H1297,$I:$I,$I1297)</f>
        <v>0.1</v>
      </c>
      <c r="L1297" s="81">
        <f t="shared" si="79"/>
        <v>1</v>
      </c>
      <c r="M1297" s="83">
        <f t="shared" si="78"/>
        <v>-0.1</v>
      </c>
      <c r="N1297" s="58"/>
      <c r="AA1297" s="146">
        <f>AB1297/COUNTIFS($B:$B,$B1297,$C:$C,$C1297,$H:$H,$H1297,$I:$I,$I1297)</f>
        <v>0.1</v>
      </c>
      <c r="AB1297" s="108">
        <f>VLOOKUP(I1297,'Weights and Confidence'!$D$16:$AC$26,9,FALSE)</f>
        <v>0.1</v>
      </c>
      <c r="AC1297" s="147">
        <f>VLOOKUP(I1297,'Weights and Confidence'!$D$16:$AC$26,10,FALSE)</f>
        <v>1</v>
      </c>
    </row>
    <row r="1298" spans="1:29" x14ac:dyDescent="0.2">
      <c r="A1298" s="76" t="s">
        <v>185</v>
      </c>
      <c r="B1298" s="76" t="s">
        <v>187</v>
      </c>
      <c r="C1298" s="76" t="s">
        <v>417</v>
      </c>
      <c r="D1298" s="76" t="s">
        <v>5</v>
      </c>
      <c r="E1298" s="76" t="s">
        <v>679</v>
      </c>
      <c r="F1298" s="51" t="s">
        <v>418</v>
      </c>
      <c r="G1298" s="76">
        <v>9</v>
      </c>
      <c r="H1298" s="76" t="s">
        <v>17</v>
      </c>
      <c r="I1298" s="76" t="s">
        <v>27</v>
      </c>
      <c r="J1298" s="76"/>
      <c r="K1298" s="78">
        <f>AB1298/COUNTIFS($B:$B,$B1298,$C:$C,$C1298,$H:$H,$H1298,$I:$I,$I1298)</f>
        <v>0.05</v>
      </c>
      <c r="L1298" s="80">
        <f t="shared" si="79"/>
        <v>0.85</v>
      </c>
      <c r="M1298" s="82">
        <f t="shared" si="78"/>
        <v>0</v>
      </c>
      <c r="N1298" s="59"/>
      <c r="AA1298" s="146">
        <f>AB1298/COUNTIFS($B:$B,$B1298,$C:$C,$C1298,$H:$H,$H1298,$I:$I,$I1298)</f>
        <v>0.05</v>
      </c>
      <c r="AB1298" s="108">
        <f>VLOOKUP(I1298,'Weights and Confidence'!$D$16:$AC$26,9,FALSE)</f>
        <v>0.1</v>
      </c>
      <c r="AC1298" s="147">
        <f>VLOOKUP(I1298,'Weights and Confidence'!$D$16:$AC$26,10,FALSE)</f>
        <v>0.85</v>
      </c>
    </row>
    <row r="1299" spans="1:29" x14ac:dyDescent="0.2">
      <c r="A1299" s="77" t="s">
        <v>185</v>
      </c>
      <c r="B1299" s="77" t="s">
        <v>187</v>
      </c>
      <c r="C1299" s="77" t="s">
        <v>417</v>
      </c>
      <c r="D1299" s="77" t="s">
        <v>5</v>
      </c>
      <c r="E1299" s="77" t="s">
        <v>679</v>
      </c>
      <c r="F1299" s="50" t="s">
        <v>418</v>
      </c>
      <c r="G1299" s="77">
        <v>9</v>
      </c>
      <c r="H1299" s="77" t="s">
        <v>18</v>
      </c>
      <c r="I1299" s="77" t="s">
        <v>27</v>
      </c>
      <c r="J1299" s="77"/>
      <c r="K1299" s="79">
        <f>AB1299/COUNTIFS($B:$B,$B1299,$C:$C,$C1299,$H:$H,$H1299,$I:$I,$I1299)</f>
        <v>0.05</v>
      </c>
      <c r="L1299" s="81">
        <f t="shared" si="79"/>
        <v>0.85</v>
      </c>
      <c r="M1299" s="83">
        <f t="shared" si="78"/>
        <v>0</v>
      </c>
      <c r="N1299" s="58"/>
      <c r="AA1299" s="146">
        <f>AB1299/COUNTIFS($B:$B,$B1299,$C:$C,$C1299,$H:$H,$H1299,$I:$I,$I1299)</f>
        <v>0.05</v>
      </c>
      <c r="AB1299" s="108">
        <f>VLOOKUP(I1299,'Weights and Confidence'!$D$16:$AC$26,9,FALSE)</f>
        <v>0.1</v>
      </c>
      <c r="AC1299" s="147">
        <f>VLOOKUP(I1299,'Weights and Confidence'!$D$16:$AC$26,10,FALSE)</f>
        <v>0.85</v>
      </c>
    </row>
    <row r="1300" spans="1:29" x14ac:dyDescent="0.2">
      <c r="A1300" s="76" t="s">
        <v>185</v>
      </c>
      <c r="B1300" s="76" t="s">
        <v>187</v>
      </c>
      <c r="C1300" s="76" t="s">
        <v>417</v>
      </c>
      <c r="D1300" s="76" t="s">
        <v>5</v>
      </c>
      <c r="E1300" s="76" t="s">
        <v>679</v>
      </c>
      <c r="F1300" s="51" t="s">
        <v>418</v>
      </c>
      <c r="G1300" s="76">
        <v>10</v>
      </c>
      <c r="H1300" s="76" t="s">
        <v>17</v>
      </c>
      <c r="I1300" s="76" t="s">
        <v>27</v>
      </c>
      <c r="J1300" s="76"/>
      <c r="K1300" s="78">
        <f>AB1300/COUNTIFS($B:$B,$B1300,$C:$C,$C1300,$H:$H,$H1300,$I:$I,$I1300)</f>
        <v>0.05</v>
      </c>
      <c r="L1300" s="80">
        <f t="shared" si="79"/>
        <v>0.85</v>
      </c>
      <c r="M1300" s="82">
        <f t="shared" si="78"/>
        <v>0</v>
      </c>
      <c r="N1300" s="59"/>
      <c r="AA1300" s="146">
        <f>AB1300/COUNTIFS($B:$B,$B1300,$C:$C,$C1300,$H:$H,$H1300,$I:$I,$I1300)</f>
        <v>0.05</v>
      </c>
      <c r="AB1300" s="108">
        <f>VLOOKUP(I1300,'Weights and Confidence'!$D$16:$AC$26,9,FALSE)</f>
        <v>0.1</v>
      </c>
      <c r="AC1300" s="147">
        <f>VLOOKUP(I1300,'Weights and Confidence'!$D$16:$AC$26,10,FALSE)</f>
        <v>0.85</v>
      </c>
    </row>
    <row r="1301" spans="1:29" x14ac:dyDescent="0.2">
      <c r="A1301" s="77" t="s">
        <v>185</v>
      </c>
      <c r="B1301" s="77" t="s">
        <v>187</v>
      </c>
      <c r="C1301" s="77" t="s">
        <v>417</v>
      </c>
      <c r="D1301" s="77" t="s">
        <v>5</v>
      </c>
      <c r="E1301" s="77" t="s">
        <v>679</v>
      </c>
      <c r="F1301" s="50" t="s">
        <v>418</v>
      </c>
      <c r="G1301" s="77">
        <v>10</v>
      </c>
      <c r="H1301" s="77" t="s">
        <v>18</v>
      </c>
      <c r="I1301" s="77" t="s">
        <v>27</v>
      </c>
      <c r="J1301" s="77"/>
      <c r="K1301" s="79">
        <f>AB1301/COUNTIFS($B:$B,$B1301,$C:$C,$C1301,$H:$H,$H1301,$I:$I,$I1301)</f>
        <v>0.05</v>
      </c>
      <c r="L1301" s="81">
        <f t="shared" si="79"/>
        <v>0.85</v>
      </c>
      <c r="M1301" s="83">
        <f t="shared" si="78"/>
        <v>0</v>
      </c>
      <c r="N1301" s="58"/>
      <c r="AA1301" s="146">
        <f>AB1301/COUNTIFS($B:$B,$B1301,$C:$C,$C1301,$H:$H,$H1301,$I:$I,$I1301)</f>
        <v>0.05</v>
      </c>
      <c r="AB1301" s="108">
        <f>VLOOKUP(I1301,'Weights and Confidence'!$D$16:$AC$26,9,FALSE)</f>
        <v>0.1</v>
      </c>
      <c r="AC1301" s="147">
        <f>VLOOKUP(I1301,'Weights and Confidence'!$D$16:$AC$26,10,FALSE)</f>
        <v>0.85</v>
      </c>
    </row>
    <row r="1302" spans="1:29" x14ac:dyDescent="0.2">
      <c r="A1302" s="76" t="s">
        <v>185</v>
      </c>
      <c r="B1302" s="76" t="s">
        <v>187</v>
      </c>
      <c r="C1302" s="76" t="s">
        <v>417</v>
      </c>
      <c r="D1302" s="76" t="s">
        <v>5</v>
      </c>
      <c r="E1302" s="76" t="s">
        <v>679</v>
      </c>
      <c r="F1302" s="51" t="s">
        <v>418</v>
      </c>
      <c r="G1302" s="76">
        <v>11</v>
      </c>
      <c r="H1302" s="76" t="s">
        <v>17</v>
      </c>
      <c r="I1302" s="76" t="s">
        <v>28</v>
      </c>
      <c r="J1302" s="76">
        <v>0</v>
      </c>
      <c r="K1302" s="78">
        <f>AB1302/COUNTIFS($B:$B,$B1302,$C:$C,$C1302,$H:$H,$H1302,$I:$I,$I1302)</f>
        <v>0.05</v>
      </c>
      <c r="L1302" s="80">
        <f t="shared" si="79"/>
        <v>1</v>
      </c>
      <c r="M1302" s="82">
        <f t="shared" si="78"/>
        <v>0</v>
      </c>
      <c r="N1302" s="59"/>
      <c r="AA1302" s="146">
        <f>AB1302/COUNTIFS($B:$B,$B1302,$C:$C,$C1302,$H:$H,$H1302,$I:$I,$I1302)</f>
        <v>0.05</v>
      </c>
      <c r="AB1302" s="108">
        <f>VLOOKUP(I1302,'Weights and Confidence'!$D$16:$AC$26,9,FALSE)</f>
        <v>0.05</v>
      </c>
      <c r="AC1302" s="147">
        <f>VLOOKUP(I1302,'Weights and Confidence'!$D$16:$AC$26,10,FALSE)</f>
        <v>1</v>
      </c>
    </row>
    <row r="1303" spans="1:29" ht="17" thickBot="1" x14ac:dyDescent="0.25">
      <c r="A1303" s="98" t="s">
        <v>185</v>
      </c>
      <c r="B1303" s="98" t="s">
        <v>187</v>
      </c>
      <c r="C1303" s="98" t="s">
        <v>417</v>
      </c>
      <c r="D1303" s="98" t="s">
        <v>5</v>
      </c>
      <c r="E1303" s="98" t="s">
        <v>679</v>
      </c>
      <c r="F1303" s="54" t="s">
        <v>418</v>
      </c>
      <c r="G1303" s="98">
        <v>11</v>
      </c>
      <c r="H1303" s="98" t="s">
        <v>18</v>
      </c>
      <c r="I1303" s="98" t="s">
        <v>28</v>
      </c>
      <c r="J1303" s="98">
        <v>-1</v>
      </c>
      <c r="K1303" s="99">
        <f>AB1303/COUNTIFS($B:$B,$B1303,$C:$C,$C1303,$H:$H,$H1303,$I:$I,$I1303)</f>
        <v>0.05</v>
      </c>
      <c r="L1303" s="100">
        <f t="shared" si="79"/>
        <v>1</v>
      </c>
      <c r="M1303" s="101">
        <f t="shared" si="78"/>
        <v>-0.05</v>
      </c>
      <c r="N1303" s="22"/>
      <c r="AA1303" s="140">
        <f>AB1303/COUNTIFS($B:$B,$B1303,$C:$C,$C1303,$H:$H,$H1303,$I:$I,$I1303)</f>
        <v>0.05</v>
      </c>
      <c r="AB1303" s="141">
        <f>VLOOKUP(I1303,'Weights and Confidence'!$D$16:$AC$26,9,FALSE)</f>
        <v>0.05</v>
      </c>
      <c r="AC1303" s="142">
        <f>VLOOKUP(I1303,'Weights and Confidence'!$D$16:$AC$26,10,FALSE)</f>
        <v>1</v>
      </c>
    </row>
    <row r="1304" spans="1:29" ht="17" thickTop="1" x14ac:dyDescent="0.2">
      <c r="A1304" s="86" t="s">
        <v>185</v>
      </c>
      <c r="B1304" s="86" t="s">
        <v>187</v>
      </c>
      <c r="C1304" s="86" t="s">
        <v>299</v>
      </c>
      <c r="D1304" s="129" t="s">
        <v>5</v>
      </c>
      <c r="E1304" s="86" t="s">
        <v>679</v>
      </c>
      <c r="F1304" s="91" t="s">
        <v>300</v>
      </c>
      <c r="G1304" s="86">
        <v>1</v>
      </c>
      <c r="H1304" s="86" t="s">
        <v>17</v>
      </c>
      <c r="I1304" s="86" t="s">
        <v>19</v>
      </c>
      <c r="J1304" s="97">
        <v>1</v>
      </c>
      <c r="K1304" s="87">
        <f>AB1304/COUNTIFS($B:$B,$B1304,$C:$C,$C1304,$H:$H,$H1304,$I:$I,$I1304)</f>
        <v>0.12</v>
      </c>
      <c r="L1304" s="88">
        <f t="shared" si="79"/>
        <v>1</v>
      </c>
      <c r="M1304" s="89">
        <f t="shared" si="78"/>
        <v>0.12</v>
      </c>
      <c r="N1304" s="90"/>
      <c r="AA1304" s="146">
        <f>AB1304/COUNTIFS($B:$B,$B1304,$C:$C,$C1304,$H:$H,$H1304,$I:$I,$I1304)</f>
        <v>0.12</v>
      </c>
      <c r="AB1304" s="108">
        <f>VLOOKUP(I1304,'Weights and Confidence'!$D$16:$AC$26,9,FALSE)</f>
        <v>0.12</v>
      </c>
      <c r="AC1304" s="147">
        <f>VLOOKUP(I1304,'Weights and Confidence'!$D$16:$AC$26,10,FALSE)</f>
        <v>1</v>
      </c>
    </row>
    <row r="1305" spans="1:29" ht="17" thickBot="1" x14ac:dyDescent="0.25">
      <c r="A1305" s="77" t="s">
        <v>185</v>
      </c>
      <c r="B1305" s="77" t="s">
        <v>187</v>
      </c>
      <c r="C1305" s="77" t="s">
        <v>299</v>
      </c>
      <c r="D1305" s="77" t="s">
        <v>5</v>
      </c>
      <c r="E1305" s="77" t="s">
        <v>679</v>
      </c>
      <c r="F1305" s="50" t="s">
        <v>300</v>
      </c>
      <c r="G1305" s="77">
        <v>1</v>
      </c>
      <c r="H1305" s="77" t="s">
        <v>18</v>
      </c>
      <c r="I1305" s="77" t="s">
        <v>19</v>
      </c>
      <c r="J1305" s="77">
        <v>1</v>
      </c>
      <c r="K1305" s="79">
        <f>AB1305/COUNTIFS($B:$B,$B1305,$C:$C,$C1305,$H:$H,$H1305,$I:$I,$I1305)</f>
        <v>0.12</v>
      </c>
      <c r="L1305" s="81">
        <f t="shared" si="79"/>
        <v>1</v>
      </c>
      <c r="M1305" s="83">
        <f>J1304*K1305*L1305</f>
        <v>0.12</v>
      </c>
      <c r="N1305" s="84"/>
      <c r="AA1305" s="146">
        <f>AB1305/COUNTIFS($B:$B,$B1305,$C:$C,$C1305,$H:$H,$H1305,$I:$I,$I1305)</f>
        <v>0.12</v>
      </c>
      <c r="AB1305" s="108">
        <f>VLOOKUP(I1305,'Weights and Confidence'!$D$16:$AC$26,9,FALSE)</f>
        <v>0.12</v>
      </c>
      <c r="AC1305" s="147">
        <f>VLOOKUP(I1305,'Weights and Confidence'!$D$16:$AC$26,10,FALSE)</f>
        <v>1</v>
      </c>
    </row>
    <row r="1306" spans="1:29" x14ac:dyDescent="0.2">
      <c r="A1306" s="76" t="s">
        <v>185</v>
      </c>
      <c r="B1306" s="76" t="s">
        <v>187</v>
      </c>
      <c r="C1306" s="76" t="s">
        <v>299</v>
      </c>
      <c r="D1306" s="76" t="s">
        <v>5</v>
      </c>
      <c r="E1306" s="76" t="s">
        <v>679</v>
      </c>
      <c r="F1306" s="51" t="s">
        <v>300</v>
      </c>
      <c r="G1306" s="76">
        <v>2</v>
      </c>
      <c r="H1306" s="76" t="s">
        <v>17</v>
      </c>
      <c r="I1306" s="76" t="s">
        <v>20</v>
      </c>
      <c r="J1306" s="76">
        <v>1</v>
      </c>
      <c r="K1306" s="78">
        <f>AB1306/COUNTIFS($B:$B,$B1306,$C:$C,$C1306,$H:$H,$H1306,$I:$I,$I1306)</f>
        <v>0.08</v>
      </c>
      <c r="L1306" s="80">
        <f t="shared" si="79"/>
        <v>0.8</v>
      </c>
      <c r="M1306" s="82">
        <f t="shared" ref="M1306:M1326" si="80">J1306*K1306*L1306</f>
        <v>6.4000000000000001E-2</v>
      </c>
      <c r="N1306" s="59"/>
      <c r="P1306" s="24" t="s">
        <v>429</v>
      </c>
      <c r="Q1306" s="10"/>
      <c r="R1306" s="10"/>
      <c r="S1306" s="10"/>
      <c r="T1306" s="10"/>
      <c r="U1306" s="10"/>
      <c r="V1306" s="10"/>
      <c r="AA1306" s="146">
        <f>AB1306/COUNTIFS($B:$B,$B1306,$C:$C,$C1306,$H:$H,$H1306,$I:$I,$I1306)</f>
        <v>0.08</v>
      </c>
      <c r="AB1306" s="108">
        <f>VLOOKUP(I1306,'Weights and Confidence'!$D$16:$AC$26,9,FALSE)</f>
        <v>0.08</v>
      </c>
      <c r="AC1306" s="147">
        <f>VLOOKUP(I1306,'Weights and Confidence'!$D$16:$AC$26,10,FALSE)</f>
        <v>0.8</v>
      </c>
    </row>
    <row r="1307" spans="1:29" x14ac:dyDescent="0.2">
      <c r="A1307" s="77" t="s">
        <v>185</v>
      </c>
      <c r="B1307" s="77" t="s">
        <v>187</v>
      </c>
      <c r="C1307" s="77" t="s">
        <v>299</v>
      </c>
      <c r="D1307" s="77" t="s">
        <v>5</v>
      </c>
      <c r="E1307" s="77" t="s">
        <v>679</v>
      </c>
      <c r="F1307" s="50" t="s">
        <v>300</v>
      </c>
      <c r="G1307" s="77">
        <v>2</v>
      </c>
      <c r="H1307" s="77" t="s">
        <v>18</v>
      </c>
      <c r="I1307" s="77" t="s">
        <v>20</v>
      </c>
      <c r="J1307" s="77">
        <v>1</v>
      </c>
      <c r="K1307" s="79">
        <f>AB1307/COUNTIFS($B:$B,$B1307,$C:$C,$C1307,$H:$H,$H1307,$I:$I,$I1307)</f>
        <v>0.08</v>
      </c>
      <c r="L1307" s="81">
        <f t="shared" si="79"/>
        <v>0.8</v>
      </c>
      <c r="M1307" s="83">
        <f t="shared" si="80"/>
        <v>6.4000000000000001E-2</v>
      </c>
      <c r="N1307" s="58"/>
      <c r="P1307" s="25" t="s">
        <v>430</v>
      </c>
      <c r="Q1307" s="75"/>
      <c r="R1307" s="75"/>
      <c r="S1307" s="75"/>
      <c r="T1307" s="75"/>
      <c r="U1307" s="75"/>
      <c r="V1307" s="75"/>
      <c r="AA1307" s="146">
        <f>AB1307/COUNTIFS($B:$B,$B1307,$C:$C,$C1307,$H:$H,$H1307,$I:$I,$I1307)</f>
        <v>0.08</v>
      </c>
      <c r="AB1307" s="108">
        <f>VLOOKUP(I1307,'Weights and Confidence'!$D$16:$AC$26,9,FALSE)</f>
        <v>0.08</v>
      </c>
      <c r="AC1307" s="147">
        <f>VLOOKUP(I1307,'Weights and Confidence'!$D$16:$AC$26,10,FALSE)</f>
        <v>0.8</v>
      </c>
    </row>
    <row r="1308" spans="1:29" x14ac:dyDescent="0.2">
      <c r="A1308" s="76" t="s">
        <v>185</v>
      </c>
      <c r="B1308" s="76" t="s">
        <v>187</v>
      </c>
      <c r="C1308" s="76" t="s">
        <v>299</v>
      </c>
      <c r="D1308" s="76" t="s">
        <v>5</v>
      </c>
      <c r="E1308" s="76" t="s">
        <v>679</v>
      </c>
      <c r="F1308" s="51" t="s">
        <v>300</v>
      </c>
      <c r="G1308" s="76">
        <v>3</v>
      </c>
      <c r="H1308" s="76" t="s">
        <v>17</v>
      </c>
      <c r="I1308" s="76" t="s">
        <v>21</v>
      </c>
      <c r="J1308" s="76">
        <v>1</v>
      </c>
      <c r="K1308" s="78">
        <f>AB1308/COUNTIFS($B:$B,$B1308,$C:$C,$C1308,$H:$H,$H1308,$I:$I,$I1308)</f>
        <v>0.05</v>
      </c>
      <c r="L1308" s="80">
        <f t="shared" si="79"/>
        <v>1</v>
      </c>
      <c r="M1308" s="82">
        <f t="shared" si="80"/>
        <v>0.05</v>
      </c>
      <c r="N1308" s="59"/>
      <c r="P1308" s="25" t="s">
        <v>431</v>
      </c>
      <c r="Q1308" s="75"/>
      <c r="R1308" s="75"/>
      <c r="S1308" s="75"/>
      <c r="T1308" s="75"/>
      <c r="U1308" s="75"/>
      <c r="V1308" s="75"/>
      <c r="AA1308" s="146">
        <f>AB1308/COUNTIFS($B:$B,$B1308,$C:$C,$C1308,$H:$H,$H1308,$I:$I,$I1308)</f>
        <v>0.05</v>
      </c>
      <c r="AB1308" s="108">
        <f>VLOOKUP(I1308,'Weights and Confidence'!$D$16:$AC$26,9,FALSE)</f>
        <v>0.05</v>
      </c>
      <c r="AC1308" s="147">
        <f>VLOOKUP(I1308,'Weights and Confidence'!$D$16:$AC$26,10,FALSE)</f>
        <v>1</v>
      </c>
    </row>
    <row r="1309" spans="1:29" x14ac:dyDescent="0.2">
      <c r="A1309" s="77" t="s">
        <v>185</v>
      </c>
      <c r="B1309" s="77" t="s">
        <v>187</v>
      </c>
      <c r="C1309" s="77" t="s">
        <v>299</v>
      </c>
      <c r="D1309" s="77" t="s">
        <v>5</v>
      </c>
      <c r="E1309" s="77" t="s">
        <v>679</v>
      </c>
      <c r="F1309" s="50" t="s">
        <v>300</v>
      </c>
      <c r="G1309" s="77">
        <v>3</v>
      </c>
      <c r="H1309" s="77" t="s">
        <v>18</v>
      </c>
      <c r="I1309" s="77" t="s">
        <v>21</v>
      </c>
      <c r="J1309" s="77">
        <v>1</v>
      </c>
      <c r="K1309" s="79">
        <f>AB1309/COUNTIFS($B:$B,$B1309,$C:$C,$C1309,$H:$H,$H1309,$I:$I,$I1309)</f>
        <v>0.05</v>
      </c>
      <c r="L1309" s="81">
        <f t="shared" si="79"/>
        <v>1</v>
      </c>
      <c r="M1309" s="83">
        <f t="shared" si="80"/>
        <v>0.05</v>
      </c>
      <c r="N1309" s="84"/>
      <c r="P1309" s="25" t="s">
        <v>432</v>
      </c>
      <c r="Q1309" s="75"/>
      <c r="R1309" s="75"/>
      <c r="S1309" s="75"/>
      <c r="T1309" s="75"/>
      <c r="U1309" s="75"/>
      <c r="V1309" s="75"/>
      <c r="AA1309" s="146">
        <f>AB1309/COUNTIFS($B:$B,$B1309,$C:$C,$C1309,$H:$H,$H1309,$I:$I,$I1309)</f>
        <v>0.05</v>
      </c>
      <c r="AB1309" s="108">
        <f>VLOOKUP(I1309,'Weights and Confidence'!$D$16:$AC$26,9,FALSE)</f>
        <v>0.05</v>
      </c>
      <c r="AC1309" s="147">
        <f>VLOOKUP(I1309,'Weights and Confidence'!$D$16:$AC$26,10,FALSE)</f>
        <v>1</v>
      </c>
    </row>
    <row r="1310" spans="1:29" x14ac:dyDescent="0.2">
      <c r="A1310" s="76" t="s">
        <v>185</v>
      </c>
      <c r="B1310" s="76" t="s">
        <v>187</v>
      </c>
      <c r="C1310" s="76" t="s">
        <v>299</v>
      </c>
      <c r="D1310" s="76" t="s">
        <v>5</v>
      </c>
      <c r="E1310" s="76" t="s">
        <v>679</v>
      </c>
      <c r="F1310" s="51" t="s">
        <v>300</v>
      </c>
      <c r="G1310" s="76">
        <v>4</v>
      </c>
      <c r="H1310" s="76" t="s">
        <v>17</v>
      </c>
      <c r="I1310" s="76" t="s">
        <v>22</v>
      </c>
      <c r="J1310" s="76">
        <v>1</v>
      </c>
      <c r="K1310" s="78">
        <f>AB1310/COUNTIFS($B:$B,$B1310,$C:$C,$C1310,$H:$H,$H1310,$I:$I,$I1310)</f>
        <v>0.14000000000000001</v>
      </c>
      <c r="L1310" s="80">
        <f t="shared" si="79"/>
        <v>1</v>
      </c>
      <c r="M1310" s="82">
        <f t="shared" si="80"/>
        <v>0.14000000000000001</v>
      </c>
      <c r="N1310" s="59"/>
      <c r="P1310" s="25" t="s">
        <v>433</v>
      </c>
      <c r="Q1310" s="75"/>
      <c r="R1310" s="75"/>
      <c r="S1310" s="75"/>
      <c r="T1310" s="75"/>
      <c r="U1310" s="75"/>
      <c r="V1310" s="75"/>
      <c r="AA1310" s="146">
        <f>AB1310/COUNTIFS($B:$B,$B1310,$C:$C,$C1310,$H:$H,$H1310,$I:$I,$I1310)</f>
        <v>0.14000000000000001</v>
      </c>
      <c r="AB1310" s="108">
        <f>VLOOKUP(I1310,'Weights and Confidence'!$D$16:$AC$26,9,FALSE)</f>
        <v>0.14000000000000001</v>
      </c>
      <c r="AC1310" s="147">
        <f>VLOOKUP(I1310,'Weights and Confidence'!$D$16:$AC$26,10,FALSE)</f>
        <v>1</v>
      </c>
    </row>
    <row r="1311" spans="1:29" x14ac:dyDescent="0.2">
      <c r="A1311" s="77" t="s">
        <v>185</v>
      </c>
      <c r="B1311" s="77" t="s">
        <v>187</v>
      </c>
      <c r="C1311" s="77" t="s">
        <v>299</v>
      </c>
      <c r="D1311" s="77" t="s">
        <v>5</v>
      </c>
      <c r="E1311" s="77" t="s">
        <v>679</v>
      </c>
      <c r="F1311" s="50" t="s">
        <v>300</v>
      </c>
      <c r="G1311" s="77">
        <v>4</v>
      </c>
      <c r="H1311" s="77" t="s">
        <v>18</v>
      </c>
      <c r="I1311" s="77" t="s">
        <v>22</v>
      </c>
      <c r="J1311" s="77">
        <v>0</v>
      </c>
      <c r="K1311" s="79">
        <f>AB1311/COUNTIFS($B:$B,$B1311,$C:$C,$C1311,$H:$H,$H1311,$I:$I,$I1311)</f>
        <v>0.14000000000000001</v>
      </c>
      <c r="L1311" s="81">
        <f t="shared" si="79"/>
        <v>1</v>
      </c>
      <c r="M1311" s="83">
        <f t="shared" si="80"/>
        <v>0</v>
      </c>
      <c r="N1311" s="84"/>
      <c r="P1311" s="25" t="s">
        <v>434</v>
      </c>
      <c r="Q1311" s="75"/>
      <c r="R1311" s="75"/>
      <c r="S1311" s="75"/>
      <c r="T1311" s="75"/>
      <c r="U1311" s="75"/>
      <c r="V1311" s="75"/>
      <c r="AA1311" s="146">
        <f>AB1311/COUNTIFS($B:$B,$B1311,$C:$C,$C1311,$H:$H,$H1311,$I:$I,$I1311)</f>
        <v>0.14000000000000001</v>
      </c>
      <c r="AB1311" s="108">
        <f>VLOOKUP(I1311,'Weights and Confidence'!$D$16:$AC$26,9,FALSE)</f>
        <v>0.14000000000000001</v>
      </c>
      <c r="AC1311" s="147">
        <f>VLOOKUP(I1311,'Weights and Confidence'!$D$16:$AC$26,10,FALSE)</f>
        <v>1</v>
      </c>
    </row>
    <row r="1312" spans="1:29" ht="17" thickBot="1" x14ac:dyDescent="0.25">
      <c r="A1312" s="76" t="s">
        <v>185</v>
      </c>
      <c r="B1312" s="76" t="s">
        <v>187</v>
      </c>
      <c r="C1312" s="76" t="s">
        <v>299</v>
      </c>
      <c r="D1312" s="76" t="s">
        <v>5</v>
      </c>
      <c r="E1312" s="76" t="s">
        <v>679</v>
      </c>
      <c r="F1312" s="51" t="s">
        <v>300</v>
      </c>
      <c r="G1312" s="76">
        <v>5</v>
      </c>
      <c r="H1312" s="76" t="s">
        <v>17</v>
      </c>
      <c r="I1312" s="76" t="s">
        <v>23</v>
      </c>
      <c r="J1312" s="76">
        <v>1</v>
      </c>
      <c r="K1312" s="78">
        <f>AB1312/COUNTIFS($B:$B,$B1312,$C:$C,$C1312,$H:$H,$H1312,$I:$I,$I1312)</f>
        <v>0.11</v>
      </c>
      <c r="L1312" s="80">
        <f t="shared" si="79"/>
        <v>1</v>
      </c>
      <c r="M1312" s="82">
        <f t="shared" si="80"/>
        <v>0.11</v>
      </c>
      <c r="N1312" s="59"/>
      <c r="P1312" s="26" t="s">
        <v>435</v>
      </c>
      <c r="Q1312" s="2"/>
      <c r="R1312" s="2"/>
      <c r="S1312" s="2"/>
      <c r="T1312" s="2"/>
      <c r="U1312" s="2"/>
      <c r="V1312" s="2"/>
      <c r="AA1312" s="146">
        <f>AB1312/COUNTIFS($B:$B,$B1312,$C:$C,$C1312,$H:$H,$H1312,$I:$I,$I1312)</f>
        <v>0.11</v>
      </c>
      <c r="AB1312" s="108">
        <f>VLOOKUP(I1312,'Weights and Confidence'!$D$16:$AC$26,9,FALSE)</f>
        <v>0.11</v>
      </c>
      <c r="AC1312" s="147">
        <f>VLOOKUP(I1312,'Weights and Confidence'!$D$16:$AC$26,10,FALSE)</f>
        <v>1</v>
      </c>
    </row>
    <row r="1313" spans="1:29" x14ac:dyDescent="0.2">
      <c r="A1313" s="77" t="s">
        <v>185</v>
      </c>
      <c r="B1313" s="77" t="s">
        <v>187</v>
      </c>
      <c r="C1313" s="77" t="s">
        <v>299</v>
      </c>
      <c r="D1313" s="77" t="s">
        <v>5</v>
      </c>
      <c r="E1313" s="77" t="s">
        <v>679</v>
      </c>
      <c r="F1313" s="50" t="s">
        <v>300</v>
      </c>
      <c r="G1313" s="77">
        <v>5</v>
      </c>
      <c r="H1313" s="77" t="s">
        <v>18</v>
      </c>
      <c r="I1313" s="77" t="s">
        <v>23</v>
      </c>
      <c r="J1313" s="77">
        <v>0</v>
      </c>
      <c r="K1313" s="79">
        <f>AB1313/COUNTIFS($B:$B,$B1313,$C:$C,$C1313,$H:$H,$H1313,$I:$I,$I1313)</f>
        <v>0.11</v>
      </c>
      <c r="L1313" s="81">
        <f t="shared" si="79"/>
        <v>1</v>
      </c>
      <c r="M1313" s="83">
        <f t="shared" si="80"/>
        <v>0</v>
      </c>
      <c r="N1313" s="84"/>
      <c r="AA1313" s="146">
        <f>AB1313/COUNTIFS($B:$B,$B1313,$C:$C,$C1313,$H:$H,$H1313,$I:$I,$I1313)</f>
        <v>0.11</v>
      </c>
      <c r="AB1313" s="108">
        <f>VLOOKUP(I1313,'Weights and Confidence'!$D$16:$AC$26,9,FALSE)</f>
        <v>0.11</v>
      </c>
      <c r="AC1313" s="147">
        <f>VLOOKUP(I1313,'Weights and Confidence'!$D$16:$AC$26,10,FALSE)</f>
        <v>1</v>
      </c>
    </row>
    <row r="1314" spans="1:29" x14ac:dyDescent="0.2">
      <c r="A1314" s="76" t="s">
        <v>185</v>
      </c>
      <c r="B1314" s="76" t="s">
        <v>187</v>
      </c>
      <c r="C1314" s="76" t="s">
        <v>299</v>
      </c>
      <c r="D1314" s="76" t="s">
        <v>5</v>
      </c>
      <c r="E1314" s="76" t="s">
        <v>679</v>
      </c>
      <c r="F1314" s="51" t="s">
        <v>300</v>
      </c>
      <c r="G1314" s="76">
        <v>6</v>
      </c>
      <c r="H1314" s="76" t="s">
        <v>17</v>
      </c>
      <c r="I1314" s="76" t="s">
        <v>24</v>
      </c>
      <c r="J1314" s="76">
        <v>1</v>
      </c>
      <c r="K1314" s="78">
        <f>AB1314/COUNTIFS($B:$B,$B1314,$C:$C,$C1314,$H:$H,$H1314,$I:$I,$I1314)</f>
        <v>0.15</v>
      </c>
      <c r="L1314" s="80">
        <f t="shared" si="79"/>
        <v>1</v>
      </c>
      <c r="M1314" s="82">
        <f t="shared" si="80"/>
        <v>0.15</v>
      </c>
      <c r="N1314" s="59"/>
      <c r="AA1314" s="146">
        <f>AB1314/COUNTIFS($B:$B,$B1314,$C:$C,$C1314,$H:$H,$H1314,$I:$I,$I1314)</f>
        <v>0.15</v>
      </c>
      <c r="AB1314" s="108">
        <f>VLOOKUP(I1314,'Weights and Confidence'!$D$16:$AC$26,9,FALSE)</f>
        <v>0.15</v>
      </c>
      <c r="AC1314" s="147">
        <f>VLOOKUP(I1314,'Weights and Confidence'!$D$16:$AC$26,10,FALSE)</f>
        <v>1</v>
      </c>
    </row>
    <row r="1315" spans="1:29" x14ac:dyDescent="0.2">
      <c r="A1315" s="77" t="s">
        <v>185</v>
      </c>
      <c r="B1315" s="77" t="s">
        <v>187</v>
      </c>
      <c r="C1315" s="77" t="s">
        <v>299</v>
      </c>
      <c r="D1315" s="77" t="s">
        <v>5</v>
      </c>
      <c r="E1315" s="77" t="s">
        <v>679</v>
      </c>
      <c r="F1315" s="50" t="s">
        <v>300</v>
      </c>
      <c r="G1315" s="77">
        <v>6</v>
      </c>
      <c r="H1315" s="77" t="s">
        <v>18</v>
      </c>
      <c r="I1315" s="77" t="s">
        <v>24</v>
      </c>
      <c r="J1315" s="77">
        <v>0</v>
      </c>
      <c r="K1315" s="79">
        <f>AB1315/COUNTIFS($B:$B,$B1315,$C:$C,$C1315,$H:$H,$H1315,$I:$I,$I1315)</f>
        <v>0.15</v>
      </c>
      <c r="L1315" s="81">
        <f t="shared" si="79"/>
        <v>1</v>
      </c>
      <c r="M1315" s="83">
        <f t="shared" si="80"/>
        <v>0</v>
      </c>
      <c r="N1315" s="84"/>
      <c r="AA1315" s="146">
        <f>AB1315/COUNTIFS($B:$B,$B1315,$C:$C,$C1315,$H:$H,$H1315,$I:$I,$I1315)</f>
        <v>0.15</v>
      </c>
      <c r="AB1315" s="108">
        <f>VLOOKUP(I1315,'Weights and Confidence'!$D$16:$AC$26,9,FALSE)</f>
        <v>0.15</v>
      </c>
      <c r="AC1315" s="147">
        <f>VLOOKUP(I1315,'Weights and Confidence'!$D$16:$AC$26,10,FALSE)</f>
        <v>1</v>
      </c>
    </row>
    <row r="1316" spans="1:29" x14ac:dyDescent="0.2">
      <c r="A1316" s="76" t="s">
        <v>185</v>
      </c>
      <c r="B1316" s="76" t="s">
        <v>187</v>
      </c>
      <c r="C1316" s="76" t="s">
        <v>299</v>
      </c>
      <c r="D1316" s="76" t="s">
        <v>5</v>
      </c>
      <c r="E1316" s="76" t="s">
        <v>679</v>
      </c>
      <c r="F1316" s="51" t="s">
        <v>300</v>
      </c>
      <c r="G1316" s="76">
        <v>7</v>
      </c>
      <c r="H1316" s="76" t="s">
        <v>17</v>
      </c>
      <c r="I1316" s="76" t="s">
        <v>25</v>
      </c>
      <c r="J1316" s="76">
        <v>1</v>
      </c>
      <c r="K1316" s="78">
        <f>AB1316/COUNTIFS($B:$B,$B1316,$C:$C,$C1316,$H:$H,$H1316,$I:$I,$I1316)</f>
        <v>0.1</v>
      </c>
      <c r="L1316" s="80">
        <f t="shared" si="79"/>
        <v>1</v>
      </c>
      <c r="M1316" s="82">
        <f t="shared" si="80"/>
        <v>0.1</v>
      </c>
      <c r="N1316" s="59"/>
      <c r="AA1316" s="146">
        <f>AB1316/COUNTIFS($B:$B,$B1316,$C:$C,$C1316,$H:$H,$H1316,$I:$I,$I1316)</f>
        <v>0.1</v>
      </c>
      <c r="AB1316" s="108">
        <f>VLOOKUP(I1316,'Weights and Confidence'!$D$16:$AC$26,9,FALSE)</f>
        <v>0.1</v>
      </c>
      <c r="AC1316" s="147">
        <f>VLOOKUP(I1316,'Weights and Confidence'!$D$16:$AC$26,10,FALSE)</f>
        <v>1</v>
      </c>
    </row>
    <row r="1317" spans="1:29" x14ac:dyDescent="0.2">
      <c r="A1317" s="77" t="s">
        <v>185</v>
      </c>
      <c r="B1317" s="77" t="s">
        <v>187</v>
      </c>
      <c r="C1317" s="77" t="s">
        <v>299</v>
      </c>
      <c r="D1317" s="77" t="s">
        <v>5</v>
      </c>
      <c r="E1317" s="77" t="s">
        <v>679</v>
      </c>
      <c r="F1317" s="50" t="s">
        <v>300</v>
      </c>
      <c r="G1317" s="77">
        <v>7</v>
      </c>
      <c r="H1317" s="77" t="s">
        <v>18</v>
      </c>
      <c r="I1317" s="77" t="s">
        <v>25</v>
      </c>
      <c r="J1317" s="77">
        <v>0</v>
      </c>
      <c r="K1317" s="79">
        <f>AB1317/COUNTIFS($B:$B,$B1317,$C:$C,$C1317,$H:$H,$H1317,$I:$I,$I1317)</f>
        <v>0.1</v>
      </c>
      <c r="L1317" s="81">
        <f t="shared" si="79"/>
        <v>1</v>
      </c>
      <c r="M1317" s="83">
        <f t="shared" si="80"/>
        <v>0</v>
      </c>
      <c r="N1317" s="84"/>
      <c r="AA1317" s="146">
        <f>AB1317/COUNTIFS($B:$B,$B1317,$C:$C,$C1317,$H:$H,$H1317,$I:$I,$I1317)</f>
        <v>0.1</v>
      </c>
      <c r="AB1317" s="108">
        <f>VLOOKUP(I1317,'Weights and Confidence'!$D$16:$AC$26,9,FALSE)</f>
        <v>0.1</v>
      </c>
      <c r="AC1317" s="147">
        <f>VLOOKUP(I1317,'Weights and Confidence'!$D$16:$AC$26,10,FALSE)</f>
        <v>1</v>
      </c>
    </row>
    <row r="1318" spans="1:29" x14ac:dyDescent="0.2">
      <c r="A1318" s="76" t="s">
        <v>185</v>
      </c>
      <c r="B1318" s="76" t="s">
        <v>187</v>
      </c>
      <c r="C1318" s="76" t="s">
        <v>299</v>
      </c>
      <c r="D1318" s="76" t="s">
        <v>5</v>
      </c>
      <c r="E1318" s="76" t="s">
        <v>679</v>
      </c>
      <c r="F1318" s="51" t="s">
        <v>300</v>
      </c>
      <c r="G1318" s="76">
        <v>8</v>
      </c>
      <c r="H1318" s="76" t="s">
        <v>17</v>
      </c>
      <c r="I1318" s="76" t="s">
        <v>26</v>
      </c>
      <c r="J1318" s="76">
        <v>1</v>
      </c>
      <c r="K1318" s="78">
        <f>AB1318/COUNTIFS($B:$B,$B1318,$C:$C,$C1318,$H:$H,$H1318,$I:$I,$I1318)</f>
        <v>0.1</v>
      </c>
      <c r="L1318" s="80">
        <f t="shared" si="79"/>
        <v>1</v>
      </c>
      <c r="M1318" s="82">
        <f t="shared" si="80"/>
        <v>0.1</v>
      </c>
      <c r="N1318" s="59"/>
      <c r="AA1318" s="146">
        <f>AB1318/COUNTIFS($B:$B,$B1318,$C:$C,$C1318,$H:$H,$H1318,$I:$I,$I1318)</f>
        <v>0.1</v>
      </c>
      <c r="AB1318" s="108">
        <f>VLOOKUP(I1318,'Weights and Confidence'!$D$16:$AC$26,9,FALSE)</f>
        <v>0.1</v>
      </c>
      <c r="AC1318" s="147">
        <f>VLOOKUP(I1318,'Weights and Confidence'!$D$16:$AC$26,10,FALSE)</f>
        <v>1</v>
      </c>
    </row>
    <row r="1319" spans="1:29" x14ac:dyDescent="0.2">
      <c r="A1319" s="77" t="s">
        <v>185</v>
      </c>
      <c r="B1319" s="77" t="s">
        <v>187</v>
      </c>
      <c r="C1319" s="77" t="s">
        <v>299</v>
      </c>
      <c r="D1319" s="77" t="s">
        <v>5</v>
      </c>
      <c r="E1319" s="77" t="s">
        <v>679</v>
      </c>
      <c r="F1319" s="50" t="s">
        <v>300</v>
      </c>
      <c r="G1319" s="77">
        <v>8</v>
      </c>
      <c r="H1319" s="77" t="s">
        <v>18</v>
      </c>
      <c r="I1319" s="77" t="s">
        <v>26</v>
      </c>
      <c r="J1319" s="77">
        <v>0</v>
      </c>
      <c r="K1319" s="79">
        <f>AB1319/COUNTIFS($B:$B,$B1319,$C:$C,$C1319,$H:$H,$H1319,$I:$I,$I1319)</f>
        <v>0.1</v>
      </c>
      <c r="L1319" s="81">
        <f t="shared" si="79"/>
        <v>1</v>
      </c>
      <c r="M1319" s="83">
        <f t="shared" si="80"/>
        <v>0</v>
      </c>
      <c r="N1319" s="58"/>
      <c r="AA1319" s="146">
        <f>AB1319/COUNTIFS($B:$B,$B1319,$C:$C,$C1319,$H:$H,$H1319,$I:$I,$I1319)</f>
        <v>0.1</v>
      </c>
      <c r="AB1319" s="108">
        <f>VLOOKUP(I1319,'Weights and Confidence'!$D$16:$AC$26,9,FALSE)</f>
        <v>0.1</v>
      </c>
      <c r="AC1319" s="147">
        <f>VLOOKUP(I1319,'Weights and Confidence'!$D$16:$AC$26,10,FALSE)</f>
        <v>1</v>
      </c>
    </row>
    <row r="1320" spans="1:29" x14ac:dyDescent="0.2">
      <c r="A1320" s="76" t="s">
        <v>185</v>
      </c>
      <c r="B1320" s="76" t="s">
        <v>187</v>
      </c>
      <c r="C1320" s="76" t="s">
        <v>299</v>
      </c>
      <c r="D1320" s="76" t="s">
        <v>5</v>
      </c>
      <c r="E1320" s="76" t="s">
        <v>679</v>
      </c>
      <c r="F1320" s="51" t="s">
        <v>300</v>
      </c>
      <c r="G1320" s="76">
        <v>9</v>
      </c>
      <c r="H1320" s="76" t="s">
        <v>17</v>
      </c>
      <c r="I1320" s="76" t="s">
        <v>27</v>
      </c>
      <c r="J1320" s="76"/>
      <c r="K1320" s="78">
        <f>AB1320/COUNTIFS($B:$B,$B1320,$C:$C,$C1320,$H:$H,$H1320,$I:$I,$I1320)</f>
        <v>0.05</v>
      </c>
      <c r="L1320" s="80">
        <f t="shared" si="79"/>
        <v>0.85</v>
      </c>
      <c r="M1320" s="82">
        <f t="shared" si="80"/>
        <v>0</v>
      </c>
      <c r="N1320" s="59"/>
      <c r="AA1320" s="146">
        <f>AB1320/COUNTIFS($B:$B,$B1320,$C:$C,$C1320,$H:$H,$H1320,$I:$I,$I1320)</f>
        <v>0.05</v>
      </c>
      <c r="AB1320" s="108">
        <f>VLOOKUP(I1320,'Weights and Confidence'!$D$16:$AC$26,9,FALSE)</f>
        <v>0.1</v>
      </c>
      <c r="AC1320" s="147">
        <f>VLOOKUP(I1320,'Weights and Confidence'!$D$16:$AC$26,10,FALSE)</f>
        <v>0.85</v>
      </c>
    </row>
    <row r="1321" spans="1:29" x14ac:dyDescent="0.2">
      <c r="A1321" s="77" t="s">
        <v>185</v>
      </c>
      <c r="B1321" s="77" t="s">
        <v>187</v>
      </c>
      <c r="C1321" s="77" t="s">
        <v>299</v>
      </c>
      <c r="D1321" s="77" t="s">
        <v>5</v>
      </c>
      <c r="E1321" s="77" t="s">
        <v>679</v>
      </c>
      <c r="F1321" s="50" t="s">
        <v>300</v>
      </c>
      <c r="G1321" s="77">
        <v>9</v>
      </c>
      <c r="H1321" s="77" t="s">
        <v>18</v>
      </c>
      <c r="I1321" s="77" t="s">
        <v>27</v>
      </c>
      <c r="J1321" s="77"/>
      <c r="K1321" s="79">
        <f>AB1321/COUNTIFS($B:$B,$B1321,$C:$C,$C1321,$H:$H,$H1321,$I:$I,$I1321)</f>
        <v>0.05</v>
      </c>
      <c r="L1321" s="81">
        <f t="shared" si="79"/>
        <v>0.85</v>
      </c>
      <c r="M1321" s="83">
        <f t="shared" si="80"/>
        <v>0</v>
      </c>
      <c r="N1321" s="58"/>
      <c r="AA1321" s="146">
        <f>AB1321/COUNTIFS($B:$B,$B1321,$C:$C,$C1321,$H:$H,$H1321,$I:$I,$I1321)</f>
        <v>0.05</v>
      </c>
      <c r="AB1321" s="108">
        <f>VLOOKUP(I1321,'Weights and Confidence'!$D$16:$AC$26,9,FALSE)</f>
        <v>0.1</v>
      </c>
      <c r="AC1321" s="147">
        <f>VLOOKUP(I1321,'Weights and Confidence'!$D$16:$AC$26,10,FALSE)</f>
        <v>0.85</v>
      </c>
    </row>
    <row r="1322" spans="1:29" x14ac:dyDescent="0.2">
      <c r="A1322" s="76" t="s">
        <v>185</v>
      </c>
      <c r="B1322" s="76" t="s">
        <v>187</v>
      </c>
      <c r="C1322" s="76" t="s">
        <v>299</v>
      </c>
      <c r="D1322" s="76" t="s">
        <v>5</v>
      </c>
      <c r="E1322" s="76" t="s">
        <v>679</v>
      </c>
      <c r="F1322" s="51" t="s">
        <v>300</v>
      </c>
      <c r="G1322" s="76">
        <v>10</v>
      </c>
      <c r="H1322" s="76" t="s">
        <v>17</v>
      </c>
      <c r="I1322" s="76" t="s">
        <v>27</v>
      </c>
      <c r="J1322" s="76"/>
      <c r="K1322" s="78">
        <f>AB1322/COUNTIFS($B:$B,$B1322,$C:$C,$C1322,$H:$H,$H1322,$I:$I,$I1322)</f>
        <v>0.05</v>
      </c>
      <c r="L1322" s="80">
        <f t="shared" si="79"/>
        <v>0.85</v>
      </c>
      <c r="M1322" s="82">
        <f t="shared" si="80"/>
        <v>0</v>
      </c>
      <c r="N1322" s="59"/>
      <c r="AA1322" s="146">
        <f>AB1322/COUNTIFS($B:$B,$B1322,$C:$C,$C1322,$H:$H,$H1322,$I:$I,$I1322)</f>
        <v>0.05</v>
      </c>
      <c r="AB1322" s="108">
        <f>VLOOKUP(I1322,'Weights and Confidence'!$D$16:$AC$26,9,FALSE)</f>
        <v>0.1</v>
      </c>
      <c r="AC1322" s="147">
        <f>VLOOKUP(I1322,'Weights and Confidence'!$D$16:$AC$26,10,FALSE)</f>
        <v>0.85</v>
      </c>
    </row>
    <row r="1323" spans="1:29" x14ac:dyDescent="0.2">
      <c r="A1323" s="77" t="s">
        <v>185</v>
      </c>
      <c r="B1323" s="77" t="s">
        <v>187</v>
      </c>
      <c r="C1323" s="77" t="s">
        <v>299</v>
      </c>
      <c r="D1323" s="77" t="s">
        <v>5</v>
      </c>
      <c r="E1323" s="77" t="s">
        <v>679</v>
      </c>
      <c r="F1323" s="50" t="s">
        <v>300</v>
      </c>
      <c r="G1323" s="77">
        <v>10</v>
      </c>
      <c r="H1323" s="77" t="s">
        <v>18</v>
      </c>
      <c r="I1323" s="77" t="s">
        <v>27</v>
      </c>
      <c r="J1323" s="77"/>
      <c r="K1323" s="79">
        <f>AB1323/COUNTIFS($B:$B,$B1323,$C:$C,$C1323,$H:$H,$H1323,$I:$I,$I1323)</f>
        <v>0.05</v>
      </c>
      <c r="L1323" s="81">
        <f t="shared" si="79"/>
        <v>0.85</v>
      </c>
      <c r="M1323" s="83">
        <f t="shared" si="80"/>
        <v>0</v>
      </c>
      <c r="N1323" s="58"/>
      <c r="AA1323" s="146">
        <f>AB1323/COUNTIFS($B:$B,$B1323,$C:$C,$C1323,$H:$H,$H1323,$I:$I,$I1323)</f>
        <v>0.05</v>
      </c>
      <c r="AB1323" s="108">
        <f>VLOOKUP(I1323,'Weights and Confidence'!$D$16:$AC$26,9,FALSE)</f>
        <v>0.1</v>
      </c>
      <c r="AC1323" s="147">
        <f>VLOOKUP(I1323,'Weights and Confidence'!$D$16:$AC$26,10,FALSE)</f>
        <v>0.85</v>
      </c>
    </row>
    <row r="1324" spans="1:29" x14ac:dyDescent="0.2">
      <c r="A1324" s="76" t="s">
        <v>185</v>
      </c>
      <c r="B1324" s="76" t="s">
        <v>187</v>
      </c>
      <c r="C1324" s="76" t="s">
        <v>299</v>
      </c>
      <c r="D1324" s="76" t="s">
        <v>5</v>
      </c>
      <c r="E1324" s="76" t="s">
        <v>679</v>
      </c>
      <c r="F1324" s="51" t="s">
        <v>300</v>
      </c>
      <c r="G1324" s="76">
        <v>11</v>
      </c>
      <c r="H1324" s="76" t="s">
        <v>17</v>
      </c>
      <c r="I1324" s="76" t="s">
        <v>28</v>
      </c>
      <c r="J1324" s="76">
        <v>1</v>
      </c>
      <c r="K1324" s="78">
        <f>AB1324/COUNTIFS($B:$B,$B1324,$C:$C,$C1324,$H:$H,$H1324,$I:$I,$I1324)</f>
        <v>0.05</v>
      </c>
      <c r="L1324" s="80">
        <f t="shared" si="79"/>
        <v>1</v>
      </c>
      <c r="M1324" s="82">
        <f t="shared" si="80"/>
        <v>0.05</v>
      </c>
      <c r="N1324" s="59"/>
      <c r="P1324">
        <f>5/11</f>
        <v>0.45454545454545453</v>
      </c>
      <c r="AA1324" s="146">
        <f>AB1324/COUNTIFS($B:$B,$B1324,$C:$C,$C1324,$H:$H,$H1324,$I:$I,$I1324)</f>
        <v>0.05</v>
      </c>
      <c r="AB1324" s="108">
        <f>VLOOKUP(I1324,'Weights and Confidence'!$D$16:$AC$26,9,FALSE)</f>
        <v>0.05</v>
      </c>
      <c r="AC1324" s="147">
        <f>VLOOKUP(I1324,'Weights and Confidence'!$D$16:$AC$26,10,FALSE)</f>
        <v>1</v>
      </c>
    </row>
    <row r="1325" spans="1:29" ht="17" thickBot="1" x14ac:dyDescent="0.25">
      <c r="A1325" s="98" t="s">
        <v>185</v>
      </c>
      <c r="B1325" s="98" t="s">
        <v>187</v>
      </c>
      <c r="C1325" s="98" t="s">
        <v>299</v>
      </c>
      <c r="D1325" s="98" t="s">
        <v>5</v>
      </c>
      <c r="E1325" s="98" t="s">
        <v>679</v>
      </c>
      <c r="F1325" s="54" t="s">
        <v>300</v>
      </c>
      <c r="G1325" s="98">
        <v>11</v>
      </c>
      <c r="H1325" s="98" t="s">
        <v>18</v>
      </c>
      <c r="I1325" s="98" t="s">
        <v>28</v>
      </c>
      <c r="J1325" s="98">
        <v>0</v>
      </c>
      <c r="K1325" s="99">
        <f>AB1325/COUNTIFS($B:$B,$B1325,$C:$C,$C1325,$H:$H,$H1325,$I:$I,$I1325)</f>
        <v>0.05</v>
      </c>
      <c r="L1325" s="100">
        <f t="shared" si="79"/>
        <v>1</v>
      </c>
      <c r="M1325" s="101">
        <f t="shared" si="80"/>
        <v>0</v>
      </c>
      <c r="N1325" s="22"/>
      <c r="P1325">
        <f>2/11</f>
        <v>0.18181818181818182</v>
      </c>
      <c r="AA1325" s="140">
        <f>AB1325/COUNTIFS($B:$B,$B1325,$C:$C,$C1325,$H:$H,$H1325,$I:$I,$I1325)</f>
        <v>0.05</v>
      </c>
      <c r="AB1325" s="141">
        <f>VLOOKUP(I1325,'Weights and Confidence'!$D$16:$AC$26,9,FALSE)</f>
        <v>0.05</v>
      </c>
      <c r="AC1325" s="142">
        <f>VLOOKUP(I1325,'Weights and Confidence'!$D$16:$AC$26,10,FALSE)</f>
        <v>1</v>
      </c>
    </row>
    <row r="1326" spans="1:29" ht="18" thickTop="1" thickBot="1" x14ac:dyDescent="0.25">
      <c r="A1326" s="86" t="s">
        <v>185</v>
      </c>
      <c r="B1326" s="86" t="s">
        <v>187</v>
      </c>
      <c r="C1326" s="86" t="s">
        <v>311</v>
      </c>
      <c r="D1326" s="129" t="s">
        <v>5</v>
      </c>
      <c r="E1326" s="86" t="s">
        <v>679</v>
      </c>
      <c r="F1326" s="91" t="s">
        <v>312</v>
      </c>
      <c r="G1326" s="86">
        <v>1</v>
      </c>
      <c r="H1326" s="86" t="s">
        <v>17</v>
      </c>
      <c r="I1326" s="86" t="s">
        <v>19</v>
      </c>
      <c r="J1326" s="97">
        <v>1</v>
      </c>
      <c r="K1326" s="87">
        <f>AB1326/COUNTIFS($B:$B,$B1326,$C:$C,$C1326,$H:$H,$H1326,$I:$I,$I1326)</f>
        <v>0.12</v>
      </c>
      <c r="L1326" s="88">
        <f t="shared" si="79"/>
        <v>1</v>
      </c>
      <c r="M1326" s="89">
        <f t="shared" si="80"/>
        <v>0.12</v>
      </c>
      <c r="N1326" s="90"/>
      <c r="O1326">
        <f>tScores[[#This Row],[Raw_Rating_Text]]+J1328+J1330+J1332+J1334+J1336+J1338+J1340+J1346</f>
        <v>5</v>
      </c>
      <c r="AA1326" s="146">
        <f>AB1326/COUNTIFS($B:$B,$B1326,$C:$C,$C1326,$H:$H,$H1326,$I:$I,$I1326)</f>
        <v>0.12</v>
      </c>
      <c r="AB1326" s="108">
        <f>VLOOKUP(I1326,'Weights and Confidence'!$D$16:$AC$26,9,FALSE)</f>
        <v>0.12</v>
      </c>
      <c r="AC1326" s="147">
        <f>VLOOKUP(I1326,'Weights and Confidence'!$D$16:$AC$26,10,FALSE)</f>
        <v>1</v>
      </c>
    </row>
    <row r="1327" spans="1:29" x14ac:dyDescent="0.2">
      <c r="A1327" s="77" t="s">
        <v>185</v>
      </c>
      <c r="B1327" s="77" t="s">
        <v>187</v>
      </c>
      <c r="C1327" s="77" t="s">
        <v>311</v>
      </c>
      <c r="D1327" s="77" t="s">
        <v>5</v>
      </c>
      <c r="E1327" s="77" t="s">
        <v>679</v>
      </c>
      <c r="F1327" s="50" t="s">
        <v>312</v>
      </c>
      <c r="G1327" s="77">
        <v>1</v>
      </c>
      <c r="H1327" s="77" t="s">
        <v>18</v>
      </c>
      <c r="I1327" s="77" t="s">
        <v>19</v>
      </c>
      <c r="J1327" s="77">
        <v>1</v>
      </c>
      <c r="K1327" s="79">
        <f>AB1327/COUNTIFS($B:$B,$B1327,$C:$C,$C1327,$H:$H,$H1327,$I:$I,$I1327)</f>
        <v>0.12</v>
      </c>
      <c r="L1327" s="81">
        <f t="shared" si="79"/>
        <v>1</v>
      </c>
      <c r="M1327" s="83">
        <f>J1326*K1327*L1327</f>
        <v>0.12</v>
      </c>
      <c r="N1327" s="84"/>
      <c r="O1327">
        <f>tScores[[#This Row],[Raw_Rating_Text]]+J1329+J1331+J1333+J1335+J1337+J1339+J1341+J1347</f>
        <v>2</v>
      </c>
      <c r="P1327" s="24" t="s">
        <v>436</v>
      </c>
      <c r="Q1327" s="10"/>
      <c r="R1327" s="10"/>
      <c r="S1327" s="10"/>
      <c r="T1327" s="10"/>
      <c r="U1327" s="10"/>
      <c r="V1327" s="10"/>
      <c r="AA1327" s="146">
        <f>AB1327/COUNTIFS($B:$B,$B1327,$C:$C,$C1327,$H:$H,$H1327,$I:$I,$I1327)</f>
        <v>0.12</v>
      </c>
      <c r="AB1327" s="108">
        <f>VLOOKUP(I1327,'Weights and Confidence'!$D$16:$AC$26,9,FALSE)</f>
        <v>0.12</v>
      </c>
      <c r="AC1327" s="147">
        <f>VLOOKUP(I1327,'Weights and Confidence'!$D$16:$AC$26,10,FALSE)</f>
        <v>1</v>
      </c>
    </row>
    <row r="1328" spans="1:29" x14ac:dyDescent="0.2">
      <c r="A1328" s="76" t="s">
        <v>185</v>
      </c>
      <c r="B1328" s="76" t="s">
        <v>187</v>
      </c>
      <c r="C1328" s="76" t="s">
        <v>311</v>
      </c>
      <c r="D1328" s="76" t="s">
        <v>5</v>
      </c>
      <c r="E1328" s="76" t="s">
        <v>679</v>
      </c>
      <c r="F1328" s="51" t="s">
        <v>312</v>
      </c>
      <c r="G1328" s="76">
        <v>2</v>
      </c>
      <c r="H1328" s="76" t="s">
        <v>17</v>
      </c>
      <c r="I1328" s="76" t="s">
        <v>20</v>
      </c>
      <c r="J1328" s="76">
        <v>1</v>
      </c>
      <c r="K1328" s="78">
        <f>AB1328/COUNTIFS($B:$B,$B1328,$C:$C,$C1328,$H:$H,$H1328,$I:$I,$I1328)</f>
        <v>0.08</v>
      </c>
      <c r="L1328" s="80">
        <f t="shared" si="79"/>
        <v>0.8</v>
      </c>
      <c r="M1328" s="82">
        <f t="shared" ref="M1328:M1348" si="81">J1328*K1328*L1328</f>
        <v>6.4000000000000001E-2</v>
      </c>
      <c r="N1328" s="59"/>
      <c r="P1328" s="25" t="s">
        <v>437</v>
      </c>
      <c r="Q1328" s="75"/>
      <c r="R1328" s="75"/>
      <c r="S1328" s="75"/>
      <c r="T1328" s="75"/>
      <c r="U1328" s="75"/>
      <c r="V1328" s="75"/>
      <c r="AA1328" s="146">
        <f>AB1328/COUNTIFS($B:$B,$B1328,$C:$C,$C1328,$H:$H,$H1328,$I:$I,$I1328)</f>
        <v>0.08</v>
      </c>
      <c r="AB1328" s="108">
        <f>VLOOKUP(I1328,'Weights and Confidence'!$D$16:$AC$26,9,FALSE)</f>
        <v>0.08</v>
      </c>
      <c r="AC1328" s="147">
        <f>VLOOKUP(I1328,'Weights and Confidence'!$D$16:$AC$26,10,FALSE)</f>
        <v>0.8</v>
      </c>
    </row>
    <row r="1329" spans="1:29" x14ac:dyDescent="0.2">
      <c r="A1329" s="77" t="s">
        <v>185</v>
      </c>
      <c r="B1329" s="77" t="s">
        <v>187</v>
      </c>
      <c r="C1329" s="77" t="s">
        <v>311</v>
      </c>
      <c r="D1329" s="77" t="s">
        <v>5</v>
      </c>
      <c r="E1329" s="77" t="s">
        <v>679</v>
      </c>
      <c r="F1329" s="50" t="s">
        <v>312</v>
      </c>
      <c r="G1329" s="77">
        <v>2</v>
      </c>
      <c r="H1329" s="77" t="s">
        <v>18</v>
      </c>
      <c r="I1329" s="77" t="s">
        <v>20</v>
      </c>
      <c r="J1329" s="77">
        <v>1</v>
      </c>
      <c r="K1329" s="79">
        <f>AB1329/COUNTIFS($B:$B,$B1329,$C:$C,$C1329,$H:$H,$H1329,$I:$I,$I1329)</f>
        <v>0.08</v>
      </c>
      <c r="L1329" s="81">
        <f t="shared" si="79"/>
        <v>0.8</v>
      </c>
      <c r="M1329" s="83">
        <f t="shared" si="81"/>
        <v>6.4000000000000001E-2</v>
      </c>
      <c r="N1329" s="58"/>
      <c r="P1329" s="25" t="s">
        <v>438</v>
      </c>
      <c r="Q1329" s="75"/>
      <c r="R1329" s="75"/>
      <c r="S1329" s="75"/>
      <c r="T1329" s="75"/>
      <c r="U1329" s="75"/>
      <c r="V1329" s="75"/>
      <c r="AA1329" s="146">
        <f>AB1329/COUNTIFS($B:$B,$B1329,$C:$C,$C1329,$H:$H,$H1329,$I:$I,$I1329)</f>
        <v>0.08</v>
      </c>
      <c r="AB1329" s="108">
        <f>VLOOKUP(I1329,'Weights and Confidence'!$D$16:$AC$26,9,FALSE)</f>
        <v>0.08</v>
      </c>
      <c r="AC1329" s="147">
        <f>VLOOKUP(I1329,'Weights and Confidence'!$D$16:$AC$26,10,FALSE)</f>
        <v>0.8</v>
      </c>
    </row>
    <row r="1330" spans="1:29" x14ac:dyDescent="0.2">
      <c r="A1330" s="76" t="s">
        <v>185</v>
      </c>
      <c r="B1330" s="76" t="s">
        <v>187</v>
      </c>
      <c r="C1330" s="76" t="s">
        <v>311</v>
      </c>
      <c r="D1330" s="76" t="s">
        <v>5</v>
      </c>
      <c r="E1330" s="76" t="s">
        <v>679</v>
      </c>
      <c r="F1330" s="51" t="s">
        <v>312</v>
      </c>
      <c r="G1330" s="76">
        <v>3</v>
      </c>
      <c r="H1330" s="76" t="s">
        <v>17</v>
      </c>
      <c r="I1330" s="76" t="s">
        <v>21</v>
      </c>
      <c r="J1330" s="76">
        <v>1</v>
      </c>
      <c r="K1330" s="78">
        <f>AB1330/COUNTIFS($B:$B,$B1330,$C:$C,$C1330,$H:$H,$H1330,$I:$I,$I1330)</f>
        <v>0.05</v>
      </c>
      <c r="L1330" s="80">
        <f t="shared" si="79"/>
        <v>1</v>
      </c>
      <c r="M1330" s="82">
        <f t="shared" si="81"/>
        <v>0.05</v>
      </c>
      <c r="N1330" s="59"/>
      <c r="P1330" s="25" t="s">
        <v>439</v>
      </c>
      <c r="Q1330" s="75"/>
      <c r="R1330" s="75"/>
      <c r="S1330" s="75"/>
      <c r="T1330" s="75"/>
      <c r="U1330" s="75"/>
      <c r="V1330" s="75"/>
      <c r="AA1330" s="146">
        <f>AB1330/COUNTIFS($B:$B,$B1330,$C:$C,$C1330,$H:$H,$H1330,$I:$I,$I1330)</f>
        <v>0.05</v>
      </c>
      <c r="AB1330" s="108">
        <f>VLOOKUP(I1330,'Weights and Confidence'!$D$16:$AC$26,9,FALSE)</f>
        <v>0.05</v>
      </c>
      <c r="AC1330" s="147">
        <f>VLOOKUP(I1330,'Weights and Confidence'!$D$16:$AC$26,10,FALSE)</f>
        <v>1</v>
      </c>
    </row>
    <row r="1331" spans="1:29" x14ac:dyDescent="0.2">
      <c r="A1331" s="77" t="s">
        <v>185</v>
      </c>
      <c r="B1331" s="77" t="s">
        <v>187</v>
      </c>
      <c r="C1331" s="77" t="s">
        <v>311</v>
      </c>
      <c r="D1331" s="77" t="s">
        <v>5</v>
      </c>
      <c r="E1331" s="77" t="s">
        <v>679</v>
      </c>
      <c r="F1331" s="50" t="s">
        <v>312</v>
      </c>
      <c r="G1331" s="77">
        <v>3</v>
      </c>
      <c r="H1331" s="77" t="s">
        <v>18</v>
      </c>
      <c r="I1331" s="77" t="s">
        <v>21</v>
      </c>
      <c r="J1331" s="77">
        <v>1</v>
      </c>
      <c r="K1331" s="79">
        <f>AB1331/COUNTIFS($B:$B,$B1331,$C:$C,$C1331,$H:$H,$H1331,$I:$I,$I1331)</f>
        <v>0.05</v>
      </c>
      <c r="L1331" s="81">
        <f t="shared" si="79"/>
        <v>1</v>
      </c>
      <c r="M1331" s="83">
        <f t="shared" si="81"/>
        <v>0.05</v>
      </c>
      <c r="N1331" s="84"/>
      <c r="P1331" s="25" t="s">
        <v>440</v>
      </c>
      <c r="Q1331" s="75"/>
      <c r="R1331" s="75"/>
      <c r="S1331" s="75"/>
      <c r="T1331" s="75"/>
      <c r="U1331" s="75"/>
      <c r="V1331" s="75"/>
      <c r="AA1331" s="146">
        <f>AB1331/COUNTIFS($B:$B,$B1331,$C:$C,$C1331,$H:$H,$H1331,$I:$I,$I1331)</f>
        <v>0.05</v>
      </c>
      <c r="AB1331" s="108">
        <f>VLOOKUP(I1331,'Weights and Confidence'!$D$16:$AC$26,9,FALSE)</f>
        <v>0.05</v>
      </c>
      <c r="AC1331" s="147">
        <f>VLOOKUP(I1331,'Weights and Confidence'!$D$16:$AC$26,10,FALSE)</f>
        <v>1</v>
      </c>
    </row>
    <row r="1332" spans="1:29" x14ac:dyDescent="0.2">
      <c r="A1332" s="76" t="s">
        <v>185</v>
      </c>
      <c r="B1332" s="76" t="s">
        <v>187</v>
      </c>
      <c r="C1332" s="76" t="s">
        <v>311</v>
      </c>
      <c r="D1332" s="76" t="s">
        <v>5</v>
      </c>
      <c r="E1332" s="76" t="s">
        <v>679</v>
      </c>
      <c r="F1332" s="51" t="s">
        <v>312</v>
      </c>
      <c r="G1332" s="76">
        <v>4</v>
      </c>
      <c r="H1332" s="76" t="s">
        <v>17</v>
      </c>
      <c r="I1332" s="76" t="s">
        <v>22</v>
      </c>
      <c r="J1332" s="76">
        <v>0</v>
      </c>
      <c r="K1332" s="78">
        <f>AB1332/COUNTIFS($B:$B,$B1332,$C:$C,$C1332,$H:$H,$H1332,$I:$I,$I1332)</f>
        <v>0.14000000000000001</v>
      </c>
      <c r="L1332" s="80">
        <f t="shared" si="79"/>
        <v>1</v>
      </c>
      <c r="M1332" s="82">
        <f t="shared" si="81"/>
        <v>0</v>
      </c>
      <c r="N1332" s="59"/>
      <c r="P1332" s="25" t="s">
        <v>441</v>
      </c>
      <c r="Q1332" s="75"/>
      <c r="R1332" s="75"/>
      <c r="S1332" s="75"/>
      <c r="T1332" s="75"/>
      <c r="U1332" s="75"/>
      <c r="V1332" s="75"/>
      <c r="AA1332" s="146">
        <f>AB1332/COUNTIFS($B:$B,$B1332,$C:$C,$C1332,$H:$H,$H1332,$I:$I,$I1332)</f>
        <v>0.14000000000000001</v>
      </c>
      <c r="AB1332" s="108">
        <f>VLOOKUP(I1332,'Weights and Confidence'!$D$16:$AC$26,9,FALSE)</f>
        <v>0.14000000000000001</v>
      </c>
      <c r="AC1332" s="147">
        <f>VLOOKUP(I1332,'Weights and Confidence'!$D$16:$AC$26,10,FALSE)</f>
        <v>1</v>
      </c>
    </row>
    <row r="1333" spans="1:29" x14ac:dyDescent="0.2">
      <c r="A1333" s="77" t="s">
        <v>185</v>
      </c>
      <c r="B1333" s="77" t="s">
        <v>187</v>
      </c>
      <c r="C1333" s="77" t="s">
        <v>311</v>
      </c>
      <c r="D1333" s="77" t="s">
        <v>5</v>
      </c>
      <c r="E1333" s="77" t="s">
        <v>679</v>
      </c>
      <c r="F1333" s="50" t="s">
        <v>312</v>
      </c>
      <c r="G1333" s="77">
        <v>4</v>
      </c>
      <c r="H1333" s="77" t="s">
        <v>18</v>
      </c>
      <c r="I1333" s="77" t="s">
        <v>22</v>
      </c>
      <c r="J1333" s="77">
        <v>0</v>
      </c>
      <c r="K1333" s="79">
        <f>AB1333/COUNTIFS($B:$B,$B1333,$C:$C,$C1333,$H:$H,$H1333,$I:$I,$I1333)</f>
        <v>0.14000000000000001</v>
      </c>
      <c r="L1333" s="81">
        <f t="shared" si="79"/>
        <v>1</v>
      </c>
      <c r="M1333" s="83">
        <f t="shared" si="81"/>
        <v>0</v>
      </c>
      <c r="N1333" s="84"/>
      <c r="P1333" s="25" t="s">
        <v>442</v>
      </c>
      <c r="Q1333" s="75"/>
      <c r="R1333" s="75"/>
      <c r="S1333" s="75"/>
      <c r="T1333" s="75"/>
      <c r="U1333" s="75"/>
      <c r="V1333" s="75"/>
      <c r="AA1333" s="146">
        <f>AB1333/COUNTIFS($B:$B,$B1333,$C:$C,$C1333,$H:$H,$H1333,$I:$I,$I1333)</f>
        <v>0.14000000000000001</v>
      </c>
      <c r="AB1333" s="108">
        <f>VLOOKUP(I1333,'Weights and Confidence'!$D$16:$AC$26,9,FALSE)</f>
        <v>0.14000000000000001</v>
      </c>
      <c r="AC1333" s="147">
        <f>VLOOKUP(I1333,'Weights and Confidence'!$D$16:$AC$26,10,FALSE)</f>
        <v>1</v>
      </c>
    </row>
    <row r="1334" spans="1:29" x14ac:dyDescent="0.2">
      <c r="A1334" s="76" t="s">
        <v>185</v>
      </c>
      <c r="B1334" s="76" t="s">
        <v>187</v>
      </c>
      <c r="C1334" s="76" t="s">
        <v>311</v>
      </c>
      <c r="D1334" s="76" t="s">
        <v>5</v>
      </c>
      <c r="E1334" s="76" t="s">
        <v>679</v>
      </c>
      <c r="F1334" s="51" t="s">
        <v>312</v>
      </c>
      <c r="G1334" s="76">
        <v>5</v>
      </c>
      <c r="H1334" s="76" t="s">
        <v>17</v>
      </c>
      <c r="I1334" s="76" t="s">
        <v>23</v>
      </c>
      <c r="J1334" s="76">
        <v>1</v>
      </c>
      <c r="K1334" s="78">
        <f>AB1334/COUNTIFS($B:$B,$B1334,$C:$C,$C1334,$H:$H,$H1334,$I:$I,$I1334)</f>
        <v>0.11</v>
      </c>
      <c r="L1334" s="80">
        <f t="shared" si="79"/>
        <v>1</v>
      </c>
      <c r="M1334" s="82">
        <f t="shared" si="81"/>
        <v>0.11</v>
      </c>
      <c r="N1334" s="59"/>
      <c r="P1334" s="25" t="s">
        <v>443</v>
      </c>
      <c r="Q1334" s="75"/>
      <c r="R1334" s="75"/>
      <c r="S1334" s="75"/>
      <c r="T1334" s="75"/>
      <c r="U1334" s="75"/>
      <c r="V1334" s="75"/>
      <c r="AA1334" s="146">
        <f>AB1334/COUNTIFS($B:$B,$B1334,$C:$C,$C1334,$H:$H,$H1334,$I:$I,$I1334)</f>
        <v>0.11</v>
      </c>
      <c r="AB1334" s="108">
        <f>VLOOKUP(I1334,'Weights and Confidence'!$D$16:$AC$26,9,FALSE)</f>
        <v>0.11</v>
      </c>
      <c r="AC1334" s="147">
        <f>VLOOKUP(I1334,'Weights and Confidence'!$D$16:$AC$26,10,FALSE)</f>
        <v>1</v>
      </c>
    </row>
    <row r="1335" spans="1:29" x14ac:dyDescent="0.2">
      <c r="A1335" s="77" t="s">
        <v>185</v>
      </c>
      <c r="B1335" s="77" t="s">
        <v>187</v>
      </c>
      <c r="C1335" s="77" t="s">
        <v>311</v>
      </c>
      <c r="D1335" s="77" t="s">
        <v>5</v>
      </c>
      <c r="E1335" s="77" t="s">
        <v>679</v>
      </c>
      <c r="F1335" s="50" t="s">
        <v>312</v>
      </c>
      <c r="G1335" s="77">
        <v>5</v>
      </c>
      <c r="H1335" s="77" t="s">
        <v>18</v>
      </c>
      <c r="I1335" s="77" t="s">
        <v>23</v>
      </c>
      <c r="J1335" s="77">
        <v>0</v>
      </c>
      <c r="K1335" s="79">
        <f>AB1335/COUNTIFS($B:$B,$B1335,$C:$C,$C1335,$H:$H,$H1335,$I:$I,$I1335)</f>
        <v>0.11</v>
      </c>
      <c r="L1335" s="81">
        <f t="shared" si="79"/>
        <v>1</v>
      </c>
      <c r="M1335" s="83">
        <f t="shared" si="81"/>
        <v>0</v>
      </c>
      <c r="N1335" s="84"/>
      <c r="P1335" s="25" t="s">
        <v>444</v>
      </c>
      <c r="Q1335" s="75"/>
      <c r="R1335" s="75"/>
      <c r="S1335" s="75"/>
      <c r="T1335" s="75"/>
      <c r="U1335" s="75"/>
      <c r="V1335" s="75"/>
      <c r="AA1335" s="146">
        <f>AB1335/COUNTIFS($B:$B,$B1335,$C:$C,$C1335,$H:$H,$H1335,$I:$I,$I1335)</f>
        <v>0.11</v>
      </c>
      <c r="AB1335" s="108">
        <f>VLOOKUP(I1335,'Weights and Confidence'!$D$16:$AC$26,9,FALSE)</f>
        <v>0.11</v>
      </c>
      <c r="AC1335" s="147">
        <f>VLOOKUP(I1335,'Weights and Confidence'!$D$16:$AC$26,10,FALSE)</f>
        <v>1</v>
      </c>
    </row>
    <row r="1336" spans="1:29" x14ac:dyDescent="0.2">
      <c r="A1336" s="76" t="s">
        <v>185</v>
      </c>
      <c r="B1336" s="76" t="s">
        <v>187</v>
      </c>
      <c r="C1336" s="76" t="s">
        <v>311</v>
      </c>
      <c r="D1336" s="76" t="s">
        <v>5</v>
      </c>
      <c r="E1336" s="76" t="s">
        <v>679</v>
      </c>
      <c r="F1336" s="51" t="s">
        <v>312</v>
      </c>
      <c r="G1336" s="76">
        <v>6</v>
      </c>
      <c r="H1336" s="76" t="s">
        <v>17</v>
      </c>
      <c r="I1336" s="76" t="s">
        <v>24</v>
      </c>
      <c r="J1336" s="76">
        <v>0</v>
      </c>
      <c r="K1336" s="78">
        <f>AB1336/COUNTIFS($B:$B,$B1336,$C:$C,$C1336,$H:$H,$H1336,$I:$I,$I1336)</f>
        <v>0.15</v>
      </c>
      <c r="L1336" s="80">
        <f t="shared" si="79"/>
        <v>1</v>
      </c>
      <c r="M1336" s="82">
        <f t="shared" si="81"/>
        <v>0</v>
      </c>
      <c r="N1336" s="59"/>
      <c r="P1336" s="25" t="s">
        <v>445</v>
      </c>
      <c r="Q1336" s="75"/>
      <c r="R1336" s="75"/>
      <c r="S1336" s="75"/>
      <c r="T1336" s="75"/>
      <c r="U1336" s="75"/>
      <c r="V1336" s="75"/>
      <c r="AA1336" s="146">
        <f>AB1336/COUNTIFS($B:$B,$B1336,$C:$C,$C1336,$H:$H,$H1336,$I:$I,$I1336)</f>
        <v>0.15</v>
      </c>
      <c r="AB1336" s="108">
        <f>VLOOKUP(I1336,'Weights and Confidence'!$D$16:$AC$26,9,FALSE)</f>
        <v>0.15</v>
      </c>
      <c r="AC1336" s="147">
        <f>VLOOKUP(I1336,'Weights and Confidence'!$D$16:$AC$26,10,FALSE)</f>
        <v>1</v>
      </c>
    </row>
    <row r="1337" spans="1:29" x14ac:dyDescent="0.2">
      <c r="A1337" s="77" t="s">
        <v>185</v>
      </c>
      <c r="B1337" s="77" t="s">
        <v>187</v>
      </c>
      <c r="C1337" s="77" t="s">
        <v>311</v>
      </c>
      <c r="D1337" s="77" t="s">
        <v>5</v>
      </c>
      <c r="E1337" s="77" t="s">
        <v>679</v>
      </c>
      <c r="F1337" s="50" t="s">
        <v>312</v>
      </c>
      <c r="G1337" s="77">
        <v>6</v>
      </c>
      <c r="H1337" s="77" t="s">
        <v>18</v>
      </c>
      <c r="I1337" s="77" t="s">
        <v>24</v>
      </c>
      <c r="J1337" s="77">
        <v>0</v>
      </c>
      <c r="K1337" s="79">
        <f>AB1337/COUNTIFS($B:$B,$B1337,$C:$C,$C1337,$H:$H,$H1337,$I:$I,$I1337)</f>
        <v>0.15</v>
      </c>
      <c r="L1337" s="81">
        <f t="shared" si="79"/>
        <v>1</v>
      </c>
      <c r="M1337" s="83">
        <f t="shared" si="81"/>
        <v>0</v>
      </c>
      <c r="N1337" s="84"/>
      <c r="P1337" s="25" t="s">
        <v>446</v>
      </c>
      <c r="Q1337" s="75"/>
      <c r="R1337" s="75"/>
      <c r="S1337" s="75"/>
      <c r="T1337" s="75"/>
      <c r="U1337" s="75"/>
      <c r="V1337" s="75"/>
      <c r="AA1337" s="146">
        <f>AB1337/COUNTIFS($B:$B,$B1337,$C:$C,$C1337,$H:$H,$H1337,$I:$I,$I1337)</f>
        <v>0.15</v>
      </c>
      <c r="AB1337" s="108">
        <f>VLOOKUP(I1337,'Weights and Confidence'!$D$16:$AC$26,9,FALSE)</f>
        <v>0.15</v>
      </c>
      <c r="AC1337" s="147">
        <f>VLOOKUP(I1337,'Weights and Confidence'!$D$16:$AC$26,10,FALSE)</f>
        <v>1</v>
      </c>
    </row>
    <row r="1338" spans="1:29" x14ac:dyDescent="0.2">
      <c r="A1338" s="76" t="s">
        <v>185</v>
      </c>
      <c r="B1338" s="76" t="s">
        <v>187</v>
      </c>
      <c r="C1338" s="76" t="s">
        <v>311</v>
      </c>
      <c r="D1338" s="76" t="s">
        <v>5</v>
      </c>
      <c r="E1338" s="76" t="s">
        <v>679</v>
      </c>
      <c r="F1338" s="51" t="s">
        <v>312</v>
      </c>
      <c r="G1338" s="76">
        <v>7</v>
      </c>
      <c r="H1338" s="76" t="s">
        <v>17</v>
      </c>
      <c r="I1338" s="76" t="s">
        <v>25</v>
      </c>
      <c r="J1338" s="76">
        <v>0</v>
      </c>
      <c r="K1338" s="78">
        <f>AB1338/COUNTIFS($B:$B,$B1338,$C:$C,$C1338,$H:$H,$H1338,$I:$I,$I1338)</f>
        <v>0.1</v>
      </c>
      <c r="L1338" s="80">
        <f t="shared" si="79"/>
        <v>1</v>
      </c>
      <c r="M1338" s="82">
        <f t="shared" si="81"/>
        <v>0</v>
      </c>
      <c r="N1338" s="59"/>
      <c r="P1338" s="25" t="s">
        <v>447</v>
      </c>
      <c r="Q1338" s="75"/>
      <c r="R1338" s="75"/>
      <c r="S1338" s="75"/>
      <c r="T1338" s="75"/>
      <c r="U1338" s="75"/>
      <c r="V1338" s="75"/>
      <c r="AA1338" s="146">
        <f>AB1338/COUNTIFS($B:$B,$B1338,$C:$C,$C1338,$H:$H,$H1338,$I:$I,$I1338)</f>
        <v>0.1</v>
      </c>
      <c r="AB1338" s="108">
        <f>VLOOKUP(I1338,'Weights and Confidence'!$D$16:$AC$26,9,FALSE)</f>
        <v>0.1</v>
      </c>
      <c r="AC1338" s="147">
        <f>VLOOKUP(I1338,'Weights and Confidence'!$D$16:$AC$26,10,FALSE)</f>
        <v>1</v>
      </c>
    </row>
    <row r="1339" spans="1:29" x14ac:dyDescent="0.2">
      <c r="A1339" s="77" t="s">
        <v>185</v>
      </c>
      <c r="B1339" s="77" t="s">
        <v>187</v>
      </c>
      <c r="C1339" s="77" t="s">
        <v>311</v>
      </c>
      <c r="D1339" s="77" t="s">
        <v>5</v>
      </c>
      <c r="E1339" s="77" t="s">
        <v>679</v>
      </c>
      <c r="F1339" s="50" t="s">
        <v>312</v>
      </c>
      <c r="G1339" s="77">
        <v>7</v>
      </c>
      <c r="H1339" s="77" t="s">
        <v>18</v>
      </c>
      <c r="I1339" s="77" t="s">
        <v>25</v>
      </c>
      <c r="J1339" s="77">
        <v>0</v>
      </c>
      <c r="K1339" s="79">
        <f>AB1339/COUNTIFS($B:$B,$B1339,$C:$C,$C1339,$H:$H,$H1339,$I:$I,$I1339)</f>
        <v>0.1</v>
      </c>
      <c r="L1339" s="81">
        <f t="shared" si="79"/>
        <v>1</v>
      </c>
      <c r="M1339" s="83">
        <f t="shared" si="81"/>
        <v>0</v>
      </c>
      <c r="N1339" s="84"/>
      <c r="P1339" s="25" t="s">
        <v>448</v>
      </c>
      <c r="Q1339" s="75"/>
      <c r="R1339" s="75"/>
      <c r="S1339" s="75"/>
      <c r="T1339" s="75"/>
      <c r="U1339" s="75"/>
      <c r="V1339" s="75"/>
      <c r="AA1339" s="146">
        <f>AB1339/COUNTIFS($B:$B,$B1339,$C:$C,$C1339,$H:$H,$H1339,$I:$I,$I1339)</f>
        <v>0.1</v>
      </c>
      <c r="AB1339" s="108">
        <f>VLOOKUP(I1339,'Weights and Confidence'!$D$16:$AC$26,9,FALSE)</f>
        <v>0.1</v>
      </c>
      <c r="AC1339" s="147">
        <f>VLOOKUP(I1339,'Weights and Confidence'!$D$16:$AC$26,10,FALSE)</f>
        <v>1</v>
      </c>
    </row>
    <row r="1340" spans="1:29" x14ac:dyDescent="0.2">
      <c r="A1340" s="76" t="s">
        <v>185</v>
      </c>
      <c r="B1340" s="76" t="s">
        <v>187</v>
      </c>
      <c r="C1340" s="76" t="s">
        <v>311</v>
      </c>
      <c r="D1340" s="76" t="s">
        <v>5</v>
      </c>
      <c r="E1340" s="76" t="s">
        <v>679</v>
      </c>
      <c r="F1340" s="51" t="s">
        <v>312</v>
      </c>
      <c r="G1340" s="76">
        <v>8</v>
      </c>
      <c r="H1340" s="76" t="s">
        <v>17</v>
      </c>
      <c r="I1340" s="76" t="s">
        <v>26</v>
      </c>
      <c r="J1340" s="76">
        <v>1</v>
      </c>
      <c r="K1340" s="78">
        <f>AB1340/COUNTIFS($B:$B,$B1340,$C:$C,$C1340,$H:$H,$H1340,$I:$I,$I1340)</f>
        <v>0.1</v>
      </c>
      <c r="L1340" s="80">
        <f t="shared" si="79"/>
        <v>1</v>
      </c>
      <c r="M1340" s="82">
        <f t="shared" si="81"/>
        <v>0.1</v>
      </c>
      <c r="N1340" s="59"/>
      <c r="P1340" s="25" t="s">
        <v>449</v>
      </c>
      <c r="Q1340" s="75"/>
      <c r="R1340" s="75"/>
      <c r="S1340" s="75"/>
      <c r="T1340" s="75"/>
      <c r="U1340" s="75"/>
      <c r="V1340" s="75"/>
      <c r="AA1340" s="146">
        <f>AB1340/COUNTIFS($B:$B,$B1340,$C:$C,$C1340,$H:$H,$H1340,$I:$I,$I1340)</f>
        <v>0.1</v>
      </c>
      <c r="AB1340" s="108">
        <f>VLOOKUP(I1340,'Weights and Confidence'!$D$16:$AC$26,9,FALSE)</f>
        <v>0.1</v>
      </c>
      <c r="AC1340" s="147">
        <f>VLOOKUP(I1340,'Weights and Confidence'!$D$16:$AC$26,10,FALSE)</f>
        <v>1</v>
      </c>
    </row>
    <row r="1341" spans="1:29" x14ac:dyDescent="0.2">
      <c r="A1341" s="77" t="s">
        <v>185</v>
      </c>
      <c r="B1341" s="77" t="s">
        <v>187</v>
      </c>
      <c r="C1341" s="77" t="s">
        <v>311</v>
      </c>
      <c r="D1341" s="77" t="s">
        <v>5</v>
      </c>
      <c r="E1341" s="77" t="s">
        <v>679</v>
      </c>
      <c r="F1341" s="50" t="s">
        <v>312</v>
      </c>
      <c r="G1341" s="77">
        <v>8</v>
      </c>
      <c r="H1341" s="77" t="s">
        <v>18</v>
      </c>
      <c r="I1341" s="77" t="s">
        <v>26</v>
      </c>
      <c r="J1341" s="77">
        <v>0</v>
      </c>
      <c r="K1341" s="79">
        <f>AB1341/COUNTIFS($B:$B,$B1341,$C:$C,$C1341,$H:$H,$H1341,$I:$I,$I1341)</f>
        <v>0.1</v>
      </c>
      <c r="L1341" s="81">
        <f t="shared" si="79"/>
        <v>1</v>
      </c>
      <c r="M1341" s="83">
        <f t="shared" si="81"/>
        <v>0</v>
      </c>
      <c r="N1341" s="58"/>
      <c r="P1341" s="25" t="s">
        <v>450</v>
      </c>
      <c r="Q1341" s="75"/>
      <c r="R1341" s="75"/>
      <c r="S1341" s="75"/>
      <c r="T1341" s="75"/>
      <c r="U1341" s="75"/>
      <c r="V1341" s="75"/>
      <c r="AA1341" s="146">
        <f>AB1341/COUNTIFS($B:$B,$B1341,$C:$C,$C1341,$H:$H,$H1341,$I:$I,$I1341)</f>
        <v>0.1</v>
      </c>
      <c r="AB1341" s="108">
        <f>VLOOKUP(I1341,'Weights and Confidence'!$D$16:$AC$26,9,FALSE)</f>
        <v>0.1</v>
      </c>
      <c r="AC1341" s="147">
        <f>VLOOKUP(I1341,'Weights and Confidence'!$D$16:$AC$26,10,FALSE)</f>
        <v>1</v>
      </c>
    </row>
    <row r="1342" spans="1:29" x14ac:dyDescent="0.2">
      <c r="A1342" s="76" t="s">
        <v>185</v>
      </c>
      <c r="B1342" s="76" t="s">
        <v>187</v>
      </c>
      <c r="C1342" s="76" t="s">
        <v>311</v>
      </c>
      <c r="D1342" s="76" t="s">
        <v>5</v>
      </c>
      <c r="E1342" s="76" t="s">
        <v>679</v>
      </c>
      <c r="F1342" s="51" t="s">
        <v>312</v>
      </c>
      <c r="G1342" s="76">
        <v>9</v>
      </c>
      <c r="H1342" s="76" t="s">
        <v>17</v>
      </c>
      <c r="I1342" s="76" t="s">
        <v>27</v>
      </c>
      <c r="J1342" s="76"/>
      <c r="K1342" s="78">
        <f>AB1342/COUNTIFS($B:$B,$B1342,$C:$C,$C1342,$H:$H,$H1342,$I:$I,$I1342)</f>
        <v>0.05</v>
      </c>
      <c r="L1342" s="80">
        <f t="shared" si="79"/>
        <v>0.85</v>
      </c>
      <c r="M1342" s="82">
        <f t="shared" si="81"/>
        <v>0</v>
      </c>
      <c r="N1342" s="59"/>
      <c r="P1342" s="25" t="s">
        <v>451</v>
      </c>
      <c r="Q1342" s="75"/>
      <c r="R1342" s="75"/>
      <c r="S1342" s="75"/>
      <c r="T1342" s="75"/>
      <c r="U1342" s="75"/>
      <c r="V1342" s="75"/>
      <c r="AA1342" s="146">
        <f>AB1342/COUNTIFS($B:$B,$B1342,$C:$C,$C1342,$H:$H,$H1342,$I:$I,$I1342)</f>
        <v>0.05</v>
      </c>
      <c r="AB1342" s="108">
        <f>VLOOKUP(I1342,'Weights and Confidence'!$D$16:$AC$26,9,FALSE)</f>
        <v>0.1</v>
      </c>
      <c r="AC1342" s="147">
        <f>VLOOKUP(I1342,'Weights and Confidence'!$D$16:$AC$26,10,FALSE)</f>
        <v>0.85</v>
      </c>
    </row>
    <row r="1343" spans="1:29" x14ac:dyDescent="0.2">
      <c r="A1343" s="77" t="s">
        <v>185</v>
      </c>
      <c r="B1343" s="77" t="s">
        <v>187</v>
      </c>
      <c r="C1343" s="77" t="s">
        <v>311</v>
      </c>
      <c r="D1343" s="77" t="s">
        <v>5</v>
      </c>
      <c r="E1343" s="77" t="s">
        <v>679</v>
      </c>
      <c r="F1343" s="50" t="s">
        <v>312</v>
      </c>
      <c r="G1343" s="77">
        <v>9</v>
      </c>
      <c r="H1343" s="77" t="s">
        <v>18</v>
      </c>
      <c r="I1343" s="77" t="s">
        <v>27</v>
      </c>
      <c r="J1343" s="77"/>
      <c r="K1343" s="79">
        <f>AB1343/COUNTIFS($B:$B,$B1343,$C:$C,$C1343,$H:$H,$H1343,$I:$I,$I1343)</f>
        <v>0.05</v>
      </c>
      <c r="L1343" s="81">
        <f t="shared" si="79"/>
        <v>0.85</v>
      </c>
      <c r="M1343" s="83">
        <f t="shared" si="81"/>
        <v>0</v>
      </c>
      <c r="N1343" s="58"/>
      <c r="P1343" s="25" t="s">
        <v>452</v>
      </c>
      <c r="Q1343" s="75"/>
      <c r="R1343" s="75"/>
      <c r="S1343" s="75"/>
      <c r="T1343" s="75"/>
      <c r="U1343" s="75"/>
      <c r="V1343" s="75"/>
      <c r="AA1343" s="146">
        <f>AB1343/COUNTIFS($B:$B,$B1343,$C:$C,$C1343,$H:$H,$H1343,$I:$I,$I1343)</f>
        <v>0.05</v>
      </c>
      <c r="AB1343" s="108">
        <f>VLOOKUP(I1343,'Weights and Confidence'!$D$16:$AC$26,9,FALSE)</f>
        <v>0.1</v>
      </c>
      <c r="AC1343" s="147">
        <f>VLOOKUP(I1343,'Weights and Confidence'!$D$16:$AC$26,10,FALSE)</f>
        <v>0.85</v>
      </c>
    </row>
    <row r="1344" spans="1:29" x14ac:dyDescent="0.2">
      <c r="A1344" s="76" t="s">
        <v>185</v>
      </c>
      <c r="B1344" s="76" t="s">
        <v>187</v>
      </c>
      <c r="C1344" s="76" t="s">
        <v>311</v>
      </c>
      <c r="D1344" s="76" t="s">
        <v>5</v>
      </c>
      <c r="E1344" s="76" t="s">
        <v>679</v>
      </c>
      <c r="F1344" s="51" t="s">
        <v>312</v>
      </c>
      <c r="G1344" s="76">
        <v>10</v>
      </c>
      <c r="H1344" s="76" t="s">
        <v>17</v>
      </c>
      <c r="I1344" s="76" t="s">
        <v>27</v>
      </c>
      <c r="J1344" s="76"/>
      <c r="K1344" s="78">
        <f>AB1344/COUNTIFS($B:$B,$B1344,$C:$C,$C1344,$H:$H,$H1344,$I:$I,$I1344)</f>
        <v>0.05</v>
      </c>
      <c r="L1344" s="80">
        <f t="shared" si="79"/>
        <v>0.85</v>
      </c>
      <c r="M1344" s="82">
        <f t="shared" si="81"/>
        <v>0</v>
      </c>
      <c r="N1344" s="59"/>
      <c r="P1344" s="25" t="s">
        <v>453</v>
      </c>
      <c r="Q1344" s="75"/>
      <c r="R1344" s="75"/>
      <c r="S1344" s="75"/>
      <c r="T1344" s="75"/>
      <c r="U1344" s="75"/>
      <c r="V1344" s="75"/>
      <c r="AA1344" s="146">
        <f>AB1344/COUNTIFS($B:$B,$B1344,$C:$C,$C1344,$H:$H,$H1344,$I:$I,$I1344)</f>
        <v>0.05</v>
      </c>
      <c r="AB1344" s="108">
        <f>VLOOKUP(I1344,'Weights and Confidence'!$D$16:$AC$26,9,FALSE)</f>
        <v>0.1</v>
      </c>
      <c r="AC1344" s="147">
        <f>VLOOKUP(I1344,'Weights and Confidence'!$D$16:$AC$26,10,FALSE)</f>
        <v>0.85</v>
      </c>
    </row>
    <row r="1345" spans="1:29" ht="17" thickBot="1" x14ac:dyDescent="0.25">
      <c r="A1345" s="77" t="s">
        <v>185</v>
      </c>
      <c r="B1345" s="77" t="s">
        <v>187</v>
      </c>
      <c r="C1345" s="77" t="s">
        <v>311</v>
      </c>
      <c r="D1345" s="77" t="s">
        <v>5</v>
      </c>
      <c r="E1345" s="77" t="s">
        <v>679</v>
      </c>
      <c r="F1345" s="50" t="s">
        <v>312</v>
      </c>
      <c r="G1345" s="77">
        <v>10</v>
      </c>
      <c r="H1345" s="77" t="s">
        <v>18</v>
      </c>
      <c r="I1345" s="77" t="s">
        <v>27</v>
      </c>
      <c r="J1345" s="77"/>
      <c r="K1345" s="79">
        <f>AB1345/COUNTIFS($B:$B,$B1345,$C:$C,$C1345,$H:$H,$H1345,$I:$I,$I1345)</f>
        <v>0.05</v>
      </c>
      <c r="L1345" s="81">
        <f t="shared" si="79"/>
        <v>0.85</v>
      </c>
      <c r="M1345" s="83">
        <f t="shared" si="81"/>
        <v>0</v>
      </c>
      <c r="N1345" s="58"/>
      <c r="P1345" s="26" t="s">
        <v>454</v>
      </c>
      <c r="Q1345" s="2"/>
      <c r="R1345" s="2"/>
      <c r="S1345" s="2"/>
      <c r="T1345" s="2"/>
      <c r="U1345" s="2"/>
      <c r="V1345" s="2"/>
      <c r="AA1345" s="146">
        <f>AB1345/COUNTIFS($B:$B,$B1345,$C:$C,$C1345,$H:$H,$H1345,$I:$I,$I1345)</f>
        <v>0.05</v>
      </c>
      <c r="AB1345" s="108">
        <f>VLOOKUP(I1345,'Weights and Confidence'!$D$16:$AC$26,9,FALSE)</f>
        <v>0.1</v>
      </c>
      <c r="AC1345" s="147">
        <f>VLOOKUP(I1345,'Weights and Confidence'!$D$16:$AC$26,10,FALSE)</f>
        <v>0.85</v>
      </c>
    </row>
    <row r="1346" spans="1:29" x14ac:dyDescent="0.2">
      <c r="A1346" s="76" t="s">
        <v>185</v>
      </c>
      <c r="B1346" s="76" t="s">
        <v>187</v>
      </c>
      <c r="C1346" s="76" t="s">
        <v>311</v>
      </c>
      <c r="D1346" s="76" t="s">
        <v>5</v>
      </c>
      <c r="E1346" s="76" t="s">
        <v>679</v>
      </c>
      <c r="F1346" s="51" t="s">
        <v>312</v>
      </c>
      <c r="G1346" s="76">
        <v>11</v>
      </c>
      <c r="H1346" s="76" t="s">
        <v>17</v>
      </c>
      <c r="I1346" s="76" t="s">
        <v>28</v>
      </c>
      <c r="J1346" s="76">
        <v>0</v>
      </c>
      <c r="K1346" s="78">
        <f>AB1346/COUNTIFS($B:$B,$B1346,$C:$C,$C1346,$H:$H,$H1346,$I:$I,$I1346)</f>
        <v>0.05</v>
      </c>
      <c r="L1346" s="80">
        <f t="shared" si="79"/>
        <v>1</v>
      </c>
      <c r="M1346" s="82">
        <f t="shared" si="81"/>
        <v>0</v>
      </c>
      <c r="N1346" s="59"/>
      <c r="AA1346" s="146">
        <f>AB1346/COUNTIFS($B:$B,$B1346,$C:$C,$C1346,$H:$H,$H1346,$I:$I,$I1346)</f>
        <v>0.05</v>
      </c>
      <c r="AB1346" s="108">
        <f>VLOOKUP(I1346,'Weights and Confidence'!$D$16:$AC$26,9,FALSE)</f>
        <v>0.05</v>
      </c>
      <c r="AC1346" s="147">
        <f>VLOOKUP(I1346,'Weights and Confidence'!$D$16:$AC$26,10,FALSE)</f>
        <v>1</v>
      </c>
    </row>
    <row r="1347" spans="1:29" ht="17" thickBot="1" x14ac:dyDescent="0.25">
      <c r="A1347" s="98" t="s">
        <v>185</v>
      </c>
      <c r="B1347" s="98" t="s">
        <v>187</v>
      </c>
      <c r="C1347" s="98" t="s">
        <v>311</v>
      </c>
      <c r="D1347" s="98" t="s">
        <v>5</v>
      </c>
      <c r="E1347" s="98" t="s">
        <v>679</v>
      </c>
      <c r="F1347" s="54" t="s">
        <v>312</v>
      </c>
      <c r="G1347" s="98">
        <v>11</v>
      </c>
      <c r="H1347" s="98" t="s">
        <v>18</v>
      </c>
      <c r="I1347" s="98" t="s">
        <v>28</v>
      </c>
      <c r="J1347" s="98">
        <v>-1</v>
      </c>
      <c r="K1347" s="99">
        <f>AB1347/COUNTIFS($B:$B,$B1347,$C:$C,$C1347,$H:$H,$H1347,$I:$I,$I1347)</f>
        <v>0.05</v>
      </c>
      <c r="L1347" s="100">
        <f t="shared" si="79"/>
        <v>1</v>
      </c>
      <c r="M1347" s="101">
        <f t="shared" si="81"/>
        <v>-0.05</v>
      </c>
      <c r="N1347" s="22"/>
      <c r="AA1347" s="140">
        <f>AB1347/COUNTIFS($B:$B,$B1347,$C:$C,$C1347,$H:$H,$H1347,$I:$I,$I1347)</f>
        <v>0.05</v>
      </c>
      <c r="AB1347" s="141">
        <f>VLOOKUP(I1347,'Weights and Confidence'!$D$16:$AC$26,9,FALSE)</f>
        <v>0.05</v>
      </c>
      <c r="AC1347" s="142">
        <f>VLOOKUP(I1347,'Weights and Confidence'!$D$16:$AC$26,10,FALSE)</f>
        <v>1</v>
      </c>
    </row>
    <row r="1348" spans="1:29" ht="18" thickTop="1" thickBot="1" x14ac:dyDescent="0.25">
      <c r="A1348" s="86" t="s">
        <v>185</v>
      </c>
      <c r="B1348" s="86" t="s">
        <v>187</v>
      </c>
      <c r="C1348" s="86" t="s">
        <v>455</v>
      </c>
      <c r="D1348" s="129" t="s">
        <v>5</v>
      </c>
      <c r="E1348" s="86" t="s">
        <v>105</v>
      </c>
      <c r="F1348" s="91" t="s">
        <v>456</v>
      </c>
      <c r="G1348" s="86">
        <v>1</v>
      </c>
      <c r="H1348" s="86" t="s">
        <v>17</v>
      </c>
      <c r="I1348" s="86" t="s">
        <v>19</v>
      </c>
      <c r="J1348" s="97">
        <v>1</v>
      </c>
      <c r="K1348" s="87">
        <f>AB1348/COUNTIFS($B:$B,$B1348,$C:$C,$C1348,$H:$H,$H1348,$I:$I,$I1348)</f>
        <v>0.12</v>
      </c>
      <c r="L1348" s="88">
        <f t="shared" si="79"/>
        <v>1</v>
      </c>
      <c r="M1348" s="89">
        <f t="shared" si="81"/>
        <v>0.12</v>
      </c>
      <c r="N1348" s="90"/>
      <c r="AA1348" s="146">
        <f>AB1348/COUNTIFS($B:$B,$B1348,$C:$C,$C1348,$H:$H,$H1348,$I:$I,$I1348)</f>
        <v>0.12</v>
      </c>
      <c r="AB1348" s="108">
        <f>VLOOKUP(I1348,'Weights and Confidence'!$D$16:$AC$26,9,FALSE)</f>
        <v>0.12</v>
      </c>
      <c r="AC1348" s="147">
        <f>VLOOKUP(I1348,'Weights and Confidence'!$D$16:$AC$26,10,FALSE)</f>
        <v>1</v>
      </c>
    </row>
    <row r="1349" spans="1:29" x14ac:dyDescent="0.2">
      <c r="A1349" s="77" t="s">
        <v>185</v>
      </c>
      <c r="B1349" s="77" t="s">
        <v>187</v>
      </c>
      <c r="C1349" s="77" t="s">
        <v>455</v>
      </c>
      <c r="D1349" s="77" t="s">
        <v>5</v>
      </c>
      <c r="E1349" s="77" t="s">
        <v>105</v>
      </c>
      <c r="F1349" s="50" t="s">
        <v>456</v>
      </c>
      <c r="G1349" s="77">
        <v>1</v>
      </c>
      <c r="H1349" s="77" t="s">
        <v>18</v>
      </c>
      <c r="I1349" s="77" t="s">
        <v>19</v>
      </c>
      <c r="J1349" s="77">
        <v>0</v>
      </c>
      <c r="K1349" s="79">
        <f>AB1349/COUNTIFS($B:$B,$B1349,$C:$C,$C1349,$H:$H,$H1349,$I:$I,$I1349)</f>
        <v>0.12</v>
      </c>
      <c r="L1349" s="81">
        <f t="shared" si="79"/>
        <v>1</v>
      </c>
      <c r="M1349" s="83">
        <f>J1348*K1349*L1349</f>
        <v>0.12</v>
      </c>
      <c r="N1349" s="84"/>
      <c r="P1349" s="24" t="s">
        <v>457</v>
      </c>
      <c r="Q1349" s="10"/>
      <c r="R1349" s="10"/>
      <c r="S1349" s="10"/>
      <c r="T1349" s="10"/>
      <c r="U1349" s="10"/>
      <c r="V1349" s="10"/>
      <c r="AA1349" s="146">
        <f>AB1349/COUNTIFS($B:$B,$B1349,$C:$C,$C1349,$H:$H,$H1349,$I:$I,$I1349)</f>
        <v>0.12</v>
      </c>
      <c r="AB1349" s="108">
        <f>VLOOKUP(I1349,'Weights and Confidence'!$D$16:$AC$26,9,FALSE)</f>
        <v>0.12</v>
      </c>
      <c r="AC1349" s="147">
        <f>VLOOKUP(I1349,'Weights and Confidence'!$D$16:$AC$26,10,FALSE)</f>
        <v>1</v>
      </c>
    </row>
    <row r="1350" spans="1:29" x14ac:dyDescent="0.2">
      <c r="A1350" s="76" t="s">
        <v>185</v>
      </c>
      <c r="B1350" s="76" t="s">
        <v>187</v>
      </c>
      <c r="C1350" s="76" t="s">
        <v>455</v>
      </c>
      <c r="D1350" s="76" t="s">
        <v>5</v>
      </c>
      <c r="E1350" s="76" t="s">
        <v>105</v>
      </c>
      <c r="F1350" s="51" t="s">
        <v>456</v>
      </c>
      <c r="G1350" s="76">
        <v>2</v>
      </c>
      <c r="H1350" s="76" t="s">
        <v>17</v>
      </c>
      <c r="I1350" s="76" t="s">
        <v>20</v>
      </c>
      <c r="J1350" s="76">
        <v>1</v>
      </c>
      <c r="K1350" s="78">
        <f>AB1350/COUNTIFS($B:$B,$B1350,$C:$C,$C1350,$H:$H,$H1350,$I:$I,$I1350)</f>
        <v>0.08</v>
      </c>
      <c r="L1350" s="80">
        <f t="shared" ref="L1350:L1413" si="82">AC1350</f>
        <v>0.8</v>
      </c>
      <c r="M1350" s="82">
        <f t="shared" ref="M1350:M1370" si="83">J1350*K1350*L1350</f>
        <v>6.4000000000000001E-2</v>
      </c>
      <c r="N1350" s="59"/>
      <c r="P1350" s="25" t="s">
        <v>458</v>
      </c>
      <c r="Q1350" s="75"/>
      <c r="R1350" s="75"/>
      <c r="S1350" s="75"/>
      <c r="T1350" s="75"/>
      <c r="U1350" s="75"/>
      <c r="V1350" s="75"/>
      <c r="AA1350" s="146">
        <f>AB1350/COUNTIFS($B:$B,$B1350,$C:$C,$C1350,$H:$H,$H1350,$I:$I,$I1350)</f>
        <v>0.08</v>
      </c>
      <c r="AB1350" s="108">
        <f>VLOOKUP(I1350,'Weights and Confidence'!$D$16:$AC$26,9,FALSE)</f>
        <v>0.08</v>
      </c>
      <c r="AC1350" s="147">
        <f>VLOOKUP(I1350,'Weights and Confidence'!$D$16:$AC$26,10,FALSE)</f>
        <v>0.8</v>
      </c>
    </row>
    <row r="1351" spans="1:29" x14ac:dyDescent="0.2">
      <c r="A1351" s="77" t="s">
        <v>185</v>
      </c>
      <c r="B1351" s="77" t="s">
        <v>187</v>
      </c>
      <c r="C1351" s="77" t="s">
        <v>455</v>
      </c>
      <c r="D1351" s="77" t="s">
        <v>5</v>
      </c>
      <c r="E1351" s="77" t="s">
        <v>105</v>
      </c>
      <c r="F1351" s="50" t="s">
        <v>456</v>
      </c>
      <c r="G1351" s="77">
        <v>2</v>
      </c>
      <c r="H1351" s="77" t="s">
        <v>18</v>
      </c>
      <c r="I1351" s="77" t="s">
        <v>20</v>
      </c>
      <c r="J1351" s="77">
        <v>0</v>
      </c>
      <c r="K1351" s="79">
        <f>AB1351/COUNTIFS($B:$B,$B1351,$C:$C,$C1351,$H:$H,$H1351,$I:$I,$I1351)</f>
        <v>0.08</v>
      </c>
      <c r="L1351" s="81">
        <f t="shared" si="82"/>
        <v>0.8</v>
      </c>
      <c r="M1351" s="83">
        <f t="shared" si="83"/>
        <v>0</v>
      </c>
      <c r="N1351" s="58"/>
      <c r="P1351" s="25" t="s">
        <v>459</v>
      </c>
      <c r="Q1351" s="75"/>
      <c r="R1351" s="75"/>
      <c r="S1351" s="75"/>
      <c r="T1351" s="75"/>
      <c r="U1351" s="75"/>
      <c r="V1351" s="75"/>
      <c r="AA1351" s="146">
        <f>AB1351/COUNTIFS($B:$B,$B1351,$C:$C,$C1351,$H:$H,$H1351,$I:$I,$I1351)</f>
        <v>0.08</v>
      </c>
      <c r="AB1351" s="108">
        <f>VLOOKUP(I1351,'Weights and Confidence'!$D$16:$AC$26,9,FALSE)</f>
        <v>0.08</v>
      </c>
      <c r="AC1351" s="147">
        <f>VLOOKUP(I1351,'Weights and Confidence'!$D$16:$AC$26,10,FALSE)</f>
        <v>0.8</v>
      </c>
    </row>
    <row r="1352" spans="1:29" x14ac:dyDescent="0.2">
      <c r="A1352" s="76" t="s">
        <v>185</v>
      </c>
      <c r="B1352" s="76" t="s">
        <v>187</v>
      </c>
      <c r="C1352" s="76" t="s">
        <v>455</v>
      </c>
      <c r="D1352" s="76" t="s">
        <v>5</v>
      </c>
      <c r="E1352" s="76" t="s">
        <v>105</v>
      </c>
      <c r="F1352" s="51" t="s">
        <v>456</v>
      </c>
      <c r="G1352" s="76">
        <v>3</v>
      </c>
      <c r="H1352" s="76" t="s">
        <v>17</v>
      </c>
      <c r="I1352" s="76" t="s">
        <v>21</v>
      </c>
      <c r="J1352" s="76">
        <v>1</v>
      </c>
      <c r="K1352" s="78">
        <f>AB1352/COUNTIFS($B:$B,$B1352,$C:$C,$C1352,$H:$H,$H1352,$I:$I,$I1352)</f>
        <v>0.05</v>
      </c>
      <c r="L1352" s="80">
        <f t="shared" si="82"/>
        <v>1</v>
      </c>
      <c r="M1352" s="82">
        <f t="shared" si="83"/>
        <v>0.05</v>
      </c>
      <c r="N1352" s="59"/>
      <c r="P1352" s="25" t="s">
        <v>460</v>
      </c>
      <c r="Q1352" s="75"/>
      <c r="R1352" s="75"/>
      <c r="S1352" s="75"/>
      <c r="T1352" s="75"/>
      <c r="U1352" s="75"/>
      <c r="V1352" s="75"/>
      <c r="AA1352" s="146">
        <f>AB1352/COUNTIFS($B:$B,$B1352,$C:$C,$C1352,$H:$H,$H1352,$I:$I,$I1352)</f>
        <v>0.05</v>
      </c>
      <c r="AB1352" s="108">
        <f>VLOOKUP(I1352,'Weights and Confidence'!$D$16:$AC$26,9,FALSE)</f>
        <v>0.05</v>
      </c>
      <c r="AC1352" s="147">
        <f>VLOOKUP(I1352,'Weights and Confidence'!$D$16:$AC$26,10,FALSE)</f>
        <v>1</v>
      </c>
    </row>
    <row r="1353" spans="1:29" x14ac:dyDescent="0.2">
      <c r="A1353" s="77" t="s">
        <v>185</v>
      </c>
      <c r="B1353" s="77" t="s">
        <v>187</v>
      </c>
      <c r="C1353" s="77" t="s">
        <v>455</v>
      </c>
      <c r="D1353" s="77" t="s">
        <v>5</v>
      </c>
      <c r="E1353" s="77" t="s">
        <v>105</v>
      </c>
      <c r="F1353" s="50" t="s">
        <v>456</v>
      </c>
      <c r="G1353" s="77">
        <v>3</v>
      </c>
      <c r="H1353" s="77" t="s">
        <v>18</v>
      </c>
      <c r="I1353" s="77" t="s">
        <v>21</v>
      </c>
      <c r="J1353" s="77">
        <v>0</v>
      </c>
      <c r="K1353" s="79">
        <f>AB1353/COUNTIFS($B:$B,$B1353,$C:$C,$C1353,$H:$H,$H1353,$I:$I,$I1353)</f>
        <v>0.05</v>
      </c>
      <c r="L1353" s="81">
        <f t="shared" si="82"/>
        <v>1</v>
      </c>
      <c r="M1353" s="83">
        <f t="shared" si="83"/>
        <v>0</v>
      </c>
      <c r="N1353" s="84"/>
      <c r="P1353" s="25" t="s">
        <v>461</v>
      </c>
      <c r="Q1353" s="75"/>
      <c r="R1353" s="75"/>
      <c r="S1353" s="75"/>
      <c r="T1353" s="75"/>
      <c r="U1353" s="75"/>
      <c r="V1353" s="75"/>
      <c r="AA1353" s="146">
        <f>AB1353/COUNTIFS($B:$B,$B1353,$C:$C,$C1353,$H:$H,$H1353,$I:$I,$I1353)</f>
        <v>0.05</v>
      </c>
      <c r="AB1353" s="108">
        <f>VLOOKUP(I1353,'Weights and Confidence'!$D$16:$AC$26,9,FALSE)</f>
        <v>0.05</v>
      </c>
      <c r="AC1353" s="147">
        <f>VLOOKUP(I1353,'Weights and Confidence'!$D$16:$AC$26,10,FALSE)</f>
        <v>1</v>
      </c>
    </row>
    <row r="1354" spans="1:29" x14ac:dyDescent="0.2">
      <c r="A1354" s="76" t="s">
        <v>185</v>
      </c>
      <c r="B1354" s="76" t="s">
        <v>187</v>
      </c>
      <c r="C1354" s="76" t="s">
        <v>455</v>
      </c>
      <c r="D1354" s="76" t="s">
        <v>5</v>
      </c>
      <c r="E1354" s="76" t="s">
        <v>105</v>
      </c>
      <c r="F1354" s="51" t="s">
        <v>456</v>
      </c>
      <c r="G1354" s="76">
        <v>4</v>
      </c>
      <c r="H1354" s="76" t="s">
        <v>17</v>
      </c>
      <c r="I1354" s="76" t="s">
        <v>22</v>
      </c>
      <c r="J1354" s="76">
        <v>1</v>
      </c>
      <c r="K1354" s="78">
        <f>AB1354/COUNTIFS($B:$B,$B1354,$C:$C,$C1354,$H:$H,$H1354,$I:$I,$I1354)</f>
        <v>0.14000000000000001</v>
      </c>
      <c r="L1354" s="80">
        <f t="shared" si="82"/>
        <v>1</v>
      </c>
      <c r="M1354" s="82">
        <f t="shared" si="83"/>
        <v>0.14000000000000001</v>
      </c>
      <c r="N1354" s="59"/>
      <c r="P1354" s="25" t="s">
        <v>462</v>
      </c>
      <c r="Q1354" s="75"/>
      <c r="R1354" s="75"/>
      <c r="S1354" s="75"/>
      <c r="T1354" s="75"/>
      <c r="U1354" s="75"/>
      <c r="V1354" s="75"/>
      <c r="AA1354" s="146">
        <f>AB1354/COUNTIFS($B:$B,$B1354,$C:$C,$C1354,$H:$H,$H1354,$I:$I,$I1354)</f>
        <v>0.14000000000000001</v>
      </c>
      <c r="AB1354" s="108">
        <f>VLOOKUP(I1354,'Weights and Confidence'!$D$16:$AC$26,9,FALSE)</f>
        <v>0.14000000000000001</v>
      </c>
      <c r="AC1354" s="147">
        <f>VLOOKUP(I1354,'Weights and Confidence'!$D$16:$AC$26,10,FALSE)</f>
        <v>1</v>
      </c>
    </row>
    <row r="1355" spans="1:29" ht="17" thickBot="1" x14ac:dyDescent="0.25">
      <c r="A1355" s="77" t="s">
        <v>185</v>
      </c>
      <c r="B1355" s="77" t="s">
        <v>187</v>
      </c>
      <c r="C1355" s="77" t="s">
        <v>455</v>
      </c>
      <c r="D1355" s="77" t="s">
        <v>5</v>
      </c>
      <c r="E1355" s="77" t="s">
        <v>105</v>
      </c>
      <c r="F1355" s="50" t="s">
        <v>456</v>
      </c>
      <c r="G1355" s="77">
        <v>4</v>
      </c>
      <c r="H1355" s="77" t="s">
        <v>18</v>
      </c>
      <c r="I1355" s="77" t="s">
        <v>22</v>
      </c>
      <c r="J1355" s="77">
        <v>0</v>
      </c>
      <c r="K1355" s="79">
        <f>AB1355/COUNTIFS($B:$B,$B1355,$C:$C,$C1355,$H:$H,$H1355,$I:$I,$I1355)</f>
        <v>0.14000000000000001</v>
      </c>
      <c r="L1355" s="81">
        <f t="shared" si="82"/>
        <v>1</v>
      </c>
      <c r="M1355" s="83">
        <f t="shared" si="83"/>
        <v>0</v>
      </c>
      <c r="N1355" s="84"/>
      <c r="P1355" s="26" t="s">
        <v>463</v>
      </c>
      <c r="Q1355" s="2"/>
      <c r="R1355" s="2"/>
      <c r="S1355" s="2"/>
      <c r="T1355" s="2"/>
      <c r="U1355" s="2"/>
      <c r="V1355" s="2"/>
      <c r="AA1355" s="146">
        <f>AB1355/COUNTIFS($B:$B,$B1355,$C:$C,$C1355,$H:$H,$H1355,$I:$I,$I1355)</f>
        <v>0.14000000000000001</v>
      </c>
      <c r="AB1355" s="108">
        <f>VLOOKUP(I1355,'Weights and Confidence'!$D$16:$AC$26,9,FALSE)</f>
        <v>0.14000000000000001</v>
      </c>
      <c r="AC1355" s="147">
        <f>VLOOKUP(I1355,'Weights and Confidence'!$D$16:$AC$26,10,FALSE)</f>
        <v>1</v>
      </c>
    </row>
    <row r="1356" spans="1:29" x14ac:dyDescent="0.2">
      <c r="A1356" s="76" t="s">
        <v>185</v>
      </c>
      <c r="B1356" s="76" t="s">
        <v>187</v>
      </c>
      <c r="C1356" s="76" t="s">
        <v>455</v>
      </c>
      <c r="D1356" s="76" t="s">
        <v>5</v>
      </c>
      <c r="E1356" s="76" t="s">
        <v>105</v>
      </c>
      <c r="F1356" s="51" t="s">
        <v>456</v>
      </c>
      <c r="G1356" s="76">
        <v>5</v>
      </c>
      <c r="H1356" s="76" t="s">
        <v>17</v>
      </c>
      <c r="I1356" s="76" t="s">
        <v>23</v>
      </c>
      <c r="J1356" s="76">
        <v>1</v>
      </c>
      <c r="K1356" s="78">
        <f>AB1356/COUNTIFS($B:$B,$B1356,$C:$C,$C1356,$H:$H,$H1356,$I:$I,$I1356)</f>
        <v>0.11</v>
      </c>
      <c r="L1356" s="80">
        <f t="shared" si="82"/>
        <v>1</v>
      </c>
      <c r="M1356" s="82">
        <f t="shared" si="83"/>
        <v>0.11</v>
      </c>
      <c r="N1356" s="59"/>
      <c r="AA1356" s="146">
        <f>AB1356/COUNTIFS($B:$B,$B1356,$C:$C,$C1356,$H:$H,$H1356,$I:$I,$I1356)</f>
        <v>0.11</v>
      </c>
      <c r="AB1356" s="108">
        <f>VLOOKUP(I1356,'Weights and Confidence'!$D$16:$AC$26,9,FALSE)</f>
        <v>0.11</v>
      </c>
      <c r="AC1356" s="147">
        <f>VLOOKUP(I1356,'Weights and Confidence'!$D$16:$AC$26,10,FALSE)</f>
        <v>1</v>
      </c>
    </row>
    <row r="1357" spans="1:29" x14ac:dyDescent="0.2">
      <c r="A1357" s="77" t="s">
        <v>185</v>
      </c>
      <c r="B1357" s="77" t="s">
        <v>187</v>
      </c>
      <c r="C1357" s="77" t="s">
        <v>455</v>
      </c>
      <c r="D1357" s="77" t="s">
        <v>5</v>
      </c>
      <c r="E1357" s="77" t="s">
        <v>105</v>
      </c>
      <c r="F1357" s="50" t="s">
        <v>456</v>
      </c>
      <c r="G1357" s="77">
        <v>5</v>
      </c>
      <c r="H1357" s="77" t="s">
        <v>18</v>
      </c>
      <c r="I1357" s="77" t="s">
        <v>23</v>
      </c>
      <c r="J1357" s="77">
        <v>0</v>
      </c>
      <c r="K1357" s="79">
        <f>AB1357/COUNTIFS($B:$B,$B1357,$C:$C,$C1357,$H:$H,$H1357,$I:$I,$I1357)</f>
        <v>0.11</v>
      </c>
      <c r="L1357" s="81">
        <f t="shared" si="82"/>
        <v>1</v>
      </c>
      <c r="M1357" s="83">
        <f t="shared" si="83"/>
        <v>0</v>
      </c>
      <c r="N1357" s="84"/>
      <c r="AA1357" s="146">
        <f>AB1357/COUNTIFS($B:$B,$B1357,$C:$C,$C1357,$H:$H,$H1357,$I:$I,$I1357)</f>
        <v>0.11</v>
      </c>
      <c r="AB1357" s="108">
        <f>VLOOKUP(I1357,'Weights and Confidence'!$D$16:$AC$26,9,FALSE)</f>
        <v>0.11</v>
      </c>
      <c r="AC1357" s="147">
        <f>VLOOKUP(I1357,'Weights and Confidence'!$D$16:$AC$26,10,FALSE)</f>
        <v>1</v>
      </c>
    </row>
    <row r="1358" spans="1:29" x14ac:dyDescent="0.2">
      <c r="A1358" s="76" t="s">
        <v>185</v>
      </c>
      <c r="B1358" s="76" t="s">
        <v>187</v>
      </c>
      <c r="C1358" s="76" t="s">
        <v>455</v>
      </c>
      <c r="D1358" s="76" t="s">
        <v>5</v>
      </c>
      <c r="E1358" s="76" t="s">
        <v>105</v>
      </c>
      <c r="F1358" s="51" t="s">
        <v>456</v>
      </c>
      <c r="G1358" s="76">
        <v>6</v>
      </c>
      <c r="H1358" s="76" t="s">
        <v>17</v>
      </c>
      <c r="I1358" s="76" t="s">
        <v>24</v>
      </c>
      <c r="J1358" s="76">
        <v>0</v>
      </c>
      <c r="K1358" s="78">
        <f>AB1358/COUNTIFS($B:$B,$B1358,$C:$C,$C1358,$H:$H,$H1358,$I:$I,$I1358)</f>
        <v>0.15</v>
      </c>
      <c r="L1358" s="80">
        <f t="shared" si="82"/>
        <v>1</v>
      </c>
      <c r="M1358" s="82">
        <f t="shared" si="83"/>
        <v>0</v>
      </c>
      <c r="N1358" s="59"/>
      <c r="AA1358" s="146">
        <f>AB1358/COUNTIFS($B:$B,$B1358,$C:$C,$C1358,$H:$H,$H1358,$I:$I,$I1358)</f>
        <v>0.15</v>
      </c>
      <c r="AB1358" s="108">
        <f>VLOOKUP(I1358,'Weights and Confidence'!$D$16:$AC$26,9,FALSE)</f>
        <v>0.15</v>
      </c>
      <c r="AC1358" s="147">
        <f>VLOOKUP(I1358,'Weights and Confidence'!$D$16:$AC$26,10,FALSE)</f>
        <v>1</v>
      </c>
    </row>
    <row r="1359" spans="1:29" x14ac:dyDescent="0.2">
      <c r="A1359" s="77" t="s">
        <v>185</v>
      </c>
      <c r="B1359" s="77" t="s">
        <v>187</v>
      </c>
      <c r="C1359" s="77" t="s">
        <v>455</v>
      </c>
      <c r="D1359" s="77" t="s">
        <v>5</v>
      </c>
      <c r="E1359" s="77" t="s">
        <v>105</v>
      </c>
      <c r="F1359" s="50" t="s">
        <v>456</v>
      </c>
      <c r="G1359" s="77">
        <v>6</v>
      </c>
      <c r="H1359" s="77" t="s">
        <v>18</v>
      </c>
      <c r="I1359" s="77" t="s">
        <v>24</v>
      </c>
      <c r="J1359" s="77">
        <v>0</v>
      </c>
      <c r="K1359" s="79">
        <f>AB1359/COUNTIFS($B:$B,$B1359,$C:$C,$C1359,$H:$H,$H1359,$I:$I,$I1359)</f>
        <v>0.15</v>
      </c>
      <c r="L1359" s="81">
        <f t="shared" si="82"/>
        <v>1</v>
      </c>
      <c r="M1359" s="83">
        <f t="shared" si="83"/>
        <v>0</v>
      </c>
      <c r="N1359" s="84"/>
      <c r="AA1359" s="146">
        <f>AB1359/COUNTIFS($B:$B,$B1359,$C:$C,$C1359,$H:$H,$H1359,$I:$I,$I1359)</f>
        <v>0.15</v>
      </c>
      <c r="AB1359" s="108">
        <f>VLOOKUP(I1359,'Weights and Confidence'!$D$16:$AC$26,9,FALSE)</f>
        <v>0.15</v>
      </c>
      <c r="AC1359" s="147">
        <f>VLOOKUP(I1359,'Weights and Confidence'!$D$16:$AC$26,10,FALSE)</f>
        <v>1</v>
      </c>
    </row>
    <row r="1360" spans="1:29" x14ac:dyDescent="0.2">
      <c r="A1360" s="76" t="s">
        <v>185</v>
      </c>
      <c r="B1360" s="76" t="s">
        <v>187</v>
      </c>
      <c r="C1360" s="76" t="s">
        <v>455</v>
      </c>
      <c r="D1360" s="76" t="s">
        <v>5</v>
      </c>
      <c r="E1360" s="76" t="s">
        <v>105</v>
      </c>
      <c r="F1360" s="51" t="s">
        <v>456</v>
      </c>
      <c r="G1360" s="76">
        <v>7</v>
      </c>
      <c r="H1360" s="76" t="s">
        <v>17</v>
      </c>
      <c r="I1360" s="76" t="s">
        <v>25</v>
      </c>
      <c r="J1360" s="76">
        <v>0</v>
      </c>
      <c r="K1360" s="78">
        <f>AB1360/COUNTIFS($B:$B,$B1360,$C:$C,$C1360,$H:$H,$H1360,$I:$I,$I1360)</f>
        <v>0.1</v>
      </c>
      <c r="L1360" s="80">
        <f t="shared" si="82"/>
        <v>1</v>
      </c>
      <c r="M1360" s="82">
        <f t="shared" si="83"/>
        <v>0</v>
      </c>
      <c r="N1360" s="59"/>
      <c r="AA1360" s="146">
        <f>AB1360/COUNTIFS($B:$B,$B1360,$C:$C,$C1360,$H:$H,$H1360,$I:$I,$I1360)</f>
        <v>0.1</v>
      </c>
      <c r="AB1360" s="108">
        <f>VLOOKUP(I1360,'Weights and Confidence'!$D$16:$AC$26,9,FALSE)</f>
        <v>0.1</v>
      </c>
      <c r="AC1360" s="147">
        <f>VLOOKUP(I1360,'Weights and Confidence'!$D$16:$AC$26,10,FALSE)</f>
        <v>1</v>
      </c>
    </row>
    <row r="1361" spans="1:29" x14ac:dyDescent="0.2">
      <c r="A1361" s="77" t="s">
        <v>185</v>
      </c>
      <c r="B1361" s="77" t="s">
        <v>187</v>
      </c>
      <c r="C1361" s="77" t="s">
        <v>455</v>
      </c>
      <c r="D1361" s="77" t="s">
        <v>5</v>
      </c>
      <c r="E1361" s="77" t="s">
        <v>105</v>
      </c>
      <c r="F1361" s="50" t="s">
        <v>456</v>
      </c>
      <c r="G1361" s="77">
        <v>7</v>
      </c>
      <c r="H1361" s="77" t="s">
        <v>18</v>
      </c>
      <c r="I1361" s="77" t="s">
        <v>25</v>
      </c>
      <c r="J1361" s="77">
        <v>0</v>
      </c>
      <c r="K1361" s="79">
        <f>AB1361/COUNTIFS($B:$B,$B1361,$C:$C,$C1361,$H:$H,$H1361,$I:$I,$I1361)</f>
        <v>0.1</v>
      </c>
      <c r="L1361" s="81">
        <f t="shared" si="82"/>
        <v>1</v>
      </c>
      <c r="M1361" s="83">
        <f t="shared" si="83"/>
        <v>0</v>
      </c>
      <c r="N1361" s="84"/>
      <c r="AA1361" s="146">
        <f>AB1361/COUNTIFS($B:$B,$B1361,$C:$C,$C1361,$H:$H,$H1361,$I:$I,$I1361)</f>
        <v>0.1</v>
      </c>
      <c r="AB1361" s="108">
        <f>VLOOKUP(I1361,'Weights and Confidence'!$D$16:$AC$26,9,FALSE)</f>
        <v>0.1</v>
      </c>
      <c r="AC1361" s="147">
        <f>VLOOKUP(I1361,'Weights and Confidence'!$D$16:$AC$26,10,FALSE)</f>
        <v>1</v>
      </c>
    </row>
    <row r="1362" spans="1:29" x14ac:dyDescent="0.2">
      <c r="A1362" s="76" t="s">
        <v>185</v>
      </c>
      <c r="B1362" s="76" t="s">
        <v>187</v>
      </c>
      <c r="C1362" s="76" t="s">
        <v>455</v>
      </c>
      <c r="D1362" s="76" t="s">
        <v>5</v>
      </c>
      <c r="E1362" s="76" t="s">
        <v>105</v>
      </c>
      <c r="F1362" s="51" t="s">
        <v>456</v>
      </c>
      <c r="G1362" s="76">
        <v>8</v>
      </c>
      <c r="H1362" s="76" t="s">
        <v>17</v>
      </c>
      <c r="I1362" s="76" t="s">
        <v>26</v>
      </c>
      <c r="J1362" s="76">
        <v>0</v>
      </c>
      <c r="K1362" s="78">
        <f>AB1362/COUNTIFS($B:$B,$B1362,$C:$C,$C1362,$H:$H,$H1362,$I:$I,$I1362)</f>
        <v>0.1</v>
      </c>
      <c r="L1362" s="80">
        <f t="shared" si="82"/>
        <v>1</v>
      </c>
      <c r="M1362" s="82">
        <f t="shared" si="83"/>
        <v>0</v>
      </c>
      <c r="N1362" s="59"/>
      <c r="AA1362" s="146">
        <f>AB1362/COUNTIFS($B:$B,$B1362,$C:$C,$C1362,$H:$H,$H1362,$I:$I,$I1362)</f>
        <v>0.1</v>
      </c>
      <c r="AB1362" s="108">
        <f>VLOOKUP(I1362,'Weights and Confidence'!$D$16:$AC$26,9,FALSE)</f>
        <v>0.1</v>
      </c>
      <c r="AC1362" s="147">
        <f>VLOOKUP(I1362,'Weights and Confidence'!$D$16:$AC$26,10,FALSE)</f>
        <v>1</v>
      </c>
    </row>
    <row r="1363" spans="1:29" x14ac:dyDescent="0.2">
      <c r="A1363" s="77" t="s">
        <v>185</v>
      </c>
      <c r="B1363" s="77" t="s">
        <v>187</v>
      </c>
      <c r="C1363" s="77" t="s">
        <v>455</v>
      </c>
      <c r="D1363" s="77" t="s">
        <v>5</v>
      </c>
      <c r="E1363" s="77" t="s">
        <v>105</v>
      </c>
      <c r="F1363" s="50" t="s">
        <v>456</v>
      </c>
      <c r="G1363" s="77">
        <v>8</v>
      </c>
      <c r="H1363" s="77" t="s">
        <v>18</v>
      </c>
      <c r="I1363" s="77" t="s">
        <v>26</v>
      </c>
      <c r="J1363" s="77">
        <v>0</v>
      </c>
      <c r="K1363" s="79">
        <f>AB1363/COUNTIFS($B:$B,$B1363,$C:$C,$C1363,$H:$H,$H1363,$I:$I,$I1363)</f>
        <v>0.1</v>
      </c>
      <c r="L1363" s="81">
        <f t="shared" si="82"/>
        <v>1</v>
      </c>
      <c r="M1363" s="83">
        <f t="shared" si="83"/>
        <v>0</v>
      </c>
      <c r="N1363" s="58"/>
      <c r="AA1363" s="146">
        <f>AB1363/COUNTIFS($B:$B,$B1363,$C:$C,$C1363,$H:$H,$H1363,$I:$I,$I1363)</f>
        <v>0.1</v>
      </c>
      <c r="AB1363" s="108">
        <f>VLOOKUP(I1363,'Weights and Confidence'!$D$16:$AC$26,9,FALSE)</f>
        <v>0.1</v>
      </c>
      <c r="AC1363" s="147">
        <f>VLOOKUP(I1363,'Weights and Confidence'!$D$16:$AC$26,10,FALSE)</f>
        <v>1</v>
      </c>
    </row>
    <row r="1364" spans="1:29" x14ac:dyDescent="0.2">
      <c r="A1364" s="76" t="s">
        <v>185</v>
      </c>
      <c r="B1364" s="76" t="s">
        <v>187</v>
      </c>
      <c r="C1364" s="76" t="s">
        <v>455</v>
      </c>
      <c r="D1364" s="76" t="s">
        <v>5</v>
      </c>
      <c r="E1364" s="76" t="s">
        <v>105</v>
      </c>
      <c r="F1364" s="51" t="s">
        <v>456</v>
      </c>
      <c r="G1364" s="76">
        <v>9</v>
      </c>
      <c r="H1364" s="76" t="s">
        <v>17</v>
      </c>
      <c r="I1364" s="76" t="s">
        <v>27</v>
      </c>
      <c r="J1364" s="76"/>
      <c r="K1364" s="78">
        <f>AB1364/COUNTIFS($B:$B,$B1364,$C:$C,$C1364,$H:$H,$H1364,$I:$I,$I1364)</f>
        <v>0.05</v>
      </c>
      <c r="L1364" s="80">
        <f t="shared" si="82"/>
        <v>0.85</v>
      </c>
      <c r="M1364" s="82">
        <f t="shared" si="83"/>
        <v>0</v>
      </c>
      <c r="N1364" s="59"/>
      <c r="AA1364" s="146">
        <f>AB1364/COUNTIFS($B:$B,$B1364,$C:$C,$C1364,$H:$H,$H1364,$I:$I,$I1364)</f>
        <v>0.05</v>
      </c>
      <c r="AB1364" s="108">
        <f>VLOOKUP(I1364,'Weights and Confidence'!$D$16:$AC$26,9,FALSE)</f>
        <v>0.1</v>
      </c>
      <c r="AC1364" s="147">
        <f>VLOOKUP(I1364,'Weights and Confidence'!$D$16:$AC$26,10,FALSE)</f>
        <v>0.85</v>
      </c>
    </row>
    <row r="1365" spans="1:29" x14ac:dyDescent="0.2">
      <c r="A1365" s="77" t="s">
        <v>185</v>
      </c>
      <c r="B1365" s="77" t="s">
        <v>187</v>
      </c>
      <c r="C1365" s="77" t="s">
        <v>455</v>
      </c>
      <c r="D1365" s="77" t="s">
        <v>5</v>
      </c>
      <c r="E1365" s="77" t="s">
        <v>105</v>
      </c>
      <c r="F1365" s="50" t="s">
        <v>456</v>
      </c>
      <c r="G1365" s="77">
        <v>9</v>
      </c>
      <c r="H1365" s="77" t="s">
        <v>18</v>
      </c>
      <c r="I1365" s="77" t="s">
        <v>27</v>
      </c>
      <c r="J1365" s="77"/>
      <c r="K1365" s="79">
        <f>AB1365/COUNTIFS($B:$B,$B1365,$C:$C,$C1365,$H:$H,$H1365,$I:$I,$I1365)</f>
        <v>0.05</v>
      </c>
      <c r="L1365" s="81">
        <f t="shared" si="82"/>
        <v>0.85</v>
      </c>
      <c r="M1365" s="83">
        <f t="shared" si="83"/>
        <v>0</v>
      </c>
      <c r="N1365" s="58"/>
      <c r="AA1365" s="146">
        <f>AB1365/COUNTIFS($B:$B,$B1365,$C:$C,$C1365,$H:$H,$H1365,$I:$I,$I1365)</f>
        <v>0.05</v>
      </c>
      <c r="AB1365" s="108">
        <f>VLOOKUP(I1365,'Weights and Confidence'!$D$16:$AC$26,9,FALSE)</f>
        <v>0.1</v>
      </c>
      <c r="AC1365" s="147">
        <f>VLOOKUP(I1365,'Weights and Confidence'!$D$16:$AC$26,10,FALSE)</f>
        <v>0.85</v>
      </c>
    </row>
    <row r="1366" spans="1:29" x14ac:dyDescent="0.2">
      <c r="A1366" s="76" t="s">
        <v>185</v>
      </c>
      <c r="B1366" s="76" t="s">
        <v>187</v>
      </c>
      <c r="C1366" s="76" t="s">
        <v>455</v>
      </c>
      <c r="D1366" s="76" t="s">
        <v>5</v>
      </c>
      <c r="E1366" s="76" t="s">
        <v>105</v>
      </c>
      <c r="F1366" s="51" t="s">
        <v>456</v>
      </c>
      <c r="G1366" s="76">
        <v>10</v>
      </c>
      <c r="H1366" s="76" t="s">
        <v>17</v>
      </c>
      <c r="I1366" s="76" t="s">
        <v>27</v>
      </c>
      <c r="J1366" s="76"/>
      <c r="K1366" s="78">
        <f>AB1366/COUNTIFS($B:$B,$B1366,$C:$C,$C1366,$H:$H,$H1366,$I:$I,$I1366)</f>
        <v>0.05</v>
      </c>
      <c r="L1366" s="80">
        <f t="shared" si="82"/>
        <v>0.85</v>
      </c>
      <c r="M1366" s="82">
        <f t="shared" si="83"/>
        <v>0</v>
      </c>
      <c r="N1366" s="59"/>
      <c r="AA1366" s="146">
        <f>AB1366/COUNTIFS($B:$B,$B1366,$C:$C,$C1366,$H:$H,$H1366,$I:$I,$I1366)</f>
        <v>0.05</v>
      </c>
      <c r="AB1366" s="108">
        <f>VLOOKUP(I1366,'Weights and Confidence'!$D$16:$AC$26,9,FALSE)</f>
        <v>0.1</v>
      </c>
      <c r="AC1366" s="147">
        <f>VLOOKUP(I1366,'Weights and Confidence'!$D$16:$AC$26,10,FALSE)</f>
        <v>0.85</v>
      </c>
    </row>
    <row r="1367" spans="1:29" x14ac:dyDescent="0.2">
      <c r="A1367" s="77" t="s">
        <v>185</v>
      </c>
      <c r="B1367" s="77" t="s">
        <v>187</v>
      </c>
      <c r="C1367" s="77" t="s">
        <v>455</v>
      </c>
      <c r="D1367" s="77" t="s">
        <v>5</v>
      </c>
      <c r="E1367" s="77" t="s">
        <v>105</v>
      </c>
      <c r="F1367" s="50" t="s">
        <v>456</v>
      </c>
      <c r="G1367" s="77">
        <v>10</v>
      </c>
      <c r="H1367" s="77" t="s">
        <v>18</v>
      </c>
      <c r="I1367" s="77" t="s">
        <v>27</v>
      </c>
      <c r="J1367" s="77"/>
      <c r="K1367" s="79">
        <f>AB1367/COUNTIFS($B:$B,$B1367,$C:$C,$C1367,$H:$H,$H1367,$I:$I,$I1367)</f>
        <v>0.05</v>
      </c>
      <c r="L1367" s="81">
        <f t="shared" si="82"/>
        <v>0.85</v>
      </c>
      <c r="M1367" s="83">
        <f t="shared" si="83"/>
        <v>0</v>
      </c>
      <c r="N1367" s="58"/>
      <c r="AA1367" s="146">
        <f>AB1367/COUNTIFS($B:$B,$B1367,$C:$C,$C1367,$H:$H,$H1367,$I:$I,$I1367)</f>
        <v>0.05</v>
      </c>
      <c r="AB1367" s="108">
        <f>VLOOKUP(I1367,'Weights and Confidence'!$D$16:$AC$26,9,FALSE)</f>
        <v>0.1</v>
      </c>
      <c r="AC1367" s="147">
        <f>VLOOKUP(I1367,'Weights and Confidence'!$D$16:$AC$26,10,FALSE)</f>
        <v>0.85</v>
      </c>
    </row>
    <row r="1368" spans="1:29" x14ac:dyDescent="0.2">
      <c r="A1368" s="76" t="s">
        <v>185</v>
      </c>
      <c r="B1368" s="76" t="s">
        <v>187</v>
      </c>
      <c r="C1368" s="76" t="s">
        <v>455</v>
      </c>
      <c r="D1368" s="76" t="s">
        <v>5</v>
      </c>
      <c r="E1368" s="76" t="s">
        <v>105</v>
      </c>
      <c r="F1368" s="51" t="s">
        <v>456</v>
      </c>
      <c r="G1368" s="76">
        <v>11</v>
      </c>
      <c r="H1368" s="76" t="s">
        <v>17</v>
      </c>
      <c r="I1368" s="76" t="s">
        <v>28</v>
      </c>
      <c r="J1368" s="76">
        <v>0</v>
      </c>
      <c r="K1368" s="78">
        <f>AB1368/COUNTIFS($B:$B,$B1368,$C:$C,$C1368,$H:$H,$H1368,$I:$I,$I1368)</f>
        <v>0.05</v>
      </c>
      <c r="L1368" s="80">
        <f t="shared" si="82"/>
        <v>1</v>
      </c>
      <c r="M1368" s="82">
        <f t="shared" si="83"/>
        <v>0</v>
      </c>
      <c r="N1368" s="59"/>
      <c r="AA1368" s="146">
        <f>AB1368/COUNTIFS($B:$B,$B1368,$C:$C,$C1368,$H:$H,$H1368,$I:$I,$I1368)</f>
        <v>0.05</v>
      </c>
      <c r="AB1368" s="108">
        <f>VLOOKUP(I1368,'Weights and Confidence'!$D$16:$AC$26,9,FALSE)</f>
        <v>0.05</v>
      </c>
      <c r="AC1368" s="147">
        <f>VLOOKUP(I1368,'Weights and Confidence'!$D$16:$AC$26,10,FALSE)</f>
        <v>1</v>
      </c>
    </row>
    <row r="1369" spans="1:29" ht="17" thickBot="1" x14ac:dyDescent="0.25">
      <c r="A1369" s="98" t="s">
        <v>185</v>
      </c>
      <c r="B1369" s="98" t="s">
        <v>187</v>
      </c>
      <c r="C1369" s="98" t="s">
        <v>455</v>
      </c>
      <c r="D1369" s="98" t="s">
        <v>5</v>
      </c>
      <c r="E1369" s="98" t="s">
        <v>105</v>
      </c>
      <c r="F1369" s="54" t="s">
        <v>456</v>
      </c>
      <c r="G1369" s="98">
        <v>11</v>
      </c>
      <c r="H1369" s="98" t="s">
        <v>18</v>
      </c>
      <c r="I1369" s="98" t="s">
        <v>28</v>
      </c>
      <c r="J1369" s="98">
        <v>-1</v>
      </c>
      <c r="K1369" s="99">
        <f>AB1369/COUNTIFS($B:$B,$B1369,$C:$C,$C1369,$H:$H,$H1369,$I:$I,$I1369)</f>
        <v>0.05</v>
      </c>
      <c r="L1369" s="100">
        <f t="shared" si="82"/>
        <v>1</v>
      </c>
      <c r="M1369" s="101">
        <f t="shared" si="83"/>
        <v>-0.05</v>
      </c>
      <c r="N1369" s="22"/>
      <c r="AA1369" s="140">
        <f>AB1369/COUNTIFS($B:$B,$B1369,$C:$C,$C1369,$H:$H,$H1369,$I:$I,$I1369)</f>
        <v>0.05</v>
      </c>
      <c r="AB1369" s="141">
        <f>VLOOKUP(I1369,'Weights and Confidence'!$D$16:$AC$26,9,FALSE)</f>
        <v>0.05</v>
      </c>
      <c r="AC1369" s="142">
        <f>VLOOKUP(I1369,'Weights and Confidence'!$D$16:$AC$26,10,FALSE)</f>
        <v>1</v>
      </c>
    </row>
    <row r="1370" spans="1:29" ht="17" thickTop="1" x14ac:dyDescent="0.2">
      <c r="A1370" s="86" t="s">
        <v>185</v>
      </c>
      <c r="B1370" s="86" t="s">
        <v>187</v>
      </c>
      <c r="C1370" s="86" t="s">
        <v>464</v>
      </c>
      <c r="D1370" s="129" t="s">
        <v>5</v>
      </c>
      <c r="E1370" s="86" t="s">
        <v>465</v>
      </c>
      <c r="F1370" s="91" t="s">
        <v>466</v>
      </c>
      <c r="G1370" s="86">
        <v>1</v>
      </c>
      <c r="H1370" s="86" t="s">
        <v>17</v>
      </c>
      <c r="I1370" s="86" t="s">
        <v>19</v>
      </c>
      <c r="J1370" s="97">
        <v>1</v>
      </c>
      <c r="K1370" s="87">
        <f>AB1370/COUNTIFS($B:$B,$B1370,$C:$C,$C1370,$H:$H,$H1370,$I:$I,$I1370)</f>
        <v>0.12</v>
      </c>
      <c r="L1370" s="88">
        <f t="shared" si="82"/>
        <v>1</v>
      </c>
      <c r="M1370" s="89">
        <f t="shared" si="83"/>
        <v>0.12</v>
      </c>
      <c r="N1370" s="90"/>
      <c r="P1370" s="24" t="s">
        <v>467</v>
      </c>
      <c r="Q1370" s="10"/>
      <c r="R1370" s="10"/>
      <c r="S1370" s="10"/>
      <c r="T1370" s="10"/>
      <c r="U1370" s="10"/>
      <c r="V1370" s="10"/>
      <c r="AA1370" s="146">
        <f>AB1370/COUNTIFS($B:$B,$B1370,$C:$C,$C1370,$H:$H,$H1370,$I:$I,$I1370)</f>
        <v>0.12</v>
      </c>
      <c r="AB1370" s="108">
        <f>VLOOKUP(I1370,'Weights and Confidence'!$D$16:$AC$26,9,FALSE)</f>
        <v>0.12</v>
      </c>
      <c r="AC1370" s="147">
        <f>VLOOKUP(I1370,'Weights and Confidence'!$D$16:$AC$26,10,FALSE)</f>
        <v>1</v>
      </c>
    </row>
    <row r="1371" spans="1:29" x14ac:dyDescent="0.2">
      <c r="A1371" s="77" t="s">
        <v>185</v>
      </c>
      <c r="B1371" s="77" t="s">
        <v>187</v>
      </c>
      <c r="C1371" s="77" t="s">
        <v>464</v>
      </c>
      <c r="D1371" s="77" t="s">
        <v>5</v>
      </c>
      <c r="E1371" s="77" t="s">
        <v>465</v>
      </c>
      <c r="F1371" s="50" t="s">
        <v>466</v>
      </c>
      <c r="G1371" s="77">
        <v>1</v>
      </c>
      <c r="H1371" s="77" t="s">
        <v>18</v>
      </c>
      <c r="I1371" s="77" t="s">
        <v>19</v>
      </c>
      <c r="J1371" s="77">
        <v>1</v>
      </c>
      <c r="K1371" s="79">
        <f>AB1371/COUNTIFS($B:$B,$B1371,$C:$C,$C1371,$H:$H,$H1371,$I:$I,$I1371)</f>
        <v>0.12</v>
      </c>
      <c r="L1371" s="81">
        <f t="shared" si="82"/>
        <v>1</v>
      </c>
      <c r="M1371" s="83">
        <f>J1370*K1371*L1371</f>
        <v>0.12</v>
      </c>
      <c r="N1371" s="84"/>
      <c r="P1371" s="25" t="s">
        <v>468</v>
      </c>
      <c r="Q1371" s="75"/>
      <c r="R1371" s="75"/>
      <c r="S1371" s="75"/>
      <c r="T1371" s="75"/>
      <c r="U1371" s="75"/>
      <c r="V1371" s="75"/>
      <c r="AA1371" s="146">
        <f>AB1371/COUNTIFS($B:$B,$B1371,$C:$C,$C1371,$H:$H,$H1371,$I:$I,$I1371)</f>
        <v>0.12</v>
      </c>
      <c r="AB1371" s="108">
        <f>VLOOKUP(I1371,'Weights and Confidence'!$D$16:$AC$26,9,FALSE)</f>
        <v>0.12</v>
      </c>
      <c r="AC1371" s="147">
        <f>VLOOKUP(I1371,'Weights and Confidence'!$D$16:$AC$26,10,FALSE)</f>
        <v>1</v>
      </c>
    </row>
    <row r="1372" spans="1:29" x14ac:dyDescent="0.2">
      <c r="A1372" s="76" t="s">
        <v>185</v>
      </c>
      <c r="B1372" s="76" t="s">
        <v>187</v>
      </c>
      <c r="C1372" s="76" t="s">
        <v>464</v>
      </c>
      <c r="D1372" s="76" t="s">
        <v>5</v>
      </c>
      <c r="E1372" s="76" t="s">
        <v>465</v>
      </c>
      <c r="F1372" s="51" t="s">
        <v>466</v>
      </c>
      <c r="G1372" s="76">
        <v>2</v>
      </c>
      <c r="H1372" s="76" t="s">
        <v>17</v>
      </c>
      <c r="I1372" s="76" t="s">
        <v>20</v>
      </c>
      <c r="J1372" s="76">
        <v>1</v>
      </c>
      <c r="K1372" s="78">
        <f>AB1372/COUNTIFS($B:$B,$B1372,$C:$C,$C1372,$H:$H,$H1372,$I:$I,$I1372)</f>
        <v>0.08</v>
      </c>
      <c r="L1372" s="80">
        <f t="shared" si="82"/>
        <v>0.8</v>
      </c>
      <c r="M1372" s="82">
        <f t="shared" ref="M1372:M1392" si="84">J1372*K1372*L1372</f>
        <v>6.4000000000000001E-2</v>
      </c>
      <c r="N1372" s="59"/>
      <c r="P1372" s="25" t="s">
        <v>469</v>
      </c>
      <c r="Q1372" s="75"/>
      <c r="R1372" s="75"/>
      <c r="S1372" s="75"/>
      <c r="T1372" s="75"/>
      <c r="U1372" s="75"/>
      <c r="V1372" s="75"/>
      <c r="AA1372" s="146">
        <f>AB1372/COUNTIFS($B:$B,$B1372,$C:$C,$C1372,$H:$H,$H1372,$I:$I,$I1372)</f>
        <v>0.08</v>
      </c>
      <c r="AB1372" s="108">
        <f>VLOOKUP(I1372,'Weights and Confidence'!$D$16:$AC$26,9,FALSE)</f>
        <v>0.08</v>
      </c>
      <c r="AC1372" s="147">
        <f>VLOOKUP(I1372,'Weights and Confidence'!$D$16:$AC$26,10,FALSE)</f>
        <v>0.8</v>
      </c>
    </row>
    <row r="1373" spans="1:29" x14ac:dyDescent="0.2">
      <c r="A1373" s="77" t="s">
        <v>185</v>
      </c>
      <c r="B1373" s="77" t="s">
        <v>187</v>
      </c>
      <c r="C1373" s="77" t="s">
        <v>464</v>
      </c>
      <c r="D1373" s="77" t="s">
        <v>5</v>
      </c>
      <c r="E1373" s="77" t="s">
        <v>465</v>
      </c>
      <c r="F1373" s="50" t="s">
        <v>466</v>
      </c>
      <c r="G1373" s="77">
        <v>2</v>
      </c>
      <c r="H1373" s="77" t="s">
        <v>18</v>
      </c>
      <c r="I1373" s="77" t="s">
        <v>20</v>
      </c>
      <c r="J1373" s="77">
        <v>1</v>
      </c>
      <c r="K1373" s="79">
        <f>AB1373/COUNTIFS($B:$B,$B1373,$C:$C,$C1373,$H:$H,$H1373,$I:$I,$I1373)</f>
        <v>0.08</v>
      </c>
      <c r="L1373" s="81">
        <f t="shared" si="82"/>
        <v>0.8</v>
      </c>
      <c r="M1373" s="83">
        <f t="shared" si="84"/>
        <v>6.4000000000000001E-2</v>
      </c>
      <c r="N1373" s="58"/>
      <c r="P1373" s="25" t="s">
        <v>470</v>
      </c>
      <c r="Q1373" s="75"/>
      <c r="R1373" s="75"/>
      <c r="S1373" s="75"/>
      <c r="T1373" s="75"/>
      <c r="U1373" s="75"/>
      <c r="V1373" s="75"/>
      <c r="AA1373" s="146">
        <f>AB1373/COUNTIFS($B:$B,$B1373,$C:$C,$C1373,$H:$H,$H1373,$I:$I,$I1373)</f>
        <v>0.08</v>
      </c>
      <c r="AB1373" s="108">
        <f>VLOOKUP(I1373,'Weights and Confidence'!$D$16:$AC$26,9,FALSE)</f>
        <v>0.08</v>
      </c>
      <c r="AC1373" s="147">
        <f>VLOOKUP(I1373,'Weights and Confidence'!$D$16:$AC$26,10,FALSE)</f>
        <v>0.8</v>
      </c>
    </row>
    <row r="1374" spans="1:29" x14ac:dyDescent="0.2">
      <c r="A1374" s="76" t="s">
        <v>185</v>
      </c>
      <c r="B1374" s="76" t="s">
        <v>187</v>
      </c>
      <c r="C1374" s="76" t="s">
        <v>464</v>
      </c>
      <c r="D1374" s="76" t="s">
        <v>5</v>
      </c>
      <c r="E1374" s="76" t="s">
        <v>465</v>
      </c>
      <c r="F1374" s="51" t="s">
        <v>466</v>
      </c>
      <c r="G1374" s="76">
        <v>3</v>
      </c>
      <c r="H1374" s="76" t="s">
        <v>17</v>
      </c>
      <c r="I1374" s="76" t="s">
        <v>21</v>
      </c>
      <c r="J1374" s="76">
        <v>1</v>
      </c>
      <c r="K1374" s="78">
        <f>AB1374/COUNTIFS($B:$B,$B1374,$C:$C,$C1374,$H:$H,$H1374,$I:$I,$I1374)</f>
        <v>0.05</v>
      </c>
      <c r="L1374" s="80">
        <f t="shared" si="82"/>
        <v>1</v>
      </c>
      <c r="M1374" s="82">
        <f t="shared" si="84"/>
        <v>0.05</v>
      </c>
      <c r="N1374" s="59"/>
      <c r="P1374" s="25" t="s">
        <v>471</v>
      </c>
      <c r="Q1374" s="75"/>
      <c r="R1374" s="75"/>
      <c r="S1374" s="75"/>
      <c r="T1374" s="75"/>
      <c r="U1374" s="75"/>
      <c r="V1374" s="75"/>
      <c r="AA1374" s="146">
        <f>AB1374/COUNTIFS($B:$B,$B1374,$C:$C,$C1374,$H:$H,$H1374,$I:$I,$I1374)</f>
        <v>0.05</v>
      </c>
      <c r="AB1374" s="108">
        <f>VLOOKUP(I1374,'Weights and Confidence'!$D$16:$AC$26,9,FALSE)</f>
        <v>0.05</v>
      </c>
      <c r="AC1374" s="147">
        <f>VLOOKUP(I1374,'Weights and Confidence'!$D$16:$AC$26,10,FALSE)</f>
        <v>1</v>
      </c>
    </row>
    <row r="1375" spans="1:29" x14ac:dyDescent="0.2">
      <c r="A1375" s="77" t="s">
        <v>185</v>
      </c>
      <c r="B1375" s="77" t="s">
        <v>187</v>
      </c>
      <c r="C1375" s="77" t="s">
        <v>464</v>
      </c>
      <c r="D1375" s="77" t="s">
        <v>5</v>
      </c>
      <c r="E1375" s="77" t="s">
        <v>465</v>
      </c>
      <c r="F1375" s="50" t="s">
        <v>466</v>
      </c>
      <c r="G1375" s="77">
        <v>3</v>
      </c>
      <c r="H1375" s="77" t="s">
        <v>18</v>
      </c>
      <c r="I1375" s="77" t="s">
        <v>21</v>
      </c>
      <c r="J1375" s="77">
        <v>1</v>
      </c>
      <c r="K1375" s="79">
        <f>AB1375/COUNTIFS($B:$B,$B1375,$C:$C,$C1375,$H:$H,$H1375,$I:$I,$I1375)</f>
        <v>0.05</v>
      </c>
      <c r="L1375" s="81">
        <f t="shared" si="82"/>
        <v>1</v>
      </c>
      <c r="M1375" s="83">
        <f t="shared" si="84"/>
        <v>0.05</v>
      </c>
      <c r="N1375" s="84"/>
      <c r="P1375" s="25" t="s">
        <v>472</v>
      </c>
      <c r="Q1375" s="75"/>
      <c r="R1375" s="75"/>
      <c r="S1375" s="75"/>
      <c r="T1375" s="75"/>
      <c r="U1375" s="75"/>
      <c r="V1375" s="75"/>
      <c r="AA1375" s="146">
        <f>AB1375/COUNTIFS($B:$B,$B1375,$C:$C,$C1375,$H:$H,$H1375,$I:$I,$I1375)</f>
        <v>0.05</v>
      </c>
      <c r="AB1375" s="108">
        <f>VLOOKUP(I1375,'Weights and Confidence'!$D$16:$AC$26,9,FALSE)</f>
        <v>0.05</v>
      </c>
      <c r="AC1375" s="147">
        <f>VLOOKUP(I1375,'Weights and Confidence'!$D$16:$AC$26,10,FALSE)</f>
        <v>1</v>
      </c>
    </row>
    <row r="1376" spans="1:29" x14ac:dyDescent="0.2">
      <c r="A1376" s="76" t="s">
        <v>185</v>
      </c>
      <c r="B1376" s="76" t="s">
        <v>187</v>
      </c>
      <c r="C1376" s="76" t="s">
        <v>464</v>
      </c>
      <c r="D1376" s="76" t="s">
        <v>5</v>
      </c>
      <c r="E1376" s="76" t="s">
        <v>465</v>
      </c>
      <c r="F1376" s="51" t="s">
        <v>466</v>
      </c>
      <c r="G1376" s="76">
        <v>4</v>
      </c>
      <c r="H1376" s="76" t="s">
        <v>17</v>
      </c>
      <c r="I1376" s="76" t="s">
        <v>22</v>
      </c>
      <c r="J1376" s="76">
        <v>0</v>
      </c>
      <c r="K1376" s="78">
        <f>AB1376/COUNTIFS($B:$B,$B1376,$C:$C,$C1376,$H:$H,$H1376,$I:$I,$I1376)</f>
        <v>0.14000000000000001</v>
      </c>
      <c r="L1376" s="80">
        <f t="shared" si="82"/>
        <v>1</v>
      </c>
      <c r="M1376" s="82">
        <f t="shared" si="84"/>
        <v>0</v>
      </c>
      <c r="N1376" s="59"/>
      <c r="P1376" s="25" t="s">
        <v>473</v>
      </c>
      <c r="Q1376" s="75"/>
      <c r="R1376" s="75"/>
      <c r="S1376" s="75"/>
      <c r="T1376" s="75"/>
      <c r="U1376" s="75"/>
      <c r="V1376" s="75"/>
      <c r="AA1376" s="146">
        <f>AB1376/COUNTIFS($B:$B,$B1376,$C:$C,$C1376,$H:$H,$H1376,$I:$I,$I1376)</f>
        <v>0.14000000000000001</v>
      </c>
      <c r="AB1376" s="108">
        <f>VLOOKUP(I1376,'Weights and Confidence'!$D$16:$AC$26,9,FALSE)</f>
        <v>0.14000000000000001</v>
      </c>
      <c r="AC1376" s="147">
        <f>VLOOKUP(I1376,'Weights and Confidence'!$D$16:$AC$26,10,FALSE)</f>
        <v>1</v>
      </c>
    </row>
    <row r="1377" spans="1:29" x14ac:dyDescent="0.2">
      <c r="A1377" s="77" t="s">
        <v>185</v>
      </c>
      <c r="B1377" s="77" t="s">
        <v>187</v>
      </c>
      <c r="C1377" s="77" t="s">
        <v>464</v>
      </c>
      <c r="D1377" s="77" t="s">
        <v>5</v>
      </c>
      <c r="E1377" s="77" t="s">
        <v>465</v>
      </c>
      <c r="F1377" s="50" t="s">
        <v>466</v>
      </c>
      <c r="G1377" s="77">
        <v>4</v>
      </c>
      <c r="H1377" s="77" t="s">
        <v>18</v>
      </c>
      <c r="I1377" s="77" t="s">
        <v>22</v>
      </c>
      <c r="J1377" s="77">
        <v>1</v>
      </c>
      <c r="K1377" s="79">
        <f>AB1377/COUNTIFS($B:$B,$B1377,$C:$C,$C1377,$H:$H,$H1377,$I:$I,$I1377)</f>
        <v>0.14000000000000001</v>
      </c>
      <c r="L1377" s="81">
        <f t="shared" si="82"/>
        <v>1</v>
      </c>
      <c r="M1377" s="83">
        <f t="shared" si="84"/>
        <v>0.14000000000000001</v>
      </c>
      <c r="N1377" s="84"/>
      <c r="P1377" s="25" t="s">
        <v>474</v>
      </c>
      <c r="Q1377" s="75"/>
      <c r="R1377" s="75"/>
      <c r="S1377" s="75"/>
      <c r="T1377" s="75"/>
      <c r="U1377" s="75"/>
      <c r="V1377" s="75"/>
      <c r="AA1377" s="146">
        <f>AB1377/COUNTIFS($B:$B,$B1377,$C:$C,$C1377,$H:$H,$H1377,$I:$I,$I1377)</f>
        <v>0.14000000000000001</v>
      </c>
      <c r="AB1377" s="108">
        <f>VLOOKUP(I1377,'Weights and Confidence'!$D$16:$AC$26,9,FALSE)</f>
        <v>0.14000000000000001</v>
      </c>
      <c r="AC1377" s="147">
        <f>VLOOKUP(I1377,'Weights and Confidence'!$D$16:$AC$26,10,FALSE)</f>
        <v>1</v>
      </c>
    </row>
    <row r="1378" spans="1:29" x14ac:dyDescent="0.2">
      <c r="A1378" s="76" t="s">
        <v>185</v>
      </c>
      <c r="B1378" s="76" t="s">
        <v>187</v>
      </c>
      <c r="C1378" s="76" t="s">
        <v>464</v>
      </c>
      <c r="D1378" s="76" t="s">
        <v>5</v>
      </c>
      <c r="E1378" s="76" t="s">
        <v>465</v>
      </c>
      <c r="F1378" s="51" t="s">
        <v>466</v>
      </c>
      <c r="G1378" s="76">
        <v>5</v>
      </c>
      <c r="H1378" s="76" t="s">
        <v>17</v>
      </c>
      <c r="I1378" s="76" t="s">
        <v>23</v>
      </c>
      <c r="J1378" s="76">
        <v>0</v>
      </c>
      <c r="K1378" s="78">
        <f>AB1378/COUNTIFS($B:$B,$B1378,$C:$C,$C1378,$H:$H,$H1378,$I:$I,$I1378)</f>
        <v>0.11</v>
      </c>
      <c r="L1378" s="80">
        <f t="shared" si="82"/>
        <v>1</v>
      </c>
      <c r="M1378" s="82">
        <f t="shared" si="84"/>
        <v>0</v>
      </c>
      <c r="N1378" s="59"/>
      <c r="P1378" s="25" t="s">
        <v>475</v>
      </c>
      <c r="Q1378" s="75"/>
      <c r="R1378" s="75"/>
      <c r="S1378" s="75"/>
      <c r="T1378" s="75"/>
      <c r="U1378" s="75"/>
      <c r="V1378" s="75"/>
      <c r="AA1378" s="146">
        <f>AB1378/COUNTIFS($B:$B,$B1378,$C:$C,$C1378,$H:$H,$H1378,$I:$I,$I1378)</f>
        <v>0.11</v>
      </c>
      <c r="AB1378" s="108">
        <f>VLOOKUP(I1378,'Weights and Confidence'!$D$16:$AC$26,9,FALSE)</f>
        <v>0.11</v>
      </c>
      <c r="AC1378" s="147">
        <f>VLOOKUP(I1378,'Weights and Confidence'!$D$16:$AC$26,10,FALSE)</f>
        <v>1</v>
      </c>
    </row>
    <row r="1379" spans="1:29" x14ac:dyDescent="0.2">
      <c r="A1379" s="77" t="s">
        <v>185</v>
      </c>
      <c r="B1379" s="77" t="s">
        <v>187</v>
      </c>
      <c r="C1379" s="77" t="s">
        <v>464</v>
      </c>
      <c r="D1379" s="77" t="s">
        <v>5</v>
      </c>
      <c r="E1379" s="77" t="s">
        <v>465</v>
      </c>
      <c r="F1379" s="50" t="s">
        <v>466</v>
      </c>
      <c r="G1379" s="77">
        <v>5</v>
      </c>
      <c r="H1379" s="77" t="s">
        <v>18</v>
      </c>
      <c r="I1379" s="77" t="s">
        <v>23</v>
      </c>
      <c r="J1379" s="77">
        <v>1</v>
      </c>
      <c r="K1379" s="79">
        <f>AB1379/COUNTIFS($B:$B,$B1379,$C:$C,$C1379,$H:$H,$H1379,$I:$I,$I1379)</f>
        <v>0.11</v>
      </c>
      <c r="L1379" s="81">
        <f t="shared" si="82"/>
        <v>1</v>
      </c>
      <c r="M1379" s="83">
        <f t="shared" si="84"/>
        <v>0.11</v>
      </c>
      <c r="N1379" s="84"/>
      <c r="P1379" s="25" t="s">
        <v>476</v>
      </c>
      <c r="Q1379" s="75"/>
      <c r="R1379" s="75"/>
      <c r="S1379" s="75"/>
      <c r="T1379" s="75"/>
      <c r="U1379" s="75"/>
      <c r="V1379" s="75"/>
      <c r="AA1379" s="146">
        <f>AB1379/COUNTIFS($B:$B,$B1379,$C:$C,$C1379,$H:$H,$H1379,$I:$I,$I1379)</f>
        <v>0.11</v>
      </c>
      <c r="AB1379" s="108">
        <f>VLOOKUP(I1379,'Weights and Confidence'!$D$16:$AC$26,9,FALSE)</f>
        <v>0.11</v>
      </c>
      <c r="AC1379" s="147">
        <f>VLOOKUP(I1379,'Weights and Confidence'!$D$16:$AC$26,10,FALSE)</f>
        <v>1</v>
      </c>
    </row>
    <row r="1380" spans="1:29" x14ac:dyDescent="0.2">
      <c r="A1380" s="76" t="s">
        <v>185</v>
      </c>
      <c r="B1380" s="76" t="s">
        <v>187</v>
      </c>
      <c r="C1380" s="76" t="s">
        <v>464</v>
      </c>
      <c r="D1380" s="76" t="s">
        <v>5</v>
      </c>
      <c r="E1380" s="76" t="s">
        <v>465</v>
      </c>
      <c r="F1380" s="51" t="s">
        <v>466</v>
      </c>
      <c r="G1380" s="76">
        <v>6</v>
      </c>
      <c r="H1380" s="76" t="s">
        <v>17</v>
      </c>
      <c r="I1380" s="76" t="s">
        <v>24</v>
      </c>
      <c r="J1380" s="76">
        <v>1</v>
      </c>
      <c r="K1380" s="78">
        <f>AB1380/COUNTIFS($B:$B,$B1380,$C:$C,$C1380,$H:$H,$H1380,$I:$I,$I1380)</f>
        <v>0.15</v>
      </c>
      <c r="L1380" s="80">
        <f t="shared" si="82"/>
        <v>1</v>
      </c>
      <c r="M1380" s="82">
        <f t="shared" si="84"/>
        <v>0.15</v>
      </c>
      <c r="N1380" s="59"/>
      <c r="P1380" s="25" t="s">
        <v>477</v>
      </c>
      <c r="Q1380" s="75"/>
      <c r="R1380" s="75"/>
      <c r="S1380" s="75"/>
      <c r="T1380" s="75"/>
      <c r="U1380" s="75"/>
      <c r="V1380" s="75"/>
      <c r="AA1380" s="146">
        <f>AB1380/COUNTIFS($B:$B,$B1380,$C:$C,$C1380,$H:$H,$H1380,$I:$I,$I1380)</f>
        <v>0.15</v>
      </c>
      <c r="AB1380" s="108">
        <f>VLOOKUP(I1380,'Weights and Confidence'!$D$16:$AC$26,9,FALSE)</f>
        <v>0.15</v>
      </c>
      <c r="AC1380" s="147">
        <f>VLOOKUP(I1380,'Weights and Confidence'!$D$16:$AC$26,10,FALSE)</f>
        <v>1</v>
      </c>
    </row>
    <row r="1381" spans="1:29" x14ac:dyDescent="0.2">
      <c r="A1381" s="77" t="s">
        <v>185</v>
      </c>
      <c r="B1381" s="77" t="s">
        <v>187</v>
      </c>
      <c r="C1381" s="77" t="s">
        <v>464</v>
      </c>
      <c r="D1381" s="77" t="s">
        <v>5</v>
      </c>
      <c r="E1381" s="77" t="s">
        <v>465</v>
      </c>
      <c r="F1381" s="50" t="s">
        <v>466</v>
      </c>
      <c r="G1381" s="77">
        <v>6</v>
      </c>
      <c r="H1381" s="77" t="s">
        <v>18</v>
      </c>
      <c r="I1381" s="77" t="s">
        <v>24</v>
      </c>
      <c r="J1381" s="77">
        <v>1</v>
      </c>
      <c r="K1381" s="79">
        <f>AB1381/COUNTIFS($B:$B,$B1381,$C:$C,$C1381,$H:$H,$H1381,$I:$I,$I1381)</f>
        <v>0.15</v>
      </c>
      <c r="L1381" s="81">
        <f t="shared" si="82"/>
        <v>1</v>
      </c>
      <c r="M1381" s="83">
        <f t="shared" si="84"/>
        <v>0.15</v>
      </c>
      <c r="N1381" s="84"/>
      <c r="P1381" s="25" t="s">
        <v>478</v>
      </c>
      <c r="Q1381" s="75"/>
      <c r="R1381" s="75"/>
      <c r="S1381" s="75"/>
      <c r="T1381" s="75"/>
      <c r="U1381" s="75"/>
      <c r="V1381" s="75"/>
      <c r="AA1381" s="146">
        <f>AB1381/COUNTIFS($B:$B,$B1381,$C:$C,$C1381,$H:$H,$H1381,$I:$I,$I1381)</f>
        <v>0.15</v>
      </c>
      <c r="AB1381" s="108">
        <f>VLOOKUP(I1381,'Weights and Confidence'!$D$16:$AC$26,9,FALSE)</f>
        <v>0.15</v>
      </c>
      <c r="AC1381" s="147">
        <f>VLOOKUP(I1381,'Weights and Confidence'!$D$16:$AC$26,10,FALSE)</f>
        <v>1</v>
      </c>
    </row>
    <row r="1382" spans="1:29" x14ac:dyDescent="0.2">
      <c r="A1382" s="76" t="s">
        <v>185</v>
      </c>
      <c r="B1382" s="76" t="s">
        <v>187</v>
      </c>
      <c r="C1382" s="76" t="s">
        <v>464</v>
      </c>
      <c r="D1382" s="76" t="s">
        <v>5</v>
      </c>
      <c r="E1382" s="76" t="s">
        <v>465</v>
      </c>
      <c r="F1382" s="51" t="s">
        <v>466</v>
      </c>
      <c r="G1382" s="76">
        <v>7</v>
      </c>
      <c r="H1382" s="76" t="s">
        <v>17</v>
      </c>
      <c r="I1382" s="76" t="s">
        <v>25</v>
      </c>
      <c r="J1382" s="76">
        <v>1</v>
      </c>
      <c r="K1382" s="78">
        <f>AB1382/COUNTIFS($B:$B,$B1382,$C:$C,$C1382,$H:$H,$H1382,$I:$I,$I1382)</f>
        <v>0.1</v>
      </c>
      <c r="L1382" s="80">
        <f t="shared" si="82"/>
        <v>1</v>
      </c>
      <c r="M1382" s="82">
        <f t="shared" si="84"/>
        <v>0.1</v>
      </c>
      <c r="N1382" s="59"/>
      <c r="P1382" s="25" t="s">
        <v>479</v>
      </c>
      <c r="Q1382" s="75"/>
      <c r="R1382" s="75"/>
      <c r="S1382" s="75"/>
      <c r="T1382" s="75"/>
      <c r="U1382" s="75"/>
      <c r="V1382" s="75"/>
      <c r="AA1382" s="146">
        <f>AB1382/COUNTIFS($B:$B,$B1382,$C:$C,$C1382,$H:$H,$H1382,$I:$I,$I1382)</f>
        <v>0.1</v>
      </c>
      <c r="AB1382" s="108">
        <f>VLOOKUP(I1382,'Weights and Confidence'!$D$16:$AC$26,9,FALSE)</f>
        <v>0.1</v>
      </c>
      <c r="AC1382" s="147">
        <f>VLOOKUP(I1382,'Weights and Confidence'!$D$16:$AC$26,10,FALSE)</f>
        <v>1</v>
      </c>
    </row>
    <row r="1383" spans="1:29" x14ac:dyDescent="0.2">
      <c r="A1383" s="77" t="s">
        <v>185</v>
      </c>
      <c r="B1383" s="77" t="s">
        <v>187</v>
      </c>
      <c r="C1383" s="77" t="s">
        <v>464</v>
      </c>
      <c r="D1383" s="77" t="s">
        <v>5</v>
      </c>
      <c r="E1383" s="77" t="s">
        <v>465</v>
      </c>
      <c r="F1383" s="50" t="s">
        <v>466</v>
      </c>
      <c r="G1383" s="77">
        <v>7</v>
      </c>
      <c r="H1383" s="77" t="s">
        <v>18</v>
      </c>
      <c r="I1383" s="77" t="s">
        <v>25</v>
      </c>
      <c r="J1383" s="77">
        <v>1</v>
      </c>
      <c r="K1383" s="79">
        <f>AB1383/COUNTIFS($B:$B,$B1383,$C:$C,$C1383,$H:$H,$H1383,$I:$I,$I1383)</f>
        <v>0.1</v>
      </c>
      <c r="L1383" s="81">
        <f t="shared" si="82"/>
        <v>1</v>
      </c>
      <c r="M1383" s="83">
        <f t="shared" si="84"/>
        <v>0.1</v>
      </c>
      <c r="N1383" s="84"/>
      <c r="P1383" s="25" t="s">
        <v>480</v>
      </c>
      <c r="Q1383" s="75"/>
      <c r="R1383" s="75"/>
      <c r="S1383" s="75"/>
      <c r="T1383" s="75"/>
      <c r="U1383" s="75"/>
      <c r="V1383" s="75"/>
      <c r="AA1383" s="146">
        <f>AB1383/COUNTIFS($B:$B,$B1383,$C:$C,$C1383,$H:$H,$H1383,$I:$I,$I1383)</f>
        <v>0.1</v>
      </c>
      <c r="AB1383" s="108">
        <f>VLOOKUP(I1383,'Weights and Confidence'!$D$16:$AC$26,9,FALSE)</f>
        <v>0.1</v>
      </c>
      <c r="AC1383" s="147">
        <f>VLOOKUP(I1383,'Weights and Confidence'!$D$16:$AC$26,10,FALSE)</f>
        <v>1</v>
      </c>
    </row>
    <row r="1384" spans="1:29" x14ac:dyDescent="0.2">
      <c r="A1384" s="76" t="s">
        <v>185</v>
      </c>
      <c r="B1384" s="76" t="s">
        <v>187</v>
      </c>
      <c r="C1384" s="76" t="s">
        <v>464</v>
      </c>
      <c r="D1384" s="76" t="s">
        <v>5</v>
      </c>
      <c r="E1384" s="76" t="s">
        <v>465</v>
      </c>
      <c r="F1384" s="51" t="s">
        <v>466</v>
      </c>
      <c r="G1384" s="76">
        <v>8</v>
      </c>
      <c r="H1384" s="76" t="s">
        <v>17</v>
      </c>
      <c r="I1384" s="76" t="s">
        <v>26</v>
      </c>
      <c r="J1384" s="76">
        <v>1</v>
      </c>
      <c r="K1384" s="78">
        <f>AB1384/COUNTIFS($B:$B,$B1384,$C:$C,$C1384,$H:$H,$H1384,$I:$I,$I1384)</f>
        <v>0.1</v>
      </c>
      <c r="L1384" s="80">
        <f t="shared" si="82"/>
        <v>1</v>
      </c>
      <c r="M1384" s="82">
        <f t="shared" si="84"/>
        <v>0.1</v>
      </c>
      <c r="N1384" s="59"/>
      <c r="P1384" s="25" t="s">
        <v>481</v>
      </c>
      <c r="Q1384" s="75"/>
      <c r="R1384" s="75"/>
      <c r="S1384" s="75"/>
      <c r="T1384" s="75"/>
      <c r="U1384" s="75"/>
      <c r="V1384" s="75"/>
      <c r="AA1384" s="146">
        <f>AB1384/COUNTIFS($B:$B,$B1384,$C:$C,$C1384,$H:$H,$H1384,$I:$I,$I1384)</f>
        <v>0.1</v>
      </c>
      <c r="AB1384" s="108">
        <f>VLOOKUP(I1384,'Weights and Confidence'!$D$16:$AC$26,9,FALSE)</f>
        <v>0.1</v>
      </c>
      <c r="AC1384" s="147">
        <f>VLOOKUP(I1384,'Weights and Confidence'!$D$16:$AC$26,10,FALSE)</f>
        <v>1</v>
      </c>
    </row>
    <row r="1385" spans="1:29" x14ac:dyDescent="0.2">
      <c r="A1385" s="77" t="s">
        <v>185</v>
      </c>
      <c r="B1385" s="77" t="s">
        <v>187</v>
      </c>
      <c r="C1385" s="77" t="s">
        <v>464</v>
      </c>
      <c r="D1385" s="77" t="s">
        <v>5</v>
      </c>
      <c r="E1385" s="77" t="s">
        <v>465</v>
      </c>
      <c r="F1385" s="50" t="s">
        <v>466</v>
      </c>
      <c r="G1385" s="77">
        <v>8</v>
      </c>
      <c r="H1385" s="77" t="s">
        <v>18</v>
      </c>
      <c r="I1385" s="77" t="s">
        <v>26</v>
      </c>
      <c r="J1385" s="77">
        <v>1</v>
      </c>
      <c r="K1385" s="79">
        <f>AB1385/COUNTIFS($B:$B,$B1385,$C:$C,$C1385,$H:$H,$H1385,$I:$I,$I1385)</f>
        <v>0.1</v>
      </c>
      <c r="L1385" s="81">
        <f t="shared" si="82"/>
        <v>1</v>
      </c>
      <c r="M1385" s="83">
        <f t="shared" si="84"/>
        <v>0.1</v>
      </c>
      <c r="N1385" s="58"/>
      <c r="P1385" s="25" t="s">
        <v>482</v>
      </c>
      <c r="Q1385" s="75"/>
      <c r="R1385" s="75"/>
      <c r="S1385" s="75"/>
      <c r="T1385" s="75"/>
      <c r="U1385" s="75"/>
      <c r="V1385" s="75"/>
      <c r="AA1385" s="146">
        <f>AB1385/COUNTIFS($B:$B,$B1385,$C:$C,$C1385,$H:$H,$H1385,$I:$I,$I1385)</f>
        <v>0.1</v>
      </c>
      <c r="AB1385" s="108">
        <f>VLOOKUP(I1385,'Weights and Confidence'!$D$16:$AC$26,9,FALSE)</f>
        <v>0.1</v>
      </c>
      <c r="AC1385" s="147">
        <f>VLOOKUP(I1385,'Weights and Confidence'!$D$16:$AC$26,10,FALSE)</f>
        <v>1</v>
      </c>
    </row>
    <row r="1386" spans="1:29" x14ac:dyDescent="0.2">
      <c r="A1386" s="76" t="s">
        <v>185</v>
      </c>
      <c r="B1386" s="76" t="s">
        <v>187</v>
      </c>
      <c r="C1386" s="76" t="s">
        <v>464</v>
      </c>
      <c r="D1386" s="76" t="s">
        <v>5</v>
      </c>
      <c r="E1386" s="76" t="s">
        <v>465</v>
      </c>
      <c r="F1386" s="51" t="s">
        <v>466</v>
      </c>
      <c r="G1386" s="76">
        <v>9</v>
      </c>
      <c r="H1386" s="76" t="s">
        <v>17</v>
      </c>
      <c r="I1386" s="76" t="s">
        <v>27</v>
      </c>
      <c r="J1386" s="76"/>
      <c r="K1386" s="78">
        <f>AB1386/COUNTIFS($B:$B,$B1386,$C:$C,$C1386,$H:$H,$H1386,$I:$I,$I1386)</f>
        <v>0.05</v>
      </c>
      <c r="L1386" s="80">
        <f t="shared" si="82"/>
        <v>0.85</v>
      </c>
      <c r="M1386" s="82">
        <f t="shared" si="84"/>
        <v>0</v>
      </c>
      <c r="N1386" s="59"/>
      <c r="P1386" s="25" t="s">
        <v>483</v>
      </c>
      <c r="Q1386" s="75"/>
      <c r="R1386" s="75"/>
      <c r="S1386" s="75"/>
      <c r="T1386" s="75"/>
      <c r="U1386" s="75"/>
      <c r="V1386" s="75"/>
      <c r="AA1386" s="146">
        <f>AB1386/COUNTIFS($B:$B,$B1386,$C:$C,$C1386,$H:$H,$H1386,$I:$I,$I1386)</f>
        <v>0.05</v>
      </c>
      <c r="AB1386" s="108">
        <f>VLOOKUP(I1386,'Weights and Confidence'!$D$16:$AC$26,9,FALSE)</f>
        <v>0.1</v>
      </c>
      <c r="AC1386" s="147">
        <f>VLOOKUP(I1386,'Weights and Confidence'!$D$16:$AC$26,10,FALSE)</f>
        <v>0.85</v>
      </c>
    </row>
    <row r="1387" spans="1:29" x14ac:dyDescent="0.2">
      <c r="A1387" s="77" t="s">
        <v>185</v>
      </c>
      <c r="B1387" s="77" t="s">
        <v>187</v>
      </c>
      <c r="C1387" s="77" t="s">
        <v>464</v>
      </c>
      <c r="D1387" s="77" t="s">
        <v>5</v>
      </c>
      <c r="E1387" s="77" t="s">
        <v>465</v>
      </c>
      <c r="F1387" s="50" t="s">
        <v>466</v>
      </c>
      <c r="G1387" s="77">
        <v>9</v>
      </c>
      <c r="H1387" s="77" t="s">
        <v>18</v>
      </c>
      <c r="I1387" s="77" t="s">
        <v>27</v>
      </c>
      <c r="J1387" s="77"/>
      <c r="K1387" s="79">
        <f>AB1387/COUNTIFS($B:$B,$B1387,$C:$C,$C1387,$H:$H,$H1387,$I:$I,$I1387)</f>
        <v>0.05</v>
      </c>
      <c r="L1387" s="81">
        <f t="shared" si="82"/>
        <v>0.85</v>
      </c>
      <c r="M1387" s="83">
        <f t="shared" si="84"/>
        <v>0</v>
      </c>
      <c r="N1387" s="58"/>
      <c r="P1387" s="25" t="s">
        <v>484</v>
      </c>
      <c r="Q1387" s="75"/>
      <c r="R1387" s="75"/>
      <c r="S1387" s="75"/>
      <c r="T1387" s="75"/>
      <c r="U1387" s="75"/>
      <c r="V1387" s="75"/>
      <c r="AA1387" s="146">
        <f>AB1387/COUNTIFS($B:$B,$B1387,$C:$C,$C1387,$H:$H,$H1387,$I:$I,$I1387)</f>
        <v>0.05</v>
      </c>
      <c r="AB1387" s="108">
        <f>VLOOKUP(I1387,'Weights and Confidence'!$D$16:$AC$26,9,FALSE)</f>
        <v>0.1</v>
      </c>
      <c r="AC1387" s="147">
        <f>VLOOKUP(I1387,'Weights and Confidence'!$D$16:$AC$26,10,FALSE)</f>
        <v>0.85</v>
      </c>
    </row>
    <row r="1388" spans="1:29" x14ac:dyDescent="0.2">
      <c r="A1388" s="76" t="s">
        <v>185</v>
      </c>
      <c r="B1388" s="76" t="s">
        <v>187</v>
      </c>
      <c r="C1388" s="76" t="s">
        <v>464</v>
      </c>
      <c r="D1388" s="76" t="s">
        <v>5</v>
      </c>
      <c r="E1388" s="76" t="s">
        <v>465</v>
      </c>
      <c r="F1388" s="51" t="s">
        <v>466</v>
      </c>
      <c r="G1388" s="76">
        <v>10</v>
      </c>
      <c r="H1388" s="76" t="s">
        <v>17</v>
      </c>
      <c r="I1388" s="76" t="s">
        <v>27</v>
      </c>
      <c r="J1388" s="76"/>
      <c r="K1388" s="78">
        <f>AB1388/COUNTIFS($B:$B,$B1388,$C:$C,$C1388,$H:$H,$H1388,$I:$I,$I1388)</f>
        <v>0.05</v>
      </c>
      <c r="L1388" s="80">
        <f t="shared" si="82"/>
        <v>0.85</v>
      </c>
      <c r="M1388" s="82">
        <f t="shared" si="84"/>
        <v>0</v>
      </c>
      <c r="N1388" s="59"/>
      <c r="P1388" s="25" t="s">
        <v>485</v>
      </c>
      <c r="Q1388" s="75"/>
      <c r="R1388" s="75"/>
      <c r="S1388" s="75"/>
      <c r="T1388" s="75"/>
      <c r="U1388" s="75"/>
      <c r="V1388" s="75"/>
      <c r="AA1388" s="146">
        <f>AB1388/COUNTIFS($B:$B,$B1388,$C:$C,$C1388,$H:$H,$H1388,$I:$I,$I1388)</f>
        <v>0.05</v>
      </c>
      <c r="AB1388" s="108">
        <f>VLOOKUP(I1388,'Weights and Confidence'!$D$16:$AC$26,9,FALSE)</f>
        <v>0.1</v>
      </c>
      <c r="AC1388" s="147">
        <f>VLOOKUP(I1388,'Weights and Confidence'!$D$16:$AC$26,10,FALSE)</f>
        <v>0.85</v>
      </c>
    </row>
    <row r="1389" spans="1:29" x14ac:dyDescent="0.2">
      <c r="A1389" s="77" t="s">
        <v>185</v>
      </c>
      <c r="B1389" s="77" t="s">
        <v>187</v>
      </c>
      <c r="C1389" s="77" t="s">
        <v>464</v>
      </c>
      <c r="D1389" s="77" t="s">
        <v>5</v>
      </c>
      <c r="E1389" s="77" t="s">
        <v>465</v>
      </c>
      <c r="F1389" s="50" t="s">
        <v>466</v>
      </c>
      <c r="G1389" s="77">
        <v>10</v>
      </c>
      <c r="H1389" s="77" t="s">
        <v>18</v>
      </c>
      <c r="I1389" s="77" t="s">
        <v>27</v>
      </c>
      <c r="J1389" s="77"/>
      <c r="K1389" s="79">
        <f>AB1389/COUNTIFS($B:$B,$B1389,$C:$C,$C1389,$H:$H,$H1389,$I:$I,$I1389)</f>
        <v>0.05</v>
      </c>
      <c r="L1389" s="81">
        <f t="shared" si="82"/>
        <v>0.85</v>
      </c>
      <c r="M1389" s="83">
        <f t="shared" si="84"/>
        <v>0</v>
      </c>
      <c r="N1389" s="58"/>
      <c r="P1389" s="25" t="s">
        <v>486</v>
      </c>
      <c r="Q1389" s="75"/>
      <c r="R1389" s="75"/>
      <c r="S1389" s="75"/>
      <c r="T1389" s="75"/>
      <c r="U1389" s="75"/>
      <c r="V1389" s="75"/>
      <c r="AA1389" s="146">
        <f>AB1389/COUNTIFS($B:$B,$B1389,$C:$C,$C1389,$H:$H,$H1389,$I:$I,$I1389)</f>
        <v>0.05</v>
      </c>
      <c r="AB1389" s="108">
        <f>VLOOKUP(I1389,'Weights and Confidence'!$D$16:$AC$26,9,FALSE)</f>
        <v>0.1</v>
      </c>
      <c r="AC1389" s="147">
        <f>VLOOKUP(I1389,'Weights and Confidence'!$D$16:$AC$26,10,FALSE)</f>
        <v>0.85</v>
      </c>
    </row>
    <row r="1390" spans="1:29" x14ac:dyDescent="0.2">
      <c r="A1390" s="76" t="s">
        <v>185</v>
      </c>
      <c r="B1390" s="76" t="s">
        <v>187</v>
      </c>
      <c r="C1390" s="76" t="s">
        <v>464</v>
      </c>
      <c r="D1390" s="76" t="s">
        <v>5</v>
      </c>
      <c r="E1390" s="76" t="s">
        <v>465</v>
      </c>
      <c r="F1390" s="51" t="s">
        <v>466</v>
      </c>
      <c r="G1390" s="76">
        <v>11</v>
      </c>
      <c r="H1390" s="76" t="s">
        <v>17</v>
      </c>
      <c r="I1390" s="76" t="s">
        <v>28</v>
      </c>
      <c r="J1390" s="76">
        <v>1</v>
      </c>
      <c r="K1390" s="78">
        <f>AB1390/COUNTIFS($B:$B,$B1390,$C:$C,$C1390,$H:$H,$H1390,$I:$I,$I1390)</f>
        <v>0.05</v>
      </c>
      <c r="L1390" s="80">
        <f t="shared" si="82"/>
        <v>1</v>
      </c>
      <c r="M1390" s="82">
        <f t="shared" si="84"/>
        <v>0.05</v>
      </c>
      <c r="N1390" s="59"/>
      <c r="P1390" s="25" t="s">
        <v>487</v>
      </c>
      <c r="Q1390" s="75"/>
      <c r="R1390" s="75"/>
      <c r="S1390" s="75"/>
      <c r="T1390" s="75"/>
      <c r="U1390" s="75"/>
      <c r="V1390" s="75"/>
      <c r="AA1390" s="146">
        <f>AB1390/COUNTIFS($B:$B,$B1390,$C:$C,$C1390,$H:$H,$H1390,$I:$I,$I1390)</f>
        <v>0.05</v>
      </c>
      <c r="AB1390" s="108">
        <f>VLOOKUP(I1390,'Weights and Confidence'!$D$16:$AC$26,9,FALSE)</f>
        <v>0.05</v>
      </c>
      <c r="AC1390" s="147">
        <f>VLOOKUP(I1390,'Weights and Confidence'!$D$16:$AC$26,10,FALSE)</f>
        <v>1</v>
      </c>
    </row>
    <row r="1391" spans="1:29" ht="17" thickBot="1" x14ac:dyDescent="0.25">
      <c r="A1391" s="98" t="s">
        <v>185</v>
      </c>
      <c r="B1391" s="98" t="s">
        <v>187</v>
      </c>
      <c r="C1391" s="98" t="s">
        <v>464</v>
      </c>
      <c r="D1391" s="98" t="s">
        <v>5</v>
      </c>
      <c r="E1391" s="98" t="s">
        <v>465</v>
      </c>
      <c r="F1391" s="54" t="s">
        <v>466</v>
      </c>
      <c r="G1391" s="98">
        <v>11</v>
      </c>
      <c r="H1391" s="98" t="s">
        <v>18</v>
      </c>
      <c r="I1391" s="98" t="s">
        <v>28</v>
      </c>
      <c r="J1391" s="98">
        <v>1</v>
      </c>
      <c r="K1391" s="99">
        <f>AB1391/COUNTIFS($B:$B,$B1391,$C:$C,$C1391,$H:$H,$H1391,$I:$I,$I1391)</f>
        <v>0.05</v>
      </c>
      <c r="L1391" s="100">
        <f t="shared" si="82"/>
        <v>1</v>
      </c>
      <c r="M1391" s="101">
        <f t="shared" si="84"/>
        <v>0.05</v>
      </c>
      <c r="N1391" s="22" t="s">
        <v>492</v>
      </c>
      <c r="P1391" s="25" t="s">
        <v>488</v>
      </c>
      <c r="Q1391" s="75"/>
      <c r="R1391" s="75"/>
      <c r="S1391" s="75"/>
      <c r="T1391" s="75"/>
      <c r="U1391" s="75"/>
      <c r="V1391" s="75"/>
      <c r="AA1391" s="140">
        <f>AB1391/COUNTIFS($B:$B,$B1391,$C:$C,$C1391,$H:$H,$H1391,$I:$I,$I1391)</f>
        <v>0.05</v>
      </c>
      <c r="AB1391" s="141">
        <f>VLOOKUP(I1391,'Weights and Confidence'!$D$16:$AC$26,9,FALSE)</f>
        <v>0.05</v>
      </c>
      <c r="AC1391" s="142">
        <f>VLOOKUP(I1391,'Weights and Confidence'!$D$16:$AC$26,10,FALSE)</f>
        <v>1</v>
      </c>
    </row>
    <row r="1392" spans="1:29" ht="17" thickTop="1" x14ac:dyDescent="0.2">
      <c r="A1392" s="130" t="s">
        <v>185</v>
      </c>
      <c r="B1392" s="130" t="s">
        <v>187</v>
      </c>
      <c r="C1392" s="130" t="s">
        <v>346</v>
      </c>
      <c r="D1392" s="131" t="s">
        <v>65</v>
      </c>
      <c r="E1392" s="130"/>
      <c r="F1392" s="68" t="s">
        <v>347</v>
      </c>
      <c r="G1392" s="130">
        <v>1</v>
      </c>
      <c r="H1392" s="130" t="s">
        <v>17</v>
      </c>
      <c r="I1392" s="130" t="s">
        <v>19</v>
      </c>
      <c r="J1392" s="132">
        <v>1</v>
      </c>
      <c r="K1392" s="133">
        <f>AB1392/COUNTIFS($B:$B,$B1392,$C:$C,$C1392,$H:$H,$H1392,$I:$I,$I1392)</f>
        <v>0.12</v>
      </c>
      <c r="L1392" s="134">
        <f t="shared" si="82"/>
        <v>1</v>
      </c>
      <c r="M1392" s="135">
        <f t="shared" si="84"/>
        <v>0.12</v>
      </c>
      <c r="N1392" s="136"/>
      <c r="P1392" s="25" t="s">
        <v>489</v>
      </c>
      <c r="Q1392" s="75"/>
      <c r="R1392" s="75"/>
      <c r="S1392" s="75"/>
      <c r="T1392" s="75"/>
      <c r="U1392" s="75"/>
      <c r="V1392" s="75"/>
      <c r="AA1392" s="146">
        <f>AB1392/COUNTIFS($B:$B,$B1392,$C:$C,$C1392,$H:$H,$H1392,$I:$I,$I1392)</f>
        <v>0.12</v>
      </c>
      <c r="AB1392" s="108">
        <f>VLOOKUP(I1392,'Weights and Confidence'!$D$16:$AC$26,9,FALSE)</f>
        <v>0.12</v>
      </c>
      <c r="AC1392" s="147">
        <f>VLOOKUP(I1392,'Weights and Confidence'!$D$16:$AC$26,10,FALSE)</f>
        <v>1</v>
      </c>
    </row>
    <row r="1393" spans="1:29" x14ac:dyDescent="0.2">
      <c r="A1393" s="77" t="s">
        <v>185</v>
      </c>
      <c r="B1393" s="77" t="s">
        <v>187</v>
      </c>
      <c r="C1393" s="77" t="s">
        <v>346</v>
      </c>
      <c r="D1393" s="77" t="s">
        <v>65</v>
      </c>
      <c r="E1393" s="77"/>
      <c r="F1393" s="50" t="s">
        <v>347</v>
      </c>
      <c r="G1393" s="77">
        <v>1</v>
      </c>
      <c r="H1393" s="77" t="s">
        <v>18</v>
      </c>
      <c r="I1393" s="77" t="s">
        <v>19</v>
      </c>
      <c r="J1393" s="77">
        <v>0</v>
      </c>
      <c r="K1393" s="79">
        <f>AB1393/COUNTIFS($B:$B,$B1393,$C:$C,$C1393,$H:$H,$H1393,$I:$I,$I1393)</f>
        <v>0.12</v>
      </c>
      <c r="L1393" s="81">
        <f t="shared" si="82"/>
        <v>1</v>
      </c>
      <c r="M1393" s="83">
        <f>J1392*K1393*L1393</f>
        <v>0.12</v>
      </c>
      <c r="N1393" s="84"/>
      <c r="P1393" s="25" t="s">
        <v>490</v>
      </c>
      <c r="Q1393" s="75"/>
      <c r="R1393" s="75"/>
      <c r="S1393" s="75"/>
      <c r="T1393" s="75"/>
      <c r="U1393" s="75"/>
      <c r="V1393" s="75"/>
      <c r="AA1393" s="146">
        <f>AB1393/COUNTIFS($B:$B,$B1393,$C:$C,$C1393,$H:$H,$H1393,$I:$I,$I1393)</f>
        <v>0.12</v>
      </c>
      <c r="AB1393" s="108">
        <f>VLOOKUP(I1393,'Weights and Confidence'!$D$16:$AC$26,9,FALSE)</f>
        <v>0.12</v>
      </c>
      <c r="AC1393" s="147">
        <f>VLOOKUP(I1393,'Weights and Confidence'!$D$16:$AC$26,10,FALSE)</f>
        <v>1</v>
      </c>
    </row>
    <row r="1394" spans="1:29" ht="17" thickBot="1" x14ac:dyDescent="0.25">
      <c r="A1394" s="76" t="s">
        <v>185</v>
      </c>
      <c r="B1394" s="76" t="s">
        <v>187</v>
      </c>
      <c r="C1394" s="76" t="s">
        <v>346</v>
      </c>
      <c r="D1394" s="76" t="s">
        <v>65</v>
      </c>
      <c r="E1394" s="76"/>
      <c r="F1394" s="51" t="s">
        <v>347</v>
      </c>
      <c r="G1394" s="76">
        <v>2</v>
      </c>
      <c r="H1394" s="76" t="s">
        <v>17</v>
      </c>
      <c r="I1394" s="76" t="s">
        <v>20</v>
      </c>
      <c r="J1394" s="76">
        <v>0</v>
      </c>
      <c r="K1394" s="78">
        <f>AB1394/COUNTIFS($B:$B,$B1394,$C:$C,$C1394,$H:$H,$H1394,$I:$I,$I1394)</f>
        <v>0.08</v>
      </c>
      <c r="L1394" s="80">
        <f t="shared" si="82"/>
        <v>0.8</v>
      </c>
      <c r="M1394" s="82">
        <f t="shared" ref="M1394:M1414" si="85">J1394*K1394*L1394</f>
        <v>0</v>
      </c>
      <c r="N1394" s="59"/>
      <c r="P1394" s="26" t="s">
        <v>491</v>
      </c>
      <c r="Q1394" s="2"/>
      <c r="R1394" s="2"/>
      <c r="S1394" s="2"/>
      <c r="T1394" s="2"/>
      <c r="U1394" s="2"/>
      <c r="V1394" s="2"/>
      <c r="AA1394" s="146">
        <f>AB1394/COUNTIFS($B:$B,$B1394,$C:$C,$C1394,$H:$H,$H1394,$I:$I,$I1394)</f>
        <v>0.08</v>
      </c>
      <c r="AB1394" s="108">
        <f>VLOOKUP(I1394,'Weights and Confidence'!$D$16:$AC$26,9,FALSE)</f>
        <v>0.08</v>
      </c>
      <c r="AC1394" s="147">
        <f>VLOOKUP(I1394,'Weights and Confidence'!$D$16:$AC$26,10,FALSE)</f>
        <v>0.8</v>
      </c>
    </row>
    <row r="1395" spans="1:29" x14ac:dyDescent="0.2">
      <c r="A1395" s="77" t="s">
        <v>185</v>
      </c>
      <c r="B1395" s="77" t="s">
        <v>187</v>
      </c>
      <c r="C1395" s="77" t="s">
        <v>346</v>
      </c>
      <c r="D1395" s="77" t="s">
        <v>65</v>
      </c>
      <c r="E1395" s="77"/>
      <c r="F1395" s="50" t="s">
        <v>347</v>
      </c>
      <c r="G1395" s="77">
        <v>2</v>
      </c>
      <c r="H1395" s="77" t="s">
        <v>18</v>
      </c>
      <c r="I1395" s="77" t="s">
        <v>20</v>
      </c>
      <c r="J1395" s="77">
        <v>-1</v>
      </c>
      <c r="K1395" s="79">
        <f>AB1395/COUNTIFS($B:$B,$B1395,$C:$C,$C1395,$H:$H,$H1395,$I:$I,$I1395)</f>
        <v>0.08</v>
      </c>
      <c r="L1395" s="81">
        <f t="shared" si="82"/>
        <v>0.8</v>
      </c>
      <c r="M1395" s="83">
        <f t="shared" si="85"/>
        <v>-6.4000000000000001E-2</v>
      </c>
      <c r="N1395" s="58" t="s">
        <v>493</v>
      </c>
      <c r="AA1395" s="146">
        <f>AB1395/COUNTIFS($B:$B,$B1395,$C:$C,$C1395,$H:$H,$H1395,$I:$I,$I1395)</f>
        <v>0.08</v>
      </c>
      <c r="AB1395" s="108">
        <f>VLOOKUP(I1395,'Weights and Confidence'!$D$16:$AC$26,9,FALSE)</f>
        <v>0.08</v>
      </c>
      <c r="AC1395" s="147">
        <f>VLOOKUP(I1395,'Weights and Confidence'!$D$16:$AC$26,10,FALSE)</f>
        <v>0.8</v>
      </c>
    </row>
    <row r="1396" spans="1:29" ht="17" thickBot="1" x14ac:dyDescent="0.25">
      <c r="A1396" s="76" t="s">
        <v>185</v>
      </c>
      <c r="B1396" s="76" t="s">
        <v>187</v>
      </c>
      <c r="C1396" s="76" t="s">
        <v>346</v>
      </c>
      <c r="D1396" s="76" t="s">
        <v>65</v>
      </c>
      <c r="E1396" s="76"/>
      <c r="F1396" s="51" t="s">
        <v>347</v>
      </c>
      <c r="G1396" s="76">
        <v>3</v>
      </c>
      <c r="H1396" s="76" t="s">
        <v>17</v>
      </c>
      <c r="I1396" s="76" t="s">
        <v>21</v>
      </c>
      <c r="J1396" s="76">
        <v>1</v>
      </c>
      <c r="K1396" s="78">
        <f>AB1396/COUNTIFS($B:$B,$B1396,$C:$C,$C1396,$H:$H,$H1396,$I:$I,$I1396)</f>
        <v>0.05</v>
      </c>
      <c r="L1396" s="80">
        <f t="shared" si="82"/>
        <v>1</v>
      </c>
      <c r="M1396" s="82">
        <f t="shared" si="85"/>
        <v>0.05</v>
      </c>
      <c r="N1396" s="59"/>
      <c r="AA1396" s="146">
        <f>AB1396/COUNTIFS($B:$B,$B1396,$C:$C,$C1396,$H:$H,$H1396,$I:$I,$I1396)</f>
        <v>0.05</v>
      </c>
      <c r="AB1396" s="108">
        <f>VLOOKUP(I1396,'Weights and Confidence'!$D$16:$AC$26,9,FALSE)</f>
        <v>0.05</v>
      </c>
      <c r="AC1396" s="147">
        <f>VLOOKUP(I1396,'Weights and Confidence'!$D$16:$AC$26,10,FALSE)</f>
        <v>1</v>
      </c>
    </row>
    <row r="1397" spans="1:29" x14ac:dyDescent="0.2">
      <c r="A1397" s="77" t="s">
        <v>185</v>
      </c>
      <c r="B1397" s="77" t="s">
        <v>187</v>
      </c>
      <c r="C1397" s="77" t="s">
        <v>346</v>
      </c>
      <c r="D1397" s="77" t="s">
        <v>65</v>
      </c>
      <c r="E1397" s="77"/>
      <c r="F1397" s="50" t="s">
        <v>347</v>
      </c>
      <c r="G1397" s="77">
        <v>3</v>
      </c>
      <c r="H1397" s="77" t="s">
        <v>18</v>
      </c>
      <c r="I1397" s="77" t="s">
        <v>21</v>
      </c>
      <c r="J1397" s="77">
        <v>0</v>
      </c>
      <c r="K1397" s="79">
        <f>AB1397/COUNTIFS($B:$B,$B1397,$C:$C,$C1397,$H:$H,$H1397,$I:$I,$I1397)</f>
        <v>0.05</v>
      </c>
      <c r="L1397" s="81">
        <f t="shared" si="82"/>
        <v>1</v>
      </c>
      <c r="M1397" s="83">
        <f t="shared" si="85"/>
        <v>0</v>
      </c>
      <c r="N1397" s="84"/>
      <c r="P1397" s="24" t="s">
        <v>495</v>
      </c>
      <c r="Q1397" s="10"/>
      <c r="R1397" s="10"/>
      <c r="S1397" s="10"/>
      <c r="T1397" s="10"/>
      <c r="U1397" s="10"/>
      <c r="V1397" s="10"/>
      <c r="AA1397" s="146">
        <f>AB1397/COUNTIFS($B:$B,$B1397,$C:$C,$C1397,$H:$H,$H1397,$I:$I,$I1397)</f>
        <v>0.05</v>
      </c>
      <c r="AB1397" s="108">
        <f>VLOOKUP(I1397,'Weights and Confidence'!$D$16:$AC$26,9,FALSE)</f>
        <v>0.05</v>
      </c>
      <c r="AC1397" s="147">
        <f>VLOOKUP(I1397,'Weights and Confidence'!$D$16:$AC$26,10,FALSE)</f>
        <v>1</v>
      </c>
    </row>
    <row r="1398" spans="1:29" x14ac:dyDescent="0.2">
      <c r="A1398" s="76" t="s">
        <v>185</v>
      </c>
      <c r="B1398" s="76" t="s">
        <v>187</v>
      </c>
      <c r="C1398" s="76" t="s">
        <v>346</v>
      </c>
      <c r="D1398" s="76" t="s">
        <v>65</v>
      </c>
      <c r="E1398" s="76"/>
      <c r="F1398" s="51" t="s">
        <v>347</v>
      </c>
      <c r="G1398" s="76">
        <v>4</v>
      </c>
      <c r="H1398" s="76" t="s">
        <v>17</v>
      </c>
      <c r="I1398" s="76" t="s">
        <v>22</v>
      </c>
      <c r="J1398" s="76">
        <v>0</v>
      </c>
      <c r="K1398" s="78">
        <f>AB1398/COUNTIFS($B:$B,$B1398,$C:$C,$C1398,$H:$H,$H1398,$I:$I,$I1398)</f>
        <v>0.14000000000000001</v>
      </c>
      <c r="L1398" s="80">
        <f t="shared" si="82"/>
        <v>1</v>
      </c>
      <c r="M1398" s="82">
        <f t="shared" si="85"/>
        <v>0</v>
      </c>
      <c r="N1398" s="59"/>
      <c r="P1398" s="25" t="s">
        <v>496</v>
      </c>
      <c r="Q1398" s="75"/>
      <c r="R1398" s="75"/>
      <c r="S1398" s="75"/>
      <c r="T1398" s="75"/>
      <c r="U1398" s="75"/>
      <c r="V1398" s="75"/>
      <c r="AA1398" s="146">
        <f>AB1398/COUNTIFS($B:$B,$B1398,$C:$C,$C1398,$H:$H,$H1398,$I:$I,$I1398)</f>
        <v>0.14000000000000001</v>
      </c>
      <c r="AB1398" s="108">
        <f>VLOOKUP(I1398,'Weights and Confidence'!$D$16:$AC$26,9,FALSE)</f>
        <v>0.14000000000000001</v>
      </c>
      <c r="AC1398" s="147">
        <f>VLOOKUP(I1398,'Weights and Confidence'!$D$16:$AC$26,10,FALSE)</f>
        <v>1</v>
      </c>
    </row>
    <row r="1399" spans="1:29" x14ac:dyDescent="0.2">
      <c r="A1399" s="77" t="s">
        <v>185</v>
      </c>
      <c r="B1399" s="77" t="s">
        <v>187</v>
      </c>
      <c r="C1399" s="77" t="s">
        <v>346</v>
      </c>
      <c r="D1399" s="77" t="s">
        <v>65</v>
      </c>
      <c r="E1399" s="77"/>
      <c r="F1399" s="50" t="s">
        <v>347</v>
      </c>
      <c r="G1399" s="77">
        <v>4</v>
      </c>
      <c r="H1399" s="77" t="s">
        <v>18</v>
      </c>
      <c r="I1399" s="77" t="s">
        <v>22</v>
      </c>
      <c r="J1399" s="77">
        <v>0</v>
      </c>
      <c r="K1399" s="79">
        <f>AB1399/COUNTIFS($B:$B,$B1399,$C:$C,$C1399,$H:$H,$H1399,$I:$I,$I1399)</f>
        <v>0.14000000000000001</v>
      </c>
      <c r="L1399" s="81">
        <f t="shared" si="82"/>
        <v>1</v>
      </c>
      <c r="M1399" s="83">
        <f t="shared" si="85"/>
        <v>0</v>
      </c>
      <c r="N1399" s="84"/>
      <c r="P1399" s="25" t="s">
        <v>497</v>
      </c>
      <c r="Q1399" s="75"/>
      <c r="R1399" s="75"/>
      <c r="S1399" s="75"/>
      <c r="T1399" s="75"/>
      <c r="U1399" s="75"/>
      <c r="V1399" s="75"/>
      <c r="AA1399" s="146">
        <f>AB1399/COUNTIFS($B:$B,$B1399,$C:$C,$C1399,$H:$H,$H1399,$I:$I,$I1399)</f>
        <v>0.14000000000000001</v>
      </c>
      <c r="AB1399" s="108">
        <f>VLOOKUP(I1399,'Weights and Confidence'!$D$16:$AC$26,9,FALSE)</f>
        <v>0.14000000000000001</v>
      </c>
      <c r="AC1399" s="147">
        <f>VLOOKUP(I1399,'Weights and Confidence'!$D$16:$AC$26,10,FALSE)</f>
        <v>1</v>
      </c>
    </row>
    <row r="1400" spans="1:29" x14ac:dyDescent="0.2">
      <c r="A1400" s="76" t="s">
        <v>185</v>
      </c>
      <c r="B1400" s="76" t="s">
        <v>187</v>
      </c>
      <c r="C1400" s="76" t="s">
        <v>346</v>
      </c>
      <c r="D1400" s="76" t="s">
        <v>65</v>
      </c>
      <c r="E1400" s="76"/>
      <c r="F1400" s="51" t="s">
        <v>347</v>
      </c>
      <c r="G1400" s="76">
        <v>5</v>
      </c>
      <c r="H1400" s="76" t="s">
        <v>17</v>
      </c>
      <c r="I1400" s="76" t="s">
        <v>23</v>
      </c>
      <c r="J1400" s="76">
        <v>0</v>
      </c>
      <c r="K1400" s="78">
        <f>AB1400/COUNTIFS($B:$B,$B1400,$C:$C,$C1400,$H:$H,$H1400,$I:$I,$I1400)</f>
        <v>0.11</v>
      </c>
      <c r="L1400" s="80">
        <f t="shared" si="82"/>
        <v>1</v>
      </c>
      <c r="M1400" s="82">
        <f t="shared" si="85"/>
        <v>0</v>
      </c>
      <c r="N1400" s="59"/>
      <c r="P1400" s="25" t="s">
        <v>498</v>
      </c>
      <c r="Q1400" s="75"/>
      <c r="R1400" s="75"/>
      <c r="S1400" s="75"/>
      <c r="T1400" s="75"/>
      <c r="U1400" s="75"/>
      <c r="V1400" s="75"/>
      <c r="AA1400" s="146">
        <f>AB1400/COUNTIFS($B:$B,$B1400,$C:$C,$C1400,$H:$H,$H1400,$I:$I,$I1400)</f>
        <v>0.11</v>
      </c>
      <c r="AB1400" s="108">
        <f>VLOOKUP(I1400,'Weights and Confidence'!$D$16:$AC$26,9,FALSE)</f>
        <v>0.11</v>
      </c>
      <c r="AC1400" s="147">
        <f>VLOOKUP(I1400,'Weights and Confidence'!$D$16:$AC$26,10,FALSE)</f>
        <v>1</v>
      </c>
    </row>
    <row r="1401" spans="1:29" x14ac:dyDescent="0.2">
      <c r="A1401" s="77" t="s">
        <v>185</v>
      </c>
      <c r="B1401" s="77" t="s">
        <v>187</v>
      </c>
      <c r="C1401" s="77" t="s">
        <v>346</v>
      </c>
      <c r="D1401" s="77" t="s">
        <v>65</v>
      </c>
      <c r="E1401" s="77"/>
      <c r="F1401" s="50" t="s">
        <v>347</v>
      </c>
      <c r="G1401" s="77">
        <v>5</v>
      </c>
      <c r="H1401" s="77" t="s">
        <v>18</v>
      </c>
      <c r="I1401" s="77" t="s">
        <v>23</v>
      </c>
      <c r="J1401" s="77">
        <v>0</v>
      </c>
      <c r="K1401" s="79">
        <f>AB1401/COUNTIFS($B:$B,$B1401,$C:$C,$C1401,$H:$H,$H1401,$I:$I,$I1401)</f>
        <v>0.11</v>
      </c>
      <c r="L1401" s="81">
        <f t="shared" si="82"/>
        <v>1</v>
      </c>
      <c r="M1401" s="83">
        <f t="shared" si="85"/>
        <v>0</v>
      </c>
      <c r="N1401" s="84"/>
      <c r="P1401" s="25" t="s">
        <v>499</v>
      </c>
      <c r="Q1401" s="75"/>
      <c r="R1401" s="75"/>
      <c r="S1401" s="75"/>
      <c r="T1401" s="75"/>
      <c r="U1401" s="75"/>
      <c r="V1401" s="75"/>
      <c r="AA1401" s="146">
        <f>AB1401/COUNTIFS($B:$B,$B1401,$C:$C,$C1401,$H:$H,$H1401,$I:$I,$I1401)</f>
        <v>0.11</v>
      </c>
      <c r="AB1401" s="108">
        <f>VLOOKUP(I1401,'Weights and Confidence'!$D$16:$AC$26,9,FALSE)</f>
        <v>0.11</v>
      </c>
      <c r="AC1401" s="147">
        <f>VLOOKUP(I1401,'Weights and Confidence'!$D$16:$AC$26,10,FALSE)</f>
        <v>1</v>
      </c>
    </row>
    <row r="1402" spans="1:29" x14ac:dyDescent="0.2">
      <c r="A1402" s="76" t="s">
        <v>185</v>
      </c>
      <c r="B1402" s="76" t="s">
        <v>187</v>
      </c>
      <c r="C1402" s="76" t="s">
        <v>346</v>
      </c>
      <c r="D1402" s="76" t="s">
        <v>65</v>
      </c>
      <c r="E1402" s="76"/>
      <c r="F1402" s="51" t="s">
        <v>347</v>
      </c>
      <c r="G1402" s="76">
        <v>6</v>
      </c>
      <c r="H1402" s="76" t="s">
        <v>17</v>
      </c>
      <c r="I1402" s="76" t="s">
        <v>24</v>
      </c>
      <c r="J1402" s="76">
        <v>0</v>
      </c>
      <c r="K1402" s="78">
        <f>AB1402/COUNTIFS($B:$B,$B1402,$C:$C,$C1402,$H:$H,$H1402,$I:$I,$I1402)</f>
        <v>0.15</v>
      </c>
      <c r="L1402" s="80">
        <f t="shared" si="82"/>
        <v>1</v>
      </c>
      <c r="M1402" s="82">
        <f t="shared" si="85"/>
        <v>0</v>
      </c>
      <c r="N1402" s="59"/>
      <c r="P1402" s="25" t="s">
        <v>500</v>
      </c>
      <c r="Q1402" s="75"/>
      <c r="R1402" s="75"/>
      <c r="S1402" s="75"/>
      <c r="T1402" s="75"/>
      <c r="U1402" s="75"/>
      <c r="V1402" s="75"/>
      <c r="AA1402" s="146">
        <f>AB1402/COUNTIFS($B:$B,$B1402,$C:$C,$C1402,$H:$H,$H1402,$I:$I,$I1402)</f>
        <v>0.15</v>
      </c>
      <c r="AB1402" s="108">
        <f>VLOOKUP(I1402,'Weights and Confidence'!$D$16:$AC$26,9,FALSE)</f>
        <v>0.15</v>
      </c>
      <c r="AC1402" s="147">
        <f>VLOOKUP(I1402,'Weights and Confidence'!$D$16:$AC$26,10,FALSE)</f>
        <v>1</v>
      </c>
    </row>
    <row r="1403" spans="1:29" ht="17" thickBot="1" x14ac:dyDescent="0.25">
      <c r="A1403" s="77" t="s">
        <v>185</v>
      </c>
      <c r="B1403" s="77" t="s">
        <v>187</v>
      </c>
      <c r="C1403" s="77" t="s">
        <v>346</v>
      </c>
      <c r="D1403" s="77" t="s">
        <v>65</v>
      </c>
      <c r="E1403" s="77"/>
      <c r="F1403" s="50" t="s">
        <v>347</v>
      </c>
      <c r="G1403" s="77">
        <v>6</v>
      </c>
      <c r="H1403" s="77" t="s">
        <v>18</v>
      </c>
      <c r="I1403" s="77" t="s">
        <v>24</v>
      </c>
      <c r="J1403" s="77">
        <v>0</v>
      </c>
      <c r="K1403" s="79">
        <f>AB1403/COUNTIFS($B:$B,$B1403,$C:$C,$C1403,$H:$H,$H1403,$I:$I,$I1403)</f>
        <v>0.15</v>
      </c>
      <c r="L1403" s="81">
        <f t="shared" si="82"/>
        <v>1</v>
      </c>
      <c r="M1403" s="83">
        <f t="shared" si="85"/>
        <v>0</v>
      </c>
      <c r="N1403" s="84" t="s">
        <v>494</v>
      </c>
      <c r="P1403" s="26" t="s">
        <v>501</v>
      </c>
      <c r="Q1403" s="2"/>
      <c r="R1403" s="2"/>
      <c r="S1403" s="2"/>
      <c r="T1403" s="2"/>
      <c r="U1403" s="2"/>
      <c r="V1403" s="2"/>
      <c r="AA1403" s="146">
        <f>AB1403/COUNTIFS($B:$B,$B1403,$C:$C,$C1403,$H:$H,$H1403,$I:$I,$I1403)</f>
        <v>0.15</v>
      </c>
      <c r="AB1403" s="108">
        <f>VLOOKUP(I1403,'Weights and Confidence'!$D$16:$AC$26,9,FALSE)</f>
        <v>0.15</v>
      </c>
      <c r="AC1403" s="147">
        <f>VLOOKUP(I1403,'Weights and Confidence'!$D$16:$AC$26,10,FALSE)</f>
        <v>1</v>
      </c>
    </row>
    <row r="1404" spans="1:29" x14ac:dyDescent="0.2">
      <c r="A1404" s="76" t="s">
        <v>185</v>
      </c>
      <c r="B1404" s="76" t="s">
        <v>187</v>
      </c>
      <c r="C1404" s="76" t="s">
        <v>346</v>
      </c>
      <c r="D1404" s="76" t="s">
        <v>65</v>
      </c>
      <c r="E1404" s="76"/>
      <c r="F1404" s="51" t="s">
        <v>347</v>
      </c>
      <c r="G1404" s="76">
        <v>7</v>
      </c>
      <c r="H1404" s="76" t="s">
        <v>17</v>
      </c>
      <c r="I1404" s="76" t="s">
        <v>25</v>
      </c>
      <c r="J1404" s="76">
        <v>0</v>
      </c>
      <c r="K1404" s="78">
        <f>AB1404/COUNTIFS($B:$B,$B1404,$C:$C,$C1404,$H:$H,$H1404,$I:$I,$I1404)</f>
        <v>0.1</v>
      </c>
      <c r="L1404" s="80">
        <f t="shared" si="82"/>
        <v>1</v>
      </c>
      <c r="M1404" s="82">
        <f t="shared" si="85"/>
        <v>0</v>
      </c>
      <c r="N1404" s="59"/>
      <c r="AA1404" s="146">
        <f>AB1404/COUNTIFS($B:$B,$B1404,$C:$C,$C1404,$H:$H,$H1404,$I:$I,$I1404)</f>
        <v>0.1</v>
      </c>
      <c r="AB1404" s="108">
        <f>VLOOKUP(I1404,'Weights and Confidence'!$D$16:$AC$26,9,FALSE)</f>
        <v>0.1</v>
      </c>
      <c r="AC1404" s="147">
        <f>VLOOKUP(I1404,'Weights and Confidence'!$D$16:$AC$26,10,FALSE)</f>
        <v>1</v>
      </c>
    </row>
    <row r="1405" spans="1:29" x14ac:dyDescent="0.2">
      <c r="A1405" s="77" t="s">
        <v>185</v>
      </c>
      <c r="B1405" s="77" t="s">
        <v>187</v>
      </c>
      <c r="C1405" s="77" t="s">
        <v>346</v>
      </c>
      <c r="D1405" s="77" t="s">
        <v>65</v>
      </c>
      <c r="E1405" s="77"/>
      <c r="F1405" s="50" t="s">
        <v>347</v>
      </c>
      <c r="G1405" s="77">
        <v>7</v>
      </c>
      <c r="H1405" s="77" t="s">
        <v>18</v>
      </c>
      <c r="I1405" s="77" t="s">
        <v>25</v>
      </c>
      <c r="J1405" s="77">
        <v>0</v>
      </c>
      <c r="K1405" s="79">
        <f>AB1405/COUNTIFS($B:$B,$B1405,$C:$C,$C1405,$H:$H,$H1405,$I:$I,$I1405)</f>
        <v>0.1</v>
      </c>
      <c r="L1405" s="81">
        <f t="shared" si="82"/>
        <v>1</v>
      </c>
      <c r="M1405" s="83">
        <f t="shared" si="85"/>
        <v>0</v>
      </c>
      <c r="N1405" s="84" t="s">
        <v>494</v>
      </c>
      <c r="AA1405" s="146">
        <f>AB1405/COUNTIFS($B:$B,$B1405,$C:$C,$C1405,$H:$H,$H1405,$I:$I,$I1405)</f>
        <v>0.1</v>
      </c>
      <c r="AB1405" s="108">
        <f>VLOOKUP(I1405,'Weights and Confidence'!$D$16:$AC$26,9,FALSE)</f>
        <v>0.1</v>
      </c>
      <c r="AC1405" s="147">
        <f>VLOOKUP(I1405,'Weights and Confidence'!$D$16:$AC$26,10,FALSE)</f>
        <v>1</v>
      </c>
    </row>
    <row r="1406" spans="1:29" x14ac:dyDescent="0.2">
      <c r="A1406" s="76" t="s">
        <v>185</v>
      </c>
      <c r="B1406" s="76" t="s">
        <v>187</v>
      </c>
      <c r="C1406" s="76" t="s">
        <v>346</v>
      </c>
      <c r="D1406" s="76" t="s">
        <v>65</v>
      </c>
      <c r="E1406" s="76"/>
      <c r="F1406" s="51" t="s">
        <v>347</v>
      </c>
      <c r="G1406" s="76">
        <v>8</v>
      </c>
      <c r="H1406" s="76" t="s">
        <v>17</v>
      </c>
      <c r="I1406" s="76" t="s">
        <v>26</v>
      </c>
      <c r="J1406" s="76">
        <v>0</v>
      </c>
      <c r="K1406" s="78">
        <f>AB1406/COUNTIFS($B:$B,$B1406,$C:$C,$C1406,$H:$H,$H1406,$I:$I,$I1406)</f>
        <v>0.1</v>
      </c>
      <c r="L1406" s="80">
        <f t="shared" si="82"/>
        <v>1</v>
      </c>
      <c r="M1406" s="82">
        <f t="shared" si="85"/>
        <v>0</v>
      </c>
      <c r="N1406" s="59"/>
      <c r="AA1406" s="146">
        <f>AB1406/COUNTIFS($B:$B,$B1406,$C:$C,$C1406,$H:$H,$H1406,$I:$I,$I1406)</f>
        <v>0.1</v>
      </c>
      <c r="AB1406" s="108">
        <f>VLOOKUP(I1406,'Weights and Confidence'!$D$16:$AC$26,9,FALSE)</f>
        <v>0.1</v>
      </c>
      <c r="AC1406" s="147">
        <f>VLOOKUP(I1406,'Weights and Confidence'!$D$16:$AC$26,10,FALSE)</f>
        <v>1</v>
      </c>
    </row>
    <row r="1407" spans="1:29" x14ac:dyDescent="0.2">
      <c r="A1407" s="77" t="s">
        <v>185</v>
      </c>
      <c r="B1407" s="77" t="s">
        <v>187</v>
      </c>
      <c r="C1407" s="77" t="s">
        <v>346</v>
      </c>
      <c r="D1407" s="77" t="s">
        <v>65</v>
      </c>
      <c r="E1407" s="77"/>
      <c r="F1407" s="50" t="s">
        <v>347</v>
      </c>
      <c r="G1407" s="77">
        <v>8</v>
      </c>
      <c r="H1407" s="77" t="s">
        <v>18</v>
      </c>
      <c r="I1407" s="77" t="s">
        <v>26</v>
      </c>
      <c r="J1407" s="77">
        <v>0</v>
      </c>
      <c r="K1407" s="79">
        <f>AB1407/COUNTIFS($B:$B,$B1407,$C:$C,$C1407,$H:$H,$H1407,$I:$I,$I1407)</f>
        <v>0.1</v>
      </c>
      <c r="L1407" s="81">
        <f t="shared" si="82"/>
        <v>1</v>
      </c>
      <c r="M1407" s="83">
        <f t="shared" si="85"/>
        <v>0</v>
      </c>
      <c r="N1407" s="84" t="s">
        <v>494</v>
      </c>
      <c r="AA1407" s="146">
        <f>AB1407/COUNTIFS($B:$B,$B1407,$C:$C,$C1407,$H:$H,$H1407,$I:$I,$I1407)</f>
        <v>0.1</v>
      </c>
      <c r="AB1407" s="108">
        <f>VLOOKUP(I1407,'Weights and Confidence'!$D$16:$AC$26,9,FALSE)</f>
        <v>0.1</v>
      </c>
      <c r="AC1407" s="147">
        <f>VLOOKUP(I1407,'Weights and Confidence'!$D$16:$AC$26,10,FALSE)</f>
        <v>1</v>
      </c>
    </row>
    <row r="1408" spans="1:29" x14ac:dyDescent="0.2">
      <c r="A1408" s="76" t="s">
        <v>185</v>
      </c>
      <c r="B1408" s="76" t="s">
        <v>187</v>
      </c>
      <c r="C1408" s="76" t="s">
        <v>346</v>
      </c>
      <c r="D1408" s="76" t="s">
        <v>65</v>
      </c>
      <c r="E1408" s="76"/>
      <c r="F1408" s="51" t="s">
        <v>347</v>
      </c>
      <c r="G1408" s="76">
        <v>9</v>
      </c>
      <c r="H1408" s="76" t="s">
        <v>17</v>
      </c>
      <c r="I1408" s="76" t="s">
        <v>27</v>
      </c>
      <c r="J1408" s="76"/>
      <c r="K1408" s="78">
        <f>AB1408/COUNTIFS($B:$B,$B1408,$C:$C,$C1408,$H:$H,$H1408,$I:$I,$I1408)</f>
        <v>0.05</v>
      </c>
      <c r="L1408" s="80">
        <f t="shared" si="82"/>
        <v>0.85</v>
      </c>
      <c r="M1408" s="82">
        <f t="shared" si="85"/>
        <v>0</v>
      </c>
      <c r="N1408" s="59"/>
      <c r="AA1408" s="146">
        <f>AB1408/COUNTIFS($B:$B,$B1408,$C:$C,$C1408,$H:$H,$H1408,$I:$I,$I1408)</f>
        <v>0.05</v>
      </c>
      <c r="AB1408" s="108">
        <f>VLOOKUP(I1408,'Weights and Confidence'!$D$16:$AC$26,9,FALSE)</f>
        <v>0.1</v>
      </c>
      <c r="AC1408" s="147">
        <f>VLOOKUP(I1408,'Weights and Confidence'!$D$16:$AC$26,10,FALSE)</f>
        <v>0.85</v>
      </c>
    </row>
    <row r="1409" spans="1:29" x14ac:dyDescent="0.2">
      <c r="A1409" s="77" t="s">
        <v>185</v>
      </c>
      <c r="B1409" s="77" t="s">
        <v>187</v>
      </c>
      <c r="C1409" s="77" t="s">
        <v>346</v>
      </c>
      <c r="D1409" s="77" t="s">
        <v>65</v>
      </c>
      <c r="E1409" s="77"/>
      <c r="F1409" s="50" t="s">
        <v>347</v>
      </c>
      <c r="G1409" s="77">
        <v>9</v>
      </c>
      <c r="H1409" s="77" t="s">
        <v>18</v>
      </c>
      <c r="I1409" s="77" t="s">
        <v>27</v>
      </c>
      <c r="J1409" s="77"/>
      <c r="K1409" s="79">
        <f>AB1409/COUNTIFS($B:$B,$B1409,$C:$C,$C1409,$H:$H,$H1409,$I:$I,$I1409)</f>
        <v>0.05</v>
      </c>
      <c r="L1409" s="81">
        <f t="shared" si="82"/>
        <v>0.85</v>
      </c>
      <c r="M1409" s="83">
        <f t="shared" si="85"/>
        <v>0</v>
      </c>
      <c r="N1409" s="58"/>
      <c r="AA1409" s="146">
        <f>AB1409/COUNTIFS($B:$B,$B1409,$C:$C,$C1409,$H:$H,$H1409,$I:$I,$I1409)</f>
        <v>0.05</v>
      </c>
      <c r="AB1409" s="108">
        <f>VLOOKUP(I1409,'Weights and Confidence'!$D$16:$AC$26,9,FALSE)</f>
        <v>0.1</v>
      </c>
      <c r="AC1409" s="147">
        <f>VLOOKUP(I1409,'Weights and Confidence'!$D$16:$AC$26,10,FALSE)</f>
        <v>0.85</v>
      </c>
    </row>
    <row r="1410" spans="1:29" x14ac:dyDescent="0.2">
      <c r="A1410" s="76" t="s">
        <v>185</v>
      </c>
      <c r="B1410" s="76" t="s">
        <v>187</v>
      </c>
      <c r="C1410" s="76" t="s">
        <v>346</v>
      </c>
      <c r="D1410" s="76" t="s">
        <v>65</v>
      </c>
      <c r="E1410" s="76"/>
      <c r="F1410" s="51" t="s">
        <v>347</v>
      </c>
      <c r="G1410" s="76">
        <v>10</v>
      </c>
      <c r="H1410" s="76" t="s">
        <v>17</v>
      </c>
      <c r="I1410" s="76" t="s">
        <v>27</v>
      </c>
      <c r="J1410" s="76"/>
      <c r="K1410" s="78">
        <f>AB1410/COUNTIFS($B:$B,$B1410,$C:$C,$C1410,$H:$H,$H1410,$I:$I,$I1410)</f>
        <v>0.05</v>
      </c>
      <c r="L1410" s="80">
        <f t="shared" si="82"/>
        <v>0.85</v>
      </c>
      <c r="M1410" s="82">
        <f t="shared" si="85"/>
        <v>0</v>
      </c>
      <c r="N1410" s="59"/>
      <c r="AA1410" s="146">
        <f>AB1410/COUNTIFS($B:$B,$B1410,$C:$C,$C1410,$H:$H,$H1410,$I:$I,$I1410)</f>
        <v>0.05</v>
      </c>
      <c r="AB1410" s="108">
        <f>VLOOKUP(I1410,'Weights and Confidence'!$D$16:$AC$26,9,FALSE)</f>
        <v>0.1</v>
      </c>
      <c r="AC1410" s="147">
        <f>VLOOKUP(I1410,'Weights and Confidence'!$D$16:$AC$26,10,FALSE)</f>
        <v>0.85</v>
      </c>
    </row>
    <row r="1411" spans="1:29" x14ac:dyDescent="0.2">
      <c r="A1411" s="77" t="s">
        <v>185</v>
      </c>
      <c r="B1411" s="77" t="s">
        <v>187</v>
      </c>
      <c r="C1411" s="77" t="s">
        <v>346</v>
      </c>
      <c r="D1411" s="77" t="s">
        <v>65</v>
      </c>
      <c r="E1411" s="77"/>
      <c r="F1411" s="50" t="s">
        <v>347</v>
      </c>
      <c r="G1411" s="77">
        <v>10</v>
      </c>
      <c r="H1411" s="77" t="s">
        <v>18</v>
      </c>
      <c r="I1411" s="77" t="s">
        <v>27</v>
      </c>
      <c r="J1411" s="77"/>
      <c r="K1411" s="79">
        <f>AB1411/COUNTIFS($B:$B,$B1411,$C:$C,$C1411,$H:$H,$H1411,$I:$I,$I1411)</f>
        <v>0.05</v>
      </c>
      <c r="L1411" s="81">
        <f t="shared" si="82"/>
        <v>0.85</v>
      </c>
      <c r="M1411" s="83">
        <f t="shared" si="85"/>
        <v>0</v>
      </c>
      <c r="N1411" s="58"/>
      <c r="AA1411" s="146">
        <f>AB1411/COUNTIFS($B:$B,$B1411,$C:$C,$C1411,$H:$H,$H1411,$I:$I,$I1411)</f>
        <v>0.05</v>
      </c>
      <c r="AB1411" s="108">
        <f>VLOOKUP(I1411,'Weights and Confidence'!$D$16:$AC$26,9,FALSE)</f>
        <v>0.1</v>
      </c>
      <c r="AC1411" s="147">
        <f>VLOOKUP(I1411,'Weights and Confidence'!$D$16:$AC$26,10,FALSE)</f>
        <v>0.85</v>
      </c>
    </row>
    <row r="1412" spans="1:29" x14ac:dyDescent="0.2">
      <c r="A1412" s="76" t="s">
        <v>185</v>
      </c>
      <c r="B1412" s="76" t="s">
        <v>187</v>
      </c>
      <c r="C1412" s="76" t="s">
        <v>346</v>
      </c>
      <c r="D1412" s="76" t="s">
        <v>65</v>
      </c>
      <c r="E1412" s="76"/>
      <c r="F1412" s="51" t="s">
        <v>347</v>
      </c>
      <c r="G1412" s="76">
        <v>11</v>
      </c>
      <c r="H1412" s="76" t="s">
        <v>17</v>
      </c>
      <c r="I1412" s="76" t="s">
        <v>28</v>
      </c>
      <c r="J1412" s="76">
        <v>0</v>
      </c>
      <c r="K1412" s="78">
        <f>AB1412/COUNTIFS($B:$B,$B1412,$C:$C,$C1412,$H:$H,$H1412,$I:$I,$I1412)</f>
        <v>0.05</v>
      </c>
      <c r="L1412" s="80">
        <f t="shared" si="82"/>
        <v>1</v>
      </c>
      <c r="M1412" s="82">
        <f t="shared" si="85"/>
        <v>0</v>
      </c>
      <c r="N1412" s="59"/>
      <c r="AA1412" s="146">
        <f>AB1412/COUNTIFS($B:$B,$B1412,$C:$C,$C1412,$H:$H,$H1412,$I:$I,$I1412)</f>
        <v>0.05</v>
      </c>
      <c r="AB1412" s="108">
        <f>VLOOKUP(I1412,'Weights and Confidence'!$D$16:$AC$26,9,FALSE)</f>
        <v>0.05</v>
      </c>
      <c r="AC1412" s="147">
        <f>VLOOKUP(I1412,'Weights and Confidence'!$D$16:$AC$26,10,FALSE)</f>
        <v>1</v>
      </c>
    </row>
    <row r="1413" spans="1:29" ht="17" thickBot="1" x14ac:dyDescent="0.25">
      <c r="A1413" s="98" t="s">
        <v>185</v>
      </c>
      <c r="B1413" s="98" t="s">
        <v>187</v>
      </c>
      <c r="C1413" s="98" t="s">
        <v>346</v>
      </c>
      <c r="D1413" s="98" t="s">
        <v>65</v>
      </c>
      <c r="E1413" s="98"/>
      <c r="F1413" s="54" t="s">
        <v>347</v>
      </c>
      <c r="G1413" s="98">
        <v>11</v>
      </c>
      <c r="H1413" s="98" t="s">
        <v>18</v>
      </c>
      <c r="I1413" s="98" t="s">
        <v>28</v>
      </c>
      <c r="J1413" s="98">
        <v>-1</v>
      </c>
      <c r="K1413" s="99">
        <f>AB1413/COUNTIFS($B:$B,$B1413,$C:$C,$C1413,$H:$H,$H1413,$I:$I,$I1413)</f>
        <v>0.05</v>
      </c>
      <c r="L1413" s="100">
        <f t="shared" si="82"/>
        <v>1</v>
      </c>
      <c r="M1413" s="101">
        <f t="shared" si="85"/>
        <v>-0.05</v>
      </c>
      <c r="N1413" s="22"/>
      <c r="AA1413" s="140">
        <f>AB1413/COUNTIFS($B:$B,$B1413,$C:$C,$C1413,$H:$H,$H1413,$I:$I,$I1413)</f>
        <v>0.05</v>
      </c>
      <c r="AB1413" s="141">
        <f>VLOOKUP(I1413,'Weights and Confidence'!$D$16:$AC$26,9,FALSE)</f>
        <v>0.05</v>
      </c>
      <c r="AC1413" s="142">
        <f>VLOOKUP(I1413,'Weights and Confidence'!$D$16:$AC$26,10,FALSE)</f>
        <v>1</v>
      </c>
    </row>
    <row r="1414" spans="1:29" ht="18" thickTop="1" thickBot="1" x14ac:dyDescent="0.25">
      <c r="A1414" s="86" t="s">
        <v>185</v>
      </c>
      <c r="B1414" s="86" t="s">
        <v>187</v>
      </c>
      <c r="C1414" s="86" t="s">
        <v>502</v>
      </c>
      <c r="D1414" s="129" t="s">
        <v>65</v>
      </c>
      <c r="E1414" s="86"/>
      <c r="F1414" s="91" t="s">
        <v>503</v>
      </c>
      <c r="G1414" s="86">
        <v>1</v>
      </c>
      <c r="H1414" s="86" t="s">
        <v>17</v>
      </c>
      <c r="I1414" s="86" t="s">
        <v>19</v>
      </c>
      <c r="J1414" s="97">
        <v>1</v>
      </c>
      <c r="K1414" s="87">
        <f>AB1414/COUNTIFS($B:$B,$B1414,$C:$C,$C1414,$H:$H,$H1414,$I:$I,$I1414)</f>
        <v>0.12</v>
      </c>
      <c r="L1414" s="88">
        <f t="shared" ref="L1414:L1477" si="86">AC1414</f>
        <v>1</v>
      </c>
      <c r="M1414" s="89">
        <f t="shared" si="85"/>
        <v>0.12</v>
      </c>
      <c r="N1414" s="90"/>
      <c r="AA1414" s="146">
        <f>AB1414/COUNTIFS($B:$B,$B1414,$C:$C,$C1414,$H:$H,$H1414,$I:$I,$I1414)</f>
        <v>0.12</v>
      </c>
      <c r="AB1414" s="108">
        <f>VLOOKUP(I1414,'Weights and Confidence'!$D$16:$AC$26,9,FALSE)</f>
        <v>0.12</v>
      </c>
      <c r="AC1414" s="147">
        <f>VLOOKUP(I1414,'Weights and Confidence'!$D$16:$AC$26,10,FALSE)</f>
        <v>1</v>
      </c>
    </row>
    <row r="1415" spans="1:29" x14ac:dyDescent="0.2">
      <c r="A1415" s="77" t="s">
        <v>185</v>
      </c>
      <c r="B1415" s="77" t="s">
        <v>187</v>
      </c>
      <c r="C1415" s="77" t="s">
        <v>502</v>
      </c>
      <c r="D1415" s="77" t="s">
        <v>65</v>
      </c>
      <c r="E1415" s="77"/>
      <c r="F1415" s="50" t="s">
        <v>503</v>
      </c>
      <c r="G1415" s="77">
        <v>1</v>
      </c>
      <c r="H1415" s="77" t="s">
        <v>18</v>
      </c>
      <c r="I1415" s="77" t="s">
        <v>19</v>
      </c>
      <c r="J1415" s="77">
        <v>1</v>
      </c>
      <c r="K1415" s="79">
        <f>AB1415/COUNTIFS($B:$B,$B1415,$C:$C,$C1415,$H:$H,$H1415,$I:$I,$I1415)</f>
        <v>0.12</v>
      </c>
      <c r="L1415" s="81">
        <f t="shared" si="86"/>
        <v>1</v>
      </c>
      <c r="M1415" s="83">
        <f>J1414*K1415*L1415</f>
        <v>0.12</v>
      </c>
      <c r="N1415" s="84"/>
      <c r="P1415" s="24" t="s">
        <v>505</v>
      </c>
      <c r="Q1415" s="10"/>
      <c r="R1415" s="10"/>
      <c r="S1415" s="10"/>
      <c r="T1415" s="10"/>
      <c r="U1415" s="10"/>
      <c r="V1415" s="10"/>
      <c r="AA1415" s="146">
        <f>AB1415/COUNTIFS($B:$B,$B1415,$C:$C,$C1415,$H:$H,$H1415,$I:$I,$I1415)</f>
        <v>0.12</v>
      </c>
      <c r="AB1415" s="108">
        <f>VLOOKUP(I1415,'Weights and Confidence'!$D$16:$AC$26,9,FALSE)</f>
        <v>0.12</v>
      </c>
      <c r="AC1415" s="147">
        <f>VLOOKUP(I1415,'Weights and Confidence'!$D$16:$AC$26,10,FALSE)</f>
        <v>1</v>
      </c>
    </row>
    <row r="1416" spans="1:29" x14ac:dyDescent="0.2">
      <c r="A1416" s="76" t="s">
        <v>185</v>
      </c>
      <c r="B1416" s="76" t="s">
        <v>187</v>
      </c>
      <c r="C1416" s="76" t="s">
        <v>502</v>
      </c>
      <c r="D1416" s="76" t="s">
        <v>65</v>
      </c>
      <c r="E1416" s="76"/>
      <c r="F1416" s="51" t="s">
        <v>503</v>
      </c>
      <c r="G1416" s="76">
        <v>2</v>
      </c>
      <c r="H1416" s="76" t="s">
        <v>17</v>
      </c>
      <c r="I1416" s="76" t="s">
        <v>20</v>
      </c>
      <c r="J1416" s="76">
        <v>1</v>
      </c>
      <c r="K1416" s="78">
        <f>AB1416/COUNTIFS($B:$B,$B1416,$C:$C,$C1416,$H:$H,$H1416,$I:$I,$I1416)</f>
        <v>0.08</v>
      </c>
      <c r="L1416" s="80">
        <f t="shared" si="86"/>
        <v>0.8</v>
      </c>
      <c r="M1416" s="82">
        <f t="shared" ref="M1416:M1436" si="87">J1416*K1416*L1416</f>
        <v>6.4000000000000001E-2</v>
      </c>
      <c r="N1416" s="59"/>
      <c r="P1416" s="25" t="s">
        <v>506</v>
      </c>
      <c r="Q1416" s="75"/>
      <c r="R1416" s="75"/>
      <c r="S1416" s="75"/>
      <c r="T1416" s="75"/>
      <c r="U1416" s="75"/>
      <c r="V1416" s="75"/>
      <c r="AA1416" s="146">
        <f>AB1416/COUNTIFS($B:$B,$B1416,$C:$C,$C1416,$H:$H,$H1416,$I:$I,$I1416)</f>
        <v>0.08</v>
      </c>
      <c r="AB1416" s="108">
        <f>VLOOKUP(I1416,'Weights and Confidence'!$D$16:$AC$26,9,FALSE)</f>
        <v>0.08</v>
      </c>
      <c r="AC1416" s="147">
        <f>VLOOKUP(I1416,'Weights and Confidence'!$D$16:$AC$26,10,FALSE)</f>
        <v>0.8</v>
      </c>
    </row>
    <row r="1417" spans="1:29" x14ac:dyDescent="0.2">
      <c r="A1417" s="77" t="s">
        <v>185</v>
      </c>
      <c r="B1417" s="77" t="s">
        <v>187</v>
      </c>
      <c r="C1417" s="77" t="s">
        <v>502</v>
      </c>
      <c r="D1417" s="77" t="s">
        <v>65</v>
      </c>
      <c r="E1417" s="77"/>
      <c r="F1417" s="50" t="s">
        <v>503</v>
      </c>
      <c r="G1417" s="77">
        <v>2</v>
      </c>
      <c r="H1417" s="77" t="s">
        <v>18</v>
      </c>
      <c r="I1417" s="77" t="s">
        <v>20</v>
      </c>
      <c r="J1417" s="77">
        <v>1</v>
      </c>
      <c r="K1417" s="79">
        <f>AB1417/COUNTIFS($B:$B,$B1417,$C:$C,$C1417,$H:$H,$H1417,$I:$I,$I1417)</f>
        <v>0.08</v>
      </c>
      <c r="L1417" s="81">
        <f t="shared" si="86"/>
        <v>0.8</v>
      </c>
      <c r="M1417" s="83">
        <f t="shared" si="87"/>
        <v>6.4000000000000001E-2</v>
      </c>
      <c r="N1417" s="58"/>
      <c r="P1417" s="25" t="s">
        <v>507</v>
      </c>
      <c r="Q1417" s="75"/>
      <c r="R1417" s="75"/>
      <c r="S1417" s="75"/>
      <c r="T1417" s="75"/>
      <c r="U1417" s="75"/>
      <c r="V1417" s="75"/>
      <c r="AA1417" s="146">
        <f>AB1417/COUNTIFS($B:$B,$B1417,$C:$C,$C1417,$H:$H,$H1417,$I:$I,$I1417)</f>
        <v>0.08</v>
      </c>
      <c r="AB1417" s="108">
        <f>VLOOKUP(I1417,'Weights and Confidence'!$D$16:$AC$26,9,FALSE)</f>
        <v>0.08</v>
      </c>
      <c r="AC1417" s="147">
        <f>VLOOKUP(I1417,'Weights and Confidence'!$D$16:$AC$26,10,FALSE)</f>
        <v>0.8</v>
      </c>
    </row>
    <row r="1418" spans="1:29" x14ac:dyDescent="0.2">
      <c r="A1418" s="76" t="s">
        <v>185</v>
      </c>
      <c r="B1418" s="76" t="s">
        <v>187</v>
      </c>
      <c r="C1418" s="76" t="s">
        <v>502</v>
      </c>
      <c r="D1418" s="76" t="s">
        <v>65</v>
      </c>
      <c r="E1418" s="76"/>
      <c r="F1418" s="51" t="s">
        <v>503</v>
      </c>
      <c r="G1418" s="76">
        <v>3</v>
      </c>
      <c r="H1418" s="76" t="s">
        <v>17</v>
      </c>
      <c r="I1418" s="76" t="s">
        <v>21</v>
      </c>
      <c r="J1418" s="76">
        <v>1</v>
      </c>
      <c r="K1418" s="78">
        <f>AB1418/COUNTIFS($B:$B,$B1418,$C:$C,$C1418,$H:$H,$H1418,$I:$I,$I1418)</f>
        <v>0.05</v>
      </c>
      <c r="L1418" s="80">
        <f t="shared" si="86"/>
        <v>1</v>
      </c>
      <c r="M1418" s="82">
        <f t="shared" si="87"/>
        <v>0.05</v>
      </c>
      <c r="N1418" s="59"/>
      <c r="P1418" s="25" t="s">
        <v>508</v>
      </c>
      <c r="Q1418" s="75"/>
      <c r="R1418" s="75"/>
      <c r="S1418" s="75"/>
      <c r="T1418" s="75"/>
      <c r="U1418" s="75"/>
      <c r="V1418" s="75"/>
      <c r="AA1418" s="146">
        <f>AB1418/COUNTIFS($B:$B,$B1418,$C:$C,$C1418,$H:$H,$H1418,$I:$I,$I1418)</f>
        <v>0.05</v>
      </c>
      <c r="AB1418" s="108">
        <f>VLOOKUP(I1418,'Weights and Confidence'!$D$16:$AC$26,9,FALSE)</f>
        <v>0.05</v>
      </c>
      <c r="AC1418" s="147">
        <f>VLOOKUP(I1418,'Weights and Confidence'!$D$16:$AC$26,10,FALSE)</f>
        <v>1</v>
      </c>
    </row>
    <row r="1419" spans="1:29" x14ac:dyDescent="0.2">
      <c r="A1419" s="77" t="s">
        <v>185</v>
      </c>
      <c r="B1419" s="77" t="s">
        <v>187</v>
      </c>
      <c r="C1419" s="77" t="s">
        <v>502</v>
      </c>
      <c r="D1419" s="77" t="s">
        <v>65</v>
      </c>
      <c r="E1419" s="77"/>
      <c r="F1419" s="50" t="s">
        <v>503</v>
      </c>
      <c r="G1419" s="77">
        <v>3</v>
      </c>
      <c r="H1419" s="77" t="s">
        <v>18</v>
      </c>
      <c r="I1419" s="77" t="s">
        <v>21</v>
      </c>
      <c r="J1419" s="77">
        <v>1</v>
      </c>
      <c r="K1419" s="79">
        <f>AB1419/COUNTIFS($B:$B,$B1419,$C:$C,$C1419,$H:$H,$H1419,$I:$I,$I1419)</f>
        <v>0.05</v>
      </c>
      <c r="L1419" s="81">
        <f t="shared" si="86"/>
        <v>1</v>
      </c>
      <c r="M1419" s="83">
        <f t="shared" si="87"/>
        <v>0.05</v>
      </c>
      <c r="N1419" s="84"/>
      <c r="P1419" s="25" t="s">
        <v>509</v>
      </c>
      <c r="Q1419" s="75"/>
      <c r="R1419" s="75"/>
      <c r="S1419" s="75"/>
      <c r="T1419" s="75"/>
      <c r="U1419" s="75"/>
      <c r="V1419" s="75"/>
      <c r="AA1419" s="146">
        <f>AB1419/COUNTIFS($B:$B,$B1419,$C:$C,$C1419,$H:$H,$H1419,$I:$I,$I1419)</f>
        <v>0.05</v>
      </c>
      <c r="AB1419" s="108">
        <f>VLOOKUP(I1419,'Weights and Confidence'!$D$16:$AC$26,9,FALSE)</f>
        <v>0.05</v>
      </c>
      <c r="AC1419" s="147">
        <f>VLOOKUP(I1419,'Weights and Confidence'!$D$16:$AC$26,10,FALSE)</f>
        <v>1</v>
      </c>
    </row>
    <row r="1420" spans="1:29" x14ac:dyDescent="0.2">
      <c r="A1420" s="76" t="s">
        <v>185</v>
      </c>
      <c r="B1420" s="76" t="s">
        <v>187</v>
      </c>
      <c r="C1420" s="76" t="s">
        <v>502</v>
      </c>
      <c r="D1420" s="76" t="s">
        <v>65</v>
      </c>
      <c r="E1420" s="76"/>
      <c r="F1420" s="51" t="s">
        <v>503</v>
      </c>
      <c r="G1420" s="76">
        <v>4</v>
      </c>
      <c r="H1420" s="76" t="s">
        <v>17</v>
      </c>
      <c r="I1420" s="76" t="s">
        <v>22</v>
      </c>
      <c r="J1420" s="76">
        <v>1</v>
      </c>
      <c r="K1420" s="78">
        <f>AB1420/COUNTIFS($B:$B,$B1420,$C:$C,$C1420,$H:$H,$H1420,$I:$I,$I1420)</f>
        <v>0.14000000000000001</v>
      </c>
      <c r="L1420" s="80">
        <f t="shared" si="86"/>
        <v>1</v>
      </c>
      <c r="M1420" s="82">
        <f t="shared" si="87"/>
        <v>0.14000000000000001</v>
      </c>
      <c r="N1420" s="59"/>
      <c r="P1420" s="25" t="s">
        <v>510</v>
      </c>
      <c r="Q1420" s="75"/>
      <c r="R1420" s="75"/>
      <c r="S1420" s="75"/>
      <c r="T1420" s="75"/>
      <c r="U1420" s="75"/>
      <c r="V1420" s="75"/>
      <c r="AA1420" s="146">
        <f>AB1420/COUNTIFS($B:$B,$B1420,$C:$C,$C1420,$H:$H,$H1420,$I:$I,$I1420)</f>
        <v>0.14000000000000001</v>
      </c>
      <c r="AB1420" s="108">
        <f>VLOOKUP(I1420,'Weights and Confidence'!$D$16:$AC$26,9,FALSE)</f>
        <v>0.14000000000000001</v>
      </c>
      <c r="AC1420" s="147">
        <f>VLOOKUP(I1420,'Weights and Confidence'!$D$16:$AC$26,10,FALSE)</f>
        <v>1</v>
      </c>
    </row>
    <row r="1421" spans="1:29" x14ac:dyDescent="0.2">
      <c r="A1421" s="77" t="s">
        <v>185</v>
      </c>
      <c r="B1421" s="77" t="s">
        <v>187</v>
      </c>
      <c r="C1421" s="77" t="s">
        <v>502</v>
      </c>
      <c r="D1421" s="77" t="s">
        <v>65</v>
      </c>
      <c r="E1421" s="77"/>
      <c r="F1421" s="50" t="s">
        <v>503</v>
      </c>
      <c r="G1421" s="77">
        <v>4</v>
      </c>
      <c r="H1421" s="77" t="s">
        <v>18</v>
      </c>
      <c r="I1421" s="77" t="s">
        <v>22</v>
      </c>
      <c r="J1421" s="77">
        <v>0</v>
      </c>
      <c r="K1421" s="79">
        <f>AB1421/COUNTIFS($B:$B,$B1421,$C:$C,$C1421,$H:$H,$H1421,$I:$I,$I1421)</f>
        <v>0.14000000000000001</v>
      </c>
      <c r="L1421" s="81">
        <f t="shared" si="86"/>
        <v>1</v>
      </c>
      <c r="M1421" s="83">
        <f t="shared" si="87"/>
        <v>0</v>
      </c>
      <c r="N1421" s="84"/>
      <c r="P1421" s="25" t="s">
        <v>511</v>
      </c>
      <c r="Q1421" s="75"/>
      <c r="R1421" s="75"/>
      <c r="S1421" s="75"/>
      <c r="T1421" s="75"/>
      <c r="U1421" s="75"/>
      <c r="V1421" s="75"/>
      <c r="AA1421" s="146">
        <f>AB1421/COUNTIFS($B:$B,$B1421,$C:$C,$C1421,$H:$H,$H1421,$I:$I,$I1421)</f>
        <v>0.14000000000000001</v>
      </c>
      <c r="AB1421" s="108">
        <f>VLOOKUP(I1421,'Weights and Confidence'!$D$16:$AC$26,9,FALSE)</f>
        <v>0.14000000000000001</v>
      </c>
      <c r="AC1421" s="147">
        <f>VLOOKUP(I1421,'Weights and Confidence'!$D$16:$AC$26,10,FALSE)</f>
        <v>1</v>
      </c>
    </row>
    <row r="1422" spans="1:29" x14ac:dyDescent="0.2">
      <c r="A1422" s="76" t="s">
        <v>185</v>
      </c>
      <c r="B1422" s="76" t="s">
        <v>187</v>
      </c>
      <c r="C1422" s="76" t="s">
        <v>502</v>
      </c>
      <c r="D1422" s="76" t="s">
        <v>65</v>
      </c>
      <c r="E1422" s="76"/>
      <c r="F1422" s="51" t="s">
        <v>503</v>
      </c>
      <c r="G1422" s="76">
        <v>5</v>
      </c>
      <c r="H1422" s="76" t="s">
        <v>17</v>
      </c>
      <c r="I1422" s="76" t="s">
        <v>23</v>
      </c>
      <c r="J1422" s="76">
        <v>1</v>
      </c>
      <c r="K1422" s="78">
        <f>AB1422/COUNTIFS($B:$B,$B1422,$C:$C,$C1422,$H:$H,$H1422,$I:$I,$I1422)</f>
        <v>0.11</v>
      </c>
      <c r="L1422" s="80">
        <f t="shared" si="86"/>
        <v>1</v>
      </c>
      <c r="M1422" s="82">
        <f t="shared" si="87"/>
        <v>0.11</v>
      </c>
      <c r="N1422" s="59"/>
      <c r="P1422" s="25" t="s">
        <v>512</v>
      </c>
      <c r="Q1422" s="75"/>
      <c r="R1422" s="75"/>
      <c r="S1422" s="75"/>
      <c r="T1422" s="75"/>
      <c r="U1422" s="75"/>
      <c r="V1422" s="75"/>
      <c r="AA1422" s="146">
        <f>AB1422/COUNTIFS($B:$B,$B1422,$C:$C,$C1422,$H:$H,$H1422,$I:$I,$I1422)</f>
        <v>0.11</v>
      </c>
      <c r="AB1422" s="108">
        <f>VLOOKUP(I1422,'Weights and Confidence'!$D$16:$AC$26,9,FALSE)</f>
        <v>0.11</v>
      </c>
      <c r="AC1422" s="147">
        <f>VLOOKUP(I1422,'Weights and Confidence'!$D$16:$AC$26,10,FALSE)</f>
        <v>1</v>
      </c>
    </row>
    <row r="1423" spans="1:29" x14ac:dyDescent="0.2">
      <c r="A1423" s="77" t="s">
        <v>185</v>
      </c>
      <c r="B1423" s="77" t="s">
        <v>187</v>
      </c>
      <c r="C1423" s="77" t="s">
        <v>502</v>
      </c>
      <c r="D1423" s="77" t="s">
        <v>65</v>
      </c>
      <c r="E1423" s="77"/>
      <c r="F1423" s="50" t="s">
        <v>503</v>
      </c>
      <c r="G1423" s="77">
        <v>5</v>
      </c>
      <c r="H1423" s="77" t="s">
        <v>18</v>
      </c>
      <c r="I1423" s="77" t="s">
        <v>23</v>
      </c>
      <c r="J1423" s="77">
        <v>0</v>
      </c>
      <c r="K1423" s="79">
        <f>AB1423/COUNTIFS($B:$B,$B1423,$C:$C,$C1423,$H:$H,$H1423,$I:$I,$I1423)</f>
        <v>0.11</v>
      </c>
      <c r="L1423" s="81">
        <f t="shared" si="86"/>
        <v>1</v>
      </c>
      <c r="M1423" s="83">
        <f t="shared" si="87"/>
        <v>0</v>
      </c>
      <c r="N1423" s="84"/>
      <c r="P1423" s="25" t="s">
        <v>513</v>
      </c>
      <c r="Q1423" s="75"/>
      <c r="R1423" s="75"/>
      <c r="S1423" s="75"/>
      <c r="T1423" s="75"/>
      <c r="U1423" s="75"/>
      <c r="V1423" s="75"/>
      <c r="AA1423" s="146">
        <f>AB1423/COUNTIFS($B:$B,$B1423,$C:$C,$C1423,$H:$H,$H1423,$I:$I,$I1423)</f>
        <v>0.11</v>
      </c>
      <c r="AB1423" s="108">
        <f>VLOOKUP(I1423,'Weights and Confidence'!$D$16:$AC$26,9,FALSE)</f>
        <v>0.11</v>
      </c>
      <c r="AC1423" s="147">
        <f>VLOOKUP(I1423,'Weights and Confidence'!$D$16:$AC$26,10,FALSE)</f>
        <v>1</v>
      </c>
    </row>
    <row r="1424" spans="1:29" x14ac:dyDescent="0.2">
      <c r="A1424" s="76" t="s">
        <v>185</v>
      </c>
      <c r="B1424" s="76" t="s">
        <v>187</v>
      </c>
      <c r="C1424" s="76" t="s">
        <v>502</v>
      </c>
      <c r="D1424" s="76" t="s">
        <v>65</v>
      </c>
      <c r="E1424" s="76"/>
      <c r="F1424" s="51" t="s">
        <v>503</v>
      </c>
      <c r="G1424" s="76">
        <v>6</v>
      </c>
      <c r="H1424" s="76" t="s">
        <v>17</v>
      </c>
      <c r="I1424" s="76" t="s">
        <v>24</v>
      </c>
      <c r="J1424" s="76">
        <v>1</v>
      </c>
      <c r="K1424" s="78">
        <f>AB1424/COUNTIFS($B:$B,$B1424,$C:$C,$C1424,$H:$H,$H1424,$I:$I,$I1424)</f>
        <v>0.15</v>
      </c>
      <c r="L1424" s="80">
        <f t="shared" si="86"/>
        <v>1</v>
      </c>
      <c r="M1424" s="82">
        <f t="shared" si="87"/>
        <v>0.15</v>
      </c>
      <c r="N1424" s="59"/>
      <c r="P1424" s="25" t="s">
        <v>514</v>
      </c>
      <c r="Q1424" s="75"/>
      <c r="R1424" s="75"/>
      <c r="S1424" s="75"/>
      <c r="T1424" s="75"/>
      <c r="U1424" s="75"/>
      <c r="V1424" s="75"/>
      <c r="AA1424" s="146">
        <f>AB1424/COUNTIFS($B:$B,$B1424,$C:$C,$C1424,$H:$H,$H1424,$I:$I,$I1424)</f>
        <v>0.15</v>
      </c>
      <c r="AB1424" s="108">
        <f>VLOOKUP(I1424,'Weights and Confidence'!$D$16:$AC$26,9,FALSE)</f>
        <v>0.15</v>
      </c>
      <c r="AC1424" s="147">
        <f>VLOOKUP(I1424,'Weights and Confidence'!$D$16:$AC$26,10,FALSE)</f>
        <v>1</v>
      </c>
    </row>
    <row r="1425" spans="1:29" x14ac:dyDescent="0.2">
      <c r="A1425" s="77" t="s">
        <v>185</v>
      </c>
      <c r="B1425" s="77" t="s">
        <v>187</v>
      </c>
      <c r="C1425" s="77" t="s">
        <v>502</v>
      </c>
      <c r="D1425" s="77" t="s">
        <v>65</v>
      </c>
      <c r="E1425" s="77"/>
      <c r="F1425" s="50" t="s">
        <v>503</v>
      </c>
      <c r="G1425" s="77">
        <v>6</v>
      </c>
      <c r="H1425" s="77" t="s">
        <v>18</v>
      </c>
      <c r="I1425" s="77" t="s">
        <v>24</v>
      </c>
      <c r="J1425" s="77">
        <v>0</v>
      </c>
      <c r="K1425" s="79">
        <f>AB1425/COUNTIFS($B:$B,$B1425,$C:$C,$C1425,$H:$H,$H1425,$I:$I,$I1425)</f>
        <v>0.15</v>
      </c>
      <c r="L1425" s="81">
        <f t="shared" si="86"/>
        <v>1</v>
      </c>
      <c r="M1425" s="83">
        <f t="shared" si="87"/>
        <v>0</v>
      </c>
      <c r="N1425" s="84"/>
      <c r="P1425" s="25" t="s">
        <v>515</v>
      </c>
      <c r="Q1425" s="75"/>
      <c r="R1425" s="75"/>
      <c r="S1425" s="75"/>
      <c r="T1425" s="75"/>
      <c r="U1425" s="75"/>
      <c r="V1425" s="75"/>
      <c r="AA1425" s="146">
        <f>AB1425/COUNTIFS($B:$B,$B1425,$C:$C,$C1425,$H:$H,$H1425,$I:$I,$I1425)</f>
        <v>0.15</v>
      </c>
      <c r="AB1425" s="108">
        <f>VLOOKUP(I1425,'Weights and Confidence'!$D$16:$AC$26,9,FALSE)</f>
        <v>0.15</v>
      </c>
      <c r="AC1425" s="147">
        <f>VLOOKUP(I1425,'Weights and Confidence'!$D$16:$AC$26,10,FALSE)</f>
        <v>1</v>
      </c>
    </row>
    <row r="1426" spans="1:29" ht="17" thickBot="1" x14ac:dyDescent="0.25">
      <c r="A1426" s="76" t="s">
        <v>185</v>
      </c>
      <c r="B1426" s="76" t="s">
        <v>187</v>
      </c>
      <c r="C1426" s="76" t="s">
        <v>502</v>
      </c>
      <c r="D1426" s="76" t="s">
        <v>65</v>
      </c>
      <c r="E1426" s="76"/>
      <c r="F1426" s="51" t="s">
        <v>503</v>
      </c>
      <c r="G1426" s="76">
        <v>7</v>
      </c>
      <c r="H1426" s="76" t="s">
        <v>17</v>
      </c>
      <c r="I1426" s="76" t="s">
        <v>25</v>
      </c>
      <c r="J1426" s="76">
        <v>1</v>
      </c>
      <c r="K1426" s="78">
        <f>AB1426/COUNTIFS($B:$B,$B1426,$C:$C,$C1426,$H:$H,$H1426,$I:$I,$I1426)</f>
        <v>0.1</v>
      </c>
      <c r="L1426" s="80">
        <f t="shared" si="86"/>
        <v>1</v>
      </c>
      <c r="M1426" s="82">
        <f t="shared" si="87"/>
        <v>0.1</v>
      </c>
      <c r="N1426" s="59"/>
      <c r="P1426" s="26" t="s">
        <v>516</v>
      </c>
      <c r="Q1426" s="2"/>
      <c r="R1426" s="2"/>
      <c r="S1426" s="2"/>
      <c r="T1426" s="2"/>
      <c r="U1426" s="2"/>
      <c r="V1426" s="2"/>
      <c r="AA1426" s="146">
        <f>AB1426/COUNTIFS($B:$B,$B1426,$C:$C,$C1426,$H:$H,$H1426,$I:$I,$I1426)</f>
        <v>0.1</v>
      </c>
      <c r="AB1426" s="108">
        <f>VLOOKUP(I1426,'Weights and Confidence'!$D$16:$AC$26,9,FALSE)</f>
        <v>0.1</v>
      </c>
      <c r="AC1426" s="147">
        <f>VLOOKUP(I1426,'Weights and Confidence'!$D$16:$AC$26,10,FALSE)</f>
        <v>1</v>
      </c>
    </row>
    <row r="1427" spans="1:29" x14ac:dyDescent="0.2">
      <c r="A1427" s="77" t="s">
        <v>185</v>
      </c>
      <c r="B1427" s="77" t="s">
        <v>187</v>
      </c>
      <c r="C1427" s="77" t="s">
        <v>502</v>
      </c>
      <c r="D1427" s="77" t="s">
        <v>65</v>
      </c>
      <c r="E1427" s="77"/>
      <c r="F1427" s="50" t="s">
        <v>503</v>
      </c>
      <c r="G1427" s="77">
        <v>7</v>
      </c>
      <c r="H1427" s="77" t="s">
        <v>18</v>
      </c>
      <c r="I1427" s="77" t="s">
        <v>25</v>
      </c>
      <c r="J1427" s="77">
        <v>0</v>
      </c>
      <c r="K1427" s="79">
        <f>AB1427/COUNTIFS($B:$B,$B1427,$C:$C,$C1427,$H:$H,$H1427,$I:$I,$I1427)</f>
        <v>0.1</v>
      </c>
      <c r="L1427" s="81">
        <f t="shared" si="86"/>
        <v>1</v>
      </c>
      <c r="M1427" s="83">
        <f t="shared" si="87"/>
        <v>0</v>
      </c>
      <c r="N1427" s="84"/>
      <c r="AA1427" s="146">
        <f>AB1427/COUNTIFS($B:$B,$B1427,$C:$C,$C1427,$H:$H,$H1427,$I:$I,$I1427)</f>
        <v>0.1</v>
      </c>
      <c r="AB1427" s="108">
        <f>VLOOKUP(I1427,'Weights and Confidence'!$D$16:$AC$26,9,FALSE)</f>
        <v>0.1</v>
      </c>
      <c r="AC1427" s="147">
        <f>VLOOKUP(I1427,'Weights and Confidence'!$D$16:$AC$26,10,FALSE)</f>
        <v>1</v>
      </c>
    </row>
    <row r="1428" spans="1:29" x14ac:dyDescent="0.2">
      <c r="A1428" s="76" t="s">
        <v>185</v>
      </c>
      <c r="B1428" s="76" t="s">
        <v>187</v>
      </c>
      <c r="C1428" s="76" t="s">
        <v>502</v>
      </c>
      <c r="D1428" s="76" t="s">
        <v>65</v>
      </c>
      <c r="E1428" s="76"/>
      <c r="F1428" s="51" t="s">
        <v>503</v>
      </c>
      <c r="G1428" s="76">
        <v>8</v>
      </c>
      <c r="H1428" s="76" t="s">
        <v>17</v>
      </c>
      <c r="I1428" s="76" t="s">
        <v>26</v>
      </c>
      <c r="J1428" s="76">
        <v>1</v>
      </c>
      <c r="K1428" s="78">
        <f>AB1428/COUNTIFS($B:$B,$B1428,$C:$C,$C1428,$H:$H,$H1428,$I:$I,$I1428)</f>
        <v>0.1</v>
      </c>
      <c r="L1428" s="80">
        <f t="shared" si="86"/>
        <v>1</v>
      </c>
      <c r="M1428" s="82">
        <f t="shared" si="87"/>
        <v>0.1</v>
      </c>
      <c r="N1428" s="59"/>
      <c r="AA1428" s="146">
        <f>AB1428/COUNTIFS($B:$B,$B1428,$C:$C,$C1428,$H:$H,$H1428,$I:$I,$I1428)</f>
        <v>0.1</v>
      </c>
      <c r="AB1428" s="108">
        <f>VLOOKUP(I1428,'Weights and Confidence'!$D$16:$AC$26,9,FALSE)</f>
        <v>0.1</v>
      </c>
      <c r="AC1428" s="147">
        <f>VLOOKUP(I1428,'Weights and Confidence'!$D$16:$AC$26,10,FALSE)</f>
        <v>1</v>
      </c>
    </row>
    <row r="1429" spans="1:29" x14ac:dyDescent="0.2">
      <c r="A1429" s="77" t="s">
        <v>185</v>
      </c>
      <c r="B1429" s="77" t="s">
        <v>187</v>
      </c>
      <c r="C1429" s="77" t="s">
        <v>502</v>
      </c>
      <c r="D1429" s="77" t="s">
        <v>65</v>
      </c>
      <c r="E1429" s="77"/>
      <c r="F1429" s="50" t="s">
        <v>503</v>
      </c>
      <c r="G1429" s="77">
        <v>8</v>
      </c>
      <c r="H1429" s="77" t="s">
        <v>18</v>
      </c>
      <c r="I1429" s="77" t="s">
        <v>26</v>
      </c>
      <c r="J1429" s="77">
        <v>0</v>
      </c>
      <c r="K1429" s="79">
        <f>AB1429/COUNTIFS($B:$B,$B1429,$C:$C,$C1429,$H:$H,$H1429,$I:$I,$I1429)</f>
        <v>0.1</v>
      </c>
      <c r="L1429" s="81">
        <f t="shared" si="86"/>
        <v>1</v>
      </c>
      <c r="M1429" s="83">
        <f t="shared" si="87"/>
        <v>0</v>
      </c>
      <c r="N1429" s="84"/>
      <c r="AA1429" s="146">
        <f>AB1429/COUNTIFS($B:$B,$B1429,$C:$C,$C1429,$H:$H,$H1429,$I:$I,$I1429)</f>
        <v>0.1</v>
      </c>
      <c r="AB1429" s="108">
        <f>VLOOKUP(I1429,'Weights and Confidence'!$D$16:$AC$26,9,FALSE)</f>
        <v>0.1</v>
      </c>
      <c r="AC1429" s="147">
        <f>VLOOKUP(I1429,'Weights and Confidence'!$D$16:$AC$26,10,FALSE)</f>
        <v>1</v>
      </c>
    </row>
    <row r="1430" spans="1:29" x14ac:dyDescent="0.2">
      <c r="A1430" s="76" t="s">
        <v>185</v>
      </c>
      <c r="B1430" s="76" t="s">
        <v>187</v>
      </c>
      <c r="C1430" s="76" t="s">
        <v>502</v>
      </c>
      <c r="D1430" s="76" t="s">
        <v>65</v>
      </c>
      <c r="E1430" s="76"/>
      <c r="F1430" s="51" t="s">
        <v>503</v>
      </c>
      <c r="G1430" s="76">
        <v>9</v>
      </c>
      <c r="H1430" s="76" t="s">
        <v>17</v>
      </c>
      <c r="I1430" s="76" t="s">
        <v>27</v>
      </c>
      <c r="J1430" s="76"/>
      <c r="K1430" s="78">
        <f>AB1430/COUNTIFS($B:$B,$B1430,$C:$C,$C1430,$H:$H,$H1430,$I:$I,$I1430)</f>
        <v>0.05</v>
      </c>
      <c r="L1430" s="80">
        <f t="shared" si="86"/>
        <v>0.85</v>
      </c>
      <c r="M1430" s="82">
        <f t="shared" si="87"/>
        <v>0</v>
      </c>
      <c r="N1430" s="59"/>
      <c r="AA1430" s="146">
        <f>AB1430/COUNTIFS($B:$B,$B1430,$C:$C,$C1430,$H:$H,$H1430,$I:$I,$I1430)</f>
        <v>0.05</v>
      </c>
      <c r="AB1430" s="108">
        <f>VLOOKUP(I1430,'Weights and Confidence'!$D$16:$AC$26,9,FALSE)</f>
        <v>0.1</v>
      </c>
      <c r="AC1430" s="147">
        <f>VLOOKUP(I1430,'Weights and Confidence'!$D$16:$AC$26,10,FALSE)</f>
        <v>0.85</v>
      </c>
    </row>
    <row r="1431" spans="1:29" x14ac:dyDescent="0.2">
      <c r="A1431" s="77" t="s">
        <v>185</v>
      </c>
      <c r="B1431" s="77" t="s">
        <v>187</v>
      </c>
      <c r="C1431" s="77" t="s">
        <v>502</v>
      </c>
      <c r="D1431" s="77" t="s">
        <v>65</v>
      </c>
      <c r="E1431" s="77"/>
      <c r="F1431" s="50" t="s">
        <v>503</v>
      </c>
      <c r="G1431" s="77">
        <v>9</v>
      </c>
      <c r="H1431" s="77" t="s">
        <v>18</v>
      </c>
      <c r="I1431" s="77" t="s">
        <v>27</v>
      </c>
      <c r="J1431" s="77"/>
      <c r="K1431" s="79">
        <f>AB1431/COUNTIFS($B:$B,$B1431,$C:$C,$C1431,$H:$H,$H1431,$I:$I,$I1431)</f>
        <v>0.05</v>
      </c>
      <c r="L1431" s="81">
        <f t="shared" si="86"/>
        <v>0.85</v>
      </c>
      <c r="M1431" s="83">
        <f t="shared" si="87"/>
        <v>0</v>
      </c>
      <c r="N1431" s="58"/>
      <c r="AA1431" s="146">
        <f>AB1431/COUNTIFS($B:$B,$B1431,$C:$C,$C1431,$H:$H,$H1431,$I:$I,$I1431)</f>
        <v>0.05</v>
      </c>
      <c r="AB1431" s="108">
        <f>VLOOKUP(I1431,'Weights and Confidence'!$D$16:$AC$26,9,FALSE)</f>
        <v>0.1</v>
      </c>
      <c r="AC1431" s="147">
        <f>VLOOKUP(I1431,'Weights and Confidence'!$D$16:$AC$26,10,FALSE)</f>
        <v>0.85</v>
      </c>
    </row>
    <row r="1432" spans="1:29" x14ac:dyDescent="0.2">
      <c r="A1432" s="76" t="s">
        <v>185</v>
      </c>
      <c r="B1432" s="76" t="s">
        <v>187</v>
      </c>
      <c r="C1432" s="76" t="s">
        <v>502</v>
      </c>
      <c r="D1432" s="76" t="s">
        <v>65</v>
      </c>
      <c r="E1432" s="76"/>
      <c r="F1432" s="51" t="s">
        <v>503</v>
      </c>
      <c r="G1432" s="76">
        <v>10</v>
      </c>
      <c r="H1432" s="76" t="s">
        <v>17</v>
      </c>
      <c r="I1432" s="76" t="s">
        <v>27</v>
      </c>
      <c r="J1432" s="76"/>
      <c r="K1432" s="78">
        <f>AB1432/COUNTIFS($B:$B,$B1432,$C:$C,$C1432,$H:$H,$H1432,$I:$I,$I1432)</f>
        <v>0.05</v>
      </c>
      <c r="L1432" s="80">
        <f t="shared" si="86"/>
        <v>0.85</v>
      </c>
      <c r="M1432" s="82">
        <f t="shared" si="87"/>
        <v>0</v>
      </c>
      <c r="N1432" s="59"/>
      <c r="AA1432" s="146">
        <f>AB1432/COUNTIFS($B:$B,$B1432,$C:$C,$C1432,$H:$H,$H1432,$I:$I,$I1432)</f>
        <v>0.05</v>
      </c>
      <c r="AB1432" s="108">
        <f>VLOOKUP(I1432,'Weights and Confidence'!$D$16:$AC$26,9,FALSE)</f>
        <v>0.1</v>
      </c>
      <c r="AC1432" s="147">
        <f>VLOOKUP(I1432,'Weights and Confidence'!$D$16:$AC$26,10,FALSE)</f>
        <v>0.85</v>
      </c>
    </row>
    <row r="1433" spans="1:29" x14ac:dyDescent="0.2">
      <c r="A1433" s="77" t="s">
        <v>185</v>
      </c>
      <c r="B1433" s="77" t="s">
        <v>187</v>
      </c>
      <c r="C1433" s="77" t="s">
        <v>502</v>
      </c>
      <c r="D1433" s="77" t="s">
        <v>65</v>
      </c>
      <c r="E1433" s="77"/>
      <c r="F1433" s="50" t="s">
        <v>503</v>
      </c>
      <c r="G1433" s="77">
        <v>10</v>
      </c>
      <c r="H1433" s="77" t="s">
        <v>18</v>
      </c>
      <c r="I1433" s="77" t="s">
        <v>27</v>
      </c>
      <c r="J1433" s="77"/>
      <c r="K1433" s="79">
        <f>AB1433/COUNTIFS($B:$B,$B1433,$C:$C,$C1433,$H:$H,$H1433,$I:$I,$I1433)</f>
        <v>0.05</v>
      </c>
      <c r="L1433" s="81">
        <f t="shared" si="86"/>
        <v>0.85</v>
      </c>
      <c r="M1433" s="83">
        <f t="shared" si="87"/>
        <v>0</v>
      </c>
      <c r="N1433" s="58"/>
      <c r="AA1433" s="146">
        <f>AB1433/COUNTIFS($B:$B,$B1433,$C:$C,$C1433,$H:$H,$H1433,$I:$I,$I1433)</f>
        <v>0.05</v>
      </c>
      <c r="AB1433" s="108">
        <f>VLOOKUP(I1433,'Weights and Confidence'!$D$16:$AC$26,9,FALSE)</f>
        <v>0.1</v>
      </c>
      <c r="AC1433" s="147">
        <f>VLOOKUP(I1433,'Weights and Confidence'!$D$16:$AC$26,10,FALSE)</f>
        <v>0.85</v>
      </c>
    </row>
    <row r="1434" spans="1:29" x14ac:dyDescent="0.2">
      <c r="A1434" s="76" t="s">
        <v>185</v>
      </c>
      <c r="B1434" s="76" t="s">
        <v>187</v>
      </c>
      <c r="C1434" s="76" t="s">
        <v>502</v>
      </c>
      <c r="D1434" s="76" t="s">
        <v>65</v>
      </c>
      <c r="E1434" s="76"/>
      <c r="F1434" s="51" t="s">
        <v>503</v>
      </c>
      <c r="G1434" s="76">
        <v>11</v>
      </c>
      <c r="H1434" s="76" t="s">
        <v>17</v>
      </c>
      <c r="I1434" s="76" t="s">
        <v>28</v>
      </c>
      <c r="J1434" s="76">
        <v>1</v>
      </c>
      <c r="K1434" s="78">
        <f>AB1434/COUNTIFS($B:$B,$B1434,$C:$C,$C1434,$H:$H,$H1434,$I:$I,$I1434)</f>
        <v>0.05</v>
      </c>
      <c r="L1434" s="80">
        <f t="shared" si="86"/>
        <v>1</v>
      </c>
      <c r="M1434" s="82">
        <f t="shared" si="87"/>
        <v>0.05</v>
      </c>
      <c r="N1434" s="59"/>
      <c r="AA1434" s="146">
        <f>AB1434/COUNTIFS($B:$B,$B1434,$C:$C,$C1434,$H:$H,$H1434,$I:$I,$I1434)</f>
        <v>0.05</v>
      </c>
      <c r="AB1434" s="108">
        <f>VLOOKUP(I1434,'Weights and Confidence'!$D$16:$AC$26,9,FALSE)</f>
        <v>0.05</v>
      </c>
      <c r="AC1434" s="147">
        <f>VLOOKUP(I1434,'Weights and Confidence'!$D$16:$AC$26,10,FALSE)</f>
        <v>1</v>
      </c>
    </row>
    <row r="1435" spans="1:29" ht="17" thickBot="1" x14ac:dyDescent="0.25">
      <c r="A1435" s="98" t="s">
        <v>185</v>
      </c>
      <c r="B1435" s="98" t="s">
        <v>187</v>
      </c>
      <c r="C1435" s="98" t="s">
        <v>502</v>
      </c>
      <c r="D1435" s="98" t="s">
        <v>65</v>
      </c>
      <c r="E1435" s="98"/>
      <c r="F1435" s="54" t="s">
        <v>503</v>
      </c>
      <c r="G1435" s="98">
        <v>11</v>
      </c>
      <c r="H1435" s="98" t="s">
        <v>18</v>
      </c>
      <c r="I1435" s="98" t="s">
        <v>28</v>
      </c>
      <c r="J1435" s="98">
        <v>0</v>
      </c>
      <c r="K1435" s="99">
        <f>AB1435/COUNTIFS($B:$B,$B1435,$C:$C,$C1435,$H:$H,$H1435,$I:$I,$I1435)</f>
        <v>0.05</v>
      </c>
      <c r="L1435" s="100">
        <f t="shared" si="86"/>
        <v>1</v>
      </c>
      <c r="M1435" s="101">
        <f t="shared" si="87"/>
        <v>0</v>
      </c>
      <c r="N1435" s="22" t="s">
        <v>504</v>
      </c>
      <c r="AA1435" s="140">
        <f>AB1435/COUNTIFS($B:$B,$B1435,$C:$C,$C1435,$H:$H,$H1435,$I:$I,$I1435)</f>
        <v>0.05</v>
      </c>
      <c r="AB1435" s="141">
        <f>VLOOKUP(I1435,'Weights and Confidence'!$D$16:$AC$26,9,FALSE)</f>
        <v>0.05</v>
      </c>
      <c r="AC1435" s="142">
        <f>VLOOKUP(I1435,'Weights and Confidence'!$D$16:$AC$26,10,FALSE)</f>
        <v>1</v>
      </c>
    </row>
    <row r="1436" spans="1:29" ht="17" thickTop="1" x14ac:dyDescent="0.2">
      <c r="A1436" s="86" t="s">
        <v>185</v>
      </c>
      <c r="B1436" s="86" t="s">
        <v>187</v>
      </c>
      <c r="C1436" s="86" t="s">
        <v>517</v>
      </c>
      <c r="D1436" s="129" t="s">
        <v>65</v>
      </c>
      <c r="E1436" s="86"/>
      <c r="F1436" s="85" t="s">
        <v>518</v>
      </c>
      <c r="G1436" s="86">
        <v>1</v>
      </c>
      <c r="H1436" s="86" t="s">
        <v>17</v>
      </c>
      <c r="I1436" s="86" t="s">
        <v>19</v>
      </c>
      <c r="J1436" s="97">
        <v>1</v>
      </c>
      <c r="K1436" s="87">
        <f>AB1436/COUNTIFS($B:$B,$B1436,$C:$C,$C1436,$H:$H,$H1436,$I:$I,$I1436)</f>
        <v>0.12</v>
      </c>
      <c r="L1436" s="88">
        <f t="shared" si="86"/>
        <v>1</v>
      </c>
      <c r="M1436" s="89">
        <f t="shared" si="87"/>
        <v>0.12</v>
      </c>
      <c r="N1436" s="90"/>
      <c r="AA1436" s="146">
        <f>AB1436/COUNTIFS($B:$B,$B1436,$C:$C,$C1436,$H:$H,$H1436,$I:$I,$I1436)</f>
        <v>0.12</v>
      </c>
      <c r="AB1436" s="108">
        <f>VLOOKUP(I1436,'Weights and Confidence'!$D$16:$AC$26,9,FALSE)</f>
        <v>0.12</v>
      </c>
      <c r="AC1436" s="147">
        <f>VLOOKUP(I1436,'Weights and Confidence'!$D$16:$AC$26,10,FALSE)</f>
        <v>1</v>
      </c>
    </row>
    <row r="1437" spans="1:29" ht="17" thickBot="1" x14ac:dyDescent="0.25">
      <c r="A1437" s="77" t="s">
        <v>185</v>
      </c>
      <c r="B1437" s="77" t="s">
        <v>187</v>
      </c>
      <c r="C1437" s="77" t="s">
        <v>517</v>
      </c>
      <c r="D1437" s="77" t="s">
        <v>65</v>
      </c>
      <c r="E1437" s="77"/>
      <c r="F1437" s="50" t="s">
        <v>518</v>
      </c>
      <c r="G1437" s="77">
        <v>1</v>
      </c>
      <c r="H1437" s="77" t="s">
        <v>18</v>
      </c>
      <c r="I1437" s="77" t="s">
        <v>19</v>
      </c>
      <c r="J1437" s="77">
        <v>0</v>
      </c>
      <c r="K1437" s="79">
        <f>AB1437/COUNTIFS($B:$B,$B1437,$C:$C,$C1437,$H:$H,$H1437,$I:$I,$I1437)</f>
        <v>0.12</v>
      </c>
      <c r="L1437" s="81">
        <f t="shared" si="86"/>
        <v>1</v>
      </c>
      <c r="M1437" s="83">
        <f>J1436*K1437*L1437</f>
        <v>0.12</v>
      </c>
      <c r="N1437" s="84"/>
      <c r="AA1437" s="146">
        <f>AB1437/COUNTIFS($B:$B,$B1437,$C:$C,$C1437,$H:$H,$H1437,$I:$I,$I1437)</f>
        <v>0.12</v>
      </c>
      <c r="AB1437" s="108">
        <f>VLOOKUP(I1437,'Weights and Confidence'!$D$16:$AC$26,9,FALSE)</f>
        <v>0.12</v>
      </c>
      <c r="AC1437" s="147">
        <f>VLOOKUP(I1437,'Weights and Confidence'!$D$16:$AC$26,10,FALSE)</f>
        <v>1</v>
      </c>
    </row>
    <row r="1438" spans="1:29" x14ac:dyDescent="0.2">
      <c r="A1438" s="76" t="s">
        <v>185</v>
      </c>
      <c r="B1438" s="76" t="s">
        <v>187</v>
      </c>
      <c r="C1438" s="76" t="s">
        <v>517</v>
      </c>
      <c r="D1438" s="76" t="s">
        <v>65</v>
      </c>
      <c r="E1438" s="76"/>
      <c r="F1438" s="51" t="s">
        <v>518</v>
      </c>
      <c r="G1438" s="76">
        <v>2</v>
      </c>
      <c r="H1438" s="76" t="s">
        <v>17</v>
      </c>
      <c r="I1438" s="76" t="s">
        <v>20</v>
      </c>
      <c r="J1438" s="76">
        <v>1</v>
      </c>
      <c r="K1438" s="78">
        <f>AB1438/COUNTIFS($B:$B,$B1438,$C:$C,$C1438,$H:$H,$H1438,$I:$I,$I1438)</f>
        <v>0.08</v>
      </c>
      <c r="L1438" s="80">
        <f t="shared" si="86"/>
        <v>0.8</v>
      </c>
      <c r="M1438" s="82">
        <f t="shared" ref="M1438:M1458" si="88">J1438*K1438*L1438</f>
        <v>6.4000000000000001E-2</v>
      </c>
      <c r="N1438" s="59"/>
      <c r="P1438" s="24" t="s">
        <v>519</v>
      </c>
      <c r="Q1438" s="10"/>
      <c r="R1438" s="10"/>
      <c r="S1438" s="10"/>
      <c r="T1438" s="10"/>
      <c r="U1438" s="10"/>
      <c r="V1438" s="10"/>
      <c r="AA1438" s="146">
        <f>AB1438/COUNTIFS($B:$B,$B1438,$C:$C,$C1438,$H:$H,$H1438,$I:$I,$I1438)</f>
        <v>0.08</v>
      </c>
      <c r="AB1438" s="108">
        <f>VLOOKUP(I1438,'Weights and Confidence'!$D$16:$AC$26,9,FALSE)</f>
        <v>0.08</v>
      </c>
      <c r="AC1438" s="147">
        <f>VLOOKUP(I1438,'Weights and Confidence'!$D$16:$AC$26,10,FALSE)</f>
        <v>0.8</v>
      </c>
    </row>
    <row r="1439" spans="1:29" x14ac:dyDescent="0.2">
      <c r="A1439" s="77" t="s">
        <v>185</v>
      </c>
      <c r="B1439" s="77" t="s">
        <v>187</v>
      </c>
      <c r="C1439" s="77" t="s">
        <v>517</v>
      </c>
      <c r="D1439" s="77" t="s">
        <v>65</v>
      </c>
      <c r="E1439" s="77"/>
      <c r="F1439" s="50" t="s">
        <v>518</v>
      </c>
      <c r="G1439" s="77">
        <v>2</v>
      </c>
      <c r="H1439" s="77" t="s">
        <v>18</v>
      </c>
      <c r="I1439" s="77" t="s">
        <v>20</v>
      </c>
      <c r="J1439" s="77">
        <v>0</v>
      </c>
      <c r="K1439" s="79">
        <f>AB1439/COUNTIFS($B:$B,$B1439,$C:$C,$C1439,$H:$H,$H1439,$I:$I,$I1439)</f>
        <v>0.08</v>
      </c>
      <c r="L1439" s="81">
        <f t="shared" si="86"/>
        <v>0.8</v>
      </c>
      <c r="M1439" s="83">
        <f t="shared" si="88"/>
        <v>0</v>
      </c>
      <c r="N1439" s="58"/>
      <c r="P1439" s="25" t="s">
        <v>520</v>
      </c>
      <c r="Q1439" s="75"/>
      <c r="R1439" s="75"/>
      <c r="S1439" s="75"/>
      <c r="T1439" s="75"/>
      <c r="U1439" s="75"/>
      <c r="V1439" s="75"/>
      <c r="AA1439" s="146">
        <f>AB1439/COUNTIFS($B:$B,$B1439,$C:$C,$C1439,$H:$H,$H1439,$I:$I,$I1439)</f>
        <v>0.08</v>
      </c>
      <c r="AB1439" s="108">
        <f>VLOOKUP(I1439,'Weights and Confidence'!$D$16:$AC$26,9,FALSE)</f>
        <v>0.08</v>
      </c>
      <c r="AC1439" s="147">
        <f>VLOOKUP(I1439,'Weights and Confidence'!$D$16:$AC$26,10,FALSE)</f>
        <v>0.8</v>
      </c>
    </row>
    <row r="1440" spans="1:29" x14ac:dyDescent="0.2">
      <c r="A1440" s="76" t="s">
        <v>185</v>
      </c>
      <c r="B1440" s="76" t="s">
        <v>187</v>
      </c>
      <c r="C1440" s="76" t="s">
        <v>517</v>
      </c>
      <c r="D1440" s="76" t="s">
        <v>65</v>
      </c>
      <c r="E1440" s="76"/>
      <c r="F1440" s="51" t="s">
        <v>518</v>
      </c>
      <c r="G1440" s="76">
        <v>3</v>
      </c>
      <c r="H1440" s="76" t="s">
        <v>17</v>
      </c>
      <c r="I1440" s="76" t="s">
        <v>21</v>
      </c>
      <c r="J1440" s="76">
        <v>1</v>
      </c>
      <c r="K1440" s="78">
        <f>AB1440/COUNTIFS($B:$B,$B1440,$C:$C,$C1440,$H:$H,$H1440,$I:$I,$I1440)</f>
        <v>0.05</v>
      </c>
      <c r="L1440" s="80">
        <f t="shared" si="86"/>
        <v>1</v>
      </c>
      <c r="M1440" s="82">
        <f t="shared" si="88"/>
        <v>0.05</v>
      </c>
      <c r="N1440" s="59"/>
      <c r="P1440" s="25" t="s">
        <v>521</v>
      </c>
      <c r="Q1440" s="75"/>
      <c r="R1440" s="75"/>
      <c r="S1440" s="75"/>
      <c r="T1440" s="75"/>
      <c r="U1440" s="75"/>
      <c r="V1440" s="75"/>
      <c r="AA1440" s="146">
        <f>AB1440/COUNTIFS($B:$B,$B1440,$C:$C,$C1440,$H:$H,$H1440,$I:$I,$I1440)</f>
        <v>0.05</v>
      </c>
      <c r="AB1440" s="108">
        <f>VLOOKUP(I1440,'Weights and Confidence'!$D$16:$AC$26,9,FALSE)</f>
        <v>0.05</v>
      </c>
      <c r="AC1440" s="147">
        <f>VLOOKUP(I1440,'Weights and Confidence'!$D$16:$AC$26,10,FALSE)</f>
        <v>1</v>
      </c>
    </row>
    <row r="1441" spans="1:29" x14ac:dyDescent="0.2">
      <c r="A1441" s="77" t="s">
        <v>185</v>
      </c>
      <c r="B1441" s="77" t="s">
        <v>187</v>
      </c>
      <c r="C1441" s="77" t="s">
        <v>517</v>
      </c>
      <c r="D1441" s="77" t="s">
        <v>65</v>
      </c>
      <c r="E1441" s="77"/>
      <c r="F1441" s="50" t="s">
        <v>518</v>
      </c>
      <c r="G1441" s="77">
        <v>3</v>
      </c>
      <c r="H1441" s="77" t="s">
        <v>18</v>
      </c>
      <c r="I1441" s="77" t="s">
        <v>21</v>
      </c>
      <c r="J1441" s="77">
        <v>0</v>
      </c>
      <c r="K1441" s="79">
        <f>AB1441/COUNTIFS($B:$B,$B1441,$C:$C,$C1441,$H:$H,$H1441,$I:$I,$I1441)</f>
        <v>0.05</v>
      </c>
      <c r="L1441" s="81">
        <f t="shared" si="86"/>
        <v>1</v>
      </c>
      <c r="M1441" s="83">
        <f t="shared" si="88"/>
        <v>0</v>
      </c>
      <c r="N1441" s="84"/>
      <c r="P1441" s="25" t="s">
        <v>522</v>
      </c>
      <c r="Q1441" s="75"/>
      <c r="R1441" s="75"/>
      <c r="S1441" s="75"/>
      <c r="T1441" s="75"/>
      <c r="U1441" s="75"/>
      <c r="V1441" s="75"/>
      <c r="AA1441" s="146">
        <f>AB1441/COUNTIFS($B:$B,$B1441,$C:$C,$C1441,$H:$H,$H1441,$I:$I,$I1441)</f>
        <v>0.05</v>
      </c>
      <c r="AB1441" s="108">
        <f>VLOOKUP(I1441,'Weights and Confidence'!$D$16:$AC$26,9,FALSE)</f>
        <v>0.05</v>
      </c>
      <c r="AC1441" s="147">
        <f>VLOOKUP(I1441,'Weights and Confidence'!$D$16:$AC$26,10,FALSE)</f>
        <v>1</v>
      </c>
    </row>
    <row r="1442" spans="1:29" x14ac:dyDescent="0.2">
      <c r="A1442" s="76" t="s">
        <v>185</v>
      </c>
      <c r="B1442" s="76" t="s">
        <v>187</v>
      </c>
      <c r="C1442" s="76" t="s">
        <v>517</v>
      </c>
      <c r="D1442" s="76" t="s">
        <v>65</v>
      </c>
      <c r="E1442" s="76"/>
      <c r="F1442" s="51" t="s">
        <v>518</v>
      </c>
      <c r="G1442" s="76">
        <v>4</v>
      </c>
      <c r="H1442" s="76" t="s">
        <v>17</v>
      </c>
      <c r="I1442" s="76" t="s">
        <v>22</v>
      </c>
      <c r="J1442" s="76">
        <v>1</v>
      </c>
      <c r="K1442" s="78">
        <f>AB1442/COUNTIFS($B:$B,$B1442,$C:$C,$C1442,$H:$H,$H1442,$I:$I,$I1442)</f>
        <v>0.14000000000000001</v>
      </c>
      <c r="L1442" s="80">
        <f t="shared" si="86"/>
        <v>1</v>
      </c>
      <c r="M1442" s="82">
        <f t="shared" si="88"/>
        <v>0.14000000000000001</v>
      </c>
      <c r="N1442" s="59"/>
      <c r="P1442" s="25" t="s">
        <v>523</v>
      </c>
      <c r="Q1442" s="75"/>
      <c r="R1442" s="75"/>
      <c r="S1442" s="75"/>
      <c r="T1442" s="75"/>
      <c r="U1442" s="75"/>
      <c r="V1442" s="75"/>
      <c r="AA1442" s="146">
        <f>AB1442/COUNTIFS($B:$B,$B1442,$C:$C,$C1442,$H:$H,$H1442,$I:$I,$I1442)</f>
        <v>0.14000000000000001</v>
      </c>
      <c r="AB1442" s="108">
        <f>VLOOKUP(I1442,'Weights and Confidence'!$D$16:$AC$26,9,FALSE)</f>
        <v>0.14000000000000001</v>
      </c>
      <c r="AC1442" s="147">
        <f>VLOOKUP(I1442,'Weights and Confidence'!$D$16:$AC$26,10,FALSE)</f>
        <v>1</v>
      </c>
    </row>
    <row r="1443" spans="1:29" x14ac:dyDescent="0.2">
      <c r="A1443" s="77" t="s">
        <v>185</v>
      </c>
      <c r="B1443" s="77" t="s">
        <v>187</v>
      </c>
      <c r="C1443" s="77" t="s">
        <v>517</v>
      </c>
      <c r="D1443" s="77" t="s">
        <v>65</v>
      </c>
      <c r="E1443" s="77"/>
      <c r="F1443" s="50" t="s">
        <v>518</v>
      </c>
      <c r="G1443" s="77">
        <v>4</v>
      </c>
      <c r="H1443" s="77" t="s">
        <v>18</v>
      </c>
      <c r="I1443" s="77" t="s">
        <v>22</v>
      </c>
      <c r="J1443" s="77">
        <v>0</v>
      </c>
      <c r="K1443" s="79">
        <f>AB1443/COUNTIFS($B:$B,$B1443,$C:$C,$C1443,$H:$H,$H1443,$I:$I,$I1443)</f>
        <v>0.14000000000000001</v>
      </c>
      <c r="L1443" s="81">
        <f t="shared" si="86"/>
        <v>1</v>
      </c>
      <c r="M1443" s="83">
        <f t="shared" si="88"/>
        <v>0</v>
      </c>
      <c r="N1443" s="84"/>
      <c r="P1443" s="25" t="s">
        <v>524</v>
      </c>
      <c r="Q1443" s="75"/>
      <c r="R1443" s="75"/>
      <c r="S1443" s="75"/>
      <c r="T1443" s="75"/>
      <c r="U1443" s="75"/>
      <c r="V1443" s="75"/>
      <c r="AA1443" s="146">
        <f>AB1443/COUNTIFS($B:$B,$B1443,$C:$C,$C1443,$H:$H,$H1443,$I:$I,$I1443)</f>
        <v>0.14000000000000001</v>
      </c>
      <c r="AB1443" s="108">
        <f>VLOOKUP(I1443,'Weights and Confidence'!$D$16:$AC$26,9,FALSE)</f>
        <v>0.14000000000000001</v>
      </c>
      <c r="AC1443" s="147">
        <f>VLOOKUP(I1443,'Weights and Confidence'!$D$16:$AC$26,10,FALSE)</f>
        <v>1</v>
      </c>
    </row>
    <row r="1444" spans="1:29" x14ac:dyDescent="0.2">
      <c r="A1444" s="76" t="s">
        <v>185</v>
      </c>
      <c r="B1444" s="76" t="s">
        <v>187</v>
      </c>
      <c r="C1444" s="76" t="s">
        <v>517</v>
      </c>
      <c r="D1444" s="76" t="s">
        <v>65</v>
      </c>
      <c r="E1444" s="76"/>
      <c r="F1444" s="51" t="s">
        <v>518</v>
      </c>
      <c r="G1444" s="76">
        <v>5</v>
      </c>
      <c r="H1444" s="76" t="s">
        <v>17</v>
      </c>
      <c r="I1444" s="76" t="s">
        <v>23</v>
      </c>
      <c r="J1444" s="76">
        <v>1</v>
      </c>
      <c r="K1444" s="78">
        <f>AB1444/COUNTIFS($B:$B,$B1444,$C:$C,$C1444,$H:$H,$H1444,$I:$I,$I1444)</f>
        <v>0.11</v>
      </c>
      <c r="L1444" s="80">
        <f t="shared" si="86"/>
        <v>1</v>
      </c>
      <c r="M1444" s="82">
        <f t="shared" si="88"/>
        <v>0.11</v>
      </c>
      <c r="N1444" s="59"/>
      <c r="P1444" s="25" t="s">
        <v>525</v>
      </c>
      <c r="Q1444" s="75"/>
      <c r="R1444" s="75"/>
      <c r="S1444" s="75"/>
      <c r="T1444" s="75"/>
      <c r="U1444" s="75"/>
      <c r="V1444" s="75"/>
      <c r="AA1444" s="146">
        <f>AB1444/COUNTIFS($B:$B,$B1444,$C:$C,$C1444,$H:$H,$H1444,$I:$I,$I1444)</f>
        <v>0.11</v>
      </c>
      <c r="AB1444" s="108">
        <f>VLOOKUP(I1444,'Weights and Confidence'!$D$16:$AC$26,9,FALSE)</f>
        <v>0.11</v>
      </c>
      <c r="AC1444" s="147">
        <f>VLOOKUP(I1444,'Weights and Confidence'!$D$16:$AC$26,10,FALSE)</f>
        <v>1</v>
      </c>
    </row>
    <row r="1445" spans="1:29" x14ac:dyDescent="0.2">
      <c r="A1445" s="77" t="s">
        <v>185</v>
      </c>
      <c r="B1445" s="77" t="s">
        <v>187</v>
      </c>
      <c r="C1445" s="77" t="s">
        <v>517</v>
      </c>
      <c r="D1445" s="77" t="s">
        <v>65</v>
      </c>
      <c r="E1445" s="77"/>
      <c r="F1445" s="50" t="s">
        <v>518</v>
      </c>
      <c r="G1445" s="77">
        <v>5</v>
      </c>
      <c r="H1445" s="77" t="s">
        <v>18</v>
      </c>
      <c r="I1445" s="77" t="s">
        <v>23</v>
      </c>
      <c r="J1445" s="77">
        <v>0</v>
      </c>
      <c r="K1445" s="79">
        <f>AB1445/COUNTIFS($B:$B,$B1445,$C:$C,$C1445,$H:$H,$H1445,$I:$I,$I1445)</f>
        <v>0.11</v>
      </c>
      <c r="L1445" s="81">
        <f t="shared" si="86"/>
        <v>1</v>
      </c>
      <c r="M1445" s="83">
        <f t="shared" si="88"/>
        <v>0</v>
      </c>
      <c r="N1445" s="84"/>
      <c r="P1445" s="25" t="s">
        <v>526</v>
      </c>
      <c r="Q1445" s="75"/>
      <c r="R1445" s="75"/>
      <c r="S1445" s="75"/>
      <c r="T1445" s="75"/>
      <c r="U1445" s="75"/>
      <c r="V1445" s="75"/>
      <c r="AA1445" s="146">
        <f>AB1445/COUNTIFS($B:$B,$B1445,$C:$C,$C1445,$H:$H,$H1445,$I:$I,$I1445)</f>
        <v>0.11</v>
      </c>
      <c r="AB1445" s="108">
        <f>VLOOKUP(I1445,'Weights and Confidence'!$D$16:$AC$26,9,FALSE)</f>
        <v>0.11</v>
      </c>
      <c r="AC1445" s="147">
        <f>VLOOKUP(I1445,'Weights and Confidence'!$D$16:$AC$26,10,FALSE)</f>
        <v>1</v>
      </c>
    </row>
    <row r="1446" spans="1:29" x14ac:dyDescent="0.2">
      <c r="A1446" s="76" t="s">
        <v>185</v>
      </c>
      <c r="B1446" s="76" t="s">
        <v>187</v>
      </c>
      <c r="C1446" s="76" t="s">
        <v>517</v>
      </c>
      <c r="D1446" s="76" t="s">
        <v>65</v>
      </c>
      <c r="E1446" s="76"/>
      <c r="F1446" s="51" t="s">
        <v>518</v>
      </c>
      <c r="G1446" s="76">
        <v>6</v>
      </c>
      <c r="H1446" s="76" t="s">
        <v>17</v>
      </c>
      <c r="I1446" s="76" t="s">
        <v>24</v>
      </c>
      <c r="J1446" s="76">
        <v>1</v>
      </c>
      <c r="K1446" s="78">
        <f>AB1446/COUNTIFS($B:$B,$B1446,$C:$C,$C1446,$H:$H,$H1446,$I:$I,$I1446)</f>
        <v>0.15</v>
      </c>
      <c r="L1446" s="80">
        <f t="shared" si="86"/>
        <v>1</v>
      </c>
      <c r="M1446" s="82">
        <f t="shared" si="88"/>
        <v>0.15</v>
      </c>
      <c r="N1446" s="59"/>
      <c r="P1446" s="25" t="s">
        <v>527</v>
      </c>
      <c r="Q1446" s="75"/>
      <c r="R1446" s="75"/>
      <c r="S1446" s="75"/>
      <c r="T1446" s="75"/>
      <c r="U1446" s="75"/>
      <c r="V1446" s="75"/>
      <c r="AA1446" s="146">
        <f>AB1446/COUNTIFS($B:$B,$B1446,$C:$C,$C1446,$H:$H,$H1446,$I:$I,$I1446)</f>
        <v>0.15</v>
      </c>
      <c r="AB1446" s="108">
        <f>VLOOKUP(I1446,'Weights and Confidence'!$D$16:$AC$26,9,FALSE)</f>
        <v>0.15</v>
      </c>
      <c r="AC1446" s="147">
        <f>VLOOKUP(I1446,'Weights and Confidence'!$D$16:$AC$26,10,FALSE)</f>
        <v>1</v>
      </c>
    </row>
    <row r="1447" spans="1:29" ht="17" thickBot="1" x14ac:dyDescent="0.25">
      <c r="A1447" s="77" t="s">
        <v>185</v>
      </c>
      <c r="B1447" s="77" t="s">
        <v>187</v>
      </c>
      <c r="C1447" s="77" t="s">
        <v>517</v>
      </c>
      <c r="D1447" s="77" t="s">
        <v>65</v>
      </c>
      <c r="E1447" s="77"/>
      <c r="F1447" s="50" t="s">
        <v>518</v>
      </c>
      <c r="G1447" s="77">
        <v>6</v>
      </c>
      <c r="H1447" s="77" t="s">
        <v>18</v>
      </c>
      <c r="I1447" s="77" t="s">
        <v>24</v>
      </c>
      <c r="J1447" s="77">
        <v>-1</v>
      </c>
      <c r="K1447" s="79">
        <f>AB1447/COUNTIFS($B:$B,$B1447,$C:$C,$C1447,$H:$H,$H1447,$I:$I,$I1447)</f>
        <v>0.15</v>
      </c>
      <c r="L1447" s="81">
        <f t="shared" si="86"/>
        <v>1</v>
      </c>
      <c r="M1447" s="83">
        <f t="shared" si="88"/>
        <v>-0.15</v>
      </c>
      <c r="N1447" s="84"/>
      <c r="P1447" s="26" t="s">
        <v>528</v>
      </c>
      <c r="Q1447" s="2"/>
      <c r="R1447" s="2"/>
      <c r="S1447" s="2"/>
      <c r="T1447" s="2"/>
      <c r="U1447" s="2"/>
      <c r="V1447" s="2"/>
      <c r="AA1447" s="146">
        <f>AB1447/COUNTIFS($B:$B,$B1447,$C:$C,$C1447,$H:$H,$H1447,$I:$I,$I1447)</f>
        <v>0.15</v>
      </c>
      <c r="AB1447" s="108">
        <f>VLOOKUP(I1447,'Weights and Confidence'!$D$16:$AC$26,9,FALSE)</f>
        <v>0.15</v>
      </c>
      <c r="AC1447" s="147">
        <f>VLOOKUP(I1447,'Weights and Confidence'!$D$16:$AC$26,10,FALSE)</f>
        <v>1</v>
      </c>
    </row>
    <row r="1448" spans="1:29" x14ac:dyDescent="0.2">
      <c r="A1448" s="76" t="s">
        <v>185</v>
      </c>
      <c r="B1448" s="76" t="s">
        <v>187</v>
      </c>
      <c r="C1448" s="76" t="s">
        <v>517</v>
      </c>
      <c r="D1448" s="76" t="s">
        <v>65</v>
      </c>
      <c r="E1448" s="76"/>
      <c r="F1448" s="51" t="s">
        <v>518</v>
      </c>
      <c r="G1448" s="76">
        <v>7</v>
      </c>
      <c r="H1448" s="76" t="s">
        <v>17</v>
      </c>
      <c r="I1448" s="76" t="s">
        <v>25</v>
      </c>
      <c r="J1448" s="76">
        <v>1</v>
      </c>
      <c r="K1448" s="78">
        <f>AB1448/COUNTIFS($B:$B,$B1448,$C:$C,$C1448,$H:$H,$H1448,$I:$I,$I1448)</f>
        <v>0.1</v>
      </c>
      <c r="L1448" s="80">
        <f t="shared" si="86"/>
        <v>1</v>
      </c>
      <c r="M1448" s="82">
        <f t="shared" si="88"/>
        <v>0.1</v>
      </c>
      <c r="N1448" s="59"/>
      <c r="AA1448" s="146">
        <f>AB1448/COUNTIFS($B:$B,$B1448,$C:$C,$C1448,$H:$H,$H1448,$I:$I,$I1448)</f>
        <v>0.1</v>
      </c>
      <c r="AB1448" s="108">
        <f>VLOOKUP(I1448,'Weights and Confidence'!$D$16:$AC$26,9,FALSE)</f>
        <v>0.1</v>
      </c>
      <c r="AC1448" s="147">
        <f>VLOOKUP(I1448,'Weights and Confidence'!$D$16:$AC$26,10,FALSE)</f>
        <v>1</v>
      </c>
    </row>
    <row r="1449" spans="1:29" x14ac:dyDescent="0.2">
      <c r="A1449" s="77" t="s">
        <v>185</v>
      </c>
      <c r="B1449" s="77" t="s">
        <v>187</v>
      </c>
      <c r="C1449" s="77" t="s">
        <v>517</v>
      </c>
      <c r="D1449" s="77" t="s">
        <v>65</v>
      </c>
      <c r="E1449" s="77"/>
      <c r="F1449" s="50" t="s">
        <v>518</v>
      </c>
      <c r="G1449" s="77">
        <v>7</v>
      </c>
      <c r="H1449" s="77" t="s">
        <v>18</v>
      </c>
      <c r="I1449" s="77" t="s">
        <v>25</v>
      </c>
      <c r="J1449" s="77">
        <v>-1</v>
      </c>
      <c r="K1449" s="79">
        <f>AB1449/COUNTIFS($B:$B,$B1449,$C:$C,$C1449,$H:$H,$H1449,$I:$I,$I1449)</f>
        <v>0.1</v>
      </c>
      <c r="L1449" s="81">
        <f t="shared" si="86"/>
        <v>1</v>
      </c>
      <c r="M1449" s="83">
        <f t="shared" si="88"/>
        <v>-0.1</v>
      </c>
      <c r="N1449" s="84"/>
      <c r="AA1449" s="146">
        <f>AB1449/COUNTIFS($B:$B,$B1449,$C:$C,$C1449,$H:$H,$H1449,$I:$I,$I1449)</f>
        <v>0.1</v>
      </c>
      <c r="AB1449" s="108">
        <f>VLOOKUP(I1449,'Weights and Confidence'!$D$16:$AC$26,9,FALSE)</f>
        <v>0.1</v>
      </c>
      <c r="AC1449" s="147">
        <f>VLOOKUP(I1449,'Weights and Confidence'!$D$16:$AC$26,10,FALSE)</f>
        <v>1</v>
      </c>
    </row>
    <row r="1450" spans="1:29" x14ac:dyDescent="0.2">
      <c r="A1450" s="76" t="s">
        <v>185</v>
      </c>
      <c r="B1450" s="76" t="s">
        <v>187</v>
      </c>
      <c r="C1450" s="76" t="s">
        <v>517</v>
      </c>
      <c r="D1450" s="76" t="s">
        <v>65</v>
      </c>
      <c r="E1450" s="76"/>
      <c r="F1450" s="51" t="s">
        <v>518</v>
      </c>
      <c r="G1450" s="76">
        <v>8</v>
      </c>
      <c r="H1450" s="76" t="s">
        <v>17</v>
      </c>
      <c r="I1450" s="76" t="s">
        <v>26</v>
      </c>
      <c r="J1450" s="76">
        <v>1</v>
      </c>
      <c r="K1450" s="78">
        <f>AB1450/COUNTIFS($B:$B,$B1450,$C:$C,$C1450,$H:$H,$H1450,$I:$I,$I1450)</f>
        <v>0.1</v>
      </c>
      <c r="L1450" s="80">
        <f t="shared" si="86"/>
        <v>1</v>
      </c>
      <c r="M1450" s="82">
        <f t="shared" si="88"/>
        <v>0.1</v>
      </c>
      <c r="N1450" s="59"/>
      <c r="AA1450" s="146">
        <f>AB1450/COUNTIFS($B:$B,$B1450,$C:$C,$C1450,$H:$H,$H1450,$I:$I,$I1450)</f>
        <v>0.1</v>
      </c>
      <c r="AB1450" s="108">
        <f>VLOOKUP(I1450,'Weights and Confidence'!$D$16:$AC$26,9,FALSE)</f>
        <v>0.1</v>
      </c>
      <c r="AC1450" s="147">
        <f>VLOOKUP(I1450,'Weights and Confidence'!$D$16:$AC$26,10,FALSE)</f>
        <v>1</v>
      </c>
    </row>
    <row r="1451" spans="1:29" x14ac:dyDescent="0.2">
      <c r="A1451" s="77" t="s">
        <v>185</v>
      </c>
      <c r="B1451" s="77" t="s">
        <v>187</v>
      </c>
      <c r="C1451" s="77" t="s">
        <v>517</v>
      </c>
      <c r="D1451" s="77" t="s">
        <v>65</v>
      </c>
      <c r="E1451" s="77"/>
      <c r="F1451" s="50" t="s">
        <v>518</v>
      </c>
      <c r="G1451" s="77">
        <v>8</v>
      </c>
      <c r="H1451" s="77" t="s">
        <v>18</v>
      </c>
      <c r="I1451" s="77" t="s">
        <v>26</v>
      </c>
      <c r="J1451" s="77">
        <v>-1</v>
      </c>
      <c r="K1451" s="79">
        <f>AB1451/COUNTIFS($B:$B,$B1451,$C:$C,$C1451,$H:$H,$H1451,$I:$I,$I1451)</f>
        <v>0.1</v>
      </c>
      <c r="L1451" s="81">
        <f t="shared" si="86"/>
        <v>1</v>
      </c>
      <c r="M1451" s="83">
        <f t="shared" si="88"/>
        <v>-0.1</v>
      </c>
      <c r="N1451" s="84"/>
      <c r="AA1451" s="146">
        <f>AB1451/COUNTIFS($B:$B,$B1451,$C:$C,$C1451,$H:$H,$H1451,$I:$I,$I1451)</f>
        <v>0.1</v>
      </c>
      <c r="AB1451" s="108">
        <f>VLOOKUP(I1451,'Weights and Confidence'!$D$16:$AC$26,9,FALSE)</f>
        <v>0.1</v>
      </c>
      <c r="AC1451" s="147">
        <f>VLOOKUP(I1451,'Weights and Confidence'!$D$16:$AC$26,10,FALSE)</f>
        <v>1</v>
      </c>
    </row>
    <row r="1452" spans="1:29" x14ac:dyDescent="0.2">
      <c r="A1452" s="76" t="s">
        <v>185</v>
      </c>
      <c r="B1452" s="76" t="s">
        <v>187</v>
      </c>
      <c r="C1452" s="76" t="s">
        <v>517</v>
      </c>
      <c r="D1452" s="76" t="s">
        <v>65</v>
      </c>
      <c r="E1452" s="76"/>
      <c r="F1452" s="51" t="s">
        <v>518</v>
      </c>
      <c r="G1452" s="76">
        <v>9</v>
      </c>
      <c r="H1452" s="76" t="s">
        <v>17</v>
      </c>
      <c r="I1452" s="76" t="s">
        <v>27</v>
      </c>
      <c r="J1452" s="76"/>
      <c r="K1452" s="78">
        <f>AB1452/COUNTIFS($B:$B,$B1452,$C:$C,$C1452,$H:$H,$H1452,$I:$I,$I1452)</f>
        <v>0.05</v>
      </c>
      <c r="L1452" s="80">
        <f t="shared" si="86"/>
        <v>0.85</v>
      </c>
      <c r="M1452" s="82">
        <f t="shared" si="88"/>
        <v>0</v>
      </c>
      <c r="N1452" s="59"/>
      <c r="AA1452" s="146">
        <f>AB1452/COUNTIFS($B:$B,$B1452,$C:$C,$C1452,$H:$H,$H1452,$I:$I,$I1452)</f>
        <v>0.05</v>
      </c>
      <c r="AB1452" s="108">
        <f>VLOOKUP(I1452,'Weights and Confidence'!$D$16:$AC$26,9,FALSE)</f>
        <v>0.1</v>
      </c>
      <c r="AC1452" s="147">
        <f>VLOOKUP(I1452,'Weights and Confidence'!$D$16:$AC$26,10,FALSE)</f>
        <v>0.85</v>
      </c>
    </row>
    <row r="1453" spans="1:29" x14ac:dyDescent="0.2">
      <c r="A1453" s="77" t="s">
        <v>185</v>
      </c>
      <c r="B1453" s="77" t="s">
        <v>187</v>
      </c>
      <c r="C1453" s="77" t="s">
        <v>517</v>
      </c>
      <c r="D1453" s="77" t="s">
        <v>65</v>
      </c>
      <c r="E1453" s="77"/>
      <c r="F1453" s="50" t="s">
        <v>518</v>
      </c>
      <c r="G1453" s="77">
        <v>9</v>
      </c>
      <c r="H1453" s="77" t="s">
        <v>18</v>
      </c>
      <c r="I1453" s="77" t="s">
        <v>27</v>
      </c>
      <c r="J1453" s="77"/>
      <c r="K1453" s="79">
        <f>AB1453/COUNTIFS($B:$B,$B1453,$C:$C,$C1453,$H:$H,$H1453,$I:$I,$I1453)</f>
        <v>0.05</v>
      </c>
      <c r="L1453" s="81">
        <f t="shared" si="86"/>
        <v>0.85</v>
      </c>
      <c r="M1453" s="83">
        <f t="shared" si="88"/>
        <v>0</v>
      </c>
      <c r="N1453" s="58"/>
      <c r="AA1453" s="146">
        <f>AB1453/COUNTIFS($B:$B,$B1453,$C:$C,$C1453,$H:$H,$H1453,$I:$I,$I1453)</f>
        <v>0.05</v>
      </c>
      <c r="AB1453" s="108">
        <f>VLOOKUP(I1453,'Weights and Confidence'!$D$16:$AC$26,9,FALSE)</f>
        <v>0.1</v>
      </c>
      <c r="AC1453" s="147">
        <f>VLOOKUP(I1453,'Weights and Confidence'!$D$16:$AC$26,10,FALSE)</f>
        <v>0.85</v>
      </c>
    </row>
    <row r="1454" spans="1:29" x14ac:dyDescent="0.2">
      <c r="A1454" s="76" t="s">
        <v>185</v>
      </c>
      <c r="B1454" s="76" t="s">
        <v>187</v>
      </c>
      <c r="C1454" s="76" t="s">
        <v>517</v>
      </c>
      <c r="D1454" s="76" t="s">
        <v>65</v>
      </c>
      <c r="E1454" s="76"/>
      <c r="F1454" s="51" t="s">
        <v>518</v>
      </c>
      <c r="G1454" s="76">
        <v>10</v>
      </c>
      <c r="H1454" s="76" t="s">
        <v>17</v>
      </c>
      <c r="I1454" s="76" t="s">
        <v>27</v>
      </c>
      <c r="J1454" s="76"/>
      <c r="K1454" s="78">
        <f>AB1454/COUNTIFS($B:$B,$B1454,$C:$C,$C1454,$H:$H,$H1454,$I:$I,$I1454)</f>
        <v>0.05</v>
      </c>
      <c r="L1454" s="80">
        <f t="shared" si="86"/>
        <v>0.85</v>
      </c>
      <c r="M1454" s="82">
        <f t="shared" si="88"/>
        <v>0</v>
      </c>
      <c r="N1454" s="59"/>
      <c r="AA1454" s="146">
        <f>AB1454/COUNTIFS($B:$B,$B1454,$C:$C,$C1454,$H:$H,$H1454,$I:$I,$I1454)</f>
        <v>0.05</v>
      </c>
      <c r="AB1454" s="108">
        <f>VLOOKUP(I1454,'Weights and Confidence'!$D$16:$AC$26,9,FALSE)</f>
        <v>0.1</v>
      </c>
      <c r="AC1454" s="147">
        <f>VLOOKUP(I1454,'Weights and Confidence'!$D$16:$AC$26,10,FALSE)</f>
        <v>0.85</v>
      </c>
    </row>
    <row r="1455" spans="1:29" x14ac:dyDescent="0.2">
      <c r="A1455" s="77" t="s">
        <v>185</v>
      </c>
      <c r="B1455" s="77" t="s">
        <v>187</v>
      </c>
      <c r="C1455" s="77" t="s">
        <v>517</v>
      </c>
      <c r="D1455" s="77" t="s">
        <v>65</v>
      </c>
      <c r="E1455" s="77"/>
      <c r="F1455" s="50" t="s">
        <v>518</v>
      </c>
      <c r="G1455" s="77">
        <v>10</v>
      </c>
      <c r="H1455" s="77" t="s">
        <v>18</v>
      </c>
      <c r="I1455" s="77" t="s">
        <v>27</v>
      </c>
      <c r="J1455" s="77"/>
      <c r="K1455" s="79">
        <f>AB1455/COUNTIFS($B:$B,$B1455,$C:$C,$C1455,$H:$H,$H1455,$I:$I,$I1455)</f>
        <v>0.05</v>
      </c>
      <c r="L1455" s="81">
        <f t="shared" si="86"/>
        <v>0.85</v>
      </c>
      <c r="M1455" s="83">
        <f t="shared" si="88"/>
        <v>0</v>
      </c>
      <c r="N1455" s="58"/>
      <c r="AA1455" s="146">
        <f>AB1455/COUNTIFS($B:$B,$B1455,$C:$C,$C1455,$H:$H,$H1455,$I:$I,$I1455)</f>
        <v>0.05</v>
      </c>
      <c r="AB1455" s="108">
        <f>VLOOKUP(I1455,'Weights and Confidence'!$D$16:$AC$26,9,FALSE)</f>
        <v>0.1</v>
      </c>
      <c r="AC1455" s="147">
        <f>VLOOKUP(I1455,'Weights and Confidence'!$D$16:$AC$26,10,FALSE)</f>
        <v>0.85</v>
      </c>
    </row>
    <row r="1456" spans="1:29" x14ac:dyDescent="0.2">
      <c r="A1456" s="76" t="s">
        <v>185</v>
      </c>
      <c r="B1456" s="76" t="s">
        <v>187</v>
      </c>
      <c r="C1456" s="76" t="s">
        <v>517</v>
      </c>
      <c r="D1456" s="76" t="s">
        <v>65</v>
      </c>
      <c r="E1456" s="76"/>
      <c r="F1456" s="51" t="s">
        <v>518</v>
      </c>
      <c r="G1456" s="76">
        <v>11</v>
      </c>
      <c r="H1456" s="76" t="s">
        <v>17</v>
      </c>
      <c r="I1456" s="76" t="s">
        <v>28</v>
      </c>
      <c r="J1456" s="76">
        <v>1</v>
      </c>
      <c r="K1456" s="78">
        <f>AB1456/COUNTIFS($B:$B,$B1456,$C:$C,$C1456,$H:$H,$H1456,$I:$I,$I1456)</f>
        <v>0.05</v>
      </c>
      <c r="L1456" s="80">
        <f t="shared" si="86"/>
        <v>1</v>
      </c>
      <c r="M1456" s="82">
        <f t="shared" si="88"/>
        <v>0.05</v>
      </c>
      <c r="N1456" s="59"/>
      <c r="AA1456" s="146">
        <f>AB1456/COUNTIFS($B:$B,$B1456,$C:$C,$C1456,$H:$H,$H1456,$I:$I,$I1456)</f>
        <v>0.05</v>
      </c>
      <c r="AB1456" s="108">
        <f>VLOOKUP(I1456,'Weights and Confidence'!$D$16:$AC$26,9,FALSE)</f>
        <v>0.05</v>
      </c>
      <c r="AC1456" s="147">
        <f>VLOOKUP(I1456,'Weights and Confidence'!$D$16:$AC$26,10,FALSE)</f>
        <v>1</v>
      </c>
    </row>
    <row r="1457" spans="1:29" ht="17" thickBot="1" x14ac:dyDescent="0.25">
      <c r="A1457" s="98" t="s">
        <v>185</v>
      </c>
      <c r="B1457" s="98" t="s">
        <v>187</v>
      </c>
      <c r="C1457" s="98" t="s">
        <v>517</v>
      </c>
      <c r="D1457" s="98" t="s">
        <v>65</v>
      </c>
      <c r="E1457" s="98"/>
      <c r="F1457" s="54" t="s">
        <v>518</v>
      </c>
      <c r="G1457" s="98">
        <v>11</v>
      </c>
      <c r="H1457" s="98" t="s">
        <v>18</v>
      </c>
      <c r="I1457" s="98" t="s">
        <v>28</v>
      </c>
      <c r="J1457" s="98">
        <v>-1</v>
      </c>
      <c r="K1457" s="99">
        <f>AB1457/COUNTIFS($B:$B,$B1457,$C:$C,$C1457,$H:$H,$H1457,$I:$I,$I1457)</f>
        <v>0.05</v>
      </c>
      <c r="L1457" s="100">
        <f t="shared" si="86"/>
        <v>1</v>
      </c>
      <c r="M1457" s="101">
        <f t="shared" si="88"/>
        <v>-0.05</v>
      </c>
      <c r="N1457" s="22"/>
      <c r="AA1457" s="140">
        <f>AB1457/COUNTIFS($B:$B,$B1457,$C:$C,$C1457,$H:$H,$H1457,$I:$I,$I1457)</f>
        <v>0.05</v>
      </c>
      <c r="AB1457" s="141">
        <f>VLOOKUP(I1457,'Weights and Confidence'!$D$16:$AC$26,9,FALSE)</f>
        <v>0.05</v>
      </c>
      <c r="AC1457" s="142">
        <f>VLOOKUP(I1457,'Weights and Confidence'!$D$16:$AC$26,10,FALSE)</f>
        <v>1</v>
      </c>
    </row>
    <row r="1458" spans="1:29" ht="18" thickTop="1" thickBot="1" x14ac:dyDescent="0.25">
      <c r="A1458" s="86" t="s">
        <v>185</v>
      </c>
      <c r="B1458" s="86" t="s">
        <v>187</v>
      </c>
      <c r="C1458" s="86" t="s">
        <v>529</v>
      </c>
      <c r="D1458" s="129" t="s">
        <v>65</v>
      </c>
      <c r="E1458" s="86"/>
      <c r="F1458" s="85" t="s">
        <v>530</v>
      </c>
      <c r="G1458" s="86">
        <v>1</v>
      </c>
      <c r="H1458" s="86" t="s">
        <v>17</v>
      </c>
      <c r="I1458" s="86" t="s">
        <v>19</v>
      </c>
      <c r="J1458" s="97">
        <v>1</v>
      </c>
      <c r="K1458" s="87">
        <f>AB1458/COUNTIFS($B:$B,$B1458,$C:$C,$C1458,$H:$H,$H1458,$I:$I,$I1458)</f>
        <v>0.12</v>
      </c>
      <c r="L1458" s="88">
        <f t="shared" si="86"/>
        <v>1</v>
      </c>
      <c r="M1458" s="89">
        <f t="shared" si="88"/>
        <v>0.12</v>
      </c>
      <c r="N1458" s="90"/>
      <c r="AA1458" s="146">
        <f>AB1458/COUNTIFS($B:$B,$B1458,$C:$C,$C1458,$H:$H,$H1458,$I:$I,$I1458)</f>
        <v>0.12</v>
      </c>
      <c r="AB1458" s="108">
        <f>VLOOKUP(I1458,'Weights and Confidence'!$D$16:$AC$26,9,FALSE)</f>
        <v>0.12</v>
      </c>
      <c r="AC1458" s="147">
        <f>VLOOKUP(I1458,'Weights and Confidence'!$D$16:$AC$26,10,FALSE)</f>
        <v>1</v>
      </c>
    </row>
    <row r="1459" spans="1:29" x14ac:dyDescent="0.2">
      <c r="A1459" s="77" t="s">
        <v>185</v>
      </c>
      <c r="B1459" s="77" t="s">
        <v>187</v>
      </c>
      <c r="C1459" s="77" t="s">
        <v>529</v>
      </c>
      <c r="D1459" s="77" t="s">
        <v>65</v>
      </c>
      <c r="E1459" s="77"/>
      <c r="F1459" s="50" t="s">
        <v>530</v>
      </c>
      <c r="G1459" s="77">
        <v>1</v>
      </c>
      <c r="H1459" s="77" t="s">
        <v>18</v>
      </c>
      <c r="I1459" s="77" t="s">
        <v>19</v>
      </c>
      <c r="J1459" s="77">
        <v>0</v>
      </c>
      <c r="K1459" s="79">
        <f>AB1459/COUNTIFS($B:$B,$B1459,$C:$C,$C1459,$H:$H,$H1459,$I:$I,$I1459)</f>
        <v>0.12</v>
      </c>
      <c r="L1459" s="81">
        <f t="shared" si="86"/>
        <v>1</v>
      </c>
      <c r="M1459" s="83">
        <f>J1458*K1459*L1459</f>
        <v>0.12</v>
      </c>
      <c r="N1459" s="84"/>
      <c r="P1459" s="24" t="s">
        <v>531</v>
      </c>
      <c r="Q1459" s="10"/>
      <c r="R1459" s="10"/>
      <c r="S1459" s="10"/>
      <c r="T1459" s="10"/>
      <c r="U1459" s="10"/>
      <c r="V1459" s="10"/>
      <c r="AA1459" s="146">
        <f>AB1459/COUNTIFS($B:$B,$B1459,$C:$C,$C1459,$H:$H,$H1459,$I:$I,$I1459)</f>
        <v>0.12</v>
      </c>
      <c r="AB1459" s="108">
        <f>VLOOKUP(I1459,'Weights and Confidence'!$D$16:$AC$26,9,FALSE)</f>
        <v>0.12</v>
      </c>
      <c r="AC1459" s="147">
        <f>VLOOKUP(I1459,'Weights and Confidence'!$D$16:$AC$26,10,FALSE)</f>
        <v>1</v>
      </c>
    </row>
    <row r="1460" spans="1:29" x14ac:dyDescent="0.2">
      <c r="A1460" s="76" t="s">
        <v>185</v>
      </c>
      <c r="B1460" s="76" t="s">
        <v>187</v>
      </c>
      <c r="C1460" s="76" t="s">
        <v>529</v>
      </c>
      <c r="D1460" s="76" t="s">
        <v>65</v>
      </c>
      <c r="E1460" s="76"/>
      <c r="F1460" s="51" t="s">
        <v>530</v>
      </c>
      <c r="G1460" s="76">
        <v>2</v>
      </c>
      <c r="H1460" s="76" t="s">
        <v>17</v>
      </c>
      <c r="I1460" s="76" t="s">
        <v>20</v>
      </c>
      <c r="J1460" s="76">
        <v>1</v>
      </c>
      <c r="K1460" s="78">
        <f>AB1460/COUNTIFS($B:$B,$B1460,$C:$C,$C1460,$H:$H,$H1460,$I:$I,$I1460)</f>
        <v>0.08</v>
      </c>
      <c r="L1460" s="80">
        <f t="shared" si="86"/>
        <v>0.8</v>
      </c>
      <c r="M1460" s="82">
        <f t="shared" ref="M1460:M1480" si="89">J1460*K1460*L1460</f>
        <v>6.4000000000000001E-2</v>
      </c>
      <c r="N1460" s="59"/>
      <c r="P1460" s="25" t="s">
        <v>532</v>
      </c>
      <c r="Q1460" s="75"/>
      <c r="R1460" s="75"/>
      <c r="S1460" s="75"/>
      <c r="T1460" s="75"/>
      <c r="U1460" s="75"/>
      <c r="V1460" s="75"/>
      <c r="AA1460" s="146">
        <f>AB1460/COUNTIFS($B:$B,$B1460,$C:$C,$C1460,$H:$H,$H1460,$I:$I,$I1460)</f>
        <v>0.08</v>
      </c>
      <c r="AB1460" s="108">
        <f>VLOOKUP(I1460,'Weights and Confidence'!$D$16:$AC$26,9,FALSE)</f>
        <v>0.08</v>
      </c>
      <c r="AC1460" s="147">
        <f>VLOOKUP(I1460,'Weights and Confidence'!$D$16:$AC$26,10,FALSE)</f>
        <v>0.8</v>
      </c>
    </row>
    <row r="1461" spans="1:29" x14ac:dyDescent="0.2">
      <c r="A1461" s="77" t="s">
        <v>185</v>
      </c>
      <c r="B1461" s="77" t="s">
        <v>187</v>
      </c>
      <c r="C1461" s="77" t="s">
        <v>529</v>
      </c>
      <c r="D1461" s="77" t="s">
        <v>65</v>
      </c>
      <c r="E1461" s="77"/>
      <c r="F1461" s="50" t="s">
        <v>530</v>
      </c>
      <c r="G1461" s="77">
        <v>2</v>
      </c>
      <c r="H1461" s="77" t="s">
        <v>18</v>
      </c>
      <c r="I1461" s="77" t="s">
        <v>20</v>
      </c>
      <c r="J1461" s="77">
        <v>0</v>
      </c>
      <c r="K1461" s="79">
        <f>AB1461/COUNTIFS($B:$B,$B1461,$C:$C,$C1461,$H:$H,$H1461,$I:$I,$I1461)</f>
        <v>0.08</v>
      </c>
      <c r="L1461" s="81">
        <f t="shared" si="86"/>
        <v>0.8</v>
      </c>
      <c r="M1461" s="83">
        <f t="shared" si="89"/>
        <v>0</v>
      </c>
      <c r="N1461" s="58"/>
      <c r="P1461" s="25" t="s">
        <v>533</v>
      </c>
      <c r="Q1461" s="75"/>
      <c r="R1461" s="75"/>
      <c r="S1461" s="75"/>
      <c r="T1461" s="75"/>
      <c r="U1461" s="75"/>
      <c r="V1461" s="75"/>
      <c r="AA1461" s="146">
        <f>AB1461/COUNTIFS($B:$B,$B1461,$C:$C,$C1461,$H:$H,$H1461,$I:$I,$I1461)</f>
        <v>0.08</v>
      </c>
      <c r="AB1461" s="108">
        <f>VLOOKUP(I1461,'Weights and Confidence'!$D$16:$AC$26,9,FALSE)</f>
        <v>0.08</v>
      </c>
      <c r="AC1461" s="147">
        <f>VLOOKUP(I1461,'Weights and Confidence'!$D$16:$AC$26,10,FALSE)</f>
        <v>0.8</v>
      </c>
    </row>
    <row r="1462" spans="1:29" x14ac:dyDescent="0.2">
      <c r="A1462" s="76" t="s">
        <v>185</v>
      </c>
      <c r="B1462" s="76" t="s">
        <v>187</v>
      </c>
      <c r="C1462" s="76" t="s">
        <v>529</v>
      </c>
      <c r="D1462" s="76" t="s">
        <v>65</v>
      </c>
      <c r="E1462" s="76"/>
      <c r="F1462" s="51" t="s">
        <v>530</v>
      </c>
      <c r="G1462" s="76">
        <v>3</v>
      </c>
      <c r="H1462" s="76" t="s">
        <v>17</v>
      </c>
      <c r="I1462" s="76" t="s">
        <v>21</v>
      </c>
      <c r="J1462" s="76">
        <v>1</v>
      </c>
      <c r="K1462" s="78">
        <f>AB1462/COUNTIFS($B:$B,$B1462,$C:$C,$C1462,$H:$H,$H1462,$I:$I,$I1462)</f>
        <v>0.05</v>
      </c>
      <c r="L1462" s="80">
        <f t="shared" si="86"/>
        <v>1</v>
      </c>
      <c r="M1462" s="82">
        <f t="shared" si="89"/>
        <v>0.05</v>
      </c>
      <c r="N1462" s="59"/>
      <c r="P1462" s="25" t="s">
        <v>534</v>
      </c>
      <c r="Q1462" s="75"/>
      <c r="R1462" s="75"/>
      <c r="S1462" s="75"/>
      <c r="T1462" s="75"/>
      <c r="U1462" s="75"/>
      <c r="V1462" s="75"/>
      <c r="AA1462" s="146">
        <f>AB1462/COUNTIFS($B:$B,$B1462,$C:$C,$C1462,$H:$H,$H1462,$I:$I,$I1462)</f>
        <v>0.05</v>
      </c>
      <c r="AB1462" s="108">
        <f>VLOOKUP(I1462,'Weights and Confidence'!$D$16:$AC$26,9,FALSE)</f>
        <v>0.05</v>
      </c>
      <c r="AC1462" s="147">
        <f>VLOOKUP(I1462,'Weights and Confidence'!$D$16:$AC$26,10,FALSE)</f>
        <v>1</v>
      </c>
    </row>
    <row r="1463" spans="1:29" x14ac:dyDescent="0.2">
      <c r="A1463" s="77" t="s">
        <v>185</v>
      </c>
      <c r="B1463" s="77" t="s">
        <v>187</v>
      </c>
      <c r="C1463" s="77" t="s">
        <v>529</v>
      </c>
      <c r="D1463" s="77" t="s">
        <v>65</v>
      </c>
      <c r="E1463" s="77"/>
      <c r="F1463" s="50" t="s">
        <v>530</v>
      </c>
      <c r="G1463" s="77">
        <v>3</v>
      </c>
      <c r="H1463" s="77" t="s">
        <v>18</v>
      </c>
      <c r="I1463" s="77" t="s">
        <v>21</v>
      </c>
      <c r="J1463" s="77">
        <v>0</v>
      </c>
      <c r="K1463" s="79">
        <f>AB1463/COUNTIFS($B:$B,$B1463,$C:$C,$C1463,$H:$H,$H1463,$I:$I,$I1463)</f>
        <v>0.05</v>
      </c>
      <c r="L1463" s="81">
        <f t="shared" si="86"/>
        <v>1</v>
      </c>
      <c r="M1463" s="83">
        <f t="shared" si="89"/>
        <v>0</v>
      </c>
      <c r="N1463" s="84"/>
      <c r="P1463" s="25" t="s">
        <v>535</v>
      </c>
      <c r="Q1463" s="75"/>
      <c r="R1463" s="75"/>
      <c r="S1463" s="75"/>
      <c r="T1463" s="75"/>
      <c r="U1463" s="75"/>
      <c r="V1463" s="75"/>
      <c r="AA1463" s="146">
        <f>AB1463/COUNTIFS($B:$B,$B1463,$C:$C,$C1463,$H:$H,$H1463,$I:$I,$I1463)</f>
        <v>0.05</v>
      </c>
      <c r="AB1463" s="108">
        <f>VLOOKUP(I1463,'Weights and Confidence'!$D$16:$AC$26,9,FALSE)</f>
        <v>0.05</v>
      </c>
      <c r="AC1463" s="147">
        <f>VLOOKUP(I1463,'Weights and Confidence'!$D$16:$AC$26,10,FALSE)</f>
        <v>1</v>
      </c>
    </row>
    <row r="1464" spans="1:29" x14ac:dyDescent="0.2">
      <c r="A1464" s="76" t="s">
        <v>185</v>
      </c>
      <c r="B1464" s="76" t="s">
        <v>187</v>
      </c>
      <c r="C1464" s="76" t="s">
        <v>529</v>
      </c>
      <c r="D1464" s="76" t="s">
        <v>65</v>
      </c>
      <c r="E1464" s="76"/>
      <c r="F1464" s="51" t="s">
        <v>530</v>
      </c>
      <c r="G1464" s="76">
        <v>4</v>
      </c>
      <c r="H1464" s="76" t="s">
        <v>17</v>
      </c>
      <c r="I1464" s="76" t="s">
        <v>22</v>
      </c>
      <c r="J1464" s="76">
        <v>1</v>
      </c>
      <c r="K1464" s="78">
        <f>AB1464/COUNTIFS($B:$B,$B1464,$C:$C,$C1464,$H:$H,$H1464,$I:$I,$I1464)</f>
        <v>0.14000000000000001</v>
      </c>
      <c r="L1464" s="80">
        <f t="shared" si="86"/>
        <v>1</v>
      </c>
      <c r="M1464" s="82">
        <f t="shared" si="89"/>
        <v>0.14000000000000001</v>
      </c>
      <c r="N1464" s="59"/>
      <c r="P1464" s="25" t="s">
        <v>536</v>
      </c>
      <c r="Q1464" s="75"/>
      <c r="R1464" s="75"/>
      <c r="S1464" s="75"/>
      <c r="T1464" s="75"/>
      <c r="U1464" s="75"/>
      <c r="V1464" s="75"/>
      <c r="AA1464" s="146">
        <f>AB1464/COUNTIFS($B:$B,$B1464,$C:$C,$C1464,$H:$H,$H1464,$I:$I,$I1464)</f>
        <v>0.14000000000000001</v>
      </c>
      <c r="AB1464" s="108">
        <f>VLOOKUP(I1464,'Weights and Confidence'!$D$16:$AC$26,9,FALSE)</f>
        <v>0.14000000000000001</v>
      </c>
      <c r="AC1464" s="147">
        <f>VLOOKUP(I1464,'Weights and Confidence'!$D$16:$AC$26,10,FALSE)</f>
        <v>1</v>
      </c>
    </row>
    <row r="1465" spans="1:29" x14ac:dyDescent="0.2">
      <c r="A1465" s="77" t="s">
        <v>185</v>
      </c>
      <c r="B1465" s="77" t="s">
        <v>187</v>
      </c>
      <c r="C1465" s="77" t="s">
        <v>529</v>
      </c>
      <c r="D1465" s="77" t="s">
        <v>65</v>
      </c>
      <c r="E1465" s="77"/>
      <c r="F1465" s="50" t="s">
        <v>530</v>
      </c>
      <c r="G1465" s="77">
        <v>4</v>
      </c>
      <c r="H1465" s="77" t="s">
        <v>18</v>
      </c>
      <c r="I1465" s="77" t="s">
        <v>22</v>
      </c>
      <c r="J1465" s="77">
        <v>0</v>
      </c>
      <c r="K1465" s="79">
        <f>AB1465/COUNTIFS($B:$B,$B1465,$C:$C,$C1465,$H:$H,$H1465,$I:$I,$I1465)</f>
        <v>0.14000000000000001</v>
      </c>
      <c r="L1465" s="81">
        <f t="shared" si="86"/>
        <v>1</v>
      </c>
      <c r="M1465" s="83">
        <f t="shared" si="89"/>
        <v>0</v>
      </c>
      <c r="N1465" s="84"/>
      <c r="P1465" s="25" t="s">
        <v>537</v>
      </c>
      <c r="Q1465" s="75"/>
      <c r="R1465" s="75"/>
      <c r="S1465" s="75"/>
      <c r="T1465" s="75"/>
      <c r="U1465" s="75"/>
      <c r="V1465" s="75"/>
      <c r="AA1465" s="146">
        <f>AB1465/COUNTIFS($B:$B,$B1465,$C:$C,$C1465,$H:$H,$H1465,$I:$I,$I1465)</f>
        <v>0.14000000000000001</v>
      </c>
      <c r="AB1465" s="108">
        <f>VLOOKUP(I1465,'Weights and Confidence'!$D$16:$AC$26,9,FALSE)</f>
        <v>0.14000000000000001</v>
      </c>
      <c r="AC1465" s="147">
        <f>VLOOKUP(I1465,'Weights and Confidence'!$D$16:$AC$26,10,FALSE)</f>
        <v>1</v>
      </c>
    </row>
    <row r="1466" spans="1:29" x14ac:dyDescent="0.2">
      <c r="A1466" s="76" t="s">
        <v>185</v>
      </c>
      <c r="B1466" s="76" t="s">
        <v>187</v>
      </c>
      <c r="C1466" s="76" t="s">
        <v>529</v>
      </c>
      <c r="D1466" s="76" t="s">
        <v>65</v>
      </c>
      <c r="E1466" s="76"/>
      <c r="F1466" s="51" t="s">
        <v>530</v>
      </c>
      <c r="G1466" s="76">
        <v>5</v>
      </c>
      <c r="H1466" s="76" t="s">
        <v>17</v>
      </c>
      <c r="I1466" s="76" t="s">
        <v>23</v>
      </c>
      <c r="J1466" s="76">
        <v>1</v>
      </c>
      <c r="K1466" s="78">
        <f>AB1466/COUNTIFS($B:$B,$B1466,$C:$C,$C1466,$H:$H,$H1466,$I:$I,$I1466)</f>
        <v>0.11</v>
      </c>
      <c r="L1466" s="80">
        <f t="shared" si="86"/>
        <v>1</v>
      </c>
      <c r="M1466" s="82">
        <f t="shared" si="89"/>
        <v>0.11</v>
      </c>
      <c r="N1466" s="59"/>
      <c r="P1466" s="25" t="s">
        <v>538</v>
      </c>
      <c r="Q1466" s="75"/>
      <c r="R1466" s="75"/>
      <c r="S1466" s="75"/>
      <c r="T1466" s="75"/>
      <c r="U1466" s="75"/>
      <c r="V1466" s="75"/>
      <c r="AA1466" s="146">
        <f>AB1466/COUNTIFS($B:$B,$B1466,$C:$C,$C1466,$H:$H,$H1466,$I:$I,$I1466)</f>
        <v>0.11</v>
      </c>
      <c r="AB1466" s="108">
        <f>VLOOKUP(I1466,'Weights and Confidence'!$D$16:$AC$26,9,FALSE)</f>
        <v>0.11</v>
      </c>
      <c r="AC1466" s="147">
        <f>VLOOKUP(I1466,'Weights and Confidence'!$D$16:$AC$26,10,FALSE)</f>
        <v>1</v>
      </c>
    </row>
    <row r="1467" spans="1:29" x14ac:dyDescent="0.2">
      <c r="A1467" s="77" t="s">
        <v>185</v>
      </c>
      <c r="B1467" s="77" t="s">
        <v>187</v>
      </c>
      <c r="C1467" s="77" t="s">
        <v>529</v>
      </c>
      <c r="D1467" s="77" t="s">
        <v>65</v>
      </c>
      <c r="E1467" s="77"/>
      <c r="F1467" s="50" t="s">
        <v>530</v>
      </c>
      <c r="G1467" s="77">
        <v>5</v>
      </c>
      <c r="H1467" s="77" t="s">
        <v>18</v>
      </c>
      <c r="I1467" s="77" t="s">
        <v>23</v>
      </c>
      <c r="J1467" s="77">
        <v>-1</v>
      </c>
      <c r="K1467" s="79">
        <f>AB1467/COUNTIFS($B:$B,$B1467,$C:$C,$C1467,$H:$H,$H1467,$I:$I,$I1467)</f>
        <v>0.11</v>
      </c>
      <c r="L1467" s="81">
        <f t="shared" si="86"/>
        <v>1</v>
      </c>
      <c r="M1467" s="83">
        <f t="shared" si="89"/>
        <v>-0.11</v>
      </c>
      <c r="N1467" s="84"/>
      <c r="P1467" s="25" t="s">
        <v>539</v>
      </c>
      <c r="Q1467" s="75"/>
      <c r="R1467" s="75"/>
      <c r="S1467" s="75"/>
      <c r="T1467" s="75"/>
      <c r="U1467" s="75"/>
      <c r="V1467" s="75"/>
      <c r="AA1467" s="146">
        <f>AB1467/COUNTIFS($B:$B,$B1467,$C:$C,$C1467,$H:$H,$H1467,$I:$I,$I1467)</f>
        <v>0.11</v>
      </c>
      <c r="AB1467" s="108">
        <f>VLOOKUP(I1467,'Weights and Confidence'!$D$16:$AC$26,9,FALSE)</f>
        <v>0.11</v>
      </c>
      <c r="AC1467" s="147">
        <f>VLOOKUP(I1467,'Weights and Confidence'!$D$16:$AC$26,10,FALSE)</f>
        <v>1</v>
      </c>
    </row>
    <row r="1468" spans="1:29" x14ac:dyDescent="0.2">
      <c r="A1468" s="76" t="s">
        <v>185</v>
      </c>
      <c r="B1468" s="76" t="s">
        <v>187</v>
      </c>
      <c r="C1468" s="76" t="s">
        <v>529</v>
      </c>
      <c r="D1468" s="76" t="s">
        <v>65</v>
      </c>
      <c r="E1468" s="76"/>
      <c r="F1468" s="51" t="s">
        <v>530</v>
      </c>
      <c r="G1468" s="76">
        <v>6</v>
      </c>
      <c r="H1468" s="76" t="s">
        <v>17</v>
      </c>
      <c r="I1468" s="76" t="s">
        <v>24</v>
      </c>
      <c r="J1468" s="76">
        <v>0</v>
      </c>
      <c r="K1468" s="78">
        <f>AB1468/COUNTIFS($B:$B,$B1468,$C:$C,$C1468,$H:$H,$H1468,$I:$I,$I1468)</f>
        <v>0.15</v>
      </c>
      <c r="L1468" s="80">
        <f t="shared" si="86"/>
        <v>1</v>
      </c>
      <c r="M1468" s="82">
        <f t="shared" si="89"/>
        <v>0</v>
      </c>
      <c r="N1468" s="59"/>
      <c r="P1468" s="25" t="s">
        <v>510</v>
      </c>
      <c r="Q1468" s="75"/>
      <c r="R1468" s="75"/>
      <c r="S1468" s="75"/>
      <c r="T1468" s="75"/>
      <c r="U1468" s="75"/>
      <c r="V1468" s="75"/>
      <c r="AA1468" s="146">
        <f>AB1468/COUNTIFS($B:$B,$B1468,$C:$C,$C1468,$H:$H,$H1468,$I:$I,$I1468)</f>
        <v>0.15</v>
      </c>
      <c r="AB1468" s="108">
        <f>VLOOKUP(I1468,'Weights and Confidence'!$D$16:$AC$26,9,FALSE)</f>
        <v>0.15</v>
      </c>
      <c r="AC1468" s="147">
        <f>VLOOKUP(I1468,'Weights and Confidence'!$D$16:$AC$26,10,FALSE)</f>
        <v>1</v>
      </c>
    </row>
    <row r="1469" spans="1:29" x14ac:dyDescent="0.2">
      <c r="A1469" s="77" t="s">
        <v>185</v>
      </c>
      <c r="B1469" s="77" t="s">
        <v>187</v>
      </c>
      <c r="C1469" s="77" t="s">
        <v>529</v>
      </c>
      <c r="D1469" s="77" t="s">
        <v>65</v>
      </c>
      <c r="E1469" s="77"/>
      <c r="F1469" s="50" t="s">
        <v>530</v>
      </c>
      <c r="G1469" s="77">
        <v>6</v>
      </c>
      <c r="H1469" s="77" t="s">
        <v>18</v>
      </c>
      <c r="I1469" s="77" t="s">
        <v>24</v>
      </c>
      <c r="J1469" s="77">
        <v>-1</v>
      </c>
      <c r="K1469" s="79">
        <f>AB1469/COUNTIFS($B:$B,$B1469,$C:$C,$C1469,$H:$H,$H1469,$I:$I,$I1469)</f>
        <v>0.15</v>
      </c>
      <c r="L1469" s="81">
        <f t="shared" si="86"/>
        <v>1</v>
      </c>
      <c r="M1469" s="83">
        <f t="shared" si="89"/>
        <v>-0.15</v>
      </c>
      <c r="N1469" s="84"/>
      <c r="P1469" s="25" t="s">
        <v>540</v>
      </c>
      <c r="Q1469" s="75"/>
      <c r="R1469" s="75"/>
      <c r="S1469" s="75"/>
      <c r="T1469" s="75"/>
      <c r="U1469" s="75"/>
      <c r="V1469" s="75"/>
      <c r="AA1469" s="146">
        <f>AB1469/COUNTIFS($B:$B,$B1469,$C:$C,$C1469,$H:$H,$H1469,$I:$I,$I1469)</f>
        <v>0.15</v>
      </c>
      <c r="AB1469" s="108">
        <f>VLOOKUP(I1469,'Weights and Confidence'!$D$16:$AC$26,9,FALSE)</f>
        <v>0.15</v>
      </c>
      <c r="AC1469" s="147">
        <f>VLOOKUP(I1469,'Weights and Confidence'!$D$16:$AC$26,10,FALSE)</f>
        <v>1</v>
      </c>
    </row>
    <row r="1470" spans="1:29" x14ac:dyDescent="0.2">
      <c r="A1470" s="76" t="s">
        <v>185</v>
      </c>
      <c r="B1470" s="76" t="s">
        <v>187</v>
      </c>
      <c r="C1470" s="76" t="s">
        <v>529</v>
      </c>
      <c r="D1470" s="76" t="s">
        <v>65</v>
      </c>
      <c r="E1470" s="76"/>
      <c r="F1470" s="51" t="s">
        <v>530</v>
      </c>
      <c r="G1470" s="76">
        <v>7</v>
      </c>
      <c r="H1470" s="76" t="s">
        <v>17</v>
      </c>
      <c r="I1470" s="76" t="s">
        <v>25</v>
      </c>
      <c r="J1470" s="76">
        <v>1</v>
      </c>
      <c r="K1470" s="78">
        <f>AB1470/COUNTIFS($B:$B,$B1470,$C:$C,$C1470,$H:$H,$H1470,$I:$I,$I1470)</f>
        <v>0.1</v>
      </c>
      <c r="L1470" s="80">
        <f t="shared" si="86"/>
        <v>1</v>
      </c>
      <c r="M1470" s="82">
        <f t="shared" si="89"/>
        <v>0.1</v>
      </c>
      <c r="N1470" s="59"/>
      <c r="P1470" s="25" t="s">
        <v>541</v>
      </c>
      <c r="Q1470" s="75"/>
      <c r="R1470" s="75"/>
      <c r="S1470" s="75"/>
      <c r="T1470" s="75"/>
      <c r="U1470" s="75"/>
      <c r="V1470" s="75"/>
      <c r="AA1470" s="146">
        <f>AB1470/COUNTIFS($B:$B,$B1470,$C:$C,$C1470,$H:$H,$H1470,$I:$I,$I1470)</f>
        <v>0.1</v>
      </c>
      <c r="AB1470" s="108">
        <f>VLOOKUP(I1470,'Weights and Confidence'!$D$16:$AC$26,9,FALSE)</f>
        <v>0.1</v>
      </c>
      <c r="AC1470" s="147">
        <f>VLOOKUP(I1470,'Weights and Confidence'!$D$16:$AC$26,10,FALSE)</f>
        <v>1</v>
      </c>
    </row>
    <row r="1471" spans="1:29" x14ac:dyDescent="0.2">
      <c r="A1471" s="77" t="s">
        <v>185</v>
      </c>
      <c r="B1471" s="77" t="s">
        <v>187</v>
      </c>
      <c r="C1471" s="77" t="s">
        <v>529</v>
      </c>
      <c r="D1471" s="77" t="s">
        <v>65</v>
      </c>
      <c r="E1471" s="77"/>
      <c r="F1471" s="50" t="s">
        <v>530</v>
      </c>
      <c r="G1471" s="77">
        <v>7</v>
      </c>
      <c r="H1471" s="77" t="s">
        <v>18</v>
      </c>
      <c r="I1471" s="77" t="s">
        <v>25</v>
      </c>
      <c r="J1471" s="77">
        <v>0</v>
      </c>
      <c r="K1471" s="79">
        <f>AB1471/COUNTIFS($B:$B,$B1471,$C:$C,$C1471,$H:$H,$H1471,$I:$I,$I1471)</f>
        <v>0.1</v>
      </c>
      <c r="L1471" s="81">
        <f t="shared" si="86"/>
        <v>1</v>
      </c>
      <c r="M1471" s="83">
        <f t="shared" si="89"/>
        <v>0</v>
      </c>
      <c r="N1471" s="84"/>
      <c r="P1471" s="25" t="s">
        <v>542</v>
      </c>
      <c r="Q1471" s="75"/>
      <c r="R1471" s="75"/>
      <c r="S1471" s="75"/>
      <c r="T1471" s="75"/>
      <c r="U1471" s="75"/>
      <c r="V1471" s="75"/>
      <c r="AA1471" s="146">
        <f>AB1471/COUNTIFS($B:$B,$B1471,$C:$C,$C1471,$H:$H,$H1471,$I:$I,$I1471)</f>
        <v>0.1</v>
      </c>
      <c r="AB1471" s="108">
        <f>VLOOKUP(I1471,'Weights and Confidence'!$D$16:$AC$26,9,FALSE)</f>
        <v>0.1</v>
      </c>
      <c r="AC1471" s="147">
        <f>VLOOKUP(I1471,'Weights and Confidence'!$D$16:$AC$26,10,FALSE)</f>
        <v>1</v>
      </c>
    </row>
    <row r="1472" spans="1:29" x14ac:dyDescent="0.2">
      <c r="A1472" s="76" t="s">
        <v>185</v>
      </c>
      <c r="B1472" s="76" t="s">
        <v>187</v>
      </c>
      <c r="C1472" s="76" t="s">
        <v>529</v>
      </c>
      <c r="D1472" s="76" t="s">
        <v>65</v>
      </c>
      <c r="E1472" s="76"/>
      <c r="F1472" s="51" t="s">
        <v>530</v>
      </c>
      <c r="G1472" s="76">
        <v>8</v>
      </c>
      <c r="H1472" s="76" t="s">
        <v>17</v>
      </c>
      <c r="I1472" s="76" t="s">
        <v>26</v>
      </c>
      <c r="J1472" s="76">
        <v>0</v>
      </c>
      <c r="K1472" s="78">
        <f>AB1472/COUNTIFS($B:$B,$B1472,$C:$C,$C1472,$H:$H,$H1472,$I:$I,$I1472)</f>
        <v>0.1</v>
      </c>
      <c r="L1472" s="80">
        <f t="shared" si="86"/>
        <v>1</v>
      </c>
      <c r="M1472" s="82">
        <f t="shared" si="89"/>
        <v>0</v>
      </c>
      <c r="N1472" s="59"/>
      <c r="P1472" s="25" t="s">
        <v>543</v>
      </c>
      <c r="Q1472" s="75"/>
      <c r="R1472" s="75"/>
      <c r="S1472" s="75"/>
      <c r="T1472" s="75"/>
      <c r="U1472" s="75"/>
      <c r="V1472" s="75"/>
      <c r="AA1472" s="146">
        <f>AB1472/COUNTIFS($B:$B,$B1472,$C:$C,$C1472,$H:$H,$H1472,$I:$I,$I1472)</f>
        <v>0.1</v>
      </c>
      <c r="AB1472" s="108">
        <f>VLOOKUP(I1472,'Weights and Confidence'!$D$16:$AC$26,9,FALSE)</f>
        <v>0.1</v>
      </c>
      <c r="AC1472" s="147">
        <f>VLOOKUP(I1472,'Weights and Confidence'!$D$16:$AC$26,10,FALSE)</f>
        <v>1</v>
      </c>
    </row>
    <row r="1473" spans="1:29" x14ac:dyDescent="0.2">
      <c r="A1473" s="77" t="s">
        <v>185</v>
      </c>
      <c r="B1473" s="77" t="s">
        <v>187</v>
      </c>
      <c r="C1473" s="77" t="s">
        <v>529</v>
      </c>
      <c r="D1473" s="77" t="s">
        <v>65</v>
      </c>
      <c r="E1473" s="77"/>
      <c r="F1473" s="50" t="s">
        <v>530</v>
      </c>
      <c r="G1473" s="77">
        <v>8</v>
      </c>
      <c r="H1473" s="77" t="s">
        <v>18</v>
      </c>
      <c r="I1473" s="77" t="s">
        <v>26</v>
      </c>
      <c r="J1473" s="77">
        <v>-1</v>
      </c>
      <c r="K1473" s="79">
        <f>AB1473/COUNTIFS($B:$B,$B1473,$C:$C,$C1473,$H:$H,$H1473,$I:$I,$I1473)</f>
        <v>0.1</v>
      </c>
      <c r="L1473" s="81">
        <f t="shared" si="86"/>
        <v>1</v>
      </c>
      <c r="M1473" s="83">
        <f t="shared" si="89"/>
        <v>-0.1</v>
      </c>
      <c r="N1473" s="84"/>
      <c r="P1473" s="25" t="s">
        <v>544</v>
      </c>
      <c r="Q1473" s="75"/>
      <c r="R1473" s="75"/>
      <c r="S1473" s="75"/>
      <c r="T1473" s="75"/>
      <c r="U1473" s="75"/>
      <c r="V1473" s="75"/>
      <c r="AA1473" s="146">
        <f>AB1473/COUNTIFS($B:$B,$B1473,$C:$C,$C1473,$H:$H,$H1473,$I:$I,$I1473)</f>
        <v>0.1</v>
      </c>
      <c r="AB1473" s="108">
        <f>VLOOKUP(I1473,'Weights and Confidence'!$D$16:$AC$26,9,FALSE)</f>
        <v>0.1</v>
      </c>
      <c r="AC1473" s="147">
        <f>VLOOKUP(I1473,'Weights and Confidence'!$D$16:$AC$26,10,FALSE)</f>
        <v>1</v>
      </c>
    </row>
    <row r="1474" spans="1:29" x14ac:dyDescent="0.2">
      <c r="A1474" s="76" t="s">
        <v>185</v>
      </c>
      <c r="B1474" s="76" t="s">
        <v>187</v>
      </c>
      <c r="C1474" s="76" t="s">
        <v>529</v>
      </c>
      <c r="D1474" s="76" t="s">
        <v>65</v>
      </c>
      <c r="E1474" s="76"/>
      <c r="F1474" s="51" t="s">
        <v>530</v>
      </c>
      <c r="G1474" s="76">
        <v>9</v>
      </c>
      <c r="H1474" s="76" t="s">
        <v>17</v>
      </c>
      <c r="I1474" s="76" t="s">
        <v>27</v>
      </c>
      <c r="J1474" s="76"/>
      <c r="K1474" s="78">
        <f>AB1474/COUNTIFS($B:$B,$B1474,$C:$C,$C1474,$H:$H,$H1474,$I:$I,$I1474)</f>
        <v>0.05</v>
      </c>
      <c r="L1474" s="80">
        <f t="shared" si="86"/>
        <v>0.85</v>
      </c>
      <c r="M1474" s="82">
        <f t="shared" si="89"/>
        <v>0</v>
      </c>
      <c r="N1474" s="59"/>
      <c r="P1474" s="25" t="s">
        <v>545</v>
      </c>
      <c r="Q1474" s="75"/>
      <c r="R1474" s="75"/>
      <c r="S1474" s="75"/>
      <c r="T1474" s="75"/>
      <c r="U1474" s="75"/>
      <c r="V1474" s="75"/>
      <c r="AA1474" s="146">
        <f>AB1474/COUNTIFS($B:$B,$B1474,$C:$C,$C1474,$H:$H,$H1474,$I:$I,$I1474)</f>
        <v>0.05</v>
      </c>
      <c r="AB1474" s="108">
        <f>VLOOKUP(I1474,'Weights and Confidence'!$D$16:$AC$26,9,FALSE)</f>
        <v>0.1</v>
      </c>
      <c r="AC1474" s="147">
        <f>VLOOKUP(I1474,'Weights and Confidence'!$D$16:$AC$26,10,FALSE)</f>
        <v>0.85</v>
      </c>
    </row>
    <row r="1475" spans="1:29" x14ac:dyDescent="0.2">
      <c r="A1475" s="77" t="s">
        <v>185</v>
      </c>
      <c r="B1475" s="77" t="s">
        <v>187</v>
      </c>
      <c r="C1475" s="77" t="s">
        <v>529</v>
      </c>
      <c r="D1475" s="77" t="s">
        <v>65</v>
      </c>
      <c r="E1475" s="77"/>
      <c r="F1475" s="50" t="s">
        <v>530</v>
      </c>
      <c r="G1475" s="77">
        <v>9</v>
      </c>
      <c r="H1475" s="77" t="s">
        <v>18</v>
      </c>
      <c r="I1475" s="77" t="s">
        <v>27</v>
      </c>
      <c r="J1475" s="77"/>
      <c r="K1475" s="79">
        <f>AB1475/COUNTIFS($B:$B,$B1475,$C:$C,$C1475,$H:$H,$H1475,$I:$I,$I1475)</f>
        <v>0.05</v>
      </c>
      <c r="L1475" s="81">
        <f t="shared" si="86"/>
        <v>0.85</v>
      </c>
      <c r="M1475" s="83">
        <f t="shared" si="89"/>
        <v>0</v>
      </c>
      <c r="N1475" s="58"/>
      <c r="P1475" s="25" t="s">
        <v>546</v>
      </c>
      <c r="Q1475" s="75"/>
      <c r="R1475" s="75"/>
      <c r="S1475" s="75"/>
      <c r="T1475" s="75"/>
      <c r="U1475" s="75"/>
      <c r="V1475" s="75"/>
      <c r="AA1475" s="146">
        <f>AB1475/COUNTIFS($B:$B,$B1475,$C:$C,$C1475,$H:$H,$H1475,$I:$I,$I1475)</f>
        <v>0.05</v>
      </c>
      <c r="AB1475" s="108">
        <f>VLOOKUP(I1475,'Weights and Confidence'!$D$16:$AC$26,9,FALSE)</f>
        <v>0.1</v>
      </c>
      <c r="AC1475" s="147">
        <f>VLOOKUP(I1475,'Weights and Confidence'!$D$16:$AC$26,10,FALSE)</f>
        <v>0.85</v>
      </c>
    </row>
    <row r="1476" spans="1:29" x14ac:dyDescent="0.2">
      <c r="A1476" s="76" t="s">
        <v>185</v>
      </c>
      <c r="B1476" s="76" t="s">
        <v>187</v>
      </c>
      <c r="C1476" s="76" t="s">
        <v>529</v>
      </c>
      <c r="D1476" s="76" t="s">
        <v>65</v>
      </c>
      <c r="E1476" s="76"/>
      <c r="F1476" s="51" t="s">
        <v>530</v>
      </c>
      <c r="G1476" s="76">
        <v>10</v>
      </c>
      <c r="H1476" s="76" t="s">
        <v>17</v>
      </c>
      <c r="I1476" s="76" t="s">
        <v>27</v>
      </c>
      <c r="J1476" s="76"/>
      <c r="K1476" s="78">
        <f>AB1476/COUNTIFS($B:$B,$B1476,$C:$C,$C1476,$H:$H,$H1476,$I:$I,$I1476)</f>
        <v>0.05</v>
      </c>
      <c r="L1476" s="80">
        <f t="shared" si="86"/>
        <v>0.85</v>
      </c>
      <c r="M1476" s="82">
        <f t="shared" si="89"/>
        <v>0</v>
      </c>
      <c r="N1476" s="59"/>
      <c r="P1476" s="25" t="s">
        <v>547</v>
      </c>
      <c r="Q1476" s="75"/>
      <c r="R1476" s="75"/>
      <c r="S1476" s="75"/>
      <c r="T1476" s="75"/>
      <c r="U1476" s="75"/>
      <c r="V1476" s="75"/>
      <c r="AA1476" s="146">
        <f>AB1476/COUNTIFS($B:$B,$B1476,$C:$C,$C1476,$H:$H,$H1476,$I:$I,$I1476)</f>
        <v>0.05</v>
      </c>
      <c r="AB1476" s="108">
        <f>VLOOKUP(I1476,'Weights and Confidence'!$D$16:$AC$26,9,FALSE)</f>
        <v>0.1</v>
      </c>
      <c r="AC1476" s="147">
        <f>VLOOKUP(I1476,'Weights and Confidence'!$D$16:$AC$26,10,FALSE)</f>
        <v>0.85</v>
      </c>
    </row>
    <row r="1477" spans="1:29" x14ac:dyDescent="0.2">
      <c r="A1477" s="77" t="s">
        <v>185</v>
      </c>
      <c r="B1477" s="77" t="s">
        <v>187</v>
      </c>
      <c r="C1477" s="77" t="s">
        <v>529</v>
      </c>
      <c r="D1477" s="77" t="s">
        <v>65</v>
      </c>
      <c r="E1477" s="77"/>
      <c r="F1477" s="50" t="s">
        <v>530</v>
      </c>
      <c r="G1477" s="77">
        <v>10</v>
      </c>
      <c r="H1477" s="77" t="s">
        <v>18</v>
      </c>
      <c r="I1477" s="77" t="s">
        <v>27</v>
      </c>
      <c r="J1477" s="77"/>
      <c r="K1477" s="79">
        <f>AB1477/COUNTIFS($B:$B,$B1477,$C:$C,$C1477,$H:$H,$H1477,$I:$I,$I1477)</f>
        <v>0.05</v>
      </c>
      <c r="L1477" s="81">
        <f t="shared" si="86"/>
        <v>0.85</v>
      </c>
      <c r="M1477" s="83">
        <f t="shared" si="89"/>
        <v>0</v>
      </c>
      <c r="N1477" s="58"/>
      <c r="P1477" s="25" t="s">
        <v>548</v>
      </c>
      <c r="Q1477" s="75"/>
      <c r="R1477" s="75"/>
      <c r="S1477" s="75"/>
      <c r="T1477" s="75"/>
      <c r="U1477" s="75"/>
      <c r="V1477" s="75"/>
      <c r="AA1477" s="146">
        <f>AB1477/COUNTIFS($B:$B,$B1477,$C:$C,$C1477,$H:$H,$H1477,$I:$I,$I1477)</f>
        <v>0.05</v>
      </c>
      <c r="AB1477" s="108">
        <f>VLOOKUP(I1477,'Weights and Confidence'!$D$16:$AC$26,9,FALSE)</f>
        <v>0.1</v>
      </c>
      <c r="AC1477" s="147">
        <f>VLOOKUP(I1477,'Weights and Confidence'!$D$16:$AC$26,10,FALSE)</f>
        <v>0.85</v>
      </c>
    </row>
    <row r="1478" spans="1:29" ht="17" thickBot="1" x14ac:dyDescent="0.25">
      <c r="A1478" s="76" t="s">
        <v>185</v>
      </c>
      <c r="B1478" s="76" t="s">
        <v>187</v>
      </c>
      <c r="C1478" s="76" t="s">
        <v>529</v>
      </c>
      <c r="D1478" s="76" t="s">
        <v>65</v>
      </c>
      <c r="E1478" s="76"/>
      <c r="F1478" s="51" t="s">
        <v>530</v>
      </c>
      <c r="G1478" s="76">
        <v>11</v>
      </c>
      <c r="H1478" s="76" t="s">
        <v>17</v>
      </c>
      <c r="I1478" s="76" t="s">
        <v>28</v>
      </c>
      <c r="J1478" s="76">
        <v>0</v>
      </c>
      <c r="K1478" s="78">
        <f>AB1478/COUNTIFS($B:$B,$B1478,$C:$C,$C1478,$H:$H,$H1478,$I:$I,$I1478)</f>
        <v>0.05</v>
      </c>
      <c r="L1478" s="80">
        <f t="shared" ref="L1478:L1525" si="90">AC1478</f>
        <v>1</v>
      </c>
      <c r="M1478" s="82">
        <f t="shared" si="89"/>
        <v>0</v>
      </c>
      <c r="N1478" s="59"/>
      <c r="P1478" s="26" t="s">
        <v>549</v>
      </c>
      <c r="Q1478" s="2"/>
      <c r="R1478" s="2"/>
      <c r="S1478" s="2"/>
      <c r="T1478" s="2"/>
      <c r="U1478" s="2"/>
      <c r="V1478" s="2"/>
      <c r="AA1478" s="146">
        <f>AB1478/COUNTIFS($B:$B,$B1478,$C:$C,$C1478,$H:$H,$H1478,$I:$I,$I1478)</f>
        <v>0.05</v>
      </c>
      <c r="AB1478" s="108">
        <f>VLOOKUP(I1478,'Weights and Confidence'!$D$16:$AC$26,9,FALSE)</f>
        <v>0.05</v>
      </c>
      <c r="AC1478" s="147">
        <f>VLOOKUP(I1478,'Weights and Confidence'!$D$16:$AC$26,10,FALSE)</f>
        <v>1</v>
      </c>
    </row>
    <row r="1479" spans="1:29" ht="17" thickBot="1" x14ac:dyDescent="0.25">
      <c r="A1479" s="98" t="s">
        <v>185</v>
      </c>
      <c r="B1479" s="98" t="s">
        <v>187</v>
      </c>
      <c r="C1479" s="98" t="s">
        <v>529</v>
      </c>
      <c r="D1479" s="98" t="s">
        <v>65</v>
      </c>
      <c r="E1479" s="98"/>
      <c r="F1479" s="54" t="s">
        <v>530</v>
      </c>
      <c r="G1479" s="98">
        <v>11</v>
      </c>
      <c r="H1479" s="98" t="s">
        <v>18</v>
      </c>
      <c r="I1479" s="98" t="s">
        <v>28</v>
      </c>
      <c r="J1479" s="98">
        <v>-1</v>
      </c>
      <c r="K1479" s="99">
        <f>AB1479/COUNTIFS($B:$B,$B1479,$C:$C,$C1479,$H:$H,$H1479,$I:$I,$I1479)</f>
        <v>0.05</v>
      </c>
      <c r="L1479" s="100">
        <f t="shared" si="90"/>
        <v>1</v>
      </c>
      <c r="M1479" s="101">
        <f t="shared" si="89"/>
        <v>-0.05</v>
      </c>
      <c r="N1479" s="22"/>
      <c r="AA1479" s="140">
        <f>AB1479/COUNTIFS($B:$B,$B1479,$C:$C,$C1479,$H:$H,$H1479,$I:$I,$I1479)</f>
        <v>0.05</v>
      </c>
      <c r="AB1479" s="141">
        <f>VLOOKUP(I1479,'Weights and Confidence'!$D$16:$AC$26,9,FALSE)</f>
        <v>0.05</v>
      </c>
      <c r="AC1479" s="142">
        <f>VLOOKUP(I1479,'Weights and Confidence'!$D$16:$AC$26,10,FALSE)</f>
        <v>1</v>
      </c>
    </row>
    <row r="1480" spans="1:29" ht="18" thickTop="1" thickBot="1" x14ac:dyDescent="0.25">
      <c r="A1480" s="86" t="s">
        <v>185</v>
      </c>
      <c r="B1480" s="86" t="s">
        <v>187</v>
      </c>
      <c r="C1480" s="86" t="s">
        <v>550</v>
      </c>
      <c r="D1480" s="129" t="s">
        <v>65</v>
      </c>
      <c r="E1480" s="86"/>
      <c r="F1480" s="91" t="s">
        <v>551</v>
      </c>
      <c r="G1480" s="86">
        <v>1</v>
      </c>
      <c r="H1480" s="86" t="s">
        <v>17</v>
      </c>
      <c r="I1480" s="86" t="s">
        <v>19</v>
      </c>
      <c r="J1480" s="97">
        <v>1</v>
      </c>
      <c r="K1480" s="87">
        <f>AB1480/COUNTIFS($B:$B,$B1480,$C:$C,$C1480,$H:$H,$H1480,$I:$I,$I1480)</f>
        <v>0.12</v>
      </c>
      <c r="L1480" s="88">
        <f t="shared" si="90"/>
        <v>1</v>
      </c>
      <c r="M1480" s="89">
        <f t="shared" si="89"/>
        <v>0.12</v>
      </c>
      <c r="N1480" s="90"/>
      <c r="AA1480" s="146">
        <f>AB1480/COUNTIFS($B:$B,$B1480,$C:$C,$C1480,$H:$H,$H1480,$I:$I,$I1480)</f>
        <v>0.12</v>
      </c>
      <c r="AB1480" s="108">
        <f>VLOOKUP(I1480,'Weights and Confidence'!$D$16:$AC$26,9,FALSE)</f>
        <v>0.12</v>
      </c>
      <c r="AC1480" s="147">
        <f>VLOOKUP(I1480,'Weights and Confidence'!$D$16:$AC$26,10,FALSE)</f>
        <v>1</v>
      </c>
    </row>
    <row r="1481" spans="1:29" x14ac:dyDescent="0.2">
      <c r="A1481" s="77" t="s">
        <v>185</v>
      </c>
      <c r="B1481" s="77" t="s">
        <v>187</v>
      </c>
      <c r="C1481" s="77" t="s">
        <v>550</v>
      </c>
      <c r="D1481" s="77" t="s">
        <v>65</v>
      </c>
      <c r="E1481" s="77"/>
      <c r="F1481" s="50" t="s">
        <v>551</v>
      </c>
      <c r="G1481" s="77">
        <v>1</v>
      </c>
      <c r="H1481" s="77" t="s">
        <v>18</v>
      </c>
      <c r="I1481" s="77" t="s">
        <v>19</v>
      </c>
      <c r="J1481" s="77">
        <v>0</v>
      </c>
      <c r="K1481" s="79">
        <f>AB1481/COUNTIFS($B:$B,$B1481,$C:$C,$C1481,$H:$H,$H1481,$I:$I,$I1481)</f>
        <v>0.12</v>
      </c>
      <c r="L1481" s="81">
        <f t="shared" si="90"/>
        <v>1</v>
      </c>
      <c r="M1481" s="83">
        <f>J1480*K1481*L1481</f>
        <v>0.12</v>
      </c>
      <c r="N1481" s="84"/>
      <c r="P1481" s="24" t="s">
        <v>557</v>
      </c>
      <c r="Q1481" s="10"/>
      <c r="R1481" s="10"/>
      <c r="S1481" s="10"/>
      <c r="T1481" s="10"/>
      <c r="U1481" s="10"/>
      <c r="V1481" s="10"/>
      <c r="AA1481" s="146">
        <f>AB1481/COUNTIFS($B:$B,$B1481,$C:$C,$C1481,$H:$H,$H1481,$I:$I,$I1481)</f>
        <v>0.12</v>
      </c>
      <c r="AB1481" s="108">
        <f>VLOOKUP(I1481,'Weights and Confidence'!$D$16:$AC$26,9,FALSE)</f>
        <v>0.12</v>
      </c>
      <c r="AC1481" s="147">
        <f>VLOOKUP(I1481,'Weights and Confidence'!$D$16:$AC$26,10,FALSE)</f>
        <v>1</v>
      </c>
    </row>
    <row r="1482" spans="1:29" x14ac:dyDescent="0.2">
      <c r="A1482" s="76" t="s">
        <v>185</v>
      </c>
      <c r="B1482" s="76" t="s">
        <v>187</v>
      </c>
      <c r="C1482" s="76" t="s">
        <v>550</v>
      </c>
      <c r="D1482" s="76" t="s">
        <v>65</v>
      </c>
      <c r="E1482" s="76"/>
      <c r="F1482" s="51" t="s">
        <v>551</v>
      </c>
      <c r="G1482" s="76">
        <v>2</v>
      </c>
      <c r="H1482" s="76" t="s">
        <v>17</v>
      </c>
      <c r="I1482" s="76" t="s">
        <v>20</v>
      </c>
      <c r="J1482" s="76">
        <v>0</v>
      </c>
      <c r="K1482" s="78">
        <f>AB1482/COUNTIFS($B:$B,$B1482,$C:$C,$C1482,$H:$H,$H1482,$I:$I,$I1482)</f>
        <v>0.08</v>
      </c>
      <c r="L1482" s="80">
        <f t="shared" si="90"/>
        <v>0.8</v>
      </c>
      <c r="M1482" s="82">
        <f t="shared" ref="M1482:M1502" si="91">J1482*K1482*L1482</f>
        <v>0</v>
      </c>
      <c r="N1482" s="59"/>
      <c r="P1482" s="25" t="s">
        <v>558</v>
      </c>
      <c r="Q1482" s="75"/>
      <c r="R1482" s="75"/>
      <c r="S1482" s="75"/>
      <c r="T1482" s="75"/>
      <c r="U1482" s="75"/>
      <c r="V1482" s="75"/>
      <c r="AA1482" s="146">
        <f>AB1482/COUNTIFS($B:$B,$B1482,$C:$C,$C1482,$H:$H,$H1482,$I:$I,$I1482)</f>
        <v>0.08</v>
      </c>
      <c r="AB1482" s="108">
        <f>VLOOKUP(I1482,'Weights and Confidence'!$D$16:$AC$26,9,FALSE)</f>
        <v>0.08</v>
      </c>
      <c r="AC1482" s="147">
        <f>VLOOKUP(I1482,'Weights and Confidence'!$D$16:$AC$26,10,FALSE)</f>
        <v>0.8</v>
      </c>
    </row>
    <row r="1483" spans="1:29" x14ac:dyDescent="0.2">
      <c r="A1483" s="77" t="s">
        <v>185</v>
      </c>
      <c r="B1483" s="77" t="s">
        <v>187</v>
      </c>
      <c r="C1483" s="77" t="s">
        <v>550</v>
      </c>
      <c r="D1483" s="77" t="s">
        <v>65</v>
      </c>
      <c r="E1483" s="77"/>
      <c r="F1483" s="50" t="s">
        <v>551</v>
      </c>
      <c r="G1483" s="77">
        <v>2</v>
      </c>
      <c r="H1483" s="77" t="s">
        <v>18</v>
      </c>
      <c r="I1483" s="77" t="s">
        <v>20</v>
      </c>
      <c r="J1483" s="77">
        <v>-1</v>
      </c>
      <c r="K1483" s="79">
        <f>AB1483/COUNTIFS($B:$B,$B1483,$C:$C,$C1483,$H:$H,$H1483,$I:$I,$I1483)</f>
        <v>0.08</v>
      </c>
      <c r="L1483" s="81">
        <f t="shared" si="90"/>
        <v>0.8</v>
      </c>
      <c r="M1483" s="83">
        <f t="shared" si="91"/>
        <v>-6.4000000000000001E-2</v>
      </c>
      <c r="N1483" s="58" t="s">
        <v>552</v>
      </c>
      <c r="P1483" s="25" t="s">
        <v>559</v>
      </c>
      <c r="Q1483" s="75"/>
      <c r="R1483" s="75"/>
      <c r="S1483" s="75"/>
      <c r="T1483" s="75"/>
      <c r="U1483" s="75"/>
      <c r="V1483" s="75"/>
      <c r="AA1483" s="146">
        <f>AB1483/COUNTIFS($B:$B,$B1483,$C:$C,$C1483,$H:$H,$H1483,$I:$I,$I1483)</f>
        <v>0.08</v>
      </c>
      <c r="AB1483" s="108">
        <f>VLOOKUP(I1483,'Weights and Confidence'!$D$16:$AC$26,9,FALSE)</f>
        <v>0.08</v>
      </c>
      <c r="AC1483" s="147">
        <f>VLOOKUP(I1483,'Weights and Confidence'!$D$16:$AC$26,10,FALSE)</f>
        <v>0.8</v>
      </c>
    </row>
    <row r="1484" spans="1:29" x14ac:dyDescent="0.2">
      <c r="A1484" s="76" t="s">
        <v>185</v>
      </c>
      <c r="B1484" s="76" t="s">
        <v>187</v>
      </c>
      <c r="C1484" s="76" t="s">
        <v>550</v>
      </c>
      <c r="D1484" s="76" t="s">
        <v>65</v>
      </c>
      <c r="E1484" s="76"/>
      <c r="F1484" s="51" t="s">
        <v>551</v>
      </c>
      <c r="G1484" s="76">
        <v>3</v>
      </c>
      <c r="H1484" s="76" t="s">
        <v>17</v>
      </c>
      <c r="I1484" s="76" t="s">
        <v>21</v>
      </c>
      <c r="J1484" s="76">
        <v>0</v>
      </c>
      <c r="K1484" s="78">
        <f>AB1484/COUNTIFS($B:$B,$B1484,$C:$C,$C1484,$H:$H,$H1484,$I:$I,$I1484)</f>
        <v>0.05</v>
      </c>
      <c r="L1484" s="80">
        <f t="shared" si="90"/>
        <v>1</v>
      </c>
      <c r="M1484" s="82">
        <f t="shared" si="91"/>
        <v>0</v>
      </c>
      <c r="N1484" s="59"/>
      <c r="P1484" s="25" t="s">
        <v>560</v>
      </c>
      <c r="Q1484" s="75"/>
      <c r="R1484" s="75"/>
      <c r="S1484" s="75"/>
      <c r="T1484" s="75"/>
      <c r="U1484" s="75"/>
      <c r="V1484" s="75"/>
      <c r="AA1484" s="146">
        <f>AB1484/COUNTIFS($B:$B,$B1484,$C:$C,$C1484,$H:$H,$H1484,$I:$I,$I1484)</f>
        <v>0.05</v>
      </c>
      <c r="AB1484" s="108">
        <f>VLOOKUP(I1484,'Weights and Confidence'!$D$16:$AC$26,9,FALSE)</f>
        <v>0.05</v>
      </c>
      <c r="AC1484" s="147">
        <f>VLOOKUP(I1484,'Weights and Confidence'!$D$16:$AC$26,10,FALSE)</f>
        <v>1</v>
      </c>
    </row>
    <row r="1485" spans="1:29" x14ac:dyDescent="0.2">
      <c r="A1485" s="77" t="s">
        <v>185</v>
      </c>
      <c r="B1485" s="77" t="s">
        <v>187</v>
      </c>
      <c r="C1485" s="77" t="s">
        <v>550</v>
      </c>
      <c r="D1485" s="77" t="s">
        <v>65</v>
      </c>
      <c r="E1485" s="77"/>
      <c r="F1485" s="50" t="s">
        <v>551</v>
      </c>
      <c r="G1485" s="77">
        <v>3</v>
      </c>
      <c r="H1485" s="77" t="s">
        <v>18</v>
      </c>
      <c r="I1485" s="77" t="s">
        <v>21</v>
      </c>
      <c r="J1485" s="77">
        <v>-1</v>
      </c>
      <c r="K1485" s="79">
        <f>AB1485/COUNTIFS($B:$B,$B1485,$C:$C,$C1485,$H:$H,$H1485,$I:$I,$I1485)</f>
        <v>0.05</v>
      </c>
      <c r="L1485" s="81">
        <f t="shared" si="90"/>
        <v>1</v>
      </c>
      <c r="M1485" s="83">
        <f t="shared" si="91"/>
        <v>-0.05</v>
      </c>
      <c r="N1485" s="84" t="s">
        <v>553</v>
      </c>
      <c r="P1485" s="25" t="s">
        <v>561</v>
      </c>
      <c r="Q1485" s="75"/>
      <c r="R1485" s="75"/>
      <c r="S1485" s="75"/>
      <c r="T1485" s="75"/>
      <c r="U1485" s="75"/>
      <c r="V1485" s="75"/>
      <c r="AA1485" s="146">
        <f>AB1485/COUNTIFS($B:$B,$B1485,$C:$C,$C1485,$H:$H,$H1485,$I:$I,$I1485)</f>
        <v>0.05</v>
      </c>
      <c r="AB1485" s="108">
        <f>VLOOKUP(I1485,'Weights and Confidence'!$D$16:$AC$26,9,FALSE)</f>
        <v>0.05</v>
      </c>
      <c r="AC1485" s="147">
        <f>VLOOKUP(I1485,'Weights and Confidence'!$D$16:$AC$26,10,FALSE)</f>
        <v>1</v>
      </c>
    </row>
    <row r="1486" spans="1:29" x14ac:dyDescent="0.2">
      <c r="A1486" s="76" t="s">
        <v>185</v>
      </c>
      <c r="B1486" s="76" t="s">
        <v>187</v>
      </c>
      <c r="C1486" s="76" t="s">
        <v>550</v>
      </c>
      <c r="D1486" s="76" t="s">
        <v>65</v>
      </c>
      <c r="E1486" s="76"/>
      <c r="F1486" s="51" t="s">
        <v>551</v>
      </c>
      <c r="G1486" s="76">
        <v>4</v>
      </c>
      <c r="H1486" s="76" t="s">
        <v>17</v>
      </c>
      <c r="I1486" s="76" t="s">
        <v>22</v>
      </c>
      <c r="J1486" s="76">
        <v>0</v>
      </c>
      <c r="K1486" s="78">
        <f>AB1486/COUNTIFS($B:$B,$B1486,$C:$C,$C1486,$H:$H,$H1486,$I:$I,$I1486)</f>
        <v>0.14000000000000001</v>
      </c>
      <c r="L1486" s="80">
        <f t="shared" si="90"/>
        <v>1</v>
      </c>
      <c r="M1486" s="82">
        <f t="shared" si="91"/>
        <v>0</v>
      </c>
      <c r="N1486" s="59"/>
      <c r="P1486" s="25" t="s">
        <v>562</v>
      </c>
      <c r="Q1486" s="75"/>
      <c r="R1486" s="75"/>
      <c r="S1486" s="75"/>
      <c r="T1486" s="75"/>
      <c r="U1486" s="75"/>
      <c r="V1486" s="75"/>
      <c r="AA1486" s="146">
        <f>AB1486/COUNTIFS($B:$B,$B1486,$C:$C,$C1486,$H:$H,$H1486,$I:$I,$I1486)</f>
        <v>0.14000000000000001</v>
      </c>
      <c r="AB1486" s="108">
        <f>VLOOKUP(I1486,'Weights and Confidence'!$D$16:$AC$26,9,FALSE)</f>
        <v>0.14000000000000001</v>
      </c>
      <c r="AC1486" s="147">
        <f>VLOOKUP(I1486,'Weights and Confidence'!$D$16:$AC$26,10,FALSE)</f>
        <v>1</v>
      </c>
    </row>
    <row r="1487" spans="1:29" x14ac:dyDescent="0.2">
      <c r="A1487" s="77" t="s">
        <v>185</v>
      </c>
      <c r="B1487" s="77" t="s">
        <v>187</v>
      </c>
      <c r="C1487" s="77" t="s">
        <v>550</v>
      </c>
      <c r="D1487" s="77" t="s">
        <v>65</v>
      </c>
      <c r="E1487" s="77"/>
      <c r="F1487" s="50" t="s">
        <v>551</v>
      </c>
      <c r="G1487" s="77">
        <v>4</v>
      </c>
      <c r="H1487" s="77" t="s">
        <v>18</v>
      </c>
      <c r="I1487" s="77" t="s">
        <v>22</v>
      </c>
      <c r="J1487" s="77">
        <v>-1</v>
      </c>
      <c r="K1487" s="79">
        <f>AB1487/COUNTIFS($B:$B,$B1487,$C:$C,$C1487,$H:$H,$H1487,$I:$I,$I1487)</f>
        <v>0.14000000000000001</v>
      </c>
      <c r="L1487" s="81">
        <f t="shared" si="90"/>
        <v>1</v>
      </c>
      <c r="M1487" s="83">
        <f t="shared" si="91"/>
        <v>-0.14000000000000001</v>
      </c>
      <c r="N1487" s="84" t="s">
        <v>554</v>
      </c>
      <c r="P1487" s="25" t="s">
        <v>563</v>
      </c>
      <c r="Q1487" s="75"/>
      <c r="R1487" s="75"/>
      <c r="S1487" s="75"/>
      <c r="T1487" s="75"/>
      <c r="U1487" s="75"/>
      <c r="V1487" s="75"/>
      <c r="AA1487" s="146">
        <f>AB1487/COUNTIFS($B:$B,$B1487,$C:$C,$C1487,$H:$H,$H1487,$I:$I,$I1487)</f>
        <v>0.14000000000000001</v>
      </c>
      <c r="AB1487" s="108">
        <f>VLOOKUP(I1487,'Weights and Confidence'!$D$16:$AC$26,9,FALSE)</f>
        <v>0.14000000000000001</v>
      </c>
      <c r="AC1487" s="147">
        <f>VLOOKUP(I1487,'Weights and Confidence'!$D$16:$AC$26,10,FALSE)</f>
        <v>1</v>
      </c>
    </row>
    <row r="1488" spans="1:29" x14ac:dyDescent="0.2">
      <c r="A1488" s="76" t="s">
        <v>185</v>
      </c>
      <c r="B1488" s="76" t="s">
        <v>187</v>
      </c>
      <c r="C1488" s="76" t="s">
        <v>550</v>
      </c>
      <c r="D1488" s="76" t="s">
        <v>65</v>
      </c>
      <c r="E1488" s="76"/>
      <c r="F1488" s="51" t="s">
        <v>551</v>
      </c>
      <c r="G1488" s="76">
        <v>5</v>
      </c>
      <c r="H1488" s="76" t="s">
        <v>17</v>
      </c>
      <c r="I1488" s="76" t="s">
        <v>23</v>
      </c>
      <c r="J1488" s="76">
        <v>0</v>
      </c>
      <c r="K1488" s="78">
        <f>AB1488/COUNTIFS($B:$B,$B1488,$C:$C,$C1488,$H:$H,$H1488,$I:$I,$I1488)</f>
        <v>0.11</v>
      </c>
      <c r="L1488" s="80">
        <f t="shared" si="90"/>
        <v>1</v>
      </c>
      <c r="M1488" s="82">
        <f t="shared" si="91"/>
        <v>0</v>
      </c>
      <c r="N1488" s="59"/>
      <c r="P1488" s="25" t="s">
        <v>564</v>
      </c>
      <c r="Q1488" s="75"/>
      <c r="R1488" s="75"/>
      <c r="S1488" s="75"/>
      <c r="T1488" s="75"/>
      <c r="U1488" s="75"/>
      <c r="V1488" s="75"/>
      <c r="AA1488" s="146">
        <f>AB1488/COUNTIFS($B:$B,$B1488,$C:$C,$C1488,$H:$H,$H1488,$I:$I,$I1488)</f>
        <v>0.11</v>
      </c>
      <c r="AB1488" s="108">
        <f>VLOOKUP(I1488,'Weights and Confidence'!$D$16:$AC$26,9,FALSE)</f>
        <v>0.11</v>
      </c>
      <c r="AC1488" s="147">
        <f>VLOOKUP(I1488,'Weights and Confidence'!$D$16:$AC$26,10,FALSE)</f>
        <v>1</v>
      </c>
    </row>
    <row r="1489" spans="1:29" ht="17" thickBot="1" x14ac:dyDescent="0.25">
      <c r="A1489" s="77" t="s">
        <v>185</v>
      </c>
      <c r="B1489" s="77" t="s">
        <v>187</v>
      </c>
      <c r="C1489" s="77" t="s">
        <v>550</v>
      </c>
      <c r="D1489" s="77" t="s">
        <v>65</v>
      </c>
      <c r="E1489" s="77"/>
      <c r="F1489" s="50" t="s">
        <v>551</v>
      </c>
      <c r="G1489" s="77">
        <v>5</v>
      </c>
      <c r="H1489" s="77" t="s">
        <v>18</v>
      </c>
      <c r="I1489" s="77" t="s">
        <v>23</v>
      </c>
      <c r="J1489" s="77">
        <v>-1</v>
      </c>
      <c r="K1489" s="79">
        <f>AB1489/COUNTIFS($B:$B,$B1489,$C:$C,$C1489,$H:$H,$H1489,$I:$I,$I1489)</f>
        <v>0.11</v>
      </c>
      <c r="L1489" s="81">
        <f t="shared" si="90"/>
        <v>1</v>
      </c>
      <c r="M1489" s="83">
        <f t="shared" si="91"/>
        <v>-0.11</v>
      </c>
      <c r="N1489" s="84" t="s">
        <v>555</v>
      </c>
      <c r="P1489" s="26" t="s">
        <v>565</v>
      </c>
      <c r="Q1489" s="2"/>
      <c r="R1489" s="2"/>
      <c r="S1489" s="2"/>
      <c r="T1489" s="2"/>
      <c r="U1489" s="2"/>
      <c r="V1489" s="2"/>
      <c r="AA1489" s="146">
        <f>AB1489/COUNTIFS($B:$B,$B1489,$C:$C,$C1489,$H:$H,$H1489,$I:$I,$I1489)</f>
        <v>0.11</v>
      </c>
      <c r="AB1489" s="108">
        <f>VLOOKUP(I1489,'Weights and Confidence'!$D$16:$AC$26,9,FALSE)</f>
        <v>0.11</v>
      </c>
      <c r="AC1489" s="147">
        <f>VLOOKUP(I1489,'Weights and Confidence'!$D$16:$AC$26,10,FALSE)</f>
        <v>1</v>
      </c>
    </row>
    <row r="1490" spans="1:29" x14ac:dyDescent="0.2">
      <c r="A1490" s="76" t="s">
        <v>185</v>
      </c>
      <c r="B1490" s="76" t="s">
        <v>187</v>
      </c>
      <c r="C1490" s="76" t="s">
        <v>550</v>
      </c>
      <c r="D1490" s="76" t="s">
        <v>65</v>
      </c>
      <c r="E1490" s="76"/>
      <c r="F1490" s="51" t="s">
        <v>551</v>
      </c>
      <c r="G1490" s="76">
        <v>6</v>
      </c>
      <c r="H1490" s="76" t="s">
        <v>17</v>
      </c>
      <c r="I1490" s="76" t="s">
        <v>24</v>
      </c>
      <c r="J1490" s="76">
        <v>0</v>
      </c>
      <c r="K1490" s="78">
        <f>AB1490/COUNTIFS($B:$B,$B1490,$C:$C,$C1490,$H:$H,$H1490,$I:$I,$I1490)</f>
        <v>0.15</v>
      </c>
      <c r="L1490" s="80">
        <f t="shared" si="90"/>
        <v>1</v>
      </c>
      <c r="M1490" s="82">
        <f t="shared" si="91"/>
        <v>0</v>
      </c>
      <c r="N1490" s="59"/>
      <c r="AA1490" s="146">
        <f>AB1490/COUNTIFS($B:$B,$B1490,$C:$C,$C1490,$H:$H,$H1490,$I:$I,$I1490)</f>
        <v>0.15</v>
      </c>
      <c r="AB1490" s="108">
        <f>VLOOKUP(I1490,'Weights and Confidence'!$D$16:$AC$26,9,FALSE)</f>
        <v>0.15</v>
      </c>
      <c r="AC1490" s="147">
        <f>VLOOKUP(I1490,'Weights and Confidence'!$D$16:$AC$26,10,FALSE)</f>
        <v>1</v>
      </c>
    </row>
    <row r="1491" spans="1:29" x14ac:dyDescent="0.2">
      <c r="A1491" s="77" t="s">
        <v>185</v>
      </c>
      <c r="B1491" s="77" t="s">
        <v>187</v>
      </c>
      <c r="C1491" s="77" t="s">
        <v>550</v>
      </c>
      <c r="D1491" s="77" t="s">
        <v>65</v>
      </c>
      <c r="E1491" s="77"/>
      <c r="F1491" s="50" t="s">
        <v>551</v>
      </c>
      <c r="G1491" s="77">
        <v>6</v>
      </c>
      <c r="H1491" s="77" t="s">
        <v>18</v>
      </c>
      <c r="I1491" s="77" t="s">
        <v>24</v>
      </c>
      <c r="J1491" s="77">
        <v>-1</v>
      </c>
      <c r="K1491" s="79">
        <f>AB1491/COUNTIFS($B:$B,$B1491,$C:$C,$C1491,$H:$H,$H1491,$I:$I,$I1491)</f>
        <v>0.15</v>
      </c>
      <c r="L1491" s="81">
        <f t="shared" si="90"/>
        <v>1</v>
      </c>
      <c r="M1491" s="83">
        <f t="shared" si="91"/>
        <v>-0.15</v>
      </c>
      <c r="N1491" s="84" t="s">
        <v>556</v>
      </c>
      <c r="AA1491" s="146">
        <f>AB1491/COUNTIFS($B:$B,$B1491,$C:$C,$C1491,$H:$H,$H1491,$I:$I,$I1491)</f>
        <v>0.15</v>
      </c>
      <c r="AB1491" s="108">
        <f>VLOOKUP(I1491,'Weights and Confidence'!$D$16:$AC$26,9,FALSE)</f>
        <v>0.15</v>
      </c>
      <c r="AC1491" s="147">
        <f>VLOOKUP(I1491,'Weights and Confidence'!$D$16:$AC$26,10,FALSE)</f>
        <v>1</v>
      </c>
    </row>
    <row r="1492" spans="1:29" x14ac:dyDescent="0.2">
      <c r="A1492" s="76" t="s">
        <v>185</v>
      </c>
      <c r="B1492" s="76" t="s">
        <v>187</v>
      </c>
      <c r="C1492" s="76" t="s">
        <v>550</v>
      </c>
      <c r="D1492" s="76" t="s">
        <v>65</v>
      </c>
      <c r="E1492" s="76"/>
      <c r="F1492" s="51" t="s">
        <v>551</v>
      </c>
      <c r="G1492" s="76">
        <v>7</v>
      </c>
      <c r="H1492" s="76" t="s">
        <v>17</v>
      </c>
      <c r="I1492" s="76" t="s">
        <v>25</v>
      </c>
      <c r="J1492" s="76">
        <v>0</v>
      </c>
      <c r="K1492" s="78">
        <f>AB1492/COUNTIFS($B:$B,$B1492,$C:$C,$C1492,$H:$H,$H1492,$I:$I,$I1492)</f>
        <v>0.1</v>
      </c>
      <c r="L1492" s="80">
        <f t="shared" si="90"/>
        <v>1</v>
      </c>
      <c r="M1492" s="82">
        <f t="shared" si="91"/>
        <v>0</v>
      </c>
      <c r="N1492" s="59"/>
      <c r="AA1492" s="146">
        <f>AB1492/COUNTIFS($B:$B,$B1492,$C:$C,$C1492,$H:$H,$H1492,$I:$I,$I1492)</f>
        <v>0.1</v>
      </c>
      <c r="AB1492" s="108">
        <f>VLOOKUP(I1492,'Weights and Confidence'!$D$16:$AC$26,9,FALSE)</f>
        <v>0.1</v>
      </c>
      <c r="AC1492" s="147">
        <f>VLOOKUP(I1492,'Weights and Confidence'!$D$16:$AC$26,10,FALSE)</f>
        <v>1</v>
      </c>
    </row>
    <row r="1493" spans="1:29" x14ac:dyDescent="0.2">
      <c r="A1493" s="77" t="s">
        <v>185</v>
      </c>
      <c r="B1493" s="77" t="s">
        <v>187</v>
      </c>
      <c r="C1493" s="77" t="s">
        <v>550</v>
      </c>
      <c r="D1493" s="77" t="s">
        <v>65</v>
      </c>
      <c r="E1493" s="77"/>
      <c r="F1493" s="50" t="s">
        <v>551</v>
      </c>
      <c r="G1493" s="77">
        <v>7</v>
      </c>
      <c r="H1493" s="77" t="s">
        <v>18</v>
      </c>
      <c r="I1493" s="77" t="s">
        <v>25</v>
      </c>
      <c r="J1493" s="77">
        <v>-1</v>
      </c>
      <c r="K1493" s="79">
        <f>AB1493/COUNTIFS($B:$B,$B1493,$C:$C,$C1493,$H:$H,$H1493,$I:$I,$I1493)</f>
        <v>0.1</v>
      </c>
      <c r="L1493" s="81">
        <f t="shared" si="90"/>
        <v>1</v>
      </c>
      <c r="M1493" s="83">
        <f t="shared" si="91"/>
        <v>-0.1</v>
      </c>
      <c r="N1493" s="84"/>
      <c r="AA1493" s="146">
        <f>AB1493/COUNTIFS($B:$B,$B1493,$C:$C,$C1493,$H:$H,$H1493,$I:$I,$I1493)</f>
        <v>0.1</v>
      </c>
      <c r="AB1493" s="108">
        <f>VLOOKUP(I1493,'Weights and Confidence'!$D$16:$AC$26,9,FALSE)</f>
        <v>0.1</v>
      </c>
      <c r="AC1493" s="147">
        <f>VLOOKUP(I1493,'Weights and Confidence'!$D$16:$AC$26,10,FALSE)</f>
        <v>1</v>
      </c>
    </row>
    <row r="1494" spans="1:29" x14ac:dyDescent="0.2">
      <c r="A1494" s="76" t="s">
        <v>185</v>
      </c>
      <c r="B1494" s="76" t="s">
        <v>187</v>
      </c>
      <c r="C1494" s="76" t="s">
        <v>550</v>
      </c>
      <c r="D1494" s="76" t="s">
        <v>65</v>
      </c>
      <c r="E1494" s="76"/>
      <c r="F1494" s="51" t="s">
        <v>551</v>
      </c>
      <c r="G1494" s="76">
        <v>8</v>
      </c>
      <c r="H1494" s="76" t="s">
        <v>17</v>
      </c>
      <c r="I1494" s="76" t="s">
        <v>26</v>
      </c>
      <c r="J1494" s="76">
        <v>0</v>
      </c>
      <c r="K1494" s="78">
        <f>AB1494/COUNTIFS($B:$B,$B1494,$C:$C,$C1494,$H:$H,$H1494,$I:$I,$I1494)</f>
        <v>0.1</v>
      </c>
      <c r="L1494" s="80">
        <f t="shared" si="90"/>
        <v>1</v>
      </c>
      <c r="M1494" s="82">
        <f t="shared" si="91"/>
        <v>0</v>
      </c>
      <c r="N1494" s="59"/>
      <c r="AA1494" s="146">
        <f>AB1494/COUNTIFS($B:$B,$B1494,$C:$C,$C1494,$H:$H,$H1494,$I:$I,$I1494)</f>
        <v>0.1</v>
      </c>
      <c r="AB1494" s="108">
        <f>VLOOKUP(I1494,'Weights and Confidence'!$D$16:$AC$26,9,FALSE)</f>
        <v>0.1</v>
      </c>
      <c r="AC1494" s="147">
        <f>VLOOKUP(I1494,'Weights and Confidence'!$D$16:$AC$26,10,FALSE)</f>
        <v>1</v>
      </c>
    </row>
    <row r="1495" spans="1:29" x14ac:dyDescent="0.2">
      <c r="A1495" s="77" t="s">
        <v>185</v>
      </c>
      <c r="B1495" s="77" t="s">
        <v>187</v>
      </c>
      <c r="C1495" s="77" t="s">
        <v>550</v>
      </c>
      <c r="D1495" s="77" t="s">
        <v>65</v>
      </c>
      <c r="E1495" s="77"/>
      <c r="F1495" s="50" t="s">
        <v>551</v>
      </c>
      <c r="G1495" s="77">
        <v>8</v>
      </c>
      <c r="H1495" s="77" t="s">
        <v>18</v>
      </c>
      <c r="I1495" s="77" t="s">
        <v>26</v>
      </c>
      <c r="J1495" s="77">
        <v>-1</v>
      </c>
      <c r="K1495" s="79">
        <f>AB1495/COUNTIFS($B:$B,$B1495,$C:$C,$C1495,$H:$H,$H1495,$I:$I,$I1495)</f>
        <v>0.1</v>
      </c>
      <c r="L1495" s="81">
        <f t="shared" si="90"/>
        <v>1</v>
      </c>
      <c r="M1495" s="83">
        <f t="shared" si="91"/>
        <v>-0.1</v>
      </c>
      <c r="N1495" s="84"/>
      <c r="AA1495" s="146">
        <f>AB1495/COUNTIFS($B:$B,$B1495,$C:$C,$C1495,$H:$H,$H1495,$I:$I,$I1495)</f>
        <v>0.1</v>
      </c>
      <c r="AB1495" s="108">
        <f>VLOOKUP(I1495,'Weights and Confidence'!$D$16:$AC$26,9,FALSE)</f>
        <v>0.1</v>
      </c>
      <c r="AC1495" s="147">
        <f>VLOOKUP(I1495,'Weights and Confidence'!$D$16:$AC$26,10,FALSE)</f>
        <v>1</v>
      </c>
    </row>
    <row r="1496" spans="1:29" x14ac:dyDescent="0.2">
      <c r="A1496" s="76" t="s">
        <v>185</v>
      </c>
      <c r="B1496" s="76" t="s">
        <v>187</v>
      </c>
      <c r="C1496" s="76" t="s">
        <v>550</v>
      </c>
      <c r="D1496" s="76" t="s">
        <v>65</v>
      </c>
      <c r="E1496" s="76"/>
      <c r="F1496" s="51" t="s">
        <v>551</v>
      </c>
      <c r="G1496" s="76">
        <v>9</v>
      </c>
      <c r="H1496" s="76" t="s">
        <v>17</v>
      </c>
      <c r="I1496" s="76" t="s">
        <v>27</v>
      </c>
      <c r="J1496" s="76"/>
      <c r="K1496" s="78">
        <f>AB1496/COUNTIFS($B:$B,$B1496,$C:$C,$C1496,$H:$H,$H1496,$I:$I,$I1496)</f>
        <v>0.05</v>
      </c>
      <c r="L1496" s="80">
        <f t="shared" si="90"/>
        <v>0.85</v>
      </c>
      <c r="M1496" s="82">
        <f t="shared" si="91"/>
        <v>0</v>
      </c>
      <c r="N1496" s="59"/>
      <c r="AA1496" s="146">
        <f>AB1496/COUNTIFS($B:$B,$B1496,$C:$C,$C1496,$H:$H,$H1496,$I:$I,$I1496)</f>
        <v>0.05</v>
      </c>
      <c r="AB1496" s="108">
        <f>VLOOKUP(I1496,'Weights and Confidence'!$D$16:$AC$26,9,FALSE)</f>
        <v>0.1</v>
      </c>
      <c r="AC1496" s="147">
        <f>VLOOKUP(I1496,'Weights and Confidence'!$D$16:$AC$26,10,FALSE)</f>
        <v>0.85</v>
      </c>
    </row>
    <row r="1497" spans="1:29" x14ac:dyDescent="0.2">
      <c r="A1497" s="77" t="s">
        <v>185</v>
      </c>
      <c r="B1497" s="77" t="s">
        <v>187</v>
      </c>
      <c r="C1497" s="77" t="s">
        <v>550</v>
      </c>
      <c r="D1497" s="77" t="s">
        <v>65</v>
      </c>
      <c r="E1497" s="77"/>
      <c r="F1497" s="50" t="s">
        <v>551</v>
      </c>
      <c r="G1497" s="77">
        <v>9</v>
      </c>
      <c r="H1497" s="77" t="s">
        <v>18</v>
      </c>
      <c r="I1497" s="77" t="s">
        <v>27</v>
      </c>
      <c r="J1497" s="77"/>
      <c r="K1497" s="79">
        <f>AB1497/COUNTIFS($B:$B,$B1497,$C:$C,$C1497,$H:$H,$H1497,$I:$I,$I1497)</f>
        <v>0.05</v>
      </c>
      <c r="L1497" s="81">
        <f t="shared" si="90"/>
        <v>0.85</v>
      </c>
      <c r="M1497" s="83">
        <f t="shared" si="91"/>
        <v>0</v>
      </c>
      <c r="N1497" s="58"/>
      <c r="AA1497" s="146">
        <f>AB1497/COUNTIFS($B:$B,$B1497,$C:$C,$C1497,$H:$H,$H1497,$I:$I,$I1497)</f>
        <v>0.05</v>
      </c>
      <c r="AB1497" s="108">
        <f>VLOOKUP(I1497,'Weights and Confidence'!$D$16:$AC$26,9,FALSE)</f>
        <v>0.1</v>
      </c>
      <c r="AC1497" s="147">
        <f>VLOOKUP(I1497,'Weights and Confidence'!$D$16:$AC$26,10,FALSE)</f>
        <v>0.85</v>
      </c>
    </row>
    <row r="1498" spans="1:29" x14ac:dyDescent="0.2">
      <c r="A1498" s="76" t="s">
        <v>185</v>
      </c>
      <c r="B1498" s="76" t="s">
        <v>187</v>
      </c>
      <c r="C1498" s="76" t="s">
        <v>550</v>
      </c>
      <c r="D1498" s="76" t="s">
        <v>65</v>
      </c>
      <c r="E1498" s="76"/>
      <c r="F1498" s="51" t="s">
        <v>551</v>
      </c>
      <c r="G1498" s="76">
        <v>10</v>
      </c>
      <c r="H1498" s="76" t="s">
        <v>17</v>
      </c>
      <c r="I1498" s="76" t="s">
        <v>27</v>
      </c>
      <c r="J1498" s="76"/>
      <c r="K1498" s="78">
        <f>AB1498/COUNTIFS($B:$B,$B1498,$C:$C,$C1498,$H:$H,$H1498,$I:$I,$I1498)</f>
        <v>0.05</v>
      </c>
      <c r="L1498" s="80">
        <f t="shared" si="90"/>
        <v>0.85</v>
      </c>
      <c r="M1498" s="82">
        <f t="shared" si="91"/>
        <v>0</v>
      </c>
      <c r="N1498" s="59"/>
      <c r="AA1498" s="146">
        <f>AB1498/COUNTIFS($B:$B,$B1498,$C:$C,$C1498,$H:$H,$H1498,$I:$I,$I1498)</f>
        <v>0.05</v>
      </c>
      <c r="AB1498" s="108">
        <f>VLOOKUP(I1498,'Weights and Confidence'!$D$16:$AC$26,9,FALSE)</f>
        <v>0.1</v>
      </c>
      <c r="AC1498" s="147">
        <f>VLOOKUP(I1498,'Weights and Confidence'!$D$16:$AC$26,10,FALSE)</f>
        <v>0.85</v>
      </c>
    </row>
    <row r="1499" spans="1:29" x14ac:dyDescent="0.2">
      <c r="A1499" s="77" t="s">
        <v>185</v>
      </c>
      <c r="B1499" s="77" t="s">
        <v>187</v>
      </c>
      <c r="C1499" s="77" t="s">
        <v>550</v>
      </c>
      <c r="D1499" s="77" t="s">
        <v>65</v>
      </c>
      <c r="E1499" s="77"/>
      <c r="F1499" s="50" t="s">
        <v>551</v>
      </c>
      <c r="G1499" s="77">
        <v>10</v>
      </c>
      <c r="H1499" s="77" t="s">
        <v>18</v>
      </c>
      <c r="I1499" s="77" t="s">
        <v>27</v>
      </c>
      <c r="J1499" s="77"/>
      <c r="K1499" s="79">
        <f>AB1499/COUNTIFS($B:$B,$B1499,$C:$C,$C1499,$H:$H,$H1499,$I:$I,$I1499)</f>
        <v>0.05</v>
      </c>
      <c r="L1499" s="81">
        <f t="shared" si="90"/>
        <v>0.85</v>
      </c>
      <c r="M1499" s="83">
        <f t="shared" si="91"/>
        <v>0</v>
      </c>
      <c r="N1499" s="58"/>
      <c r="AA1499" s="146">
        <f>AB1499/COUNTIFS($B:$B,$B1499,$C:$C,$C1499,$H:$H,$H1499,$I:$I,$I1499)</f>
        <v>0.05</v>
      </c>
      <c r="AB1499" s="108">
        <f>VLOOKUP(I1499,'Weights and Confidence'!$D$16:$AC$26,9,FALSE)</f>
        <v>0.1</v>
      </c>
      <c r="AC1499" s="147">
        <f>VLOOKUP(I1499,'Weights and Confidence'!$D$16:$AC$26,10,FALSE)</f>
        <v>0.85</v>
      </c>
    </row>
    <row r="1500" spans="1:29" x14ac:dyDescent="0.2">
      <c r="A1500" s="76" t="s">
        <v>185</v>
      </c>
      <c r="B1500" s="76" t="s">
        <v>187</v>
      </c>
      <c r="C1500" s="76" t="s">
        <v>550</v>
      </c>
      <c r="D1500" s="76" t="s">
        <v>65</v>
      </c>
      <c r="E1500" s="76"/>
      <c r="F1500" s="51" t="s">
        <v>551</v>
      </c>
      <c r="G1500" s="76">
        <v>11</v>
      </c>
      <c r="H1500" s="76" t="s">
        <v>17</v>
      </c>
      <c r="I1500" s="76" t="s">
        <v>28</v>
      </c>
      <c r="J1500" s="76">
        <v>0</v>
      </c>
      <c r="K1500" s="78">
        <f>AB1500/COUNTIFS($B:$B,$B1500,$C:$C,$C1500,$H:$H,$H1500,$I:$I,$I1500)</f>
        <v>0.05</v>
      </c>
      <c r="L1500" s="80">
        <f t="shared" si="90"/>
        <v>1</v>
      </c>
      <c r="M1500" s="82">
        <f t="shared" si="91"/>
        <v>0</v>
      </c>
      <c r="N1500" s="59"/>
      <c r="AA1500" s="146">
        <f>AB1500/COUNTIFS($B:$B,$B1500,$C:$C,$C1500,$H:$H,$H1500,$I:$I,$I1500)</f>
        <v>0.05</v>
      </c>
      <c r="AB1500" s="108">
        <f>VLOOKUP(I1500,'Weights and Confidence'!$D$16:$AC$26,9,FALSE)</f>
        <v>0.05</v>
      </c>
      <c r="AC1500" s="147">
        <f>VLOOKUP(I1500,'Weights and Confidence'!$D$16:$AC$26,10,FALSE)</f>
        <v>1</v>
      </c>
    </row>
    <row r="1501" spans="1:29" ht="17" thickBot="1" x14ac:dyDescent="0.25">
      <c r="A1501" s="98" t="s">
        <v>185</v>
      </c>
      <c r="B1501" s="98" t="s">
        <v>187</v>
      </c>
      <c r="C1501" s="98" t="s">
        <v>550</v>
      </c>
      <c r="D1501" s="150" t="s">
        <v>65</v>
      </c>
      <c r="E1501" s="150"/>
      <c r="F1501" s="70" t="s">
        <v>551</v>
      </c>
      <c r="G1501" s="150">
        <v>11</v>
      </c>
      <c r="H1501" s="150" t="s">
        <v>18</v>
      </c>
      <c r="I1501" s="150" t="s">
        <v>28</v>
      </c>
      <c r="J1501" s="150">
        <v>-1</v>
      </c>
      <c r="K1501" s="151">
        <f>AB1501/COUNTIFS($B:$B,$B1501,$C:$C,$C1501,$H:$H,$H1501,$I:$I,$I1501)</f>
        <v>0.05</v>
      </c>
      <c r="L1501" s="152">
        <f t="shared" si="90"/>
        <v>1</v>
      </c>
      <c r="M1501" s="153">
        <f t="shared" si="91"/>
        <v>-0.05</v>
      </c>
      <c r="N1501" s="21"/>
      <c r="AA1501" s="148">
        <f>AB1501/COUNTIFS($B:$B,$B1501,$C:$C,$C1501,$H:$H,$H1501,$I:$I,$I1501)</f>
        <v>0.05</v>
      </c>
      <c r="AB1501" s="112">
        <f>VLOOKUP(I1501,'Weights and Confidence'!$D$16:$AC$26,9,FALSE)</f>
        <v>0.05</v>
      </c>
      <c r="AC1501" s="149">
        <f>VLOOKUP(I1501,'Weights and Confidence'!$D$16:$AC$26,10,FALSE)</f>
        <v>1</v>
      </c>
    </row>
    <row r="1502" spans="1:29" ht="17" thickTop="1" x14ac:dyDescent="0.2">
      <c r="A1502" s="86" t="s">
        <v>566</v>
      </c>
      <c r="B1502" s="86" t="s">
        <v>87</v>
      </c>
      <c r="C1502" s="86" t="s">
        <v>44</v>
      </c>
      <c r="D1502" s="86" t="s">
        <v>5</v>
      </c>
      <c r="E1502" s="86" t="s">
        <v>103</v>
      </c>
      <c r="F1502" s="91" t="s">
        <v>45</v>
      </c>
      <c r="G1502" s="86">
        <v>1</v>
      </c>
      <c r="H1502" s="86" t="s">
        <v>17</v>
      </c>
      <c r="I1502" s="86" t="s">
        <v>19</v>
      </c>
      <c r="J1502" s="97">
        <v>1</v>
      </c>
      <c r="K1502" s="87">
        <f>AB1502/COUNTIFS($B:$B,$B1502,$C:$C,$C1502,$H:$H,$H1502,$I:$I,$I1502)</f>
        <v>0.12</v>
      </c>
      <c r="L1502" s="88">
        <f t="shared" si="90"/>
        <v>1</v>
      </c>
      <c r="M1502" s="89">
        <f t="shared" si="91"/>
        <v>0.12</v>
      </c>
      <c r="N1502" s="90"/>
      <c r="AA1502" s="154">
        <f>AB1502/COUNTIFS($B:$B,$B1502,$C:$C,$C1502,$H:$H,$H1502,$I:$I,$I1502)</f>
        <v>0.12</v>
      </c>
      <c r="AB1502" s="155">
        <f>VLOOKUP(I1502,'Weights and Confidence'!$D$16:$AC$26,11,FALSE)</f>
        <v>0.12</v>
      </c>
      <c r="AC1502" s="156">
        <f>VLOOKUP(I1502,'Weights and Confidence'!$D$16:$AC$26,12,FALSE)</f>
        <v>1</v>
      </c>
    </row>
    <row r="1503" spans="1:29" x14ac:dyDescent="0.2">
      <c r="A1503" s="77" t="s">
        <v>566</v>
      </c>
      <c r="B1503" s="77" t="s">
        <v>87</v>
      </c>
      <c r="C1503" s="77" t="s">
        <v>44</v>
      </c>
      <c r="D1503" s="77" t="s">
        <v>5</v>
      </c>
      <c r="E1503" s="77" t="s">
        <v>103</v>
      </c>
      <c r="F1503" s="91" t="s">
        <v>45</v>
      </c>
      <c r="G1503" s="77">
        <v>1</v>
      </c>
      <c r="H1503" s="77" t="s">
        <v>18</v>
      </c>
      <c r="I1503" s="77" t="s">
        <v>19</v>
      </c>
      <c r="J1503" s="77">
        <v>0</v>
      </c>
      <c r="K1503" s="79">
        <f>AB1503/COUNTIFS($B:$B,$B1503,$C:$C,$C1503,$H:$H,$H1503,$I:$I,$I1503)</f>
        <v>0.12</v>
      </c>
      <c r="L1503" s="81">
        <f t="shared" si="90"/>
        <v>1</v>
      </c>
      <c r="M1503" s="83">
        <f>J1502*K1503*L1503</f>
        <v>0.12</v>
      </c>
      <c r="N1503" s="84"/>
      <c r="Q1503">
        <f>COUNTIFS($B:$B,$B1503,$C:$C,$C1503,$H:$H,$H1503,$I:$I,$I1503)</f>
        <v>1</v>
      </c>
      <c r="AA1503" s="154">
        <f>AB1503/COUNTIFS($B:$B,$B1503,$C:$C,$C1503,$H:$H,$H1503,$I:$I,$I1503)</f>
        <v>0.12</v>
      </c>
      <c r="AB1503" s="155">
        <f>VLOOKUP(I1503,'Weights and Confidence'!$D$16:$AC$26,11,FALSE)</f>
        <v>0.12</v>
      </c>
      <c r="AC1503" s="156">
        <f>VLOOKUP(I1503,'Weights and Confidence'!$D$16:$AC$26,12,FALSE)</f>
        <v>1</v>
      </c>
    </row>
    <row r="1504" spans="1:29" x14ac:dyDescent="0.2">
      <c r="A1504" s="76" t="s">
        <v>566</v>
      </c>
      <c r="B1504" s="76" t="s">
        <v>87</v>
      </c>
      <c r="C1504" s="76" t="s">
        <v>44</v>
      </c>
      <c r="D1504" s="76" t="s">
        <v>5</v>
      </c>
      <c r="E1504" s="76" t="s">
        <v>103</v>
      </c>
      <c r="F1504" s="91" t="s">
        <v>45</v>
      </c>
      <c r="G1504" s="76">
        <v>2</v>
      </c>
      <c r="H1504" s="76" t="s">
        <v>17</v>
      </c>
      <c r="I1504" s="76" t="s">
        <v>20</v>
      </c>
      <c r="J1504" s="76">
        <v>1</v>
      </c>
      <c r="K1504" s="78">
        <f>AB1504/COUNTIFS($B:$B,$B1504,$C:$C,$C1504,$H:$H,$H1504,$I:$I,$I1504)</f>
        <v>0.08</v>
      </c>
      <c r="L1504" s="80">
        <f t="shared" si="90"/>
        <v>0.9</v>
      </c>
      <c r="M1504" s="82">
        <f t="shared" ref="M1504:M1523" si="92">J1504*K1504*L1504</f>
        <v>7.2000000000000008E-2</v>
      </c>
      <c r="N1504" s="59"/>
      <c r="AA1504" s="154">
        <f>AB1504/COUNTIFS($B:$B,$B1504,$C:$C,$C1504,$H:$H,$H1504,$I:$I,$I1504)</f>
        <v>0.08</v>
      </c>
      <c r="AB1504" s="155">
        <f>VLOOKUP(I1504,'Weights and Confidence'!$D$16:$AC$26,11,FALSE)</f>
        <v>0.08</v>
      </c>
      <c r="AC1504" s="156">
        <f>VLOOKUP(I1504,'Weights and Confidence'!$D$16:$AC$26,12,FALSE)</f>
        <v>0.9</v>
      </c>
    </row>
    <row r="1505" spans="1:29" x14ac:dyDescent="0.2">
      <c r="A1505" s="77" t="s">
        <v>566</v>
      </c>
      <c r="B1505" s="77" t="s">
        <v>87</v>
      </c>
      <c r="C1505" s="77" t="s">
        <v>44</v>
      </c>
      <c r="D1505" s="77" t="s">
        <v>5</v>
      </c>
      <c r="E1505" s="77" t="s">
        <v>103</v>
      </c>
      <c r="F1505" s="91" t="s">
        <v>45</v>
      </c>
      <c r="G1505" s="77">
        <v>2</v>
      </c>
      <c r="H1505" s="77" t="s">
        <v>18</v>
      </c>
      <c r="I1505" s="77" t="s">
        <v>20</v>
      </c>
      <c r="J1505" s="77">
        <v>0</v>
      </c>
      <c r="K1505" s="79">
        <f>AB1505/COUNTIFS($B:$B,$B1505,$C:$C,$C1505,$H:$H,$H1505,$I:$I,$I1505)</f>
        <v>0.08</v>
      </c>
      <c r="L1505" s="81">
        <f t="shared" si="90"/>
        <v>0.9</v>
      </c>
      <c r="M1505" s="83">
        <f t="shared" si="92"/>
        <v>0</v>
      </c>
      <c r="N1505" s="58"/>
      <c r="AA1505" s="154">
        <f>AB1505/COUNTIFS($B:$B,$B1505,$C:$C,$C1505,$H:$H,$H1505,$I:$I,$I1505)</f>
        <v>0.08</v>
      </c>
      <c r="AB1505" s="155">
        <f>VLOOKUP(I1505,'Weights and Confidence'!$D$16:$AC$26,11,FALSE)</f>
        <v>0.08</v>
      </c>
      <c r="AC1505" s="156">
        <f>VLOOKUP(I1505,'Weights and Confidence'!$D$16:$AC$26,12,FALSE)</f>
        <v>0.9</v>
      </c>
    </row>
    <row r="1506" spans="1:29" x14ac:dyDescent="0.2">
      <c r="A1506" s="76" t="s">
        <v>566</v>
      </c>
      <c r="B1506" s="76" t="s">
        <v>87</v>
      </c>
      <c r="C1506" s="76" t="s">
        <v>44</v>
      </c>
      <c r="D1506" s="76" t="s">
        <v>5</v>
      </c>
      <c r="E1506" s="76" t="s">
        <v>103</v>
      </c>
      <c r="F1506" s="91" t="s">
        <v>45</v>
      </c>
      <c r="G1506" s="76">
        <v>3</v>
      </c>
      <c r="H1506" s="76" t="s">
        <v>17</v>
      </c>
      <c r="I1506" s="76" t="s">
        <v>21</v>
      </c>
      <c r="J1506" s="76">
        <v>1</v>
      </c>
      <c r="K1506" s="78">
        <f>AB1506/COUNTIFS($B:$B,$B1506,$C:$C,$C1506,$H:$H,$H1506,$I:$I,$I1506)</f>
        <v>0.05</v>
      </c>
      <c r="L1506" s="80">
        <f t="shared" si="90"/>
        <v>1</v>
      </c>
      <c r="M1506" s="82">
        <f t="shared" si="92"/>
        <v>0.05</v>
      </c>
      <c r="N1506" s="59"/>
      <c r="AA1506" s="154">
        <f>AB1506/COUNTIFS($B:$B,$B1506,$C:$C,$C1506,$H:$H,$H1506,$I:$I,$I1506)</f>
        <v>0.05</v>
      </c>
      <c r="AB1506" s="155">
        <f>VLOOKUP(I1506,'Weights and Confidence'!$D$16:$AC$26,11,FALSE)</f>
        <v>0.05</v>
      </c>
      <c r="AC1506" s="156">
        <f>VLOOKUP(I1506,'Weights and Confidence'!$D$16:$AC$26,12,FALSE)</f>
        <v>1</v>
      </c>
    </row>
    <row r="1507" spans="1:29" x14ac:dyDescent="0.2">
      <c r="A1507" s="77" t="s">
        <v>566</v>
      </c>
      <c r="B1507" s="77" t="s">
        <v>87</v>
      </c>
      <c r="C1507" s="77" t="s">
        <v>44</v>
      </c>
      <c r="D1507" s="77" t="s">
        <v>5</v>
      </c>
      <c r="E1507" s="77" t="s">
        <v>103</v>
      </c>
      <c r="F1507" s="91" t="s">
        <v>45</v>
      </c>
      <c r="G1507" s="77">
        <v>3</v>
      </c>
      <c r="H1507" s="77" t="s">
        <v>18</v>
      </c>
      <c r="I1507" s="77" t="s">
        <v>21</v>
      </c>
      <c r="J1507" s="77">
        <v>1</v>
      </c>
      <c r="K1507" s="79">
        <f>AB1507/COUNTIFS($B:$B,$B1507,$C:$C,$C1507,$H:$H,$H1507,$I:$I,$I1507)</f>
        <v>0.05</v>
      </c>
      <c r="L1507" s="81">
        <f t="shared" si="90"/>
        <v>1</v>
      </c>
      <c r="M1507" s="83">
        <f t="shared" si="92"/>
        <v>0.05</v>
      </c>
      <c r="N1507" s="84"/>
      <c r="AA1507" s="154">
        <f>AB1507/COUNTIFS($B:$B,$B1507,$C:$C,$C1507,$H:$H,$H1507,$I:$I,$I1507)</f>
        <v>0.05</v>
      </c>
      <c r="AB1507" s="155">
        <f>VLOOKUP(I1507,'Weights and Confidence'!$D$16:$AC$26,11,FALSE)</f>
        <v>0.05</v>
      </c>
      <c r="AC1507" s="156">
        <f>VLOOKUP(I1507,'Weights and Confidence'!$D$16:$AC$26,12,FALSE)</f>
        <v>1</v>
      </c>
    </row>
    <row r="1508" spans="1:29" x14ac:dyDescent="0.2">
      <c r="A1508" s="76" t="s">
        <v>566</v>
      </c>
      <c r="B1508" s="76" t="s">
        <v>87</v>
      </c>
      <c r="C1508" s="76" t="s">
        <v>44</v>
      </c>
      <c r="D1508" s="76" t="s">
        <v>5</v>
      </c>
      <c r="E1508" s="76" t="s">
        <v>103</v>
      </c>
      <c r="F1508" s="91" t="s">
        <v>45</v>
      </c>
      <c r="G1508" s="76">
        <v>4</v>
      </c>
      <c r="H1508" s="76" t="s">
        <v>17</v>
      </c>
      <c r="I1508" s="76" t="s">
        <v>22</v>
      </c>
      <c r="J1508" s="76">
        <v>0</v>
      </c>
      <c r="K1508" s="78">
        <f>AB1508/COUNTIFS($B:$B,$B1508,$C:$C,$C1508,$H:$H,$H1508,$I:$I,$I1508)</f>
        <v>0.1</v>
      </c>
      <c r="L1508" s="80">
        <f t="shared" si="90"/>
        <v>1</v>
      </c>
      <c r="M1508" s="82">
        <f t="shared" si="92"/>
        <v>0</v>
      </c>
      <c r="N1508" s="59"/>
      <c r="AA1508" s="154">
        <f>AB1508/COUNTIFS($B:$B,$B1508,$C:$C,$C1508,$H:$H,$H1508,$I:$I,$I1508)</f>
        <v>0.1</v>
      </c>
      <c r="AB1508" s="155">
        <f>VLOOKUP(I1508,'Weights and Confidence'!$D$16:$AC$26,11,FALSE)</f>
        <v>0.1</v>
      </c>
      <c r="AC1508" s="156">
        <f>VLOOKUP(I1508,'Weights and Confidence'!$D$16:$AC$26,12,FALSE)</f>
        <v>1</v>
      </c>
    </row>
    <row r="1509" spans="1:29" x14ac:dyDescent="0.2">
      <c r="A1509" s="77" t="s">
        <v>566</v>
      </c>
      <c r="B1509" s="77" t="s">
        <v>87</v>
      </c>
      <c r="C1509" s="77" t="s">
        <v>44</v>
      </c>
      <c r="D1509" s="77" t="s">
        <v>5</v>
      </c>
      <c r="E1509" s="77" t="s">
        <v>103</v>
      </c>
      <c r="F1509" s="91" t="s">
        <v>45</v>
      </c>
      <c r="G1509" s="77">
        <v>4</v>
      </c>
      <c r="H1509" s="77" t="s">
        <v>18</v>
      </c>
      <c r="I1509" s="77" t="s">
        <v>22</v>
      </c>
      <c r="J1509" s="77">
        <v>0</v>
      </c>
      <c r="K1509" s="79">
        <f>AB1509/COUNTIFS($B:$B,$B1509,$C:$C,$C1509,$H:$H,$H1509,$I:$I,$I1509)</f>
        <v>0.1</v>
      </c>
      <c r="L1509" s="81">
        <f t="shared" si="90"/>
        <v>1</v>
      </c>
      <c r="M1509" s="83">
        <f t="shared" si="92"/>
        <v>0</v>
      </c>
      <c r="N1509" s="17" t="s">
        <v>567</v>
      </c>
      <c r="AA1509" s="154">
        <f>AB1509/COUNTIFS($B:$B,$B1509,$C:$C,$C1509,$H:$H,$H1509,$I:$I,$I1509)</f>
        <v>0.1</v>
      </c>
      <c r="AB1509" s="155">
        <f>VLOOKUP(I1509,'Weights and Confidence'!$D$16:$AC$26,11,FALSE)</f>
        <v>0.1</v>
      </c>
      <c r="AC1509" s="156">
        <f>VLOOKUP(I1509,'Weights and Confidence'!$D$16:$AC$26,12,FALSE)</f>
        <v>1</v>
      </c>
    </row>
    <row r="1510" spans="1:29" x14ac:dyDescent="0.2">
      <c r="A1510" s="76" t="s">
        <v>566</v>
      </c>
      <c r="B1510" s="76" t="s">
        <v>87</v>
      </c>
      <c r="C1510" s="76" t="s">
        <v>44</v>
      </c>
      <c r="D1510" s="76" t="s">
        <v>5</v>
      </c>
      <c r="E1510" s="76" t="s">
        <v>103</v>
      </c>
      <c r="F1510" s="91" t="s">
        <v>45</v>
      </c>
      <c r="G1510" s="76">
        <v>5</v>
      </c>
      <c r="H1510" s="76" t="s">
        <v>17</v>
      </c>
      <c r="I1510" s="76" t="s">
        <v>34</v>
      </c>
      <c r="J1510" s="76">
        <v>0</v>
      </c>
      <c r="K1510" s="78">
        <f>AB1510/COUNTIFS($B:$B,$B1510,$C:$C,$C1510,$H:$H,$H1510,$I:$I,$I1510)</f>
        <v>0.08</v>
      </c>
      <c r="L1510" s="80">
        <f t="shared" si="90"/>
        <v>1</v>
      </c>
      <c r="M1510" s="82">
        <f t="shared" si="92"/>
        <v>0</v>
      </c>
      <c r="N1510" s="59"/>
      <c r="AA1510" s="154">
        <f>AB1510/COUNTIFS($B:$B,$B1510,$C:$C,$C1510,$H:$H,$H1510,$I:$I,$I1510)</f>
        <v>0.08</v>
      </c>
      <c r="AB1510" s="155">
        <f>VLOOKUP(I1510,'Weights and Confidence'!$D$16:$AC$26,11,FALSE)</f>
        <v>0.08</v>
      </c>
      <c r="AC1510" s="156">
        <f>VLOOKUP(I1510,'Weights and Confidence'!$D$16:$AC$26,12,FALSE)</f>
        <v>1</v>
      </c>
    </row>
    <row r="1511" spans="1:29" x14ac:dyDescent="0.2">
      <c r="A1511" s="77" t="s">
        <v>566</v>
      </c>
      <c r="B1511" s="77" t="s">
        <v>87</v>
      </c>
      <c r="C1511" s="77" t="s">
        <v>44</v>
      </c>
      <c r="D1511" s="77" t="s">
        <v>5</v>
      </c>
      <c r="E1511" s="77" t="s">
        <v>103</v>
      </c>
      <c r="F1511" s="91" t="s">
        <v>45</v>
      </c>
      <c r="G1511" s="77">
        <v>5</v>
      </c>
      <c r="H1511" s="77" t="s">
        <v>18</v>
      </c>
      <c r="I1511" s="77" t="s">
        <v>34</v>
      </c>
      <c r="J1511" s="77">
        <v>0</v>
      </c>
      <c r="K1511" s="79">
        <f>AB1511/COUNTIFS($B:$B,$B1511,$C:$C,$C1511,$H:$H,$H1511,$I:$I,$I1511)</f>
        <v>0.08</v>
      </c>
      <c r="L1511" s="81">
        <f t="shared" si="90"/>
        <v>1</v>
      </c>
      <c r="M1511" s="83">
        <f t="shared" si="92"/>
        <v>0</v>
      </c>
      <c r="N1511" s="17" t="s">
        <v>568</v>
      </c>
      <c r="AA1511" s="154">
        <f>AB1511/COUNTIFS($B:$B,$B1511,$C:$C,$C1511,$H:$H,$H1511,$I:$I,$I1511)</f>
        <v>0.08</v>
      </c>
      <c r="AB1511" s="155">
        <f>VLOOKUP(I1511,'Weights and Confidence'!$D$16:$AC$26,11,FALSE)</f>
        <v>0.08</v>
      </c>
      <c r="AC1511" s="156">
        <f>VLOOKUP(I1511,'Weights and Confidence'!$D$16:$AC$26,12,FALSE)</f>
        <v>1</v>
      </c>
    </row>
    <row r="1512" spans="1:29" x14ac:dyDescent="0.2">
      <c r="A1512" s="76" t="s">
        <v>566</v>
      </c>
      <c r="B1512" s="76" t="s">
        <v>87</v>
      </c>
      <c r="C1512" s="76" t="s">
        <v>44</v>
      </c>
      <c r="D1512" s="76" t="s">
        <v>5</v>
      </c>
      <c r="E1512" s="76" t="s">
        <v>103</v>
      </c>
      <c r="F1512" s="91" t="s">
        <v>45</v>
      </c>
      <c r="G1512" s="76">
        <v>6</v>
      </c>
      <c r="H1512" s="76" t="s">
        <v>17</v>
      </c>
      <c r="I1512" s="76" t="s">
        <v>23</v>
      </c>
      <c r="J1512" s="76">
        <v>-1</v>
      </c>
      <c r="K1512" s="78">
        <f>AB1512/COUNTIFS($B:$B,$B1512,$C:$C,$C1512,$H:$H,$H1512,$I:$I,$I1512)</f>
        <v>7.0000000000000007E-2</v>
      </c>
      <c r="L1512" s="80">
        <f t="shared" si="90"/>
        <v>1</v>
      </c>
      <c r="M1512" s="82">
        <f t="shared" si="92"/>
        <v>-7.0000000000000007E-2</v>
      </c>
      <c r="N1512" s="59"/>
      <c r="AA1512" s="154">
        <f>AB1512/COUNTIFS($B:$B,$B1512,$C:$C,$C1512,$H:$H,$H1512,$I:$I,$I1512)</f>
        <v>7.0000000000000007E-2</v>
      </c>
      <c r="AB1512" s="155">
        <f>VLOOKUP(I1512,'Weights and Confidence'!$D$16:$AC$26,11,FALSE)</f>
        <v>7.0000000000000007E-2</v>
      </c>
      <c r="AC1512" s="156">
        <f>VLOOKUP(I1512,'Weights and Confidence'!$D$16:$AC$26,12,FALSE)</f>
        <v>1</v>
      </c>
    </row>
    <row r="1513" spans="1:29" x14ac:dyDescent="0.2">
      <c r="A1513" s="77" t="s">
        <v>566</v>
      </c>
      <c r="B1513" s="77" t="s">
        <v>87</v>
      </c>
      <c r="C1513" s="77" t="s">
        <v>44</v>
      </c>
      <c r="D1513" s="77" t="s">
        <v>5</v>
      </c>
      <c r="E1513" s="77" t="s">
        <v>103</v>
      </c>
      <c r="F1513" s="91" t="s">
        <v>45</v>
      </c>
      <c r="G1513" s="77">
        <v>6</v>
      </c>
      <c r="H1513" s="77" t="s">
        <v>18</v>
      </c>
      <c r="I1513" s="77" t="s">
        <v>23</v>
      </c>
      <c r="J1513" s="77">
        <v>0</v>
      </c>
      <c r="K1513" s="79">
        <f>AB1513/COUNTIFS($B:$B,$B1513,$C:$C,$C1513,$H:$H,$H1513,$I:$I,$I1513)</f>
        <v>7.0000000000000007E-2</v>
      </c>
      <c r="L1513" s="81">
        <f t="shared" si="90"/>
        <v>1</v>
      </c>
      <c r="M1513" s="83">
        <f t="shared" si="92"/>
        <v>0</v>
      </c>
      <c r="N1513" s="84"/>
      <c r="AA1513" s="154">
        <f>AB1513/COUNTIFS($B:$B,$B1513,$C:$C,$C1513,$H:$H,$H1513,$I:$I,$I1513)</f>
        <v>7.0000000000000007E-2</v>
      </c>
      <c r="AB1513" s="155">
        <f>VLOOKUP(I1513,'Weights and Confidence'!$D$16:$AC$26,11,FALSE)</f>
        <v>7.0000000000000007E-2</v>
      </c>
      <c r="AC1513" s="156">
        <f>VLOOKUP(I1513,'Weights and Confidence'!$D$16:$AC$26,12,FALSE)</f>
        <v>1</v>
      </c>
    </row>
    <row r="1514" spans="1:29" x14ac:dyDescent="0.2">
      <c r="A1514" s="76" t="s">
        <v>566</v>
      </c>
      <c r="B1514" s="76" t="s">
        <v>87</v>
      </c>
      <c r="C1514" s="76" t="s">
        <v>44</v>
      </c>
      <c r="D1514" s="76" t="s">
        <v>5</v>
      </c>
      <c r="E1514" s="76" t="s">
        <v>103</v>
      </c>
      <c r="F1514" s="91" t="s">
        <v>45</v>
      </c>
      <c r="G1514" s="76">
        <v>7</v>
      </c>
      <c r="H1514" s="76" t="s">
        <v>17</v>
      </c>
      <c r="I1514" s="76" t="s">
        <v>24</v>
      </c>
      <c r="J1514" s="76">
        <v>-1</v>
      </c>
      <c r="K1514" s="78">
        <f>AB1514/COUNTIFS($B:$B,$B1514,$C:$C,$C1514,$H:$H,$H1514,$I:$I,$I1514)</f>
        <v>0.15</v>
      </c>
      <c r="L1514" s="80">
        <f t="shared" si="90"/>
        <v>1</v>
      </c>
      <c r="M1514" s="82">
        <f t="shared" si="92"/>
        <v>-0.15</v>
      </c>
      <c r="N1514" s="59"/>
      <c r="AA1514" s="154">
        <f>AB1514/COUNTIFS($B:$B,$B1514,$C:$C,$C1514,$H:$H,$H1514,$I:$I,$I1514)</f>
        <v>0.15</v>
      </c>
      <c r="AB1514" s="155">
        <f>VLOOKUP(I1514,'Weights and Confidence'!$D$16:$AC$26,11,FALSE)</f>
        <v>0.15</v>
      </c>
      <c r="AC1514" s="156">
        <f>VLOOKUP(I1514,'Weights and Confidence'!$D$16:$AC$26,12,FALSE)</f>
        <v>1</v>
      </c>
    </row>
    <row r="1515" spans="1:29" x14ac:dyDescent="0.2">
      <c r="A1515" s="77" t="s">
        <v>566</v>
      </c>
      <c r="B1515" s="77" t="s">
        <v>87</v>
      </c>
      <c r="C1515" s="77" t="s">
        <v>44</v>
      </c>
      <c r="D1515" s="77" t="s">
        <v>5</v>
      </c>
      <c r="E1515" s="77" t="s">
        <v>103</v>
      </c>
      <c r="F1515" s="91" t="s">
        <v>45</v>
      </c>
      <c r="G1515" s="77">
        <v>7</v>
      </c>
      <c r="H1515" s="77" t="s">
        <v>18</v>
      </c>
      <c r="I1515" s="77" t="s">
        <v>24</v>
      </c>
      <c r="J1515" s="77">
        <v>1</v>
      </c>
      <c r="K1515" s="79">
        <f>AB1515/COUNTIFS($B:$B,$B1515,$C:$C,$C1515,$H:$H,$H1515,$I:$I,$I1515)</f>
        <v>0.15</v>
      </c>
      <c r="L1515" s="81">
        <f t="shared" si="90"/>
        <v>1</v>
      </c>
      <c r="M1515" s="83">
        <f t="shared" si="92"/>
        <v>0.15</v>
      </c>
      <c r="N1515" s="84"/>
      <c r="AA1515" s="154">
        <f>AB1515/COUNTIFS($B:$B,$B1515,$C:$C,$C1515,$H:$H,$H1515,$I:$I,$I1515)</f>
        <v>0.15</v>
      </c>
      <c r="AB1515" s="155">
        <f>VLOOKUP(I1515,'Weights and Confidence'!$D$16:$AC$26,11,FALSE)</f>
        <v>0.15</v>
      </c>
      <c r="AC1515" s="156">
        <f>VLOOKUP(I1515,'Weights and Confidence'!$D$16:$AC$26,12,FALSE)</f>
        <v>1</v>
      </c>
    </row>
    <row r="1516" spans="1:29" x14ac:dyDescent="0.2">
      <c r="A1516" s="76" t="s">
        <v>566</v>
      </c>
      <c r="B1516" s="76" t="s">
        <v>87</v>
      </c>
      <c r="C1516" s="76" t="s">
        <v>44</v>
      </c>
      <c r="D1516" s="76" t="s">
        <v>5</v>
      </c>
      <c r="E1516" s="76" t="s">
        <v>103</v>
      </c>
      <c r="F1516" s="91" t="s">
        <v>45</v>
      </c>
      <c r="G1516" s="76">
        <v>8</v>
      </c>
      <c r="H1516" s="76" t="s">
        <v>17</v>
      </c>
      <c r="I1516" s="76" t="s">
        <v>25</v>
      </c>
      <c r="J1516" s="76">
        <v>0</v>
      </c>
      <c r="K1516" s="78">
        <f>AB1516/COUNTIFS($B:$B,$B1516,$C:$C,$C1516,$H:$H,$H1516,$I:$I,$I1516)</f>
        <v>0.1</v>
      </c>
      <c r="L1516" s="80">
        <f t="shared" si="90"/>
        <v>1</v>
      </c>
      <c r="M1516" s="82">
        <f t="shared" si="92"/>
        <v>0</v>
      </c>
      <c r="N1516" s="59"/>
      <c r="AA1516" s="154">
        <f>AB1516/COUNTIFS($B:$B,$B1516,$C:$C,$C1516,$H:$H,$H1516,$I:$I,$I1516)</f>
        <v>0.1</v>
      </c>
      <c r="AB1516" s="155">
        <f>VLOOKUP(I1516,'Weights and Confidence'!$D$16:$AC$26,11,FALSE)</f>
        <v>0.1</v>
      </c>
      <c r="AC1516" s="156">
        <f>VLOOKUP(I1516,'Weights and Confidence'!$D$16:$AC$26,12,FALSE)</f>
        <v>1</v>
      </c>
    </row>
    <row r="1517" spans="1:29" x14ac:dyDescent="0.2">
      <c r="A1517" s="77" t="s">
        <v>566</v>
      </c>
      <c r="B1517" s="77" t="s">
        <v>87</v>
      </c>
      <c r="C1517" s="77" t="s">
        <v>44</v>
      </c>
      <c r="D1517" s="77" t="s">
        <v>5</v>
      </c>
      <c r="E1517" s="77" t="s">
        <v>103</v>
      </c>
      <c r="F1517" s="91" t="s">
        <v>45</v>
      </c>
      <c r="G1517" s="77">
        <v>8</v>
      </c>
      <c r="H1517" s="77" t="s">
        <v>18</v>
      </c>
      <c r="I1517" s="77" t="s">
        <v>25</v>
      </c>
      <c r="J1517" s="77">
        <v>0</v>
      </c>
      <c r="K1517" s="79">
        <f>AB1517/COUNTIFS($B:$B,$B1517,$C:$C,$C1517,$H:$H,$H1517,$I:$I,$I1517)</f>
        <v>0.1</v>
      </c>
      <c r="L1517" s="81">
        <f t="shared" si="90"/>
        <v>1</v>
      </c>
      <c r="M1517" s="83">
        <f t="shared" si="92"/>
        <v>0</v>
      </c>
      <c r="N1517" s="84"/>
      <c r="AA1517" s="154">
        <f>AB1517/COUNTIFS($B:$B,$B1517,$C:$C,$C1517,$H:$H,$H1517,$I:$I,$I1517)</f>
        <v>0.1</v>
      </c>
      <c r="AB1517" s="155">
        <f>VLOOKUP(I1517,'Weights and Confidence'!$D$16:$AC$26,11,FALSE)</f>
        <v>0.1</v>
      </c>
      <c r="AC1517" s="156">
        <f>VLOOKUP(I1517,'Weights and Confidence'!$D$16:$AC$26,12,FALSE)</f>
        <v>1</v>
      </c>
    </row>
    <row r="1518" spans="1:29" x14ac:dyDescent="0.2">
      <c r="A1518" s="76" t="s">
        <v>566</v>
      </c>
      <c r="B1518" s="76" t="s">
        <v>87</v>
      </c>
      <c r="C1518" s="76" t="s">
        <v>44</v>
      </c>
      <c r="D1518" s="76" t="s">
        <v>5</v>
      </c>
      <c r="E1518" s="76" t="s">
        <v>103</v>
      </c>
      <c r="F1518" s="91" t="s">
        <v>45</v>
      </c>
      <c r="G1518" s="76">
        <v>9</v>
      </c>
      <c r="H1518" s="76" t="s">
        <v>17</v>
      </c>
      <c r="I1518" s="76" t="s">
        <v>26</v>
      </c>
      <c r="J1518" s="76">
        <v>0</v>
      </c>
      <c r="K1518" s="78">
        <f>AB1518/COUNTIFS($B:$B,$B1518,$C:$C,$C1518,$H:$H,$H1518,$I:$I,$I1518)</f>
        <v>0.1</v>
      </c>
      <c r="L1518" s="80">
        <f t="shared" si="90"/>
        <v>1</v>
      </c>
      <c r="M1518" s="82">
        <f t="shared" si="92"/>
        <v>0</v>
      </c>
      <c r="N1518" s="59"/>
      <c r="AA1518" s="154">
        <f>AB1518/COUNTIFS($B:$B,$B1518,$C:$C,$C1518,$H:$H,$H1518,$I:$I,$I1518)</f>
        <v>0.1</v>
      </c>
      <c r="AB1518" s="155">
        <f>VLOOKUP(I1518,'Weights and Confidence'!$D$16:$AC$26,11,FALSE)</f>
        <v>0.1</v>
      </c>
      <c r="AC1518" s="156">
        <f>VLOOKUP(I1518,'Weights and Confidence'!$D$16:$AC$26,12,FALSE)</f>
        <v>1</v>
      </c>
    </row>
    <row r="1519" spans="1:29" x14ac:dyDescent="0.2">
      <c r="A1519" s="77" t="s">
        <v>566</v>
      </c>
      <c r="B1519" s="77" t="s">
        <v>87</v>
      </c>
      <c r="C1519" s="77" t="s">
        <v>44</v>
      </c>
      <c r="D1519" s="77" t="s">
        <v>5</v>
      </c>
      <c r="E1519" s="77" t="s">
        <v>103</v>
      </c>
      <c r="F1519" s="91" t="s">
        <v>45</v>
      </c>
      <c r="G1519" s="77">
        <v>9</v>
      </c>
      <c r="H1519" s="77" t="s">
        <v>18</v>
      </c>
      <c r="I1519" s="77" t="s">
        <v>26</v>
      </c>
      <c r="J1519" s="77">
        <v>-1</v>
      </c>
      <c r="K1519" s="79">
        <f>AB1519/COUNTIFS($B:$B,$B1519,$C:$C,$C1519,$H:$H,$H1519,$I:$I,$I1519)</f>
        <v>0.1</v>
      </c>
      <c r="L1519" s="81">
        <f t="shared" si="90"/>
        <v>1</v>
      </c>
      <c r="M1519" s="83">
        <f t="shared" si="92"/>
        <v>-0.1</v>
      </c>
      <c r="N1519" s="58"/>
      <c r="AA1519" s="154">
        <f>AB1519/COUNTIFS($B:$B,$B1519,$C:$C,$C1519,$H:$H,$H1519,$I:$I,$I1519)</f>
        <v>0.1</v>
      </c>
      <c r="AB1519" s="155">
        <f>VLOOKUP(I1519,'Weights and Confidence'!$D$16:$AC$26,11,FALSE)</f>
        <v>0.1</v>
      </c>
      <c r="AC1519" s="156">
        <f>VLOOKUP(I1519,'Weights and Confidence'!$D$16:$AC$26,12,FALSE)</f>
        <v>1</v>
      </c>
    </row>
    <row r="1520" spans="1:29" x14ac:dyDescent="0.2">
      <c r="A1520" s="76" t="s">
        <v>566</v>
      </c>
      <c r="B1520" s="76" t="s">
        <v>87</v>
      </c>
      <c r="C1520" s="76" t="s">
        <v>44</v>
      </c>
      <c r="D1520" s="76" t="s">
        <v>5</v>
      </c>
      <c r="E1520" s="76" t="s">
        <v>103</v>
      </c>
      <c r="F1520" s="91" t="s">
        <v>45</v>
      </c>
      <c r="G1520" s="76">
        <v>10</v>
      </c>
      <c r="H1520" s="76" t="s">
        <v>17</v>
      </c>
      <c r="I1520" s="76" t="s">
        <v>27</v>
      </c>
      <c r="J1520" s="76">
        <v>0</v>
      </c>
      <c r="K1520" s="78">
        <f>AB1520/COUNTIFS($B:$B,$B1520,$C:$C,$C1520,$H:$H,$H1520,$I:$I,$I1520)</f>
        <v>0.05</v>
      </c>
      <c r="L1520" s="80">
        <f t="shared" si="90"/>
        <v>0.9</v>
      </c>
      <c r="M1520" s="82">
        <f t="shared" si="92"/>
        <v>0</v>
      </c>
      <c r="N1520" s="59"/>
      <c r="AA1520" s="154">
        <f>AB1520/COUNTIFS($B:$B,$B1520,$C:$C,$C1520,$H:$H,$H1520,$I:$I,$I1520)</f>
        <v>0.05</v>
      </c>
      <c r="AB1520" s="155">
        <f>VLOOKUP(I1520,'Weights and Confidence'!$D$16:$AC$26,11,FALSE)</f>
        <v>0.1</v>
      </c>
      <c r="AC1520" s="156">
        <f>VLOOKUP(I1520,'Weights and Confidence'!$D$16:$AC$26,12,FALSE)</f>
        <v>0.9</v>
      </c>
    </row>
    <row r="1521" spans="1:34" x14ac:dyDescent="0.2">
      <c r="A1521" s="77" t="s">
        <v>566</v>
      </c>
      <c r="B1521" s="77" t="s">
        <v>87</v>
      </c>
      <c r="C1521" s="77" t="s">
        <v>44</v>
      </c>
      <c r="D1521" s="77" t="s">
        <v>5</v>
      </c>
      <c r="E1521" s="77" t="s">
        <v>103</v>
      </c>
      <c r="F1521" s="91" t="s">
        <v>45</v>
      </c>
      <c r="G1521" s="77">
        <v>10</v>
      </c>
      <c r="H1521" s="77" t="s">
        <v>18</v>
      </c>
      <c r="I1521" s="77" t="s">
        <v>27</v>
      </c>
      <c r="J1521" s="77">
        <v>1</v>
      </c>
      <c r="K1521" s="79">
        <f>AB1521/COUNTIFS($B:$B,$B1521,$C:$C,$C1521,$H:$H,$H1521,$I:$I,$I1521)</f>
        <v>0.05</v>
      </c>
      <c r="L1521" s="81">
        <f t="shared" si="90"/>
        <v>0.9</v>
      </c>
      <c r="M1521" s="83">
        <f t="shared" si="92"/>
        <v>4.5000000000000005E-2</v>
      </c>
      <c r="N1521" s="17" t="s">
        <v>569</v>
      </c>
      <c r="Z1521">
        <f>COUNTIFS($B:$B,$B1521,$C:$C,$C1521,$H:$H,$H1521,$I:$I,$I1521)</f>
        <v>2</v>
      </c>
      <c r="AA1521" s="154">
        <f>AB1521/COUNTIFS($B:$B,$B1521,$C:$C,$C1521,$H:$H,$H1521,$I:$I,$I1521)</f>
        <v>0.05</v>
      </c>
      <c r="AB1521" s="155">
        <f>VLOOKUP(I1521,'Weights and Confidence'!$D$16:$AC$26,11,FALSE)</f>
        <v>0.1</v>
      </c>
      <c r="AC1521" s="156">
        <f>VLOOKUP(I1521,'Weights and Confidence'!$D$16:$AC$26,12,FALSE)</f>
        <v>0.9</v>
      </c>
    </row>
    <row r="1522" spans="1:34" x14ac:dyDescent="0.2">
      <c r="A1522" s="76" t="s">
        <v>566</v>
      </c>
      <c r="B1522" s="76" t="s">
        <v>87</v>
      </c>
      <c r="C1522" s="76" t="s">
        <v>44</v>
      </c>
      <c r="D1522" s="76" t="s">
        <v>5</v>
      </c>
      <c r="E1522" s="76" t="s">
        <v>103</v>
      </c>
      <c r="F1522" s="91" t="s">
        <v>45</v>
      </c>
      <c r="G1522" s="76">
        <v>11</v>
      </c>
      <c r="H1522" s="76" t="s">
        <v>17</v>
      </c>
      <c r="I1522" s="76" t="s">
        <v>27</v>
      </c>
      <c r="J1522" s="76">
        <v>1</v>
      </c>
      <c r="K1522" s="78">
        <f>AB1522/COUNTIFS($B:$B,$B1522,$C:$C,$C1522,$H:$H,$H1522,$I:$I,$I1522)</f>
        <v>0.05</v>
      </c>
      <c r="L1522" s="80">
        <f t="shared" si="90"/>
        <v>0.9</v>
      </c>
      <c r="M1522" s="82">
        <f t="shared" si="92"/>
        <v>4.5000000000000005E-2</v>
      </c>
      <c r="N1522" s="59"/>
      <c r="AA1522" s="154">
        <f>AB1522/COUNTIFS($B:$B,$B1522,$C:$C,$C1522,$H:$H,$H1522,$I:$I,$I1522)</f>
        <v>0.05</v>
      </c>
      <c r="AB1522" s="155">
        <f>VLOOKUP(I1522,'Weights and Confidence'!$D$16:$AC$26,11,FALSE)</f>
        <v>0.1</v>
      </c>
      <c r="AC1522" s="156">
        <f>VLOOKUP(I1522,'Weights and Confidence'!$D$16:$AC$26,12,FALSE)</f>
        <v>0.9</v>
      </c>
    </row>
    <row r="1523" spans="1:34" x14ac:dyDescent="0.2">
      <c r="A1523" s="77" t="s">
        <v>566</v>
      </c>
      <c r="B1523" s="77" t="s">
        <v>87</v>
      </c>
      <c r="C1523" s="77" t="s">
        <v>44</v>
      </c>
      <c r="D1523" s="77" t="s">
        <v>5</v>
      </c>
      <c r="E1523" s="77" t="s">
        <v>103</v>
      </c>
      <c r="F1523" s="91" t="s">
        <v>45</v>
      </c>
      <c r="G1523" s="77">
        <v>11</v>
      </c>
      <c r="H1523" s="77" t="s">
        <v>18</v>
      </c>
      <c r="I1523" s="77" t="s">
        <v>27</v>
      </c>
      <c r="J1523" s="77">
        <v>-1</v>
      </c>
      <c r="K1523" s="79">
        <f>AB1523/COUNTIFS($B:$B,$B1523,$C:$C,$C1523,$H:$H,$H1523,$I:$I,$I1523)</f>
        <v>0.05</v>
      </c>
      <c r="L1523" s="81">
        <f t="shared" si="90"/>
        <v>0.9</v>
      </c>
      <c r="M1523" s="83">
        <f t="shared" si="92"/>
        <v>-4.5000000000000005E-2</v>
      </c>
      <c r="N1523" s="84"/>
      <c r="AA1523" s="154">
        <f>AB1523/COUNTIFS($B:$B,$B1523,$C:$C,$C1523,$H:$H,$H1523,$I:$I,$I1523)</f>
        <v>0.05</v>
      </c>
      <c r="AB1523" s="155">
        <f>VLOOKUP(I1523,'Weights and Confidence'!$D$16:$AC$26,11,FALSE)</f>
        <v>0.1</v>
      </c>
      <c r="AC1523" s="156">
        <f>VLOOKUP(I1523,'Weights and Confidence'!$D$16:$AC$26,12,FALSE)</f>
        <v>0.9</v>
      </c>
    </row>
    <row r="1524" spans="1:34" x14ac:dyDescent="0.2">
      <c r="A1524" s="77" t="s">
        <v>566</v>
      </c>
      <c r="B1524" s="77" t="s">
        <v>87</v>
      </c>
      <c r="C1524" s="77" t="s">
        <v>44</v>
      </c>
      <c r="D1524" s="77" t="s">
        <v>5</v>
      </c>
      <c r="E1524" s="77" t="s">
        <v>103</v>
      </c>
      <c r="F1524" s="91" t="s">
        <v>45</v>
      </c>
      <c r="G1524" s="77">
        <v>12</v>
      </c>
      <c r="H1524" s="77" t="s">
        <v>17</v>
      </c>
      <c r="I1524" s="77" t="s">
        <v>28</v>
      </c>
      <c r="J1524" s="77">
        <v>0</v>
      </c>
      <c r="K1524" s="79">
        <f>AB1524/COUNTIFS($B:$B,$B1524,$C:$C,$C1524,$H:$H,$H1524,$I:$I,$I1524)</f>
        <v>0.05</v>
      </c>
      <c r="L1524" s="81">
        <f t="shared" si="90"/>
        <v>1</v>
      </c>
      <c r="M1524" s="83">
        <f>J1524*K1524*L1524</f>
        <v>0</v>
      </c>
      <c r="N1524" s="58"/>
      <c r="AA1524" s="154">
        <f>AB1524/COUNTIFS($B:$B,$B1524,$C:$C,$C1524,$H:$H,$H1524,$I:$I,$I1524)</f>
        <v>0.05</v>
      </c>
      <c r="AB1524" s="155">
        <f>VLOOKUP(I1524,'Weights and Confidence'!$D$16:$AC$26,11,FALSE)</f>
        <v>0.05</v>
      </c>
      <c r="AC1524" s="156">
        <f>VLOOKUP(I1524,'Weights and Confidence'!$D$16:$AC$26,12,FALSE)</f>
        <v>1</v>
      </c>
    </row>
    <row r="1525" spans="1:34" ht="17" thickBot="1" x14ac:dyDescent="0.25">
      <c r="A1525" s="98" t="s">
        <v>566</v>
      </c>
      <c r="B1525" s="98" t="s">
        <v>87</v>
      </c>
      <c r="C1525" s="98" t="s">
        <v>44</v>
      </c>
      <c r="D1525" s="98" t="s">
        <v>5</v>
      </c>
      <c r="E1525" s="98" t="s">
        <v>103</v>
      </c>
      <c r="F1525" s="93" t="s">
        <v>45</v>
      </c>
      <c r="G1525" s="98">
        <v>12</v>
      </c>
      <c r="H1525" s="98" t="s">
        <v>18</v>
      </c>
      <c r="I1525" s="98" t="s">
        <v>28</v>
      </c>
      <c r="J1525" s="98">
        <v>0</v>
      </c>
      <c r="K1525" s="99">
        <f>AB1525/COUNTIFS($B:$B,$B1525,$C:$C,$C1525,$H:$H,$H1525,$I:$I,$I1525)</f>
        <v>0.05</v>
      </c>
      <c r="L1525" s="100">
        <f t="shared" si="90"/>
        <v>1</v>
      </c>
      <c r="M1525" s="101">
        <f>J1525*K1525*L1525</f>
        <v>0</v>
      </c>
      <c r="N1525" s="61" t="str">
        <f>CONCATENATE(P1130,P1131,P1132,P1133,P1134,P1135,P1136)</f>
        <v>Missed the physical models. Its been an inherent part of the process. Also now that physical models were absent, I wishthere were more drawings at enlarged scales of the details and wall sections, since the students had time.May be 3Dprinter is the call of the day, 3 D printers are not so expensive and affordable..Good, interesting, and high volume of work overall. This studio is an improvement over similar studio offered in Nov2019 since working drawings &amp; detailing were preceded by a complete and very involved process of design. Onlydrawback, if at all, was that all Art Museum floor plans seemed to be quite similar..Much better than earlier</v>
      </c>
      <c r="AA1525" s="157">
        <f>AB1525/COUNTIFS($B:$B,$B1525,$C:$C,$C1525,$H:$H,$H1525,$I:$I,$I1525)</f>
        <v>0.05</v>
      </c>
      <c r="AB1525" s="158">
        <f>VLOOKUP(I1525,'Weights and Confidence'!$D$16:$AC$26,11,FALSE)</f>
        <v>0.05</v>
      </c>
      <c r="AC1525" s="159">
        <f>VLOOKUP(I1525,'Weights and Confidence'!$D$16:$AC$26,12,FALSE)</f>
        <v>1</v>
      </c>
      <c r="AH1525" s="160"/>
    </row>
    <row r="1526" spans="1:34" ht="17" thickTop="1" x14ac:dyDescent="0.2">
      <c r="A1526" s="86" t="s">
        <v>566</v>
      </c>
      <c r="B1526" s="86" t="s">
        <v>87</v>
      </c>
      <c r="C1526" s="86" t="s">
        <v>50</v>
      </c>
      <c r="D1526" s="86" t="s">
        <v>5</v>
      </c>
      <c r="E1526" s="86" t="s">
        <v>103</v>
      </c>
      <c r="F1526" s="18" t="s">
        <v>51</v>
      </c>
      <c r="G1526" s="86">
        <v>1</v>
      </c>
      <c r="H1526" s="86" t="s">
        <v>17</v>
      </c>
      <c r="I1526" s="86" t="s">
        <v>19</v>
      </c>
      <c r="J1526" s="97">
        <v>1</v>
      </c>
      <c r="K1526" s="87">
        <f>AB1526/COUNTIFS($B:$B,$B1526,$C:$C,$C1526,$H:$H,$H1526,$I:$I,$I1526)</f>
        <v>0.12</v>
      </c>
      <c r="L1526" s="88">
        <f t="shared" ref="L1526:L1549" si="93">AC1526</f>
        <v>1</v>
      </c>
      <c r="M1526" s="89">
        <f t="shared" ref="M1526" si="94">J1526*K1526*L1526</f>
        <v>0.12</v>
      </c>
      <c r="N1526" s="90"/>
      <c r="AA1526" s="154">
        <f>AB1526/COUNTIFS($B:$B,$B1526,$C:$C,$C1526,$H:$H,$H1526,$I:$I,$I1526)</f>
        <v>0.12</v>
      </c>
      <c r="AB1526" s="155">
        <f>VLOOKUP(I1526,'Weights and Confidence'!$D$16:$AC$26,11,FALSE)</f>
        <v>0.12</v>
      </c>
      <c r="AC1526" s="156">
        <f>VLOOKUP(I1526,'Weights and Confidence'!$D$16:$AC$26,12,FALSE)</f>
        <v>1</v>
      </c>
    </row>
    <row r="1527" spans="1:34" x14ac:dyDescent="0.2">
      <c r="A1527" s="77" t="s">
        <v>566</v>
      </c>
      <c r="B1527" s="77" t="s">
        <v>87</v>
      </c>
      <c r="C1527" s="77" t="s">
        <v>50</v>
      </c>
      <c r="D1527" s="77" t="s">
        <v>5</v>
      </c>
      <c r="E1527" s="77" t="s">
        <v>103</v>
      </c>
      <c r="F1527" s="91" t="s">
        <v>51</v>
      </c>
      <c r="G1527" s="77">
        <v>1</v>
      </c>
      <c r="H1527" s="77" t="s">
        <v>18</v>
      </c>
      <c r="I1527" s="77" t="s">
        <v>19</v>
      </c>
      <c r="J1527" s="77">
        <v>1</v>
      </c>
      <c r="K1527" s="79">
        <f>AB1527/COUNTIFS($B:$B,$B1527,$C:$C,$C1527,$H:$H,$H1527,$I:$I,$I1527)</f>
        <v>0.12</v>
      </c>
      <c r="L1527" s="81">
        <f t="shared" si="93"/>
        <v>1</v>
      </c>
      <c r="M1527" s="83">
        <f>J1526*K1527*L1527</f>
        <v>0.12</v>
      </c>
      <c r="N1527" s="84"/>
      <c r="P1527" s="17" t="s">
        <v>575</v>
      </c>
      <c r="AA1527" s="154">
        <f>AB1527/COUNTIFS($B:$B,$B1527,$C:$C,$C1527,$H:$H,$H1527,$I:$I,$I1527)</f>
        <v>0.12</v>
      </c>
      <c r="AB1527" s="155">
        <f>VLOOKUP(I1527,'Weights and Confidence'!$D$16:$AC$26,11,FALSE)</f>
        <v>0.12</v>
      </c>
      <c r="AC1527" s="156">
        <f>VLOOKUP(I1527,'Weights and Confidence'!$D$16:$AC$26,12,FALSE)</f>
        <v>1</v>
      </c>
    </row>
    <row r="1528" spans="1:34" x14ac:dyDescent="0.2">
      <c r="A1528" s="76" t="s">
        <v>566</v>
      </c>
      <c r="B1528" s="76" t="s">
        <v>87</v>
      </c>
      <c r="C1528" s="76" t="s">
        <v>50</v>
      </c>
      <c r="D1528" s="76" t="s">
        <v>5</v>
      </c>
      <c r="E1528" s="76" t="s">
        <v>103</v>
      </c>
      <c r="F1528" s="91" t="s">
        <v>51</v>
      </c>
      <c r="G1528" s="76">
        <v>2</v>
      </c>
      <c r="H1528" s="76" t="s">
        <v>17</v>
      </c>
      <c r="I1528" s="76" t="s">
        <v>20</v>
      </c>
      <c r="J1528" s="76">
        <v>1</v>
      </c>
      <c r="K1528" s="78">
        <f>AB1528/COUNTIFS($B:$B,$B1528,$C:$C,$C1528,$H:$H,$H1528,$I:$I,$I1528)</f>
        <v>0.08</v>
      </c>
      <c r="L1528" s="80">
        <f t="shared" si="93"/>
        <v>0.9</v>
      </c>
      <c r="M1528" s="82">
        <f t="shared" ref="M1528:M1547" si="95">J1528*K1528*L1528</f>
        <v>7.2000000000000008E-2</v>
      </c>
      <c r="N1528" s="59"/>
      <c r="P1528" s="17" t="s">
        <v>576</v>
      </c>
      <c r="AA1528" s="154">
        <f>AB1528/COUNTIFS($B:$B,$B1528,$C:$C,$C1528,$H:$H,$H1528,$I:$I,$I1528)</f>
        <v>0.08</v>
      </c>
      <c r="AB1528" s="155">
        <f>VLOOKUP(I1528,'Weights and Confidence'!$D$16:$AC$26,11,FALSE)</f>
        <v>0.08</v>
      </c>
      <c r="AC1528" s="156">
        <f>VLOOKUP(I1528,'Weights and Confidence'!$D$16:$AC$26,12,FALSE)</f>
        <v>0.9</v>
      </c>
    </row>
    <row r="1529" spans="1:34" x14ac:dyDescent="0.2">
      <c r="A1529" s="77" t="s">
        <v>566</v>
      </c>
      <c r="B1529" s="77" t="s">
        <v>87</v>
      </c>
      <c r="C1529" s="77" t="s">
        <v>50</v>
      </c>
      <c r="D1529" s="77" t="s">
        <v>5</v>
      </c>
      <c r="E1529" s="77" t="s">
        <v>103</v>
      </c>
      <c r="F1529" s="91" t="s">
        <v>51</v>
      </c>
      <c r="G1529" s="77">
        <v>2</v>
      </c>
      <c r="H1529" s="77" t="s">
        <v>18</v>
      </c>
      <c r="I1529" s="77" t="s">
        <v>20</v>
      </c>
      <c r="J1529" s="77">
        <v>1</v>
      </c>
      <c r="K1529" s="79">
        <f>AB1529/COUNTIFS($B:$B,$B1529,$C:$C,$C1529,$H:$H,$H1529,$I:$I,$I1529)</f>
        <v>0.08</v>
      </c>
      <c r="L1529" s="81">
        <f t="shared" si="93"/>
        <v>0.9</v>
      </c>
      <c r="M1529" s="83">
        <f t="shared" si="95"/>
        <v>7.2000000000000008E-2</v>
      </c>
      <c r="N1529" s="58"/>
      <c r="P1529" s="17" t="s">
        <v>577</v>
      </c>
      <c r="AA1529" s="154">
        <f>AB1529/COUNTIFS($B:$B,$B1529,$C:$C,$C1529,$H:$H,$H1529,$I:$I,$I1529)</f>
        <v>0.08</v>
      </c>
      <c r="AB1529" s="155">
        <f>VLOOKUP(I1529,'Weights and Confidence'!$D$16:$AC$26,11,FALSE)</f>
        <v>0.08</v>
      </c>
      <c r="AC1529" s="156">
        <f>VLOOKUP(I1529,'Weights and Confidence'!$D$16:$AC$26,12,FALSE)</f>
        <v>0.9</v>
      </c>
    </row>
    <row r="1530" spans="1:34" x14ac:dyDescent="0.2">
      <c r="A1530" s="76" t="s">
        <v>566</v>
      </c>
      <c r="B1530" s="76" t="s">
        <v>87</v>
      </c>
      <c r="C1530" s="76" t="s">
        <v>50</v>
      </c>
      <c r="D1530" s="76" t="s">
        <v>5</v>
      </c>
      <c r="E1530" s="76" t="s">
        <v>103</v>
      </c>
      <c r="F1530" s="91" t="s">
        <v>51</v>
      </c>
      <c r="G1530" s="76">
        <v>3</v>
      </c>
      <c r="H1530" s="76" t="s">
        <v>17</v>
      </c>
      <c r="I1530" s="76" t="s">
        <v>21</v>
      </c>
      <c r="J1530" s="76">
        <v>1</v>
      </c>
      <c r="K1530" s="78">
        <f>AB1530/COUNTIFS($B:$B,$B1530,$C:$C,$C1530,$H:$H,$H1530,$I:$I,$I1530)</f>
        <v>0.05</v>
      </c>
      <c r="L1530" s="80">
        <f t="shared" si="93"/>
        <v>1</v>
      </c>
      <c r="M1530" s="82">
        <f t="shared" si="95"/>
        <v>0.05</v>
      </c>
      <c r="N1530" s="59"/>
      <c r="P1530" s="17" t="s">
        <v>578</v>
      </c>
      <c r="AA1530" s="154">
        <f>AB1530/COUNTIFS($B:$B,$B1530,$C:$C,$C1530,$H:$H,$H1530,$I:$I,$I1530)</f>
        <v>0.05</v>
      </c>
      <c r="AB1530" s="155">
        <f>VLOOKUP(I1530,'Weights and Confidence'!$D$16:$AC$26,11,FALSE)</f>
        <v>0.05</v>
      </c>
      <c r="AC1530" s="156">
        <f>VLOOKUP(I1530,'Weights and Confidence'!$D$16:$AC$26,12,FALSE)</f>
        <v>1</v>
      </c>
    </row>
    <row r="1531" spans="1:34" x14ac:dyDescent="0.2">
      <c r="A1531" s="77" t="s">
        <v>566</v>
      </c>
      <c r="B1531" s="77" t="s">
        <v>87</v>
      </c>
      <c r="C1531" s="77" t="s">
        <v>50</v>
      </c>
      <c r="D1531" s="77" t="s">
        <v>5</v>
      </c>
      <c r="E1531" s="77" t="s">
        <v>103</v>
      </c>
      <c r="F1531" s="91" t="s">
        <v>51</v>
      </c>
      <c r="G1531" s="77">
        <v>3</v>
      </c>
      <c r="H1531" s="77" t="s">
        <v>18</v>
      </c>
      <c r="I1531" s="77" t="s">
        <v>21</v>
      </c>
      <c r="J1531" s="77">
        <v>0</v>
      </c>
      <c r="K1531" s="79">
        <f>AB1531/COUNTIFS($B:$B,$B1531,$C:$C,$C1531,$H:$H,$H1531,$I:$I,$I1531)</f>
        <v>0.05</v>
      </c>
      <c r="L1531" s="81">
        <f t="shared" si="93"/>
        <v>1</v>
      </c>
      <c r="M1531" s="83">
        <f t="shared" si="95"/>
        <v>0</v>
      </c>
      <c r="N1531" s="84"/>
      <c r="AA1531" s="154">
        <f>AB1531/COUNTIFS($B:$B,$B1531,$C:$C,$C1531,$H:$H,$H1531,$I:$I,$I1531)</f>
        <v>0.05</v>
      </c>
      <c r="AB1531" s="155">
        <f>VLOOKUP(I1531,'Weights and Confidence'!$D$16:$AC$26,11,FALSE)</f>
        <v>0.05</v>
      </c>
      <c r="AC1531" s="156">
        <f>VLOOKUP(I1531,'Weights and Confidence'!$D$16:$AC$26,12,FALSE)</f>
        <v>1</v>
      </c>
    </row>
    <row r="1532" spans="1:34" x14ac:dyDescent="0.2">
      <c r="A1532" s="76" t="s">
        <v>566</v>
      </c>
      <c r="B1532" s="76" t="s">
        <v>87</v>
      </c>
      <c r="C1532" s="76" t="s">
        <v>50</v>
      </c>
      <c r="D1532" s="76" t="s">
        <v>5</v>
      </c>
      <c r="E1532" s="76" t="s">
        <v>103</v>
      </c>
      <c r="F1532" s="91" t="s">
        <v>51</v>
      </c>
      <c r="G1532" s="76">
        <v>4</v>
      </c>
      <c r="H1532" s="76" t="s">
        <v>17</v>
      </c>
      <c r="I1532" s="76" t="s">
        <v>22</v>
      </c>
      <c r="J1532" s="76">
        <v>1</v>
      </c>
      <c r="K1532" s="78">
        <f>AB1532/COUNTIFS($B:$B,$B1532,$C:$C,$C1532,$H:$H,$H1532,$I:$I,$I1532)</f>
        <v>0.1</v>
      </c>
      <c r="L1532" s="80">
        <f t="shared" si="93"/>
        <v>1</v>
      </c>
      <c r="M1532" s="82">
        <f t="shared" si="95"/>
        <v>0.1</v>
      </c>
      <c r="N1532" s="59"/>
      <c r="AA1532" s="154">
        <f>AB1532/COUNTIFS($B:$B,$B1532,$C:$C,$C1532,$H:$H,$H1532,$I:$I,$I1532)</f>
        <v>0.1</v>
      </c>
      <c r="AB1532" s="155">
        <f>VLOOKUP(I1532,'Weights and Confidence'!$D$16:$AC$26,11,FALSE)</f>
        <v>0.1</v>
      </c>
      <c r="AC1532" s="156">
        <f>VLOOKUP(I1532,'Weights and Confidence'!$D$16:$AC$26,12,FALSE)</f>
        <v>1</v>
      </c>
    </row>
    <row r="1533" spans="1:34" x14ac:dyDescent="0.2">
      <c r="A1533" s="77" t="s">
        <v>566</v>
      </c>
      <c r="B1533" s="77" t="s">
        <v>87</v>
      </c>
      <c r="C1533" s="77" t="s">
        <v>50</v>
      </c>
      <c r="D1533" s="77" t="s">
        <v>5</v>
      </c>
      <c r="E1533" s="77" t="s">
        <v>103</v>
      </c>
      <c r="F1533" s="91" t="s">
        <v>51</v>
      </c>
      <c r="G1533" s="77">
        <v>4</v>
      </c>
      <c r="H1533" s="77" t="s">
        <v>18</v>
      </c>
      <c r="I1533" s="77" t="s">
        <v>22</v>
      </c>
      <c r="J1533" s="77">
        <v>0</v>
      </c>
      <c r="K1533" s="79">
        <f>AB1533/COUNTIFS($B:$B,$B1533,$C:$C,$C1533,$H:$H,$H1533,$I:$I,$I1533)</f>
        <v>0.1</v>
      </c>
      <c r="L1533" s="81">
        <f t="shared" si="93"/>
        <v>1</v>
      </c>
      <c r="M1533" s="83">
        <f t="shared" si="95"/>
        <v>0</v>
      </c>
      <c r="N1533" s="17" t="s">
        <v>571</v>
      </c>
      <c r="AA1533" s="154">
        <f>AB1533/COUNTIFS($B:$B,$B1533,$C:$C,$C1533,$H:$H,$H1533,$I:$I,$I1533)</f>
        <v>0.1</v>
      </c>
      <c r="AB1533" s="155">
        <f>VLOOKUP(I1533,'Weights and Confidence'!$D$16:$AC$26,11,FALSE)</f>
        <v>0.1</v>
      </c>
      <c r="AC1533" s="156">
        <f>VLOOKUP(I1533,'Weights and Confidence'!$D$16:$AC$26,12,FALSE)</f>
        <v>1</v>
      </c>
    </row>
    <row r="1534" spans="1:34" x14ac:dyDescent="0.2">
      <c r="A1534" s="76" t="s">
        <v>566</v>
      </c>
      <c r="B1534" s="76" t="s">
        <v>87</v>
      </c>
      <c r="C1534" s="76" t="s">
        <v>50</v>
      </c>
      <c r="D1534" s="76" t="s">
        <v>5</v>
      </c>
      <c r="E1534" s="76" t="s">
        <v>103</v>
      </c>
      <c r="F1534" s="91" t="s">
        <v>51</v>
      </c>
      <c r="G1534" s="76">
        <v>5</v>
      </c>
      <c r="H1534" s="76" t="s">
        <v>17</v>
      </c>
      <c r="I1534" s="76" t="s">
        <v>34</v>
      </c>
      <c r="J1534" s="76">
        <v>1</v>
      </c>
      <c r="K1534" s="78">
        <f>AB1534/COUNTIFS($B:$B,$B1534,$C:$C,$C1534,$H:$H,$H1534,$I:$I,$I1534)</f>
        <v>0.08</v>
      </c>
      <c r="L1534" s="80">
        <f t="shared" si="93"/>
        <v>1</v>
      </c>
      <c r="M1534" s="82">
        <f t="shared" si="95"/>
        <v>0.08</v>
      </c>
      <c r="N1534" s="59"/>
      <c r="AA1534" s="154">
        <f>AB1534/COUNTIFS($B:$B,$B1534,$C:$C,$C1534,$H:$H,$H1534,$I:$I,$I1534)</f>
        <v>0.08</v>
      </c>
      <c r="AB1534" s="155">
        <f>VLOOKUP(I1534,'Weights and Confidence'!$D$16:$AC$26,11,FALSE)</f>
        <v>0.08</v>
      </c>
      <c r="AC1534" s="156">
        <f>VLOOKUP(I1534,'Weights and Confidence'!$D$16:$AC$26,12,FALSE)</f>
        <v>1</v>
      </c>
    </row>
    <row r="1535" spans="1:34" x14ac:dyDescent="0.2">
      <c r="A1535" s="77" t="s">
        <v>566</v>
      </c>
      <c r="B1535" s="77" t="s">
        <v>87</v>
      </c>
      <c r="C1535" s="77" t="s">
        <v>50</v>
      </c>
      <c r="D1535" s="77" t="s">
        <v>5</v>
      </c>
      <c r="E1535" s="77" t="s">
        <v>103</v>
      </c>
      <c r="F1535" s="91" t="s">
        <v>51</v>
      </c>
      <c r="G1535" s="77">
        <v>5</v>
      </c>
      <c r="H1535" s="77" t="s">
        <v>18</v>
      </c>
      <c r="I1535" s="77" t="s">
        <v>34</v>
      </c>
      <c r="J1535" s="77">
        <v>1</v>
      </c>
      <c r="K1535" s="79">
        <f>AB1535/COUNTIFS($B:$B,$B1535,$C:$C,$C1535,$H:$H,$H1535,$I:$I,$I1535)</f>
        <v>0.08</v>
      </c>
      <c r="L1535" s="81">
        <f t="shared" si="93"/>
        <v>1</v>
      </c>
      <c r="M1535" s="83">
        <f t="shared" si="95"/>
        <v>0.08</v>
      </c>
      <c r="N1535" s="84"/>
      <c r="AA1535" s="154">
        <f>AB1535/COUNTIFS($B:$B,$B1535,$C:$C,$C1535,$H:$H,$H1535,$I:$I,$I1535)</f>
        <v>0.08</v>
      </c>
      <c r="AB1535" s="155">
        <f>VLOOKUP(I1535,'Weights and Confidence'!$D$16:$AC$26,11,FALSE)</f>
        <v>0.08</v>
      </c>
      <c r="AC1535" s="156">
        <f>VLOOKUP(I1535,'Weights and Confidence'!$D$16:$AC$26,12,FALSE)</f>
        <v>1</v>
      </c>
    </row>
    <row r="1536" spans="1:34" x14ac:dyDescent="0.2">
      <c r="A1536" s="76" t="s">
        <v>566</v>
      </c>
      <c r="B1536" s="76" t="s">
        <v>87</v>
      </c>
      <c r="C1536" s="76" t="s">
        <v>50</v>
      </c>
      <c r="D1536" s="76" t="s">
        <v>5</v>
      </c>
      <c r="E1536" s="76" t="s">
        <v>103</v>
      </c>
      <c r="F1536" s="91" t="s">
        <v>51</v>
      </c>
      <c r="G1536" s="76">
        <v>6</v>
      </c>
      <c r="H1536" s="76" t="s">
        <v>17</v>
      </c>
      <c r="I1536" s="76" t="s">
        <v>23</v>
      </c>
      <c r="J1536" s="76">
        <v>1</v>
      </c>
      <c r="K1536" s="78">
        <f>AB1536/COUNTIFS($B:$B,$B1536,$C:$C,$C1536,$H:$H,$H1536,$I:$I,$I1536)</f>
        <v>7.0000000000000007E-2</v>
      </c>
      <c r="L1536" s="80">
        <f t="shared" si="93"/>
        <v>1</v>
      </c>
      <c r="M1536" s="82">
        <f t="shared" si="95"/>
        <v>7.0000000000000007E-2</v>
      </c>
      <c r="N1536" s="59"/>
      <c r="AA1536" s="154">
        <f>AB1536/COUNTIFS($B:$B,$B1536,$C:$C,$C1536,$H:$H,$H1536,$I:$I,$I1536)</f>
        <v>7.0000000000000007E-2</v>
      </c>
      <c r="AB1536" s="155">
        <f>VLOOKUP(I1536,'Weights and Confidence'!$D$16:$AC$26,11,FALSE)</f>
        <v>7.0000000000000007E-2</v>
      </c>
      <c r="AC1536" s="156">
        <f>VLOOKUP(I1536,'Weights and Confidence'!$D$16:$AC$26,12,FALSE)</f>
        <v>1</v>
      </c>
    </row>
    <row r="1537" spans="1:29" x14ac:dyDescent="0.2">
      <c r="A1537" s="77" t="s">
        <v>566</v>
      </c>
      <c r="B1537" s="77" t="s">
        <v>87</v>
      </c>
      <c r="C1537" s="77" t="s">
        <v>50</v>
      </c>
      <c r="D1537" s="77" t="s">
        <v>5</v>
      </c>
      <c r="E1537" s="77" t="s">
        <v>103</v>
      </c>
      <c r="F1537" s="91" t="s">
        <v>51</v>
      </c>
      <c r="G1537" s="77">
        <v>6</v>
      </c>
      <c r="H1537" s="77" t="s">
        <v>18</v>
      </c>
      <c r="I1537" s="77" t="s">
        <v>23</v>
      </c>
      <c r="J1537" s="77">
        <v>1</v>
      </c>
      <c r="K1537" s="79">
        <f>AB1537/COUNTIFS($B:$B,$B1537,$C:$C,$C1537,$H:$H,$H1537,$I:$I,$I1537)</f>
        <v>7.0000000000000007E-2</v>
      </c>
      <c r="L1537" s="81">
        <f t="shared" si="93"/>
        <v>1</v>
      </c>
      <c r="M1537" s="83">
        <f t="shared" si="95"/>
        <v>7.0000000000000007E-2</v>
      </c>
      <c r="N1537" s="84"/>
      <c r="AA1537" s="154">
        <f>AB1537/COUNTIFS($B:$B,$B1537,$C:$C,$C1537,$H:$H,$H1537,$I:$I,$I1537)</f>
        <v>7.0000000000000007E-2</v>
      </c>
      <c r="AB1537" s="155">
        <f>VLOOKUP(I1537,'Weights and Confidence'!$D$16:$AC$26,11,FALSE)</f>
        <v>7.0000000000000007E-2</v>
      </c>
      <c r="AC1537" s="156">
        <f>VLOOKUP(I1537,'Weights and Confidence'!$D$16:$AC$26,12,FALSE)</f>
        <v>1</v>
      </c>
    </row>
    <row r="1538" spans="1:29" x14ac:dyDescent="0.2">
      <c r="A1538" s="76" t="s">
        <v>566</v>
      </c>
      <c r="B1538" s="76" t="s">
        <v>87</v>
      </c>
      <c r="C1538" s="76" t="s">
        <v>50</v>
      </c>
      <c r="D1538" s="76" t="s">
        <v>5</v>
      </c>
      <c r="E1538" s="76" t="s">
        <v>103</v>
      </c>
      <c r="F1538" s="91" t="s">
        <v>51</v>
      </c>
      <c r="G1538" s="76">
        <v>7</v>
      </c>
      <c r="H1538" s="76" t="s">
        <v>17</v>
      </c>
      <c r="I1538" s="76" t="s">
        <v>24</v>
      </c>
      <c r="J1538" s="76">
        <v>1</v>
      </c>
      <c r="K1538" s="78">
        <f>AB1538/COUNTIFS($B:$B,$B1538,$C:$C,$C1538,$H:$H,$H1538,$I:$I,$I1538)</f>
        <v>0.15</v>
      </c>
      <c r="L1538" s="80">
        <f t="shared" si="93"/>
        <v>1</v>
      </c>
      <c r="M1538" s="82">
        <f t="shared" si="95"/>
        <v>0.15</v>
      </c>
      <c r="N1538" s="59"/>
      <c r="AA1538" s="154">
        <f>AB1538/COUNTIFS($B:$B,$B1538,$C:$C,$C1538,$H:$H,$H1538,$I:$I,$I1538)</f>
        <v>0.15</v>
      </c>
      <c r="AB1538" s="155">
        <f>VLOOKUP(I1538,'Weights and Confidence'!$D$16:$AC$26,11,FALSE)</f>
        <v>0.15</v>
      </c>
      <c r="AC1538" s="156">
        <f>VLOOKUP(I1538,'Weights and Confidence'!$D$16:$AC$26,12,FALSE)</f>
        <v>1</v>
      </c>
    </row>
    <row r="1539" spans="1:29" x14ac:dyDescent="0.2">
      <c r="A1539" s="77" t="s">
        <v>566</v>
      </c>
      <c r="B1539" s="77" t="s">
        <v>87</v>
      </c>
      <c r="C1539" s="77" t="s">
        <v>50</v>
      </c>
      <c r="D1539" s="77" t="s">
        <v>5</v>
      </c>
      <c r="E1539" s="77" t="s">
        <v>103</v>
      </c>
      <c r="F1539" s="91" t="s">
        <v>51</v>
      </c>
      <c r="G1539" s="77">
        <v>7</v>
      </c>
      <c r="H1539" s="77" t="s">
        <v>18</v>
      </c>
      <c r="I1539" s="77" t="s">
        <v>24</v>
      </c>
      <c r="J1539" s="77">
        <v>1</v>
      </c>
      <c r="K1539" s="79">
        <f>AB1539/COUNTIFS($B:$B,$B1539,$C:$C,$C1539,$H:$H,$H1539,$I:$I,$I1539)</f>
        <v>0.15</v>
      </c>
      <c r="L1539" s="81">
        <f t="shared" si="93"/>
        <v>1</v>
      </c>
      <c r="M1539" s="83">
        <f t="shared" si="95"/>
        <v>0.15</v>
      </c>
      <c r="N1539" s="84"/>
      <c r="AA1539" s="154">
        <f>AB1539/COUNTIFS($B:$B,$B1539,$C:$C,$C1539,$H:$H,$H1539,$I:$I,$I1539)</f>
        <v>0.15</v>
      </c>
      <c r="AB1539" s="155">
        <f>VLOOKUP(I1539,'Weights and Confidence'!$D$16:$AC$26,11,FALSE)</f>
        <v>0.15</v>
      </c>
      <c r="AC1539" s="156">
        <f>VLOOKUP(I1539,'Weights and Confidence'!$D$16:$AC$26,12,FALSE)</f>
        <v>1</v>
      </c>
    </row>
    <row r="1540" spans="1:29" x14ac:dyDescent="0.2">
      <c r="A1540" s="76" t="s">
        <v>566</v>
      </c>
      <c r="B1540" s="76" t="s">
        <v>87</v>
      </c>
      <c r="C1540" s="76" t="s">
        <v>50</v>
      </c>
      <c r="D1540" s="76" t="s">
        <v>5</v>
      </c>
      <c r="E1540" s="76" t="s">
        <v>103</v>
      </c>
      <c r="F1540" s="91" t="s">
        <v>51</v>
      </c>
      <c r="G1540" s="76">
        <v>8</v>
      </c>
      <c r="H1540" s="76" t="s">
        <v>17</v>
      </c>
      <c r="I1540" s="76" t="s">
        <v>25</v>
      </c>
      <c r="J1540" s="76">
        <v>1</v>
      </c>
      <c r="K1540" s="78">
        <f>AB1540/COUNTIFS($B:$B,$B1540,$C:$C,$C1540,$H:$H,$H1540,$I:$I,$I1540)</f>
        <v>0.1</v>
      </c>
      <c r="L1540" s="80">
        <f t="shared" si="93"/>
        <v>1</v>
      </c>
      <c r="M1540" s="82">
        <f t="shared" si="95"/>
        <v>0.1</v>
      </c>
      <c r="N1540" s="59"/>
      <c r="AA1540" s="154">
        <f>AB1540/COUNTIFS($B:$B,$B1540,$C:$C,$C1540,$H:$H,$H1540,$I:$I,$I1540)</f>
        <v>0.1</v>
      </c>
      <c r="AB1540" s="155">
        <f>VLOOKUP(I1540,'Weights and Confidence'!$D$16:$AC$26,11,FALSE)</f>
        <v>0.1</v>
      </c>
      <c r="AC1540" s="156">
        <f>VLOOKUP(I1540,'Weights and Confidence'!$D$16:$AC$26,12,FALSE)</f>
        <v>1</v>
      </c>
    </row>
    <row r="1541" spans="1:29" x14ac:dyDescent="0.2">
      <c r="A1541" s="77" t="s">
        <v>566</v>
      </c>
      <c r="B1541" s="77" t="s">
        <v>87</v>
      </c>
      <c r="C1541" s="77" t="s">
        <v>50</v>
      </c>
      <c r="D1541" s="77" t="s">
        <v>5</v>
      </c>
      <c r="E1541" s="77" t="s">
        <v>103</v>
      </c>
      <c r="F1541" s="91" t="s">
        <v>51</v>
      </c>
      <c r="G1541" s="77">
        <v>8</v>
      </c>
      <c r="H1541" s="77" t="s">
        <v>18</v>
      </c>
      <c r="I1541" s="77" t="s">
        <v>25</v>
      </c>
      <c r="J1541" s="77">
        <v>0</v>
      </c>
      <c r="K1541" s="79">
        <f>AB1541/COUNTIFS($B:$B,$B1541,$C:$C,$C1541,$H:$H,$H1541,$I:$I,$I1541)</f>
        <v>0.1</v>
      </c>
      <c r="L1541" s="81">
        <f t="shared" si="93"/>
        <v>1</v>
      </c>
      <c r="M1541" s="83">
        <f t="shared" si="95"/>
        <v>0</v>
      </c>
      <c r="N1541" s="17" t="s">
        <v>572</v>
      </c>
      <c r="AA1541" s="154">
        <f>AB1541/COUNTIFS($B:$B,$B1541,$C:$C,$C1541,$H:$H,$H1541,$I:$I,$I1541)</f>
        <v>0.1</v>
      </c>
      <c r="AB1541" s="155">
        <f>VLOOKUP(I1541,'Weights and Confidence'!$D$16:$AC$26,11,FALSE)</f>
        <v>0.1</v>
      </c>
      <c r="AC1541" s="156">
        <f>VLOOKUP(I1541,'Weights and Confidence'!$D$16:$AC$26,12,FALSE)</f>
        <v>1</v>
      </c>
    </row>
    <row r="1542" spans="1:29" x14ac:dyDescent="0.2">
      <c r="A1542" s="76" t="s">
        <v>566</v>
      </c>
      <c r="B1542" s="76" t="s">
        <v>87</v>
      </c>
      <c r="C1542" s="76" t="s">
        <v>50</v>
      </c>
      <c r="D1542" s="76" t="s">
        <v>5</v>
      </c>
      <c r="E1542" s="76" t="s">
        <v>103</v>
      </c>
      <c r="F1542" s="91" t="s">
        <v>51</v>
      </c>
      <c r="G1542" s="76">
        <v>9</v>
      </c>
      <c r="H1542" s="76" t="s">
        <v>17</v>
      </c>
      <c r="I1542" s="76" t="s">
        <v>26</v>
      </c>
      <c r="J1542" s="76">
        <v>1</v>
      </c>
      <c r="K1542" s="78">
        <f>AB1542/COUNTIFS($B:$B,$B1542,$C:$C,$C1542,$H:$H,$H1542,$I:$I,$I1542)</f>
        <v>0.1</v>
      </c>
      <c r="L1542" s="80">
        <f t="shared" si="93"/>
        <v>1</v>
      </c>
      <c r="M1542" s="82">
        <f t="shared" si="95"/>
        <v>0.1</v>
      </c>
      <c r="N1542" s="59"/>
      <c r="AA1542" s="154">
        <f>AB1542/COUNTIFS($B:$B,$B1542,$C:$C,$C1542,$H:$H,$H1542,$I:$I,$I1542)</f>
        <v>0.1</v>
      </c>
      <c r="AB1542" s="155">
        <f>VLOOKUP(I1542,'Weights and Confidence'!$D$16:$AC$26,11,FALSE)</f>
        <v>0.1</v>
      </c>
      <c r="AC1542" s="156">
        <f>VLOOKUP(I1542,'Weights and Confidence'!$D$16:$AC$26,12,FALSE)</f>
        <v>1</v>
      </c>
    </row>
    <row r="1543" spans="1:29" x14ac:dyDescent="0.2">
      <c r="A1543" s="77" t="s">
        <v>566</v>
      </c>
      <c r="B1543" s="77" t="s">
        <v>87</v>
      </c>
      <c r="C1543" s="77" t="s">
        <v>50</v>
      </c>
      <c r="D1543" s="77" t="s">
        <v>5</v>
      </c>
      <c r="E1543" s="77" t="s">
        <v>103</v>
      </c>
      <c r="F1543" s="91" t="s">
        <v>51</v>
      </c>
      <c r="G1543" s="77">
        <v>9</v>
      </c>
      <c r="H1543" s="77" t="s">
        <v>18</v>
      </c>
      <c r="I1543" s="77" t="s">
        <v>26</v>
      </c>
      <c r="J1543" s="77">
        <v>0</v>
      </c>
      <c r="K1543" s="79">
        <f>AB1543/COUNTIFS($B:$B,$B1543,$C:$C,$C1543,$H:$H,$H1543,$I:$I,$I1543)</f>
        <v>0.1</v>
      </c>
      <c r="L1543" s="81">
        <f t="shared" si="93"/>
        <v>1</v>
      </c>
      <c r="M1543" s="83">
        <f t="shared" si="95"/>
        <v>0</v>
      </c>
      <c r="N1543" s="58" t="s">
        <v>573</v>
      </c>
      <c r="AA1543" s="154">
        <f>AB1543/COUNTIFS($B:$B,$B1543,$C:$C,$C1543,$H:$H,$H1543,$I:$I,$I1543)</f>
        <v>0.1</v>
      </c>
      <c r="AB1543" s="155">
        <f>VLOOKUP(I1543,'Weights and Confidence'!$D$16:$AC$26,11,FALSE)</f>
        <v>0.1</v>
      </c>
      <c r="AC1543" s="156">
        <f>VLOOKUP(I1543,'Weights and Confidence'!$D$16:$AC$26,12,FALSE)</f>
        <v>1</v>
      </c>
    </row>
    <row r="1544" spans="1:29" x14ac:dyDescent="0.2">
      <c r="A1544" s="76" t="s">
        <v>566</v>
      </c>
      <c r="B1544" s="76" t="s">
        <v>87</v>
      </c>
      <c r="C1544" s="76" t="s">
        <v>50</v>
      </c>
      <c r="D1544" s="76" t="s">
        <v>5</v>
      </c>
      <c r="E1544" s="76" t="s">
        <v>103</v>
      </c>
      <c r="F1544" s="91" t="s">
        <v>51</v>
      </c>
      <c r="G1544" s="76">
        <v>10</v>
      </c>
      <c r="H1544" s="76" t="s">
        <v>17</v>
      </c>
      <c r="I1544" s="76" t="s">
        <v>27</v>
      </c>
      <c r="J1544" s="76">
        <v>1</v>
      </c>
      <c r="K1544" s="78">
        <f>AB1544/COUNTIFS($B:$B,$B1544,$C:$C,$C1544,$H:$H,$H1544,$I:$I,$I1544)</f>
        <v>0.05</v>
      </c>
      <c r="L1544" s="80">
        <f t="shared" si="93"/>
        <v>0.9</v>
      </c>
      <c r="M1544" s="82">
        <f t="shared" si="95"/>
        <v>4.5000000000000005E-2</v>
      </c>
      <c r="N1544" s="59"/>
      <c r="AA1544" s="154">
        <f>AB1544/COUNTIFS($B:$B,$B1544,$C:$C,$C1544,$H:$H,$H1544,$I:$I,$I1544)</f>
        <v>0.05</v>
      </c>
      <c r="AB1544" s="155">
        <f>VLOOKUP(I1544,'Weights and Confidence'!$D$16:$AC$26,11,FALSE)</f>
        <v>0.1</v>
      </c>
      <c r="AC1544" s="156">
        <f>VLOOKUP(I1544,'Weights and Confidence'!$D$16:$AC$26,12,FALSE)</f>
        <v>0.9</v>
      </c>
    </row>
    <row r="1545" spans="1:29" x14ac:dyDescent="0.2">
      <c r="A1545" s="77" t="s">
        <v>566</v>
      </c>
      <c r="B1545" s="77" t="s">
        <v>87</v>
      </c>
      <c r="C1545" s="77" t="s">
        <v>50</v>
      </c>
      <c r="D1545" s="77" t="s">
        <v>5</v>
      </c>
      <c r="E1545" s="77" t="s">
        <v>103</v>
      </c>
      <c r="F1545" s="91" t="s">
        <v>51</v>
      </c>
      <c r="G1545" s="77">
        <v>10</v>
      </c>
      <c r="H1545" s="77" t="s">
        <v>18</v>
      </c>
      <c r="I1545" s="77" t="s">
        <v>27</v>
      </c>
      <c r="J1545" s="77">
        <v>0</v>
      </c>
      <c r="K1545" s="79">
        <f>AB1545/COUNTIFS($B:$B,$B1545,$C:$C,$C1545,$H:$H,$H1545,$I:$I,$I1545)</f>
        <v>0.05</v>
      </c>
      <c r="L1545" s="81">
        <f t="shared" si="93"/>
        <v>0.9</v>
      </c>
      <c r="M1545" s="83">
        <f t="shared" si="95"/>
        <v>0</v>
      </c>
      <c r="N1545" s="17" t="s">
        <v>574</v>
      </c>
      <c r="AA1545" s="154">
        <f>AB1545/COUNTIFS($B:$B,$B1545,$C:$C,$C1545,$H:$H,$H1545,$I:$I,$I1545)</f>
        <v>0.05</v>
      </c>
      <c r="AB1545" s="155">
        <f>VLOOKUP(I1545,'Weights and Confidence'!$D$16:$AC$26,11,FALSE)</f>
        <v>0.1</v>
      </c>
      <c r="AC1545" s="156">
        <f>VLOOKUP(I1545,'Weights and Confidence'!$D$16:$AC$26,12,FALSE)</f>
        <v>0.9</v>
      </c>
    </row>
    <row r="1546" spans="1:29" x14ac:dyDescent="0.2">
      <c r="A1546" s="76" t="s">
        <v>566</v>
      </c>
      <c r="B1546" s="76" t="s">
        <v>87</v>
      </c>
      <c r="C1546" s="76" t="s">
        <v>50</v>
      </c>
      <c r="D1546" s="76" t="s">
        <v>5</v>
      </c>
      <c r="E1546" s="76" t="s">
        <v>103</v>
      </c>
      <c r="F1546" s="91" t="s">
        <v>51</v>
      </c>
      <c r="G1546" s="76">
        <v>11</v>
      </c>
      <c r="H1546" s="76" t="s">
        <v>17</v>
      </c>
      <c r="I1546" s="76" t="s">
        <v>27</v>
      </c>
      <c r="J1546" s="76">
        <v>1</v>
      </c>
      <c r="K1546" s="78">
        <f>AB1546/COUNTIFS($B:$B,$B1546,$C:$C,$C1546,$H:$H,$H1546,$I:$I,$I1546)</f>
        <v>0.05</v>
      </c>
      <c r="L1546" s="80">
        <f t="shared" si="93"/>
        <v>0.9</v>
      </c>
      <c r="M1546" s="82">
        <f t="shared" si="95"/>
        <v>4.5000000000000005E-2</v>
      </c>
      <c r="N1546" s="59"/>
      <c r="AA1546" s="154">
        <f>AB1546/COUNTIFS($B:$B,$B1546,$C:$C,$C1546,$H:$H,$H1546,$I:$I,$I1546)</f>
        <v>0.05</v>
      </c>
      <c r="AB1546" s="155">
        <f>VLOOKUP(I1546,'Weights and Confidence'!$D$16:$AC$26,11,FALSE)</f>
        <v>0.1</v>
      </c>
      <c r="AC1546" s="156">
        <f>VLOOKUP(I1546,'Weights and Confidence'!$D$16:$AC$26,12,FALSE)</f>
        <v>0.9</v>
      </c>
    </row>
    <row r="1547" spans="1:29" x14ac:dyDescent="0.2">
      <c r="A1547" s="77" t="s">
        <v>566</v>
      </c>
      <c r="B1547" s="77" t="s">
        <v>87</v>
      </c>
      <c r="C1547" s="77" t="s">
        <v>50</v>
      </c>
      <c r="D1547" s="77" t="s">
        <v>5</v>
      </c>
      <c r="E1547" s="77" t="s">
        <v>103</v>
      </c>
      <c r="F1547" s="91" t="s">
        <v>51</v>
      </c>
      <c r="G1547" s="77">
        <v>11</v>
      </c>
      <c r="H1547" s="77" t="s">
        <v>18</v>
      </c>
      <c r="I1547" s="77" t="s">
        <v>27</v>
      </c>
      <c r="J1547" s="77">
        <v>1</v>
      </c>
      <c r="K1547" s="79">
        <f>AB1547/COUNTIFS($B:$B,$B1547,$C:$C,$C1547,$H:$H,$H1547,$I:$I,$I1547)</f>
        <v>0.05</v>
      </c>
      <c r="L1547" s="81">
        <f t="shared" si="93"/>
        <v>0.9</v>
      </c>
      <c r="M1547" s="83">
        <f t="shared" si="95"/>
        <v>4.5000000000000005E-2</v>
      </c>
      <c r="N1547" s="84"/>
      <c r="AA1547" s="154">
        <f>AB1547/COUNTIFS($B:$B,$B1547,$C:$C,$C1547,$H:$H,$H1547,$I:$I,$I1547)</f>
        <v>0.05</v>
      </c>
      <c r="AB1547" s="155">
        <f>VLOOKUP(I1547,'Weights and Confidence'!$D$16:$AC$26,11,FALSE)</f>
        <v>0.1</v>
      </c>
      <c r="AC1547" s="156">
        <f>VLOOKUP(I1547,'Weights and Confidence'!$D$16:$AC$26,12,FALSE)</f>
        <v>0.9</v>
      </c>
    </row>
    <row r="1548" spans="1:29" x14ac:dyDescent="0.2">
      <c r="A1548" s="77" t="s">
        <v>566</v>
      </c>
      <c r="B1548" s="77" t="s">
        <v>87</v>
      </c>
      <c r="C1548" s="77" t="s">
        <v>50</v>
      </c>
      <c r="D1548" s="77" t="s">
        <v>5</v>
      </c>
      <c r="E1548" s="77" t="s">
        <v>103</v>
      </c>
      <c r="F1548" s="91" t="s">
        <v>51</v>
      </c>
      <c r="G1548" s="77">
        <v>12</v>
      </c>
      <c r="H1548" s="77" t="s">
        <v>17</v>
      </c>
      <c r="I1548" s="77" t="s">
        <v>28</v>
      </c>
      <c r="J1548" s="77">
        <v>1</v>
      </c>
      <c r="K1548" s="79">
        <f>AB1548/COUNTIFS($B:$B,$B1548,$C:$C,$C1548,$H:$H,$H1548,$I:$I,$I1548)</f>
        <v>0.05</v>
      </c>
      <c r="L1548" s="81">
        <f t="shared" si="93"/>
        <v>1</v>
      </c>
      <c r="M1548" s="83">
        <f>J1548*K1548*L1548</f>
        <v>0.05</v>
      </c>
      <c r="N1548" s="58"/>
      <c r="AA1548" s="154">
        <f>AB1548/COUNTIFS($B:$B,$B1548,$C:$C,$C1548,$H:$H,$H1548,$I:$I,$I1548)</f>
        <v>0.05</v>
      </c>
      <c r="AB1548" s="155">
        <f>VLOOKUP(I1548,'Weights and Confidence'!$D$16:$AC$26,11,FALSE)</f>
        <v>0.05</v>
      </c>
      <c r="AC1548" s="156">
        <f>VLOOKUP(I1548,'Weights and Confidence'!$D$16:$AC$26,12,FALSE)</f>
        <v>1</v>
      </c>
    </row>
    <row r="1549" spans="1:29" ht="17" thickBot="1" x14ac:dyDescent="0.25">
      <c r="A1549" s="98" t="s">
        <v>566</v>
      </c>
      <c r="B1549" s="98" t="s">
        <v>87</v>
      </c>
      <c r="C1549" s="98" t="s">
        <v>50</v>
      </c>
      <c r="D1549" s="98" t="s">
        <v>5</v>
      </c>
      <c r="E1549" s="98" t="s">
        <v>103</v>
      </c>
      <c r="F1549" s="93" t="s">
        <v>51</v>
      </c>
      <c r="G1549" s="98">
        <v>12</v>
      </c>
      <c r="H1549" s="98" t="s">
        <v>18</v>
      </c>
      <c r="I1549" s="98" t="s">
        <v>28</v>
      </c>
      <c r="J1549" s="98">
        <v>0</v>
      </c>
      <c r="K1549" s="99">
        <f>AB1549/COUNTIFS($B:$B,$B1549,$C:$C,$C1549,$H:$H,$H1549,$I:$I,$I1549)</f>
        <v>0.05</v>
      </c>
      <c r="L1549" s="100">
        <f t="shared" si="93"/>
        <v>1</v>
      </c>
      <c r="M1549" s="101">
        <f>J1549*K1549*L1549</f>
        <v>0</v>
      </c>
      <c r="N1549" s="61"/>
      <c r="AA1549" s="157">
        <f>AB1549/COUNTIFS($B:$B,$B1549,$C:$C,$C1549,$H:$H,$H1549,$I:$I,$I1549)</f>
        <v>0.05</v>
      </c>
      <c r="AB1549" s="158">
        <f>VLOOKUP(I1549,'Weights and Confidence'!$D$16:$AC$26,11,FALSE)</f>
        <v>0.05</v>
      </c>
      <c r="AC1549" s="159">
        <f>VLOOKUP(I1549,'Weights and Confidence'!$D$16:$AC$26,12,FALSE)</f>
        <v>1</v>
      </c>
    </row>
    <row r="1550" spans="1:29" ht="17" thickTop="1" x14ac:dyDescent="0.2">
      <c r="A1550" s="86" t="s">
        <v>566</v>
      </c>
      <c r="B1550" s="86" t="s">
        <v>87</v>
      </c>
      <c r="C1550" s="86" t="s">
        <v>54</v>
      </c>
      <c r="D1550" s="86" t="s">
        <v>5</v>
      </c>
      <c r="E1550" s="86" t="s">
        <v>679</v>
      </c>
      <c r="F1550" s="18" t="s">
        <v>382</v>
      </c>
      <c r="G1550" s="86">
        <v>1</v>
      </c>
      <c r="H1550" s="86" t="s">
        <v>17</v>
      </c>
      <c r="I1550" s="86" t="s">
        <v>19</v>
      </c>
      <c r="J1550" s="97">
        <v>1</v>
      </c>
      <c r="K1550" s="87">
        <f>AB1550/COUNTIFS($B:$B,$B1550,$C:$C,$C1550,$H:$H,$H1550,$I:$I,$I1550)</f>
        <v>0.12</v>
      </c>
      <c r="L1550" s="88">
        <f t="shared" ref="L1550:L1573" si="96">AC1550</f>
        <v>1</v>
      </c>
      <c r="M1550" s="89">
        <f t="shared" ref="M1550" si="97">J1550*K1550*L1550</f>
        <v>0.12</v>
      </c>
      <c r="N1550" s="90"/>
      <c r="AA1550" s="154">
        <f>AB1550/COUNTIFS($B:$B,$B1550,$C:$C,$C1550,$H:$H,$H1550,$I:$I,$I1550)</f>
        <v>0.12</v>
      </c>
      <c r="AB1550" s="155">
        <f>VLOOKUP(I1550,'Weights and Confidence'!$D$16:$AC$26,11,FALSE)</f>
        <v>0.12</v>
      </c>
      <c r="AC1550" s="156">
        <f>VLOOKUP(I1550,'Weights and Confidence'!$D$16:$AC$26,12,FALSE)</f>
        <v>1</v>
      </c>
    </row>
    <row r="1551" spans="1:29" x14ac:dyDescent="0.2">
      <c r="A1551" s="77" t="s">
        <v>566</v>
      </c>
      <c r="B1551" s="77" t="s">
        <v>87</v>
      </c>
      <c r="C1551" s="77" t="s">
        <v>54</v>
      </c>
      <c r="D1551" s="77" t="s">
        <v>5</v>
      </c>
      <c r="E1551" s="77" t="s">
        <v>679</v>
      </c>
      <c r="F1551" s="91" t="s">
        <v>382</v>
      </c>
      <c r="G1551" s="77">
        <v>1</v>
      </c>
      <c r="H1551" s="77" t="s">
        <v>18</v>
      </c>
      <c r="I1551" s="77" t="s">
        <v>19</v>
      </c>
      <c r="J1551" s="77">
        <v>0</v>
      </c>
      <c r="K1551" s="79">
        <f>AB1551/COUNTIFS($B:$B,$B1551,$C:$C,$C1551,$H:$H,$H1551,$I:$I,$I1551)</f>
        <v>0.12</v>
      </c>
      <c r="L1551" s="81">
        <f t="shared" si="96"/>
        <v>1</v>
      </c>
      <c r="M1551" s="83">
        <f>J1550*K1551*L1551</f>
        <v>0.12</v>
      </c>
      <c r="N1551" s="84"/>
      <c r="AA1551" s="154">
        <f>AB1551/COUNTIFS($B:$B,$B1551,$C:$C,$C1551,$H:$H,$H1551,$I:$I,$I1551)</f>
        <v>0.12</v>
      </c>
      <c r="AB1551" s="155">
        <f>VLOOKUP(I1551,'Weights and Confidence'!$D$16:$AC$26,11,FALSE)</f>
        <v>0.12</v>
      </c>
      <c r="AC1551" s="156">
        <f>VLOOKUP(I1551,'Weights and Confidence'!$D$16:$AC$26,12,FALSE)</f>
        <v>1</v>
      </c>
    </row>
    <row r="1552" spans="1:29" x14ac:dyDescent="0.2">
      <c r="A1552" s="76" t="s">
        <v>566</v>
      </c>
      <c r="B1552" s="76" t="s">
        <v>87</v>
      </c>
      <c r="C1552" s="76" t="s">
        <v>54</v>
      </c>
      <c r="D1552" s="76" t="s">
        <v>5</v>
      </c>
      <c r="E1552" s="76" t="s">
        <v>679</v>
      </c>
      <c r="F1552" s="91" t="s">
        <v>382</v>
      </c>
      <c r="G1552" s="76">
        <v>2</v>
      </c>
      <c r="H1552" s="76" t="s">
        <v>17</v>
      </c>
      <c r="I1552" s="76" t="s">
        <v>20</v>
      </c>
      <c r="J1552" s="76">
        <v>0</v>
      </c>
      <c r="K1552" s="78">
        <f>AB1552/COUNTIFS($B:$B,$B1552,$C:$C,$C1552,$H:$H,$H1552,$I:$I,$I1552)</f>
        <v>0.08</v>
      </c>
      <c r="L1552" s="80">
        <f t="shared" si="96"/>
        <v>0.9</v>
      </c>
      <c r="M1552" s="82">
        <f t="shared" ref="M1552:M1571" si="98">J1552*K1552*L1552</f>
        <v>0</v>
      </c>
      <c r="N1552" s="59"/>
      <c r="AA1552" s="154">
        <f>AB1552/COUNTIFS($B:$B,$B1552,$C:$C,$C1552,$H:$H,$H1552,$I:$I,$I1552)</f>
        <v>0.08</v>
      </c>
      <c r="AB1552" s="155">
        <f>VLOOKUP(I1552,'Weights and Confidence'!$D$16:$AC$26,11,FALSE)</f>
        <v>0.08</v>
      </c>
      <c r="AC1552" s="156">
        <f>VLOOKUP(I1552,'Weights and Confidence'!$D$16:$AC$26,12,FALSE)</f>
        <v>0.9</v>
      </c>
    </row>
    <row r="1553" spans="1:29" x14ac:dyDescent="0.2">
      <c r="A1553" s="77" t="s">
        <v>566</v>
      </c>
      <c r="B1553" s="77" t="s">
        <v>87</v>
      </c>
      <c r="C1553" s="77" t="s">
        <v>54</v>
      </c>
      <c r="D1553" s="77" t="s">
        <v>5</v>
      </c>
      <c r="E1553" s="77" t="s">
        <v>679</v>
      </c>
      <c r="F1553" s="91" t="s">
        <v>382</v>
      </c>
      <c r="G1553" s="77">
        <v>2</v>
      </c>
      <c r="H1553" s="77" t="s">
        <v>18</v>
      </c>
      <c r="I1553" s="77" t="s">
        <v>20</v>
      </c>
      <c r="J1553" s="77">
        <v>1</v>
      </c>
      <c r="K1553" s="79">
        <f>AB1553/COUNTIFS($B:$B,$B1553,$C:$C,$C1553,$H:$H,$H1553,$I:$I,$I1553)</f>
        <v>0.08</v>
      </c>
      <c r="L1553" s="81">
        <f t="shared" si="96"/>
        <v>0.9</v>
      </c>
      <c r="M1553" s="83">
        <f t="shared" si="98"/>
        <v>7.2000000000000008E-2</v>
      </c>
      <c r="N1553" s="58"/>
      <c r="AA1553" s="154">
        <f>AB1553/COUNTIFS($B:$B,$B1553,$C:$C,$C1553,$H:$H,$H1553,$I:$I,$I1553)</f>
        <v>0.08</v>
      </c>
      <c r="AB1553" s="155">
        <f>VLOOKUP(I1553,'Weights and Confidence'!$D$16:$AC$26,11,FALSE)</f>
        <v>0.08</v>
      </c>
      <c r="AC1553" s="156">
        <f>VLOOKUP(I1553,'Weights and Confidence'!$D$16:$AC$26,12,FALSE)</f>
        <v>0.9</v>
      </c>
    </row>
    <row r="1554" spans="1:29" x14ac:dyDescent="0.2">
      <c r="A1554" s="76" t="s">
        <v>566</v>
      </c>
      <c r="B1554" s="76" t="s">
        <v>87</v>
      </c>
      <c r="C1554" s="76" t="s">
        <v>54</v>
      </c>
      <c r="D1554" s="76" t="s">
        <v>5</v>
      </c>
      <c r="E1554" s="76" t="s">
        <v>679</v>
      </c>
      <c r="F1554" s="91" t="s">
        <v>382</v>
      </c>
      <c r="G1554" s="76">
        <v>3</v>
      </c>
      <c r="H1554" s="76" t="s">
        <v>17</v>
      </c>
      <c r="I1554" s="76" t="s">
        <v>21</v>
      </c>
      <c r="J1554" s="76">
        <v>1</v>
      </c>
      <c r="K1554" s="78">
        <f>AB1554/COUNTIFS($B:$B,$B1554,$C:$C,$C1554,$H:$H,$H1554,$I:$I,$I1554)</f>
        <v>0.05</v>
      </c>
      <c r="L1554" s="80">
        <f t="shared" si="96"/>
        <v>1</v>
      </c>
      <c r="M1554" s="82">
        <f t="shared" si="98"/>
        <v>0.05</v>
      </c>
      <c r="N1554" s="59"/>
      <c r="AA1554" s="154">
        <f>AB1554/COUNTIFS($B:$B,$B1554,$C:$C,$C1554,$H:$H,$H1554,$I:$I,$I1554)</f>
        <v>0.05</v>
      </c>
      <c r="AB1554" s="155">
        <f>VLOOKUP(I1554,'Weights and Confidence'!$D$16:$AC$26,11,FALSE)</f>
        <v>0.05</v>
      </c>
      <c r="AC1554" s="156">
        <f>VLOOKUP(I1554,'Weights and Confidence'!$D$16:$AC$26,12,FALSE)</f>
        <v>1</v>
      </c>
    </row>
    <row r="1555" spans="1:29" x14ac:dyDescent="0.2">
      <c r="A1555" s="77" t="s">
        <v>566</v>
      </c>
      <c r="B1555" s="77" t="s">
        <v>87</v>
      </c>
      <c r="C1555" s="77" t="s">
        <v>54</v>
      </c>
      <c r="D1555" s="77" t="s">
        <v>5</v>
      </c>
      <c r="E1555" s="77" t="s">
        <v>679</v>
      </c>
      <c r="F1555" s="91" t="s">
        <v>382</v>
      </c>
      <c r="G1555" s="77">
        <v>3</v>
      </c>
      <c r="H1555" s="77" t="s">
        <v>18</v>
      </c>
      <c r="I1555" s="77" t="s">
        <v>21</v>
      </c>
      <c r="J1555" s="77">
        <v>1</v>
      </c>
      <c r="K1555" s="79">
        <f>AB1555/COUNTIFS($B:$B,$B1555,$C:$C,$C1555,$H:$H,$H1555,$I:$I,$I1555)</f>
        <v>0.05</v>
      </c>
      <c r="L1555" s="81">
        <f t="shared" si="96"/>
        <v>1</v>
      </c>
      <c r="M1555" s="83">
        <f t="shared" si="98"/>
        <v>0.05</v>
      </c>
      <c r="N1555" s="84"/>
      <c r="AA1555" s="154">
        <f>AB1555/COUNTIFS($B:$B,$B1555,$C:$C,$C1555,$H:$H,$H1555,$I:$I,$I1555)</f>
        <v>0.05</v>
      </c>
      <c r="AB1555" s="155">
        <f>VLOOKUP(I1555,'Weights and Confidence'!$D$16:$AC$26,11,FALSE)</f>
        <v>0.05</v>
      </c>
      <c r="AC1555" s="156">
        <f>VLOOKUP(I1555,'Weights and Confidence'!$D$16:$AC$26,12,FALSE)</f>
        <v>1</v>
      </c>
    </row>
    <row r="1556" spans="1:29" x14ac:dyDescent="0.2">
      <c r="A1556" s="76" t="s">
        <v>566</v>
      </c>
      <c r="B1556" s="76" t="s">
        <v>87</v>
      </c>
      <c r="C1556" s="76" t="s">
        <v>54</v>
      </c>
      <c r="D1556" s="76" t="s">
        <v>5</v>
      </c>
      <c r="E1556" s="76" t="s">
        <v>679</v>
      </c>
      <c r="F1556" s="91" t="s">
        <v>382</v>
      </c>
      <c r="G1556" s="76">
        <v>4</v>
      </c>
      <c r="H1556" s="76" t="s">
        <v>17</v>
      </c>
      <c r="I1556" s="76" t="s">
        <v>22</v>
      </c>
      <c r="J1556" s="76">
        <v>0</v>
      </c>
      <c r="K1556" s="78">
        <f>AB1556/COUNTIFS($B:$B,$B1556,$C:$C,$C1556,$H:$H,$H1556,$I:$I,$I1556)</f>
        <v>0.1</v>
      </c>
      <c r="L1556" s="80">
        <f t="shared" si="96"/>
        <v>1</v>
      </c>
      <c r="M1556" s="82">
        <f t="shared" si="98"/>
        <v>0</v>
      </c>
      <c r="N1556" s="59"/>
      <c r="AA1556" s="154">
        <f>AB1556/COUNTIFS($B:$B,$B1556,$C:$C,$C1556,$H:$H,$H1556,$I:$I,$I1556)</f>
        <v>0.1</v>
      </c>
      <c r="AB1556" s="155">
        <f>VLOOKUP(I1556,'Weights and Confidence'!$D$16:$AC$26,11,FALSE)</f>
        <v>0.1</v>
      </c>
      <c r="AC1556" s="156">
        <f>VLOOKUP(I1556,'Weights and Confidence'!$D$16:$AC$26,12,FALSE)</f>
        <v>1</v>
      </c>
    </row>
    <row r="1557" spans="1:29" x14ac:dyDescent="0.2">
      <c r="A1557" s="77" t="s">
        <v>566</v>
      </c>
      <c r="B1557" s="77" t="s">
        <v>87</v>
      </c>
      <c r="C1557" s="77" t="s">
        <v>54</v>
      </c>
      <c r="D1557" s="77" t="s">
        <v>5</v>
      </c>
      <c r="E1557" s="77" t="s">
        <v>679</v>
      </c>
      <c r="F1557" s="91" t="s">
        <v>382</v>
      </c>
      <c r="G1557" s="77">
        <v>4</v>
      </c>
      <c r="H1557" s="77" t="s">
        <v>18</v>
      </c>
      <c r="I1557" s="77" t="s">
        <v>22</v>
      </c>
      <c r="J1557" s="77">
        <v>-1</v>
      </c>
      <c r="K1557" s="79">
        <f>AB1557/COUNTIFS($B:$B,$B1557,$C:$C,$C1557,$H:$H,$H1557,$I:$I,$I1557)</f>
        <v>0.1</v>
      </c>
      <c r="L1557" s="81">
        <f t="shared" si="96"/>
        <v>1</v>
      </c>
      <c r="M1557" s="83">
        <f t="shared" si="98"/>
        <v>-0.1</v>
      </c>
      <c r="N1557" s="17" t="s">
        <v>579</v>
      </c>
      <c r="AA1557" s="154">
        <f>AB1557/COUNTIFS($B:$B,$B1557,$C:$C,$C1557,$H:$H,$H1557,$I:$I,$I1557)</f>
        <v>0.1</v>
      </c>
      <c r="AB1557" s="155">
        <f>VLOOKUP(I1557,'Weights and Confidence'!$D$16:$AC$26,11,FALSE)</f>
        <v>0.1</v>
      </c>
      <c r="AC1557" s="156">
        <f>VLOOKUP(I1557,'Weights and Confidence'!$D$16:$AC$26,12,FALSE)</f>
        <v>1</v>
      </c>
    </row>
    <row r="1558" spans="1:29" x14ac:dyDescent="0.2">
      <c r="A1558" s="76" t="s">
        <v>566</v>
      </c>
      <c r="B1558" s="76" t="s">
        <v>87</v>
      </c>
      <c r="C1558" s="76" t="s">
        <v>54</v>
      </c>
      <c r="D1558" s="76" t="s">
        <v>5</v>
      </c>
      <c r="E1558" s="76" t="s">
        <v>679</v>
      </c>
      <c r="F1558" s="91" t="s">
        <v>382</v>
      </c>
      <c r="G1558" s="76">
        <v>5</v>
      </c>
      <c r="H1558" s="76" t="s">
        <v>17</v>
      </c>
      <c r="I1558" s="76" t="s">
        <v>34</v>
      </c>
      <c r="J1558" s="76">
        <v>0</v>
      </c>
      <c r="K1558" s="78">
        <f>AB1558/COUNTIFS($B:$B,$B1558,$C:$C,$C1558,$H:$H,$H1558,$I:$I,$I1558)</f>
        <v>0.08</v>
      </c>
      <c r="L1558" s="80">
        <f t="shared" si="96"/>
        <v>1</v>
      </c>
      <c r="M1558" s="82">
        <f t="shared" si="98"/>
        <v>0</v>
      </c>
      <c r="N1558" s="59"/>
      <c r="AA1558" s="154">
        <f>AB1558/COUNTIFS($B:$B,$B1558,$C:$C,$C1558,$H:$H,$H1558,$I:$I,$I1558)</f>
        <v>0.08</v>
      </c>
      <c r="AB1558" s="155">
        <f>VLOOKUP(I1558,'Weights and Confidence'!$D$16:$AC$26,11,FALSE)</f>
        <v>0.08</v>
      </c>
      <c r="AC1558" s="156">
        <f>VLOOKUP(I1558,'Weights and Confidence'!$D$16:$AC$26,12,FALSE)</f>
        <v>1</v>
      </c>
    </row>
    <row r="1559" spans="1:29" x14ac:dyDescent="0.2">
      <c r="A1559" s="77" t="s">
        <v>566</v>
      </c>
      <c r="B1559" s="77" t="s">
        <v>87</v>
      </c>
      <c r="C1559" s="77" t="s">
        <v>54</v>
      </c>
      <c r="D1559" s="77" t="s">
        <v>5</v>
      </c>
      <c r="E1559" s="77" t="s">
        <v>679</v>
      </c>
      <c r="F1559" s="91" t="s">
        <v>382</v>
      </c>
      <c r="G1559" s="77">
        <v>5</v>
      </c>
      <c r="H1559" s="77" t="s">
        <v>18</v>
      </c>
      <c r="I1559" s="77" t="s">
        <v>34</v>
      </c>
      <c r="J1559" s="77">
        <v>-1</v>
      </c>
      <c r="K1559" s="79">
        <f>AB1559/COUNTIFS($B:$B,$B1559,$C:$C,$C1559,$H:$H,$H1559,$I:$I,$I1559)</f>
        <v>0.08</v>
      </c>
      <c r="L1559" s="81">
        <f t="shared" si="96"/>
        <v>1</v>
      </c>
      <c r="M1559" s="83">
        <f t="shared" si="98"/>
        <v>-0.08</v>
      </c>
      <c r="N1559" s="84" t="s">
        <v>580</v>
      </c>
      <c r="AA1559" s="154">
        <f>AB1559/COUNTIFS($B:$B,$B1559,$C:$C,$C1559,$H:$H,$H1559,$I:$I,$I1559)</f>
        <v>0.08</v>
      </c>
      <c r="AB1559" s="155">
        <f>VLOOKUP(I1559,'Weights and Confidence'!$D$16:$AC$26,11,FALSE)</f>
        <v>0.08</v>
      </c>
      <c r="AC1559" s="156">
        <f>VLOOKUP(I1559,'Weights and Confidence'!$D$16:$AC$26,12,FALSE)</f>
        <v>1</v>
      </c>
    </row>
    <row r="1560" spans="1:29" x14ac:dyDescent="0.2">
      <c r="A1560" s="76" t="s">
        <v>566</v>
      </c>
      <c r="B1560" s="76" t="s">
        <v>87</v>
      </c>
      <c r="C1560" s="76" t="s">
        <v>54</v>
      </c>
      <c r="D1560" s="76" t="s">
        <v>5</v>
      </c>
      <c r="E1560" s="76" t="s">
        <v>679</v>
      </c>
      <c r="F1560" s="91" t="s">
        <v>382</v>
      </c>
      <c r="G1560" s="76">
        <v>6</v>
      </c>
      <c r="H1560" s="76" t="s">
        <v>17</v>
      </c>
      <c r="I1560" s="76" t="s">
        <v>23</v>
      </c>
      <c r="J1560" s="76">
        <v>0</v>
      </c>
      <c r="K1560" s="78">
        <f>AB1560/COUNTIFS($B:$B,$B1560,$C:$C,$C1560,$H:$H,$H1560,$I:$I,$I1560)</f>
        <v>7.0000000000000007E-2</v>
      </c>
      <c r="L1560" s="80">
        <f t="shared" si="96"/>
        <v>1</v>
      </c>
      <c r="M1560" s="82">
        <f t="shared" si="98"/>
        <v>0</v>
      </c>
      <c r="N1560" s="59"/>
      <c r="AA1560" s="154">
        <f>AB1560/COUNTIFS($B:$B,$B1560,$C:$C,$C1560,$H:$H,$H1560,$I:$I,$I1560)</f>
        <v>7.0000000000000007E-2</v>
      </c>
      <c r="AB1560" s="155">
        <f>VLOOKUP(I1560,'Weights and Confidence'!$D$16:$AC$26,11,FALSE)</f>
        <v>7.0000000000000007E-2</v>
      </c>
      <c r="AC1560" s="156">
        <f>VLOOKUP(I1560,'Weights and Confidence'!$D$16:$AC$26,12,FALSE)</f>
        <v>1</v>
      </c>
    </row>
    <row r="1561" spans="1:29" x14ac:dyDescent="0.2">
      <c r="A1561" s="77" t="s">
        <v>566</v>
      </c>
      <c r="B1561" s="77" t="s">
        <v>87</v>
      </c>
      <c r="C1561" s="77" t="s">
        <v>54</v>
      </c>
      <c r="D1561" s="77" t="s">
        <v>5</v>
      </c>
      <c r="E1561" s="77" t="s">
        <v>679</v>
      </c>
      <c r="F1561" s="91" t="s">
        <v>382</v>
      </c>
      <c r="G1561" s="77">
        <v>6</v>
      </c>
      <c r="H1561" s="77" t="s">
        <v>18</v>
      </c>
      <c r="I1561" s="77" t="s">
        <v>23</v>
      </c>
      <c r="J1561" s="77">
        <v>-1</v>
      </c>
      <c r="K1561" s="79">
        <f>AB1561/COUNTIFS($B:$B,$B1561,$C:$C,$C1561,$H:$H,$H1561,$I:$I,$I1561)</f>
        <v>7.0000000000000007E-2</v>
      </c>
      <c r="L1561" s="81">
        <f t="shared" si="96"/>
        <v>1</v>
      </c>
      <c r="M1561" s="83">
        <f t="shared" si="98"/>
        <v>-7.0000000000000007E-2</v>
      </c>
      <c r="N1561" s="84" t="s">
        <v>581</v>
      </c>
      <c r="AA1561" s="154">
        <f>AB1561/COUNTIFS($B:$B,$B1561,$C:$C,$C1561,$H:$H,$H1561,$I:$I,$I1561)</f>
        <v>7.0000000000000007E-2</v>
      </c>
      <c r="AB1561" s="155">
        <f>VLOOKUP(I1561,'Weights and Confidence'!$D$16:$AC$26,11,FALSE)</f>
        <v>7.0000000000000007E-2</v>
      </c>
      <c r="AC1561" s="156">
        <f>VLOOKUP(I1561,'Weights and Confidence'!$D$16:$AC$26,12,FALSE)</f>
        <v>1</v>
      </c>
    </row>
    <row r="1562" spans="1:29" x14ac:dyDescent="0.2">
      <c r="A1562" s="76" t="s">
        <v>566</v>
      </c>
      <c r="B1562" s="76" t="s">
        <v>87</v>
      </c>
      <c r="C1562" s="76" t="s">
        <v>54</v>
      </c>
      <c r="D1562" s="76" t="s">
        <v>5</v>
      </c>
      <c r="E1562" s="76" t="s">
        <v>679</v>
      </c>
      <c r="F1562" s="91" t="s">
        <v>382</v>
      </c>
      <c r="G1562" s="76">
        <v>7</v>
      </c>
      <c r="H1562" s="76" t="s">
        <v>17</v>
      </c>
      <c r="I1562" s="76" t="s">
        <v>24</v>
      </c>
      <c r="J1562" s="76">
        <v>0</v>
      </c>
      <c r="K1562" s="78">
        <f>AB1562/COUNTIFS($B:$B,$B1562,$C:$C,$C1562,$H:$H,$H1562,$I:$I,$I1562)</f>
        <v>0.15</v>
      </c>
      <c r="L1562" s="80">
        <f t="shared" si="96"/>
        <v>1</v>
      </c>
      <c r="M1562" s="82">
        <f t="shared" si="98"/>
        <v>0</v>
      </c>
      <c r="N1562" s="59"/>
      <c r="AA1562" s="154">
        <f>AB1562/COUNTIFS($B:$B,$B1562,$C:$C,$C1562,$H:$H,$H1562,$I:$I,$I1562)</f>
        <v>0.15</v>
      </c>
      <c r="AB1562" s="155">
        <f>VLOOKUP(I1562,'Weights and Confidence'!$D$16:$AC$26,11,FALSE)</f>
        <v>0.15</v>
      </c>
      <c r="AC1562" s="156">
        <f>VLOOKUP(I1562,'Weights and Confidence'!$D$16:$AC$26,12,FALSE)</f>
        <v>1</v>
      </c>
    </row>
    <row r="1563" spans="1:29" x14ac:dyDescent="0.2">
      <c r="A1563" s="77" t="s">
        <v>566</v>
      </c>
      <c r="B1563" s="77" t="s">
        <v>87</v>
      </c>
      <c r="C1563" s="77" t="s">
        <v>54</v>
      </c>
      <c r="D1563" s="77" t="s">
        <v>5</v>
      </c>
      <c r="E1563" s="77" t="s">
        <v>679</v>
      </c>
      <c r="F1563" s="91" t="s">
        <v>382</v>
      </c>
      <c r="G1563" s="77">
        <v>7</v>
      </c>
      <c r="H1563" s="77" t="s">
        <v>18</v>
      </c>
      <c r="I1563" s="77" t="s">
        <v>24</v>
      </c>
      <c r="J1563" s="77">
        <v>-1</v>
      </c>
      <c r="K1563" s="79">
        <f>AB1563/COUNTIFS($B:$B,$B1563,$C:$C,$C1563,$H:$H,$H1563,$I:$I,$I1563)</f>
        <v>0.15</v>
      </c>
      <c r="L1563" s="81">
        <f t="shared" si="96"/>
        <v>1</v>
      </c>
      <c r="M1563" s="83">
        <f t="shared" si="98"/>
        <v>-0.15</v>
      </c>
      <c r="N1563" s="84"/>
      <c r="AA1563" s="154">
        <f>AB1563/COUNTIFS($B:$B,$B1563,$C:$C,$C1563,$H:$H,$H1563,$I:$I,$I1563)</f>
        <v>0.15</v>
      </c>
      <c r="AB1563" s="155">
        <f>VLOOKUP(I1563,'Weights and Confidence'!$D$16:$AC$26,11,FALSE)</f>
        <v>0.15</v>
      </c>
      <c r="AC1563" s="156">
        <f>VLOOKUP(I1563,'Weights and Confidence'!$D$16:$AC$26,12,FALSE)</f>
        <v>1</v>
      </c>
    </row>
    <row r="1564" spans="1:29" x14ac:dyDescent="0.2">
      <c r="A1564" s="76" t="s">
        <v>566</v>
      </c>
      <c r="B1564" s="76" t="s">
        <v>87</v>
      </c>
      <c r="C1564" s="76" t="s">
        <v>54</v>
      </c>
      <c r="D1564" s="76" t="s">
        <v>5</v>
      </c>
      <c r="E1564" s="76" t="s">
        <v>679</v>
      </c>
      <c r="F1564" s="91" t="s">
        <v>382</v>
      </c>
      <c r="G1564" s="76">
        <v>8</v>
      </c>
      <c r="H1564" s="76" t="s">
        <v>17</v>
      </c>
      <c r="I1564" s="76" t="s">
        <v>25</v>
      </c>
      <c r="J1564" s="76">
        <v>0</v>
      </c>
      <c r="K1564" s="78">
        <f>AB1564/COUNTIFS($B:$B,$B1564,$C:$C,$C1564,$H:$H,$H1564,$I:$I,$I1564)</f>
        <v>0.1</v>
      </c>
      <c r="L1564" s="80">
        <f t="shared" si="96"/>
        <v>1</v>
      </c>
      <c r="M1564" s="82">
        <f t="shared" si="98"/>
        <v>0</v>
      </c>
      <c r="N1564" s="59"/>
      <c r="AA1564" s="154">
        <f>AB1564/COUNTIFS($B:$B,$B1564,$C:$C,$C1564,$H:$H,$H1564,$I:$I,$I1564)</f>
        <v>0.1</v>
      </c>
      <c r="AB1564" s="155">
        <f>VLOOKUP(I1564,'Weights and Confidence'!$D$16:$AC$26,11,FALSE)</f>
        <v>0.1</v>
      </c>
      <c r="AC1564" s="156">
        <f>VLOOKUP(I1564,'Weights and Confidence'!$D$16:$AC$26,12,FALSE)</f>
        <v>1</v>
      </c>
    </row>
    <row r="1565" spans="1:29" x14ac:dyDescent="0.2">
      <c r="A1565" s="77" t="s">
        <v>566</v>
      </c>
      <c r="B1565" s="77" t="s">
        <v>87</v>
      </c>
      <c r="C1565" s="77" t="s">
        <v>54</v>
      </c>
      <c r="D1565" s="77" t="s">
        <v>5</v>
      </c>
      <c r="E1565" s="77" t="s">
        <v>679</v>
      </c>
      <c r="F1565" s="91" t="s">
        <v>382</v>
      </c>
      <c r="G1565" s="77">
        <v>8</v>
      </c>
      <c r="H1565" s="77" t="s">
        <v>18</v>
      </c>
      <c r="I1565" s="77" t="s">
        <v>25</v>
      </c>
      <c r="J1565" s="77">
        <v>-1</v>
      </c>
      <c r="K1565" s="79">
        <f>AB1565/COUNTIFS($B:$B,$B1565,$C:$C,$C1565,$H:$H,$H1565,$I:$I,$I1565)</f>
        <v>0.1</v>
      </c>
      <c r="L1565" s="81">
        <f t="shared" si="96"/>
        <v>1</v>
      </c>
      <c r="M1565" s="83">
        <f t="shared" si="98"/>
        <v>-0.1</v>
      </c>
      <c r="N1565" s="84"/>
      <c r="AA1565" s="154">
        <f>AB1565/COUNTIFS($B:$B,$B1565,$C:$C,$C1565,$H:$H,$H1565,$I:$I,$I1565)</f>
        <v>0.1</v>
      </c>
      <c r="AB1565" s="155">
        <f>VLOOKUP(I1565,'Weights and Confidence'!$D$16:$AC$26,11,FALSE)</f>
        <v>0.1</v>
      </c>
      <c r="AC1565" s="156">
        <f>VLOOKUP(I1565,'Weights and Confidence'!$D$16:$AC$26,12,FALSE)</f>
        <v>1</v>
      </c>
    </row>
    <row r="1566" spans="1:29" x14ac:dyDescent="0.2">
      <c r="A1566" s="76" t="s">
        <v>566</v>
      </c>
      <c r="B1566" s="76" t="s">
        <v>87</v>
      </c>
      <c r="C1566" s="76" t="s">
        <v>54</v>
      </c>
      <c r="D1566" s="76" t="s">
        <v>5</v>
      </c>
      <c r="E1566" s="76" t="s">
        <v>679</v>
      </c>
      <c r="F1566" s="91" t="s">
        <v>382</v>
      </c>
      <c r="G1566" s="76">
        <v>9</v>
      </c>
      <c r="H1566" s="76" t="s">
        <v>17</v>
      </c>
      <c r="I1566" s="76" t="s">
        <v>26</v>
      </c>
      <c r="J1566" s="76">
        <v>-1</v>
      </c>
      <c r="K1566" s="78">
        <f>AB1566/COUNTIFS($B:$B,$B1566,$C:$C,$C1566,$H:$H,$H1566,$I:$I,$I1566)</f>
        <v>0.1</v>
      </c>
      <c r="L1566" s="80">
        <f t="shared" si="96"/>
        <v>1</v>
      </c>
      <c r="M1566" s="82">
        <f t="shared" si="98"/>
        <v>-0.1</v>
      </c>
      <c r="N1566" s="59"/>
      <c r="AA1566" s="154">
        <f>AB1566/COUNTIFS($B:$B,$B1566,$C:$C,$C1566,$H:$H,$H1566,$I:$I,$I1566)</f>
        <v>0.1</v>
      </c>
      <c r="AB1566" s="155">
        <f>VLOOKUP(I1566,'Weights and Confidence'!$D$16:$AC$26,11,FALSE)</f>
        <v>0.1</v>
      </c>
      <c r="AC1566" s="156">
        <f>VLOOKUP(I1566,'Weights and Confidence'!$D$16:$AC$26,12,FALSE)</f>
        <v>1</v>
      </c>
    </row>
    <row r="1567" spans="1:29" x14ac:dyDescent="0.2">
      <c r="A1567" s="77" t="s">
        <v>566</v>
      </c>
      <c r="B1567" s="77" t="s">
        <v>87</v>
      </c>
      <c r="C1567" s="77" t="s">
        <v>54</v>
      </c>
      <c r="D1567" s="77" t="s">
        <v>5</v>
      </c>
      <c r="E1567" s="77" t="s">
        <v>679</v>
      </c>
      <c r="F1567" s="91" t="s">
        <v>382</v>
      </c>
      <c r="G1567" s="77">
        <v>9</v>
      </c>
      <c r="H1567" s="77" t="s">
        <v>18</v>
      </c>
      <c r="I1567" s="77" t="s">
        <v>26</v>
      </c>
      <c r="J1567" s="77">
        <v>0</v>
      </c>
      <c r="K1567" s="79">
        <f>AB1567/COUNTIFS($B:$B,$B1567,$C:$C,$C1567,$H:$H,$H1567,$I:$I,$I1567)</f>
        <v>0.1</v>
      </c>
      <c r="L1567" s="81">
        <f t="shared" si="96"/>
        <v>1</v>
      </c>
      <c r="M1567" s="83">
        <f t="shared" si="98"/>
        <v>0</v>
      </c>
      <c r="N1567" s="58"/>
      <c r="AA1567" s="154">
        <f>AB1567/COUNTIFS($B:$B,$B1567,$C:$C,$C1567,$H:$H,$H1567,$I:$I,$I1567)</f>
        <v>0.1</v>
      </c>
      <c r="AB1567" s="155">
        <f>VLOOKUP(I1567,'Weights and Confidence'!$D$16:$AC$26,11,FALSE)</f>
        <v>0.1</v>
      </c>
      <c r="AC1567" s="156">
        <f>VLOOKUP(I1567,'Weights and Confidence'!$D$16:$AC$26,12,FALSE)</f>
        <v>1</v>
      </c>
    </row>
    <row r="1568" spans="1:29" x14ac:dyDescent="0.2">
      <c r="A1568" s="76" t="s">
        <v>566</v>
      </c>
      <c r="B1568" s="76" t="s">
        <v>87</v>
      </c>
      <c r="C1568" s="76" t="s">
        <v>54</v>
      </c>
      <c r="D1568" s="76" t="s">
        <v>5</v>
      </c>
      <c r="E1568" s="76" t="s">
        <v>679</v>
      </c>
      <c r="F1568" s="91" t="s">
        <v>382</v>
      </c>
      <c r="G1568" s="76">
        <v>10</v>
      </c>
      <c r="H1568" s="76" t="s">
        <v>17</v>
      </c>
      <c r="I1568" s="76" t="s">
        <v>27</v>
      </c>
      <c r="J1568" s="76">
        <v>0</v>
      </c>
      <c r="K1568" s="78">
        <f>AB1568/COUNTIFS($B:$B,$B1568,$C:$C,$C1568,$H:$H,$H1568,$I:$I,$I1568)</f>
        <v>0.05</v>
      </c>
      <c r="L1568" s="80">
        <f t="shared" si="96"/>
        <v>0.9</v>
      </c>
      <c r="M1568" s="82">
        <f t="shared" si="98"/>
        <v>0</v>
      </c>
      <c r="N1568" s="59"/>
      <c r="AA1568" s="154">
        <f>AB1568/COUNTIFS($B:$B,$B1568,$C:$C,$C1568,$H:$H,$H1568,$I:$I,$I1568)</f>
        <v>0.05</v>
      </c>
      <c r="AB1568" s="155">
        <f>VLOOKUP(I1568,'Weights and Confidence'!$D$16:$AC$26,11,FALSE)</f>
        <v>0.1</v>
      </c>
      <c r="AC1568" s="156">
        <f>VLOOKUP(I1568,'Weights and Confidence'!$D$16:$AC$26,12,FALSE)</f>
        <v>0.9</v>
      </c>
    </row>
    <row r="1569" spans="1:29" x14ac:dyDescent="0.2">
      <c r="A1569" s="77" t="s">
        <v>566</v>
      </c>
      <c r="B1569" s="77" t="s">
        <v>87</v>
      </c>
      <c r="C1569" s="77" t="s">
        <v>54</v>
      </c>
      <c r="D1569" s="77" t="s">
        <v>5</v>
      </c>
      <c r="E1569" s="77" t="s">
        <v>679</v>
      </c>
      <c r="F1569" s="91" t="s">
        <v>382</v>
      </c>
      <c r="G1569" s="77">
        <v>10</v>
      </c>
      <c r="H1569" s="77" t="s">
        <v>18</v>
      </c>
      <c r="I1569" s="77" t="s">
        <v>27</v>
      </c>
      <c r="J1569" s="77">
        <v>0</v>
      </c>
      <c r="K1569" s="79">
        <f>AB1569/COUNTIFS($B:$B,$B1569,$C:$C,$C1569,$H:$H,$H1569,$I:$I,$I1569)</f>
        <v>0.05</v>
      </c>
      <c r="L1569" s="81">
        <f t="shared" si="96"/>
        <v>0.9</v>
      </c>
      <c r="M1569" s="83">
        <f t="shared" si="98"/>
        <v>0</v>
      </c>
      <c r="N1569" s="84"/>
      <c r="AA1569" s="154">
        <f>AB1569/COUNTIFS($B:$B,$B1569,$C:$C,$C1569,$H:$H,$H1569,$I:$I,$I1569)</f>
        <v>0.05</v>
      </c>
      <c r="AB1569" s="155">
        <f>VLOOKUP(I1569,'Weights and Confidence'!$D$16:$AC$26,11,FALSE)</f>
        <v>0.1</v>
      </c>
      <c r="AC1569" s="156">
        <f>VLOOKUP(I1569,'Weights and Confidence'!$D$16:$AC$26,12,FALSE)</f>
        <v>0.9</v>
      </c>
    </row>
    <row r="1570" spans="1:29" x14ac:dyDescent="0.2">
      <c r="A1570" s="76" t="s">
        <v>566</v>
      </c>
      <c r="B1570" s="76" t="s">
        <v>87</v>
      </c>
      <c r="C1570" s="76" t="s">
        <v>54</v>
      </c>
      <c r="D1570" s="76" t="s">
        <v>5</v>
      </c>
      <c r="E1570" s="76" t="s">
        <v>679</v>
      </c>
      <c r="F1570" s="91" t="s">
        <v>382</v>
      </c>
      <c r="G1570" s="76">
        <v>11</v>
      </c>
      <c r="H1570" s="76" t="s">
        <v>17</v>
      </c>
      <c r="I1570" s="76" t="s">
        <v>27</v>
      </c>
      <c r="J1570" s="76">
        <v>-1</v>
      </c>
      <c r="K1570" s="78">
        <f>AB1570/COUNTIFS($B:$B,$B1570,$C:$C,$C1570,$H:$H,$H1570,$I:$I,$I1570)</f>
        <v>0.05</v>
      </c>
      <c r="L1570" s="80">
        <f t="shared" si="96"/>
        <v>0.9</v>
      </c>
      <c r="M1570" s="82">
        <f t="shared" si="98"/>
        <v>-4.5000000000000005E-2</v>
      </c>
      <c r="N1570" s="59"/>
      <c r="AA1570" s="154">
        <f>AB1570/COUNTIFS($B:$B,$B1570,$C:$C,$C1570,$H:$H,$H1570,$I:$I,$I1570)</f>
        <v>0.05</v>
      </c>
      <c r="AB1570" s="155">
        <f>VLOOKUP(I1570,'Weights and Confidence'!$D$16:$AC$26,11,FALSE)</f>
        <v>0.1</v>
      </c>
      <c r="AC1570" s="156">
        <f>VLOOKUP(I1570,'Weights and Confidence'!$D$16:$AC$26,12,FALSE)</f>
        <v>0.9</v>
      </c>
    </row>
    <row r="1571" spans="1:29" x14ac:dyDescent="0.2">
      <c r="A1571" s="77" t="s">
        <v>566</v>
      </c>
      <c r="B1571" s="77" t="s">
        <v>87</v>
      </c>
      <c r="C1571" s="77" t="s">
        <v>54</v>
      </c>
      <c r="D1571" s="77" t="s">
        <v>5</v>
      </c>
      <c r="E1571" s="77" t="s">
        <v>679</v>
      </c>
      <c r="F1571" s="91" t="s">
        <v>382</v>
      </c>
      <c r="G1571" s="77">
        <v>11</v>
      </c>
      <c r="H1571" s="77" t="s">
        <v>18</v>
      </c>
      <c r="I1571" s="77" t="s">
        <v>27</v>
      </c>
      <c r="J1571" s="77">
        <v>0</v>
      </c>
      <c r="K1571" s="79">
        <f>AB1571/COUNTIFS($B:$B,$B1571,$C:$C,$C1571,$H:$H,$H1571,$I:$I,$I1571)</f>
        <v>0.05</v>
      </c>
      <c r="L1571" s="81">
        <f t="shared" si="96"/>
        <v>0.9</v>
      </c>
      <c r="M1571" s="83">
        <f t="shared" si="98"/>
        <v>0</v>
      </c>
      <c r="N1571" s="84"/>
      <c r="AA1571" s="154">
        <f>AB1571/COUNTIFS($B:$B,$B1571,$C:$C,$C1571,$H:$H,$H1571,$I:$I,$I1571)</f>
        <v>0.05</v>
      </c>
      <c r="AB1571" s="155">
        <f>VLOOKUP(I1571,'Weights and Confidence'!$D$16:$AC$26,11,FALSE)</f>
        <v>0.1</v>
      </c>
      <c r="AC1571" s="156">
        <f>VLOOKUP(I1571,'Weights and Confidence'!$D$16:$AC$26,12,FALSE)</f>
        <v>0.9</v>
      </c>
    </row>
    <row r="1572" spans="1:29" x14ac:dyDescent="0.2">
      <c r="A1572" s="77" t="s">
        <v>566</v>
      </c>
      <c r="B1572" s="77" t="s">
        <v>87</v>
      </c>
      <c r="C1572" s="77" t="s">
        <v>54</v>
      </c>
      <c r="D1572" s="77" t="s">
        <v>5</v>
      </c>
      <c r="E1572" s="77" t="s">
        <v>679</v>
      </c>
      <c r="F1572" s="91" t="s">
        <v>382</v>
      </c>
      <c r="G1572" s="77">
        <v>12</v>
      </c>
      <c r="H1572" s="77" t="s">
        <v>17</v>
      </c>
      <c r="I1572" s="77" t="s">
        <v>28</v>
      </c>
      <c r="J1572" s="77">
        <v>-1</v>
      </c>
      <c r="K1572" s="79">
        <f>AB1572/COUNTIFS($B:$B,$B1572,$C:$C,$C1572,$H:$H,$H1572,$I:$I,$I1572)</f>
        <v>0.05</v>
      </c>
      <c r="L1572" s="81">
        <f t="shared" si="96"/>
        <v>1</v>
      </c>
      <c r="M1572" s="83">
        <f>J1572*K1572*L1572</f>
        <v>-0.05</v>
      </c>
      <c r="N1572" s="58"/>
      <c r="AA1572" s="154">
        <f>AB1572/COUNTIFS($B:$B,$B1572,$C:$C,$C1572,$H:$H,$H1572,$I:$I,$I1572)</f>
        <v>0.05</v>
      </c>
      <c r="AB1572" s="155">
        <f>VLOOKUP(I1572,'Weights and Confidence'!$D$16:$AC$26,11,FALSE)</f>
        <v>0.05</v>
      </c>
      <c r="AC1572" s="156">
        <f>VLOOKUP(I1572,'Weights and Confidence'!$D$16:$AC$26,12,FALSE)</f>
        <v>1</v>
      </c>
    </row>
    <row r="1573" spans="1:29" ht="17" thickBot="1" x14ac:dyDescent="0.25">
      <c r="A1573" s="98" t="s">
        <v>566</v>
      </c>
      <c r="B1573" s="98" t="s">
        <v>87</v>
      </c>
      <c r="C1573" s="98" t="s">
        <v>54</v>
      </c>
      <c r="D1573" s="98" t="s">
        <v>5</v>
      </c>
      <c r="E1573" s="98" t="s">
        <v>679</v>
      </c>
      <c r="F1573" s="93" t="s">
        <v>382</v>
      </c>
      <c r="G1573" s="98">
        <v>12</v>
      </c>
      <c r="H1573" s="98" t="s">
        <v>18</v>
      </c>
      <c r="I1573" s="98" t="s">
        <v>28</v>
      </c>
      <c r="J1573" s="98">
        <v>0</v>
      </c>
      <c r="K1573" s="99">
        <f>AB1573/COUNTIFS($B:$B,$B1573,$C:$C,$C1573,$H:$H,$H1573,$I:$I,$I1573)</f>
        <v>0.05</v>
      </c>
      <c r="L1573" s="100">
        <f t="shared" si="96"/>
        <v>1</v>
      </c>
      <c r="M1573" s="101">
        <f>J1573*K1573*L1573</f>
        <v>0</v>
      </c>
      <c r="N1573" s="22" t="s">
        <v>582</v>
      </c>
      <c r="AA1573" s="157">
        <f>AB1573/COUNTIFS($B:$B,$B1573,$C:$C,$C1573,$H:$H,$H1573,$I:$I,$I1573)</f>
        <v>0.05</v>
      </c>
      <c r="AB1573" s="158">
        <f>VLOOKUP(I1573,'Weights and Confidence'!$D$16:$AC$26,11,FALSE)</f>
        <v>0.05</v>
      </c>
      <c r="AC1573" s="159">
        <f>VLOOKUP(I1573,'Weights and Confidence'!$D$16:$AC$26,12,FALSE)</f>
        <v>1</v>
      </c>
    </row>
    <row r="1574" spans="1:29" ht="17" thickTop="1" x14ac:dyDescent="0.2">
      <c r="A1574" s="86" t="s">
        <v>566</v>
      </c>
      <c r="B1574" s="86" t="s">
        <v>87</v>
      </c>
      <c r="C1574" s="86" t="s">
        <v>59</v>
      </c>
      <c r="D1574" s="86" t="s">
        <v>5</v>
      </c>
      <c r="E1574" s="86" t="s">
        <v>103</v>
      </c>
      <c r="F1574" s="18" t="s">
        <v>60</v>
      </c>
      <c r="G1574" s="86">
        <v>1</v>
      </c>
      <c r="H1574" s="86" t="s">
        <v>17</v>
      </c>
      <c r="I1574" s="86" t="s">
        <v>19</v>
      </c>
      <c r="J1574" s="97">
        <v>1</v>
      </c>
      <c r="K1574" s="87">
        <f>AB1574/COUNTIFS($B:$B,$B1574,$C:$C,$C1574,$H:$H,$H1574,$I:$I,$I1574)</f>
        <v>0.12</v>
      </c>
      <c r="L1574" s="88">
        <f t="shared" ref="L1574:L1597" si="99">AC1574</f>
        <v>1</v>
      </c>
      <c r="M1574" s="89">
        <f t="shared" ref="M1574" si="100">J1574*K1574*L1574</f>
        <v>0.12</v>
      </c>
      <c r="N1574" s="90"/>
      <c r="AA1574" s="154">
        <f>AB1574/COUNTIFS($B:$B,$B1574,$C:$C,$C1574,$H:$H,$H1574,$I:$I,$I1574)</f>
        <v>0.12</v>
      </c>
      <c r="AB1574" s="155">
        <f>VLOOKUP(I1574,'Weights and Confidence'!$D$16:$AC$26,11,FALSE)</f>
        <v>0.12</v>
      </c>
      <c r="AC1574" s="156">
        <f>VLOOKUP(I1574,'Weights and Confidence'!$D$16:$AC$26,12,FALSE)</f>
        <v>1</v>
      </c>
    </row>
    <row r="1575" spans="1:29" x14ac:dyDescent="0.2">
      <c r="A1575" s="77" t="s">
        <v>566</v>
      </c>
      <c r="B1575" s="77" t="s">
        <v>87</v>
      </c>
      <c r="C1575" s="77" t="s">
        <v>59</v>
      </c>
      <c r="D1575" s="77" t="s">
        <v>5</v>
      </c>
      <c r="E1575" s="77" t="s">
        <v>103</v>
      </c>
      <c r="F1575" s="91" t="s">
        <v>60</v>
      </c>
      <c r="G1575" s="77">
        <v>1</v>
      </c>
      <c r="H1575" s="77" t="s">
        <v>18</v>
      </c>
      <c r="I1575" s="77" t="s">
        <v>19</v>
      </c>
      <c r="J1575" s="77">
        <v>1</v>
      </c>
      <c r="K1575" s="79">
        <f>AB1575/COUNTIFS($B:$B,$B1575,$C:$C,$C1575,$H:$H,$H1575,$I:$I,$I1575)</f>
        <v>0.12</v>
      </c>
      <c r="L1575" s="81">
        <f t="shared" si="99"/>
        <v>1</v>
      </c>
      <c r="M1575" s="83">
        <f>J1574*K1575*L1575</f>
        <v>0.12</v>
      </c>
      <c r="N1575" s="84"/>
      <c r="AA1575" s="154">
        <f>AB1575/COUNTIFS($B:$B,$B1575,$C:$C,$C1575,$H:$H,$H1575,$I:$I,$I1575)</f>
        <v>0.12</v>
      </c>
      <c r="AB1575" s="155">
        <f>VLOOKUP(I1575,'Weights and Confidence'!$D$16:$AC$26,11,FALSE)</f>
        <v>0.12</v>
      </c>
      <c r="AC1575" s="156">
        <f>VLOOKUP(I1575,'Weights and Confidence'!$D$16:$AC$26,12,FALSE)</f>
        <v>1</v>
      </c>
    </row>
    <row r="1576" spans="1:29" x14ac:dyDescent="0.2">
      <c r="A1576" s="76" t="s">
        <v>566</v>
      </c>
      <c r="B1576" s="76" t="s">
        <v>87</v>
      </c>
      <c r="C1576" s="76" t="s">
        <v>59</v>
      </c>
      <c r="D1576" s="76" t="s">
        <v>5</v>
      </c>
      <c r="E1576" s="76" t="s">
        <v>103</v>
      </c>
      <c r="F1576" s="91" t="s">
        <v>60</v>
      </c>
      <c r="G1576" s="76">
        <v>2</v>
      </c>
      <c r="H1576" s="76" t="s">
        <v>17</v>
      </c>
      <c r="I1576" s="76" t="s">
        <v>20</v>
      </c>
      <c r="J1576" s="76">
        <v>1</v>
      </c>
      <c r="K1576" s="78">
        <f>AB1576/COUNTIFS($B:$B,$B1576,$C:$C,$C1576,$H:$H,$H1576,$I:$I,$I1576)</f>
        <v>0.08</v>
      </c>
      <c r="L1576" s="80">
        <f t="shared" si="99"/>
        <v>0.9</v>
      </c>
      <c r="M1576" s="82">
        <f t="shared" ref="M1576:M1595" si="101">J1576*K1576*L1576</f>
        <v>7.2000000000000008E-2</v>
      </c>
      <c r="N1576" s="59"/>
      <c r="AA1576" s="154">
        <f>AB1576/COUNTIFS($B:$B,$B1576,$C:$C,$C1576,$H:$H,$H1576,$I:$I,$I1576)</f>
        <v>0.08</v>
      </c>
      <c r="AB1576" s="155">
        <f>VLOOKUP(I1576,'Weights and Confidence'!$D$16:$AC$26,11,FALSE)</f>
        <v>0.08</v>
      </c>
      <c r="AC1576" s="156">
        <f>VLOOKUP(I1576,'Weights and Confidence'!$D$16:$AC$26,12,FALSE)</f>
        <v>0.9</v>
      </c>
    </row>
    <row r="1577" spans="1:29" x14ac:dyDescent="0.2">
      <c r="A1577" s="77" t="s">
        <v>566</v>
      </c>
      <c r="B1577" s="77" t="s">
        <v>87</v>
      </c>
      <c r="C1577" s="77" t="s">
        <v>59</v>
      </c>
      <c r="D1577" s="77" t="s">
        <v>5</v>
      </c>
      <c r="E1577" s="77" t="s">
        <v>103</v>
      </c>
      <c r="F1577" s="91" t="s">
        <v>60</v>
      </c>
      <c r="G1577" s="77">
        <v>2</v>
      </c>
      <c r="H1577" s="77" t="s">
        <v>18</v>
      </c>
      <c r="I1577" s="77" t="s">
        <v>20</v>
      </c>
      <c r="J1577" s="77">
        <v>1</v>
      </c>
      <c r="K1577" s="79">
        <f>AB1577/COUNTIFS($B:$B,$B1577,$C:$C,$C1577,$H:$H,$H1577,$I:$I,$I1577)</f>
        <v>0.08</v>
      </c>
      <c r="L1577" s="81">
        <f t="shared" si="99"/>
        <v>0.9</v>
      </c>
      <c r="M1577" s="83">
        <f t="shared" si="101"/>
        <v>7.2000000000000008E-2</v>
      </c>
      <c r="N1577" s="58"/>
      <c r="AA1577" s="154">
        <f>AB1577/COUNTIFS($B:$B,$B1577,$C:$C,$C1577,$H:$H,$H1577,$I:$I,$I1577)</f>
        <v>0.08</v>
      </c>
      <c r="AB1577" s="155">
        <f>VLOOKUP(I1577,'Weights and Confidence'!$D$16:$AC$26,11,FALSE)</f>
        <v>0.08</v>
      </c>
      <c r="AC1577" s="156">
        <f>VLOOKUP(I1577,'Weights and Confidence'!$D$16:$AC$26,12,FALSE)</f>
        <v>0.9</v>
      </c>
    </row>
    <row r="1578" spans="1:29" x14ac:dyDescent="0.2">
      <c r="A1578" s="76" t="s">
        <v>566</v>
      </c>
      <c r="B1578" s="76" t="s">
        <v>87</v>
      </c>
      <c r="C1578" s="76" t="s">
        <v>59</v>
      </c>
      <c r="D1578" s="76" t="s">
        <v>5</v>
      </c>
      <c r="E1578" s="76" t="s">
        <v>103</v>
      </c>
      <c r="F1578" s="91" t="s">
        <v>60</v>
      </c>
      <c r="G1578" s="76">
        <v>3</v>
      </c>
      <c r="H1578" s="76" t="s">
        <v>17</v>
      </c>
      <c r="I1578" s="76" t="s">
        <v>21</v>
      </c>
      <c r="J1578" s="76">
        <v>1</v>
      </c>
      <c r="K1578" s="78">
        <f>AB1578/COUNTIFS($B:$B,$B1578,$C:$C,$C1578,$H:$H,$H1578,$I:$I,$I1578)</f>
        <v>0.05</v>
      </c>
      <c r="L1578" s="80">
        <f t="shared" si="99"/>
        <v>1</v>
      </c>
      <c r="M1578" s="82">
        <f t="shared" si="101"/>
        <v>0.05</v>
      </c>
      <c r="N1578" s="59"/>
      <c r="AA1578" s="154">
        <f>AB1578/COUNTIFS($B:$B,$B1578,$C:$C,$C1578,$H:$H,$H1578,$I:$I,$I1578)</f>
        <v>0.05</v>
      </c>
      <c r="AB1578" s="155">
        <f>VLOOKUP(I1578,'Weights and Confidence'!$D$16:$AC$26,11,FALSE)</f>
        <v>0.05</v>
      </c>
      <c r="AC1578" s="156">
        <f>VLOOKUP(I1578,'Weights and Confidence'!$D$16:$AC$26,12,FALSE)</f>
        <v>1</v>
      </c>
    </row>
    <row r="1579" spans="1:29" x14ac:dyDescent="0.2">
      <c r="A1579" s="77" t="s">
        <v>566</v>
      </c>
      <c r="B1579" s="77" t="s">
        <v>87</v>
      </c>
      <c r="C1579" s="77" t="s">
        <v>59</v>
      </c>
      <c r="D1579" s="77" t="s">
        <v>5</v>
      </c>
      <c r="E1579" s="77" t="s">
        <v>103</v>
      </c>
      <c r="F1579" s="91" t="s">
        <v>60</v>
      </c>
      <c r="G1579" s="77">
        <v>3</v>
      </c>
      <c r="H1579" s="77" t="s">
        <v>18</v>
      </c>
      <c r="I1579" s="77" t="s">
        <v>21</v>
      </c>
      <c r="J1579" s="77">
        <v>1</v>
      </c>
      <c r="K1579" s="79">
        <f>AB1579/COUNTIFS($B:$B,$B1579,$C:$C,$C1579,$H:$H,$H1579,$I:$I,$I1579)</f>
        <v>0.05</v>
      </c>
      <c r="L1579" s="81">
        <f t="shared" si="99"/>
        <v>1</v>
      </c>
      <c r="M1579" s="83">
        <f t="shared" si="101"/>
        <v>0.05</v>
      </c>
      <c r="N1579" s="84"/>
      <c r="AA1579" s="154">
        <f>AB1579/COUNTIFS($B:$B,$B1579,$C:$C,$C1579,$H:$H,$H1579,$I:$I,$I1579)</f>
        <v>0.05</v>
      </c>
      <c r="AB1579" s="155">
        <f>VLOOKUP(I1579,'Weights and Confidence'!$D$16:$AC$26,11,FALSE)</f>
        <v>0.05</v>
      </c>
      <c r="AC1579" s="156">
        <f>VLOOKUP(I1579,'Weights and Confidence'!$D$16:$AC$26,12,FALSE)</f>
        <v>1</v>
      </c>
    </row>
    <row r="1580" spans="1:29" x14ac:dyDescent="0.2">
      <c r="A1580" s="76" t="s">
        <v>566</v>
      </c>
      <c r="B1580" s="76" t="s">
        <v>87</v>
      </c>
      <c r="C1580" s="76" t="s">
        <v>59</v>
      </c>
      <c r="D1580" s="76" t="s">
        <v>5</v>
      </c>
      <c r="E1580" s="76" t="s">
        <v>103</v>
      </c>
      <c r="F1580" s="91" t="s">
        <v>60</v>
      </c>
      <c r="G1580" s="76">
        <v>4</v>
      </c>
      <c r="H1580" s="76" t="s">
        <v>17</v>
      </c>
      <c r="I1580" s="76" t="s">
        <v>22</v>
      </c>
      <c r="J1580" s="76">
        <v>1</v>
      </c>
      <c r="K1580" s="78">
        <f>AB1580/COUNTIFS($B:$B,$B1580,$C:$C,$C1580,$H:$H,$H1580,$I:$I,$I1580)</f>
        <v>0.1</v>
      </c>
      <c r="L1580" s="80">
        <f t="shared" si="99"/>
        <v>1</v>
      </c>
      <c r="M1580" s="82">
        <f t="shared" si="101"/>
        <v>0.1</v>
      </c>
      <c r="N1580" s="59"/>
      <c r="AA1580" s="154">
        <f>AB1580/COUNTIFS($B:$B,$B1580,$C:$C,$C1580,$H:$H,$H1580,$I:$I,$I1580)</f>
        <v>0.1</v>
      </c>
      <c r="AB1580" s="155">
        <f>VLOOKUP(I1580,'Weights and Confidence'!$D$16:$AC$26,11,FALSE)</f>
        <v>0.1</v>
      </c>
      <c r="AC1580" s="156">
        <f>VLOOKUP(I1580,'Weights and Confidence'!$D$16:$AC$26,12,FALSE)</f>
        <v>1</v>
      </c>
    </row>
    <row r="1581" spans="1:29" x14ac:dyDescent="0.2">
      <c r="A1581" s="77" t="s">
        <v>566</v>
      </c>
      <c r="B1581" s="77" t="s">
        <v>87</v>
      </c>
      <c r="C1581" s="77" t="s">
        <v>59</v>
      </c>
      <c r="D1581" s="77" t="s">
        <v>5</v>
      </c>
      <c r="E1581" s="77" t="s">
        <v>103</v>
      </c>
      <c r="F1581" s="91" t="s">
        <v>60</v>
      </c>
      <c r="G1581" s="77">
        <v>4</v>
      </c>
      <c r="H1581" s="77" t="s">
        <v>18</v>
      </c>
      <c r="I1581" s="77" t="s">
        <v>22</v>
      </c>
      <c r="J1581" s="77">
        <v>0</v>
      </c>
      <c r="K1581" s="79">
        <f>AB1581/COUNTIFS($B:$B,$B1581,$C:$C,$C1581,$H:$H,$H1581,$I:$I,$I1581)</f>
        <v>0.1</v>
      </c>
      <c r="L1581" s="81">
        <f t="shared" si="99"/>
        <v>1</v>
      </c>
      <c r="M1581" s="83">
        <f t="shared" si="101"/>
        <v>0</v>
      </c>
      <c r="N1581" s="84"/>
      <c r="AA1581" s="154">
        <f>AB1581/COUNTIFS($B:$B,$B1581,$C:$C,$C1581,$H:$H,$H1581,$I:$I,$I1581)</f>
        <v>0.1</v>
      </c>
      <c r="AB1581" s="155">
        <f>VLOOKUP(I1581,'Weights and Confidence'!$D$16:$AC$26,11,FALSE)</f>
        <v>0.1</v>
      </c>
      <c r="AC1581" s="156">
        <f>VLOOKUP(I1581,'Weights and Confidence'!$D$16:$AC$26,12,FALSE)</f>
        <v>1</v>
      </c>
    </row>
    <row r="1582" spans="1:29" x14ac:dyDescent="0.2">
      <c r="A1582" s="76" t="s">
        <v>566</v>
      </c>
      <c r="B1582" s="76" t="s">
        <v>87</v>
      </c>
      <c r="C1582" s="76" t="s">
        <v>59</v>
      </c>
      <c r="D1582" s="76" t="s">
        <v>5</v>
      </c>
      <c r="E1582" s="76" t="s">
        <v>103</v>
      </c>
      <c r="F1582" s="91" t="s">
        <v>60</v>
      </c>
      <c r="G1582" s="76">
        <v>5</v>
      </c>
      <c r="H1582" s="76" t="s">
        <v>17</v>
      </c>
      <c r="I1582" s="76" t="s">
        <v>34</v>
      </c>
      <c r="J1582" s="76">
        <v>1</v>
      </c>
      <c r="K1582" s="78">
        <f>AB1582/COUNTIFS($B:$B,$B1582,$C:$C,$C1582,$H:$H,$H1582,$I:$I,$I1582)</f>
        <v>0.08</v>
      </c>
      <c r="L1582" s="80">
        <f t="shared" si="99"/>
        <v>1</v>
      </c>
      <c r="M1582" s="82">
        <f t="shared" si="101"/>
        <v>0.08</v>
      </c>
      <c r="N1582" s="59"/>
      <c r="AA1582" s="154">
        <f>AB1582/COUNTIFS($B:$B,$B1582,$C:$C,$C1582,$H:$H,$H1582,$I:$I,$I1582)</f>
        <v>0.08</v>
      </c>
      <c r="AB1582" s="155">
        <f>VLOOKUP(I1582,'Weights and Confidence'!$D$16:$AC$26,11,FALSE)</f>
        <v>0.08</v>
      </c>
      <c r="AC1582" s="156">
        <f>VLOOKUP(I1582,'Weights and Confidence'!$D$16:$AC$26,12,FALSE)</f>
        <v>1</v>
      </c>
    </row>
    <row r="1583" spans="1:29" x14ac:dyDescent="0.2">
      <c r="A1583" s="77" t="s">
        <v>566</v>
      </c>
      <c r="B1583" s="77" t="s">
        <v>87</v>
      </c>
      <c r="C1583" s="77" t="s">
        <v>59</v>
      </c>
      <c r="D1583" s="77" t="s">
        <v>5</v>
      </c>
      <c r="E1583" s="77" t="s">
        <v>103</v>
      </c>
      <c r="F1583" s="91" t="s">
        <v>60</v>
      </c>
      <c r="G1583" s="77">
        <v>5</v>
      </c>
      <c r="H1583" s="77" t="s">
        <v>18</v>
      </c>
      <c r="I1583" s="77" t="s">
        <v>34</v>
      </c>
      <c r="J1583" s="77">
        <v>0</v>
      </c>
      <c r="K1583" s="79">
        <f>AB1583/COUNTIFS($B:$B,$B1583,$C:$C,$C1583,$H:$H,$H1583,$I:$I,$I1583)</f>
        <v>0.08</v>
      </c>
      <c r="L1583" s="81">
        <f t="shared" si="99"/>
        <v>1</v>
      </c>
      <c r="M1583" s="83">
        <f t="shared" si="101"/>
        <v>0</v>
      </c>
      <c r="N1583" s="84"/>
      <c r="AA1583" s="154">
        <f>AB1583/COUNTIFS($B:$B,$B1583,$C:$C,$C1583,$H:$H,$H1583,$I:$I,$I1583)</f>
        <v>0.08</v>
      </c>
      <c r="AB1583" s="155">
        <f>VLOOKUP(I1583,'Weights and Confidence'!$D$16:$AC$26,11,FALSE)</f>
        <v>0.08</v>
      </c>
      <c r="AC1583" s="156">
        <f>VLOOKUP(I1583,'Weights and Confidence'!$D$16:$AC$26,12,FALSE)</f>
        <v>1</v>
      </c>
    </row>
    <row r="1584" spans="1:29" x14ac:dyDescent="0.2">
      <c r="A1584" s="76" t="s">
        <v>566</v>
      </c>
      <c r="B1584" s="76" t="s">
        <v>87</v>
      </c>
      <c r="C1584" s="76" t="s">
        <v>59</v>
      </c>
      <c r="D1584" s="76" t="s">
        <v>5</v>
      </c>
      <c r="E1584" s="76" t="s">
        <v>103</v>
      </c>
      <c r="F1584" s="91" t="s">
        <v>60</v>
      </c>
      <c r="G1584" s="76">
        <v>6</v>
      </c>
      <c r="H1584" s="76" t="s">
        <v>17</v>
      </c>
      <c r="I1584" s="76" t="s">
        <v>23</v>
      </c>
      <c r="J1584" s="76">
        <v>1</v>
      </c>
      <c r="K1584" s="78">
        <f>AB1584/COUNTIFS($B:$B,$B1584,$C:$C,$C1584,$H:$H,$H1584,$I:$I,$I1584)</f>
        <v>7.0000000000000007E-2</v>
      </c>
      <c r="L1584" s="80">
        <f t="shared" si="99"/>
        <v>1</v>
      </c>
      <c r="M1584" s="82">
        <f t="shared" si="101"/>
        <v>7.0000000000000007E-2</v>
      </c>
      <c r="N1584" s="59"/>
      <c r="AA1584" s="154">
        <f>AB1584/COUNTIFS($B:$B,$B1584,$C:$C,$C1584,$H:$H,$H1584,$I:$I,$I1584)</f>
        <v>7.0000000000000007E-2</v>
      </c>
      <c r="AB1584" s="155">
        <f>VLOOKUP(I1584,'Weights and Confidence'!$D$16:$AC$26,11,FALSE)</f>
        <v>7.0000000000000007E-2</v>
      </c>
      <c r="AC1584" s="156">
        <f>VLOOKUP(I1584,'Weights and Confidence'!$D$16:$AC$26,12,FALSE)</f>
        <v>1</v>
      </c>
    </row>
    <row r="1585" spans="1:29" x14ac:dyDescent="0.2">
      <c r="A1585" s="77" t="s">
        <v>566</v>
      </c>
      <c r="B1585" s="77" t="s">
        <v>87</v>
      </c>
      <c r="C1585" s="77" t="s">
        <v>59</v>
      </c>
      <c r="D1585" s="77" t="s">
        <v>5</v>
      </c>
      <c r="E1585" s="77" t="s">
        <v>103</v>
      </c>
      <c r="F1585" s="91" t="s">
        <v>60</v>
      </c>
      <c r="G1585" s="77">
        <v>6</v>
      </c>
      <c r="H1585" s="77" t="s">
        <v>18</v>
      </c>
      <c r="I1585" s="77" t="s">
        <v>23</v>
      </c>
      <c r="J1585" s="77">
        <v>0</v>
      </c>
      <c r="K1585" s="79">
        <f>AB1585/COUNTIFS($B:$B,$B1585,$C:$C,$C1585,$H:$H,$H1585,$I:$I,$I1585)</f>
        <v>7.0000000000000007E-2</v>
      </c>
      <c r="L1585" s="81">
        <f t="shared" si="99"/>
        <v>1</v>
      </c>
      <c r="M1585" s="83">
        <f t="shared" si="101"/>
        <v>0</v>
      </c>
      <c r="N1585" s="84"/>
      <c r="AA1585" s="154">
        <f>AB1585/COUNTIFS($B:$B,$B1585,$C:$C,$C1585,$H:$H,$H1585,$I:$I,$I1585)</f>
        <v>7.0000000000000007E-2</v>
      </c>
      <c r="AB1585" s="155">
        <f>VLOOKUP(I1585,'Weights and Confidence'!$D$16:$AC$26,11,FALSE)</f>
        <v>7.0000000000000007E-2</v>
      </c>
      <c r="AC1585" s="156">
        <f>VLOOKUP(I1585,'Weights and Confidence'!$D$16:$AC$26,12,FALSE)</f>
        <v>1</v>
      </c>
    </row>
    <row r="1586" spans="1:29" x14ac:dyDescent="0.2">
      <c r="A1586" s="76" t="s">
        <v>566</v>
      </c>
      <c r="B1586" s="76" t="s">
        <v>87</v>
      </c>
      <c r="C1586" s="76" t="s">
        <v>59</v>
      </c>
      <c r="D1586" s="76" t="s">
        <v>5</v>
      </c>
      <c r="E1586" s="76" t="s">
        <v>103</v>
      </c>
      <c r="F1586" s="91" t="s">
        <v>60</v>
      </c>
      <c r="G1586" s="76">
        <v>7</v>
      </c>
      <c r="H1586" s="76" t="s">
        <v>17</v>
      </c>
      <c r="I1586" s="76" t="s">
        <v>24</v>
      </c>
      <c r="J1586" s="76">
        <v>1</v>
      </c>
      <c r="K1586" s="78">
        <f>AB1586/COUNTIFS($B:$B,$B1586,$C:$C,$C1586,$H:$H,$H1586,$I:$I,$I1586)</f>
        <v>0.15</v>
      </c>
      <c r="L1586" s="80">
        <f t="shared" si="99"/>
        <v>1</v>
      </c>
      <c r="M1586" s="82">
        <f t="shared" si="101"/>
        <v>0.15</v>
      </c>
      <c r="N1586" s="59"/>
      <c r="AA1586" s="154">
        <f>AB1586/COUNTIFS($B:$B,$B1586,$C:$C,$C1586,$H:$H,$H1586,$I:$I,$I1586)</f>
        <v>0.15</v>
      </c>
      <c r="AB1586" s="155">
        <f>VLOOKUP(I1586,'Weights and Confidence'!$D$16:$AC$26,11,FALSE)</f>
        <v>0.15</v>
      </c>
      <c r="AC1586" s="156">
        <f>VLOOKUP(I1586,'Weights and Confidence'!$D$16:$AC$26,12,FALSE)</f>
        <v>1</v>
      </c>
    </row>
    <row r="1587" spans="1:29" x14ac:dyDescent="0.2">
      <c r="A1587" s="77" t="s">
        <v>566</v>
      </c>
      <c r="B1587" s="77" t="s">
        <v>87</v>
      </c>
      <c r="C1587" s="77" t="s">
        <v>59</v>
      </c>
      <c r="D1587" s="77" t="s">
        <v>5</v>
      </c>
      <c r="E1587" s="77" t="s">
        <v>103</v>
      </c>
      <c r="F1587" s="91" t="s">
        <v>60</v>
      </c>
      <c r="G1587" s="77">
        <v>7</v>
      </c>
      <c r="H1587" s="77" t="s">
        <v>18</v>
      </c>
      <c r="I1587" s="77" t="s">
        <v>24</v>
      </c>
      <c r="J1587" s="77">
        <v>0</v>
      </c>
      <c r="K1587" s="79">
        <f>AB1587/COUNTIFS($B:$B,$B1587,$C:$C,$C1587,$H:$H,$H1587,$I:$I,$I1587)</f>
        <v>0.15</v>
      </c>
      <c r="L1587" s="81">
        <f t="shared" si="99"/>
        <v>1</v>
      </c>
      <c r="M1587" s="83">
        <f t="shared" si="101"/>
        <v>0</v>
      </c>
      <c r="N1587" s="17" t="s">
        <v>583</v>
      </c>
      <c r="AA1587" s="154">
        <f>AB1587/COUNTIFS($B:$B,$B1587,$C:$C,$C1587,$H:$H,$H1587,$I:$I,$I1587)</f>
        <v>0.15</v>
      </c>
      <c r="AB1587" s="155">
        <f>VLOOKUP(I1587,'Weights and Confidence'!$D$16:$AC$26,11,FALSE)</f>
        <v>0.15</v>
      </c>
      <c r="AC1587" s="156">
        <f>VLOOKUP(I1587,'Weights and Confidence'!$D$16:$AC$26,12,FALSE)</f>
        <v>1</v>
      </c>
    </row>
    <row r="1588" spans="1:29" x14ac:dyDescent="0.2">
      <c r="A1588" s="76" t="s">
        <v>566</v>
      </c>
      <c r="B1588" s="76" t="s">
        <v>87</v>
      </c>
      <c r="C1588" s="76" t="s">
        <v>59</v>
      </c>
      <c r="D1588" s="76" t="s">
        <v>5</v>
      </c>
      <c r="E1588" s="76" t="s">
        <v>103</v>
      </c>
      <c r="F1588" s="91" t="s">
        <v>60</v>
      </c>
      <c r="G1588" s="76">
        <v>8</v>
      </c>
      <c r="H1588" s="76" t="s">
        <v>17</v>
      </c>
      <c r="I1588" s="76" t="s">
        <v>25</v>
      </c>
      <c r="J1588" s="76">
        <v>1</v>
      </c>
      <c r="K1588" s="78">
        <f>AB1588/COUNTIFS($B:$B,$B1588,$C:$C,$C1588,$H:$H,$H1588,$I:$I,$I1588)</f>
        <v>0.1</v>
      </c>
      <c r="L1588" s="80">
        <f t="shared" si="99"/>
        <v>1</v>
      </c>
      <c r="M1588" s="82">
        <f t="shared" si="101"/>
        <v>0.1</v>
      </c>
      <c r="N1588" s="59"/>
      <c r="AA1588" s="154">
        <f>AB1588/COUNTIFS($B:$B,$B1588,$C:$C,$C1588,$H:$H,$H1588,$I:$I,$I1588)</f>
        <v>0.1</v>
      </c>
      <c r="AB1588" s="155">
        <f>VLOOKUP(I1588,'Weights and Confidence'!$D$16:$AC$26,11,FALSE)</f>
        <v>0.1</v>
      </c>
      <c r="AC1588" s="156">
        <f>VLOOKUP(I1588,'Weights and Confidence'!$D$16:$AC$26,12,FALSE)</f>
        <v>1</v>
      </c>
    </row>
    <row r="1589" spans="1:29" x14ac:dyDescent="0.2">
      <c r="A1589" s="77" t="s">
        <v>566</v>
      </c>
      <c r="B1589" s="77" t="s">
        <v>87</v>
      </c>
      <c r="C1589" s="77" t="s">
        <v>59</v>
      </c>
      <c r="D1589" s="77" t="s">
        <v>5</v>
      </c>
      <c r="E1589" s="77" t="s">
        <v>103</v>
      </c>
      <c r="F1589" s="91" t="s">
        <v>60</v>
      </c>
      <c r="G1589" s="77">
        <v>8</v>
      </c>
      <c r="H1589" s="77" t="s">
        <v>18</v>
      </c>
      <c r="I1589" s="77" t="s">
        <v>25</v>
      </c>
      <c r="J1589" s="77">
        <v>0</v>
      </c>
      <c r="K1589" s="79">
        <f>AB1589/COUNTIFS($B:$B,$B1589,$C:$C,$C1589,$H:$H,$H1589,$I:$I,$I1589)</f>
        <v>0.1</v>
      </c>
      <c r="L1589" s="81">
        <f t="shared" si="99"/>
        <v>1</v>
      </c>
      <c r="M1589" s="83">
        <f t="shared" si="101"/>
        <v>0</v>
      </c>
      <c r="N1589" s="17" t="s">
        <v>584</v>
      </c>
      <c r="AA1589" s="154">
        <f>AB1589/COUNTIFS($B:$B,$B1589,$C:$C,$C1589,$H:$H,$H1589,$I:$I,$I1589)</f>
        <v>0.1</v>
      </c>
      <c r="AB1589" s="155">
        <f>VLOOKUP(I1589,'Weights and Confidence'!$D$16:$AC$26,11,FALSE)</f>
        <v>0.1</v>
      </c>
      <c r="AC1589" s="156">
        <f>VLOOKUP(I1589,'Weights and Confidence'!$D$16:$AC$26,12,FALSE)</f>
        <v>1</v>
      </c>
    </row>
    <row r="1590" spans="1:29" x14ac:dyDescent="0.2">
      <c r="A1590" s="76" t="s">
        <v>566</v>
      </c>
      <c r="B1590" s="76" t="s">
        <v>87</v>
      </c>
      <c r="C1590" s="76" t="s">
        <v>59</v>
      </c>
      <c r="D1590" s="76" t="s">
        <v>5</v>
      </c>
      <c r="E1590" s="76" t="s">
        <v>103</v>
      </c>
      <c r="F1590" s="91" t="s">
        <v>60</v>
      </c>
      <c r="G1590" s="76">
        <v>9</v>
      </c>
      <c r="H1590" s="76" t="s">
        <v>17</v>
      </c>
      <c r="I1590" s="76" t="s">
        <v>26</v>
      </c>
      <c r="J1590" s="76">
        <v>1</v>
      </c>
      <c r="K1590" s="78">
        <f>AB1590/COUNTIFS($B:$B,$B1590,$C:$C,$C1590,$H:$H,$H1590,$I:$I,$I1590)</f>
        <v>0.1</v>
      </c>
      <c r="L1590" s="80">
        <f t="shared" si="99"/>
        <v>1</v>
      </c>
      <c r="M1590" s="82">
        <f t="shared" si="101"/>
        <v>0.1</v>
      </c>
      <c r="N1590" s="59"/>
      <c r="AA1590" s="154">
        <f>AB1590/COUNTIFS($B:$B,$B1590,$C:$C,$C1590,$H:$H,$H1590,$I:$I,$I1590)</f>
        <v>0.1</v>
      </c>
      <c r="AB1590" s="155">
        <f>VLOOKUP(I1590,'Weights and Confidence'!$D$16:$AC$26,11,FALSE)</f>
        <v>0.1</v>
      </c>
      <c r="AC1590" s="156">
        <f>VLOOKUP(I1590,'Weights and Confidence'!$D$16:$AC$26,12,FALSE)</f>
        <v>1</v>
      </c>
    </row>
    <row r="1591" spans="1:29" x14ac:dyDescent="0.2">
      <c r="A1591" s="77" t="s">
        <v>566</v>
      </c>
      <c r="B1591" s="77" t="s">
        <v>87</v>
      </c>
      <c r="C1591" s="77" t="s">
        <v>59</v>
      </c>
      <c r="D1591" s="77" t="s">
        <v>5</v>
      </c>
      <c r="E1591" s="77" t="s">
        <v>103</v>
      </c>
      <c r="F1591" s="91" t="s">
        <v>60</v>
      </c>
      <c r="G1591" s="77">
        <v>9</v>
      </c>
      <c r="H1591" s="77" t="s">
        <v>18</v>
      </c>
      <c r="I1591" s="77" t="s">
        <v>26</v>
      </c>
      <c r="J1591" s="77">
        <v>0</v>
      </c>
      <c r="K1591" s="79">
        <f>AB1591/COUNTIFS($B:$B,$B1591,$C:$C,$C1591,$H:$H,$H1591,$I:$I,$I1591)</f>
        <v>0.1</v>
      </c>
      <c r="L1591" s="81">
        <f t="shared" si="99"/>
        <v>1</v>
      </c>
      <c r="M1591" s="83">
        <f t="shared" si="101"/>
        <v>0</v>
      </c>
      <c r="N1591" s="58"/>
      <c r="AA1591" s="154">
        <f>AB1591/COUNTIFS($B:$B,$B1591,$C:$C,$C1591,$H:$H,$H1591,$I:$I,$I1591)</f>
        <v>0.1</v>
      </c>
      <c r="AB1591" s="155">
        <f>VLOOKUP(I1591,'Weights and Confidence'!$D$16:$AC$26,11,FALSE)</f>
        <v>0.1</v>
      </c>
      <c r="AC1591" s="156">
        <f>VLOOKUP(I1591,'Weights and Confidence'!$D$16:$AC$26,12,FALSE)</f>
        <v>1</v>
      </c>
    </row>
    <row r="1592" spans="1:29" x14ac:dyDescent="0.2">
      <c r="A1592" s="76" t="s">
        <v>566</v>
      </c>
      <c r="B1592" s="76" t="s">
        <v>87</v>
      </c>
      <c r="C1592" s="76" t="s">
        <v>59</v>
      </c>
      <c r="D1592" s="76" t="s">
        <v>5</v>
      </c>
      <c r="E1592" s="76" t="s">
        <v>103</v>
      </c>
      <c r="F1592" s="91" t="s">
        <v>60</v>
      </c>
      <c r="G1592" s="76">
        <v>10</v>
      </c>
      <c r="H1592" s="76" t="s">
        <v>17</v>
      </c>
      <c r="I1592" s="76" t="s">
        <v>27</v>
      </c>
      <c r="J1592" s="76">
        <v>1</v>
      </c>
      <c r="K1592" s="78">
        <f>AB1592/COUNTIFS($B:$B,$B1592,$C:$C,$C1592,$H:$H,$H1592,$I:$I,$I1592)</f>
        <v>0.05</v>
      </c>
      <c r="L1592" s="80">
        <f t="shared" si="99"/>
        <v>0.9</v>
      </c>
      <c r="M1592" s="82">
        <f t="shared" si="101"/>
        <v>4.5000000000000005E-2</v>
      </c>
      <c r="N1592" s="59"/>
      <c r="AA1592" s="154">
        <f>AB1592/COUNTIFS($B:$B,$B1592,$C:$C,$C1592,$H:$H,$H1592,$I:$I,$I1592)</f>
        <v>0.05</v>
      </c>
      <c r="AB1592" s="155">
        <f>VLOOKUP(I1592,'Weights and Confidence'!$D$16:$AC$26,11,FALSE)</f>
        <v>0.1</v>
      </c>
      <c r="AC1592" s="156">
        <f>VLOOKUP(I1592,'Weights and Confidence'!$D$16:$AC$26,12,FALSE)</f>
        <v>0.9</v>
      </c>
    </row>
    <row r="1593" spans="1:29" x14ac:dyDescent="0.2">
      <c r="A1593" s="77" t="s">
        <v>566</v>
      </c>
      <c r="B1593" s="77" t="s">
        <v>87</v>
      </c>
      <c r="C1593" s="77" t="s">
        <v>59</v>
      </c>
      <c r="D1593" s="77" t="s">
        <v>5</v>
      </c>
      <c r="E1593" s="77" t="s">
        <v>103</v>
      </c>
      <c r="F1593" s="91" t="s">
        <v>60</v>
      </c>
      <c r="G1593" s="77">
        <v>10</v>
      </c>
      <c r="H1593" s="77" t="s">
        <v>18</v>
      </c>
      <c r="I1593" s="77" t="s">
        <v>27</v>
      </c>
      <c r="J1593" s="77">
        <v>1</v>
      </c>
      <c r="K1593" s="79">
        <f>AB1593/COUNTIFS($B:$B,$B1593,$C:$C,$C1593,$H:$H,$H1593,$I:$I,$I1593)</f>
        <v>0.05</v>
      </c>
      <c r="L1593" s="81">
        <f t="shared" si="99"/>
        <v>0.9</v>
      </c>
      <c r="M1593" s="83">
        <f t="shared" si="101"/>
        <v>4.5000000000000005E-2</v>
      </c>
      <c r="N1593" s="84"/>
      <c r="AA1593" s="154">
        <f>AB1593/COUNTIFS($B:$B,$B1593,$C:$C,$C1593,$H:$H,$H1593,$I:$I,$I1593)</f>
        <v>0.05</v>
      </c>
      <c r="AB1593" s="155">
        <f>VLOOKUP(I1593,'Weights and Confidence'!$D$16:$AC$26,11,FALSE)</f>
        <v>0.1</v>
      </c>
      <c r="AC1593" s="156">
        <f>VLOOKUP(I1593,'Weights and Confidence'!$D$16:$AC$26,12,FALSE)</f>
        <v>0.9</v>
      </c>
    </row>
    <row r="1594" spans="1:29" x14ac:dyDescent="0.2">
      <c r="A1594" s="76" t="s">
        <v>566</v>
      </c>
      <c r="B1594" s="76" t="s">
        <v>87</v>
      </c>
      <c r="C1594" s="76" t="s">
        <v>59</v>
      </c>
      <c r="D1594" s="76" t="s">
        <v>5</v>
      </c>
      <c r="E1594" s="76" t="s">
        <v>103</v>
      </c>
      <c r="F1594" s="91" t="s">
        <v>60</v>
      </c>
      <c r="G1594" s="76">
        <v>11</v>
      </c>
      <c r="H1594" s="76" t="s">
        <v>17</v>
      </c>
      <c r="I1594" s="76" t="s">
        <v>27</v>
      </c>
      <c r="J1594" s="76">
        <v>1</v>
      </c>
      <c r="K1594" s="78">
        <f>AB1594/COUNTIFS($B:$B,$B1594,$C:$C,$C1594,$H:$H,$H1594,$I:$I,$I1594)</f>
        <v>0.05</v>
      </c>
      <c r="L1594" s="80">
        <f t="shared" si="99"/>
        <v>0.9</v>
      </c>
      <c r="M1594" s="82">
        <f t="shared" si="101"/>
        <v>4.5000000000000005E-2</v>
      </c>
      <c r="N1594" s="59"/>
      <c r="AA1594" s="154">
        <f>AB1594/COUNTIFS($B:$B,$B1594,$C:$C,$C1594,$H:$H,$H1594,$I:$I,$I1594)</f>
        <v>0.05</v>
      </c>
      <c r="AB1594" s="155">
        <f>VLOOKUP(I1594,'Weights and Confidence'!$D$16:$AC$26,11,FALSE)</f>
        <v>0.1</v>
      </c>
      <c r="AC1594" s="156">
        <f>VLOOKUP(I1594,'Weights and Confidence'!$D$16:$AC$26,12,FALSE)</f>
        <v>0.9</v>
      </c>
    </row>
    <row r="1595" spans="1:29" x14ac:dyDescent="0.2">
      <c r="A1595" s="77" t="s">
        <v>566</v>
      </c>
      <c r="B1595" s="77" t="s">
        <v>87</v>
      </c>
      <c r="C1595" s="77" t="s">
        <v>59</v>
      </c>
      <c r="D1595" s="77" t="s">
        <v>5</v>
      </c>
      <c r="E1595" s="77" t="s">
        <v>103</v>
      </c>
      <c r="F1595" s="91" t="s">
        <v>60</v>
      </c>
      <c r="G1595" s="77">
        <v>11</v>
      </c>
      <c r="H1595" s="77" t="s">
        <v>18</v>
      </c>
      <c r="I1595" s="77" t="s">
        <v>27</v>
      </c>
      <c r="J1595" s="77">
        <v>1</v>
      </c>
      <c r="K1595" s="79">
        <f>AB1595/COUNTIFS($B:$B,$B1595,$C:$C,$C1595,$H:$H,$H1595,$I:$I,$I1595)</f>
        <v>0.05</v>
      </c>
      <c r="L1595" s="81">
        <f t="shared" si="99"/>
        <v>0.9</v>
      </c>
      <c r="M1595" s="83">
        <f t="shared" si="101"/>
        <v>4.5000000000000005E-2</v>
      </c>
      <c r="N1595" s="84"/>
      <c r="AA1595" s="154">
        <f>AB1595/COUNTIFS($B:$B,$B1595,$C:$C,$C1595,$H:$H,$H1595,$I:$I,$I1595)</f>
        <v>0.05</v>
      </c>
      <c r="AB1595" s="155">
        <f>VLOOKUP(I1595,'Weights and Confidence'!$D$16:$AC$26,11,FALSE)</f>
        <v>0.1</v>
      </c>
      <c r="AC1595" s="156">
        <f>VLOOKUP(I1595,'Weights and Confidence'!$D$16:$AC$26,12,FALSE)</f>
        <v>0.9</v>
      </c>
    </row>
    <row r="1596" spans="1:29" x14ac:dyDescent="0.2">
      <c r="A1596" s="77" t="s">
        <v>566</v>
      </c>
      <c r="B1596" s="77" t="s">
        <v>87</v>
      </c>
      <c r="C1596" s="77" t="s">
        <v>59</v>
      </c>
      <c r="D1596" s="77" t="s">
        <v>5</v>
      </c>
      <c r="E1596" s="77" t="s">
        <v>103</v>
      </c>
      <c r="F1596" s="91" t="s">
        <v>60</v>
      </c>
      <c r="G1596" s="77">
        <v>12</v>
      </c>
      <c r="H1596" s="77" t="s">
        <v>17</v>
      </c>
      <c r="I1596" s="77" t="s">
        <v>28</v>
      </c>
      <c r="J1596" s="77">
        <v>1</v>
      </c>
      <c r="K1596" s="79">
        <f>AB1596/COUNTIFS($B:$B,$B1596,$C:$C,$C1596,$H:$H,$H1596,$I:$I,$I1596)</f>
        <v>0.05</v>
      </c>
      <c r="L1596" s="81">
        <f t="shared" si="99"/>
        <v>1</v>
      </c>
      <c r="M1596" s="83">
        <f>J1596*K1596*L1596</f>
        <v>0.05</v>
      </c>
      <c r="N1596" s="58"/>
      <c r="AA1596" s="154">
        <f>AB1596/COUNTIFS($B:$B,$B1596,$C:$C,$C1596,$H:$H,$H1596,$I:$I,$I1596)</f>
        <v>0.05</v>
      </c>
      <c r="AB1596" s="155">
        <f>VLOOKUP(I1596,'Weights and Confidence'!$D$16:$AC$26,11,FALSE)</f>
        <v>0.05</v>
      </c>
      <c r="AC1596" s="156">
        <f>VLOOKUP(I1596,'Weights and Confidence'!$D$16:$AC$26,12,FALSE)</f>
        <v>1</v>
      </c>
    </row>
    <row r="1597" spans="1:29" ht="17" thickBot="1" x14ac:dyDescent="0.25">
      <c r="A1597" s="98" t="s">
        <v>566</v>
      </c>
      <c r="B1597" s="98" t="s">
        <v>87</v>
      </c>
      <c r="C1597" s="98" t="s">
        <v>59</v>
      </c>
      <c r="D1597" s="98" t="s">
        <v>5</v>
      </c>
      <c r="E1597" s="98" t="s">
        <v>103</v>
      </c>
      <c r="F1597" s="93" t="s">
        <v>60</v>
      </c>
      <c r="G1597" s="98">
        <v>12</v>
      </c>
      <c r="H1597" s="98" t="s">
        <v>18</v>
      </c>
      <c r="I1597" s="98" t="s">
        <v>28</v>
      </c>
      <c r="J1597" s="98">
        <v>0</v>
      </c>
      <c r="K1597" s="99">
        <f>AB1597/COUNTIFS($B:$B,$B1597,$C:$C,$C1597,$H:$H,$H1597,$I:$I,$I1597)</f>
        <v>0.05</v>
      </c>
      <c r="L1597" s="100">
        <f t="shared" si="99"/>
        <v>1</v>
      </c>
      <c r="M1597" s="101">
        <f>J1597*K1597*L1597</f>
        <v>0</v>
      </c>
      <c r="N1597" s="22" t="s">
        <v>585</v>
      </c>
      <c r="AA1597" s="157">
        <f>AB1597/COUNTIFS($B:$B,$B1597,$C:$C,$C1597,$H:$H,$H1597,$I:$I,$I1597)</f>
        <v>0.05</v>
      </c>
      <c r="AB1597" s="158">
        <f>VLOOKUP(I1597,'Weights and Confidence'!$D$16:$AC$26,11,FALSE)</f>
        <v>0.05</v>
      </c>
      <c r="AC1597" s="159">
        <f>VLOOKUP(I1597,'Weights and Confidence'!$D$16:$AC$26,12,FALSE)</f>
        <v>1</v>
      </c>
    </row>
    <row r="1598" spans="1:29" ht="17" thickTop="1" x14ac:dyDescent="0.2">
      <c r="A1598" s="86" t="s">
        <v>566</v>
      </c>
      <c r="B1598" s="86" t="s">
        <v>87</v>
      </c>
      <c r="C1598" s="86" t="s">
        <v>144</v>
      </c>
      <c r="D1598" s="86" t="s">
        <v>5</v>
      </c>
      <c r="E1598" s="86" t="s">
        <v>679</v>
      </c>
      <c r="F1598" s="18" t="s">
        <v>586</v>
      </c>
      <c r="G1598" s="86">
        <v>1</v>
      </c>
      <c r="H1598" s="86" t="s">
        <v>17</v>
      </c>
      <c r="I1598" s="86" t="s">
        <v>19</v>
      </c>
      <c r="J1598" s="97">
        <v>1</v>
      </c>
      <c r="K1598" s="87">
        <f>AB1598/COUNTIFS($B:$B,$B1598,$C:$C,$C1598,$H:$H,$H1598,$I:$I,$I1598)</f>
        <v>0.12</v>
      </c>
      <c r="L1598" s="88">
        <f t="shared" ref="L1598:L1621" si="102">AC1598</f>
        <v>1</v>
      </c>
      <c r="M1598" s="89">
        <f t="shared" ref="M1598" si="103">J1598*K1598*L1598</f>
        <v>0.12</v>
      </c>
      <c r="N1598" s="90"/>
      <c r="AA1598" s="154">
        <f>AB1598/COUNTIFS($B:$B,$B1598,$C:$C,$C1598,$H:$H,$H1598,$I:$I,$I1598)</f>
        <v>0.12</v>
      </c>
      <c r="AB1598" s="155">
        <f>VLOOKUP(I1598,'Weights and Confidence'!$D$16:$AC$26,11,FALSE)</f>
        <v>0.12</v>
      </c>
      <c r="AC1598" s="156">
        <f>VLOOKUP(I1598,'Weights and Confidence'!$D$16:$AC$26,12,FALSE)</f>
        <v>1</v>
      </c>
    </row>
    <row r="1599" spans="1:29" x14ac:dyDescent="0.2">
      <c r="A1599" s="77" t="s">
        <v>566</v>
      </c>
      <c r="B1599" s="77" t="s">
        <v>87</v>
      </c>
      <c r="C1599" s="77" t="s">
        <v>144</v>
      </c>
      <c r="D1599" s="77" t="s">
        <v>5</v>
      </c>
      <c r="E1599" s="77" t="s">
        <v>679</v>
      </c>
      <c r="F1599" s="91" t="s">
        <v>586</v>
      </c>
      <c r="G1599" s="77">
        <v>1</v>
      </c>
      <c r="H1599" s="77" t="s">
        <v>18</v>
      </c>
      <c r="I1599" s="77" t="s">
        <v>19</v>
      </c>
      <c r="J1599" s="77">
        <v>0</v>
      </c>
      <c r="K1599" s="79">
        <f>AB1599/COUNTIFS($B:$B,$B1599,$C:$C,$C1599,$H:$H,$H1599,$I:$I,$I1599)</f>
        <v>0.12</v>
      </c>
      <c r="L1599" s="81">
        <f t="shared" si="102"/>
        <v>1</v>
      </c>
      <c r="M1599" s="83">
        <f>J1598*K1599*L1599</f>
        <v>0.12</v>
      </c>
      <c r="N1599" s="84"/>
      <c r="AA1599" s="154">
        <f>AB1599/COUNTIFS($B:$B,$B1599,$C:$C,$C1599,$H:$H,$H1599,$I:$I,$I1599)</f>
        <v>0.12</v>
      </c>
      <c r="AB1599" s="155">
        <f>VLOOKUP(I1599,'Weights and Confidence'!$D$16:$AC$26,11,FALSE)</f>
        <v>0.12</v>
      </c>
      <c r="AC1599" s="156">
        <f>VLOOKUP(I1599,'Weights and Confidence'!$D$16:$AC$26,12,FALSE)</f>
        <v>1</v>
      </c>
    </row>
    <row r="1600" spans="1:29" x14ac:dyDescent="0.2">
      <c r="A1600" s="76" t="s">
        <v>566</v>
      </c>
      <c r="B1600" s="76" t="s">
        <v>87</v>
      </c>
      <c r="C1600" s="76" t="s">
        <v>144</v>
      </c>
      <c r="D1600" s="76" t="s">
        <v>5</v>
      </c>
      <c r="E1600" s="76" t="s">
        <v>679</v>
      </c>
      <c r="F1600" s="91" t="s">
        <v>586</v>
      </c>
      <c r="G1600" s="76">
        <v>2</v>
      </c>
      <c r="H1600" s="76" t="s">
        <v>17</v>
      </c>
      <c r="I1600" s="76" t="s">
        <v>20</v>
      </c>
      <c r="J1600" s="76">
        <v>0</v>
      </c>
      <c r="K1600" s="78">
        <f>AB1600/COUNTIFS($B:$B,$B1600,$C:$C,$C1600,$H:$H,$H1600,$I:$I,$I1600)</f>
        <v>0.08</v>
      </c>
      <c r="L1600" s="80">
        <f t="shared" si="102"/>
        <v>0.9</v>
      </c>
      <c r="M1600" s="82">
        <f t="shared" ref="M1600:M1619" si="104">J1600*K1600*L1600</f>
        <v>0</v>
      </c>
      <c r="N1600" s="59"/>
      <c r="AA1600" s="154">
        <f>AB1600/COUNTIFS($B:$B,$B1600,$C:$C,$C1600,$H:$H,$H1600,$I:$I,$I1600)</f>
        <v>0.08</v>
      </c>
      <c r="AB1600" s="155">
        <f>VLOOKUP(I1600,'Weights and Confidence'!$D$16:$AC$26,11,FALSE)</f>
        <v>0.08</v>
      </c>
      <c r="AC1600" s="156">
        <f>VLOOKUP(I1600,'Weights and Confidence'!$D$16:$AC$26,12,FALSE)</f>
        <v>0.9</v>
      </c>
    </row>
    <row r="1601" spans="1:29" x14ac:dyDescent="0.2">
      <c r="A1601" s="77" t="s">
        <v>566</v>
      </c>
      <c r="B1601" s="77" t="s">
        <v>87</v>
      </c>
      <c r="C1601" s="77" t="s">
        <v>144</v>
      </c>
      <c r="D1601" s="77" t="s">
        <v>5</v>
      </c>
      <c r="E1601" s="77" t="s">
        <v>679</v>
      </c>
      <c r="F1601" s="91" t="s">
        <v>586</v>
      </c>
      <c r="G1601" s="77">
        <v>2</v>
      </c>
      <c r="H1601" s="77" t="s">
        <v>18</v>
      </c>
      <c r="I1601" s="77" t="s">
        <v>20</v>
      </c>
      <c r="J1601" s="77">
        <v>-1</v>
      </c>
      <c r="K1601" s="79">
        <f>AB1601/COUNTIFS($B:$B,$B1601,$C:$C,$C1601,$H:$H,$H1601,$I:$I,$I1601)</f>
        <v>0.08</v>
      </c>
      <c r="L1601" s="81">
        <f t="shared" si="102"/>
        <v>0.9</v>
      </c>
      <c r="M1601" s="83">
        <f t="shared" si="104"/>
        <v>-7.2000000000000008E-2</v>
      </c>
      <c r="N1601" s="58"/>
      <c r="AA1601" s="154">
        <f>AB1601/COUNTIFS($B:$B,$B1601,$C:$C,$C1601,$H:$H,$H1601,$I:$I,$I1601)</f>
        <v>0.08</v>
      </c>
      <c r="AB1601" s="155">
        <f>VLOOKUP(I1601,'Weights and Confidence'!$D$16:$AC$26,11,FALSE)</f>
        <v>0.08</v>
      </c>
      <c r="AC1601" s="156">
        <f>VLOOKUP(I1601,'Weights and Confidence'!$D$16:$AC$26,12,FALSE)</f>
        <v>0.9</v>
      </c>
    </row>
    <row r="1602" spans="1:29" x14ac:dyDescent="0.2">
      <c r="A1602" s="76" t="s">
        <v>566</v>
      </c>
      <c r="B1602" s="76" t="s">
        <v>87</v>
      </c>
      <c r="C1602" s="76" t="s">
        <v>144</v>
      </c>
      <c r="D1602" s="76" t="s">
        <v>5</v>
      </c>
      <c r="E1602" s="76" t="s">
        <v>679</v>
      </c>
      <c r="F1602" s="91" t="s">
        <v>586</v>
      </c>
      <c r="G1602" s="76">
        <v>3</v>
      </c>
      <c r="H1602" s="76" t="s">
        <v>17</v>
      </c>
      <c r="I1602" s="76" t="s">
        <v>21</v>
      </c>
      <c r="J1602" s="76">
        <v>1</v>
      </c>
      <c r="K1602" s="78">
        <f>AB1602/COUNTIFS($B:$B,$B1602,$C:$C,$C1602,$H:$H,$H1602,$I:$I,$I1602)</f>
        <v>0.05</v>
      </c>
      <c r="L1602" s="80">
        <f t="shared" si="102"/>
        <v>1</v>
      </c>
      <c r="M1602" s="82">
        <f t="shared" si="104"/>
        <v>0.05</v>
      </c>
      <c r="N1602" s="59"/>
      <c r="AA1602" s="154">
        <f>AB1602/COUNTIFS($B:$B,$B1602,$C:$C,$C1602,$H:$H,$H1602,$I:$I,$I1602)</f>
        <v>0.05</v>
      </c>
      <c r="AB1602" s="155">
        <f>VLOOKUP(I1602,'Weights and Confidence'!$D$16:$AC$26,11,FALSE)</f>
        <v>0.05</v>
      </c>
      <c r="AC1602" s="156">
        <f>VLOOKUP(I1602,'Weights and Confidence'!$D$16:$AC$26,12,FALSE)</f>
        <v>1</v>
      </c>
    </row>
    <row r="1603" spans="1:29" x14ac:dyDescent="0.2">
      <c r="A1603" s="77" t="s">
        <v>566</v>
      </c>
      <c r="B1603" s="77" t="s">
        <v>87</v>
      </c>
      <c r="C1603" s="77" t="s">
        <v>144</v>
      </c>
      <c r="D1603" s="77" t="s">
        <v>5</v>
      </c>
      <c r="E1603" s="77" t="s">
        <v>679</v>
      </c>
      <c r="F1603" s="91" t="s">
        <v>586</v>
      </c>
      <c r="G1603" s="77">
        <v>3</v>
      </c>
      <c r="H1603" s="77" t="s">
        <v>18</v>
      </c>
      <c r="I1603" s="77" t="s">
        <v>21</v>
      </c>
      <c r="J1603" s="77">
        <v>-1</v>
      </c>
      <c r="K1603" s="79">
        <f>AB1603/COUNTIFS($B:$B,$B1603,$C:$C,$C1603,$H:$H,$H1603,$I:$I,$I1603)</f>
        <v>0.05</v>
      </c>
      <c r="L1603" s="81">
        <f t="shared" si="102"/>
        <v>1</v>
      </c>
      <c r="M1603" s="83">
        <f t="shared" si="104"/>
        <v>-0.05</v>
      </c>
      <c r="N1603" s="84"/>
      <c r="AA1603" s="154">
        <f>AB1603/COUNTIFS($B:$B,$B1603,$C:$C,$C1603,$H:$H,$H1603,$I:$I,$I1603)</f>
        <v>0.05</v>
      </c>
      <c r="AB1603" s="155">
        <f>VLOOKUP(I1603,'Weights and Confidence'!$D$16:$AC$26,11,FALSE)</f>
        <v>0.05</v>
      </c>
      <c r="AC1603" s="156">
        <f>VLOOKUP(I1603,'Weights and Confidence'!$D$16:$AC$26,12,FALSE)</f>
        <v>1</v>
      </c>
    </row>
    <row r="1604" spans="1:29" x14ac:dyDescent="0.2">
      <c r="A1604" s="76" t="s">
        <v>566</v>
      </c>
      <c r="B1604" s="76" t="s">
        <v>87</v>
      </c>
      <c r="C1604" s="76" t="s">
        <v>144</v>
      </c>
      <c r="D1604" s="76" t="s">
        <v>5</v>
      </c>
      <c r="E1604" s="76" t="s">
        <v>679</v>
      </c>
      <c r="F1604" s="91" t="s">
        <v>586</v>
      </c>
      <c r="G1604" s="76">
        <v>4</v>
      </c>
      <c r="H1604" s="76" t="s">
        <v>17</v>
      </c>
      <c r="I1604" s="76" t="s">
        <v>22</v>
      </c>
      <c r="J1604" s="76">
        <v>0</v>
      </c>
      <c r="K1604" s="78">
        <f>AB1604/COUNTIFS($B:$B,$B1604,$C:$C,$C1604,$H:$H,$H1604,$I:$I,$I1604)</f>
        <v>0.1</v>
      </c>
      <c r="L1604" s="80">
        <f t="shared" si="102"/>
        <v>1</v>
      </c>
      <c r="M1604" s="82">
        <f t="shared" si="104"/>
        <v>0</v>
      </c>
      <c r="N1604" s="59"/>
      <c r="AA1604" s="154">
        <f>AB1604/COUNTIFS($B:$B,$B1604,$C:$C,$C1604,$H:$H,$H1604,$I:$I,$I1604)</f>
        <v>0.1</v>
      </c>
      <c r="AB1604" s="155">
        <f>VLOOKUP(I1604,'Weights and Confidence'!$D$16:$AC$26,11,FALSE)</f>
        <v>0.1</v>
      </c>
      <c r="AC1604" s="156">
        <f>VLOOKUP(I1604,'Weights and Confidence'!$D$16:$AC$26,12,FALSE)</f>
        <v>1</v>
      </c>
    </row>
    <row r="1605" spans="1:29" x14ac:dyDescent="0.2">
      <c r="A1605" s="77" t="s">
        <v>566</v>
      </c>
      <c r="B1605" s="77" t="s">
        <v>87</v>
      </c>
      <c r="C1605" s="77" t="s">
        <v>144</v>
      </c>
      <c r="D1605" s="77" t="s">
        <v>5</v>
      </c>
      <c r="E1605" s="77" t="s">
        <v>679</v>
      </c>
      <c r="F1605" s="91" t="s">
        <v>586</v>
      </c>
      <c r="G1605" s="77">
        <v>4</v>
      </c>
      <c r="H1605" s="77" t="s">
        <v>18</v>
      </c>
      <c r="I1605" s="77" t="s">
        <v>22</v>
      </c>
      <c r="J1605" s="77">
        <v>0</v>
      </c>
      <c r="K1605" s="79">
        <f>AB1605/COUNTIFS($B:$B,$B1605,$C:$C,$C1605,$H:$H,$H1605,$I:$I,$I1605)</f>
        <v>0.1</v>
      </c>
      <c r="L1605" s="81">
        <f t="shared" si="102"/>
        <v>1</v>
      </c>
      <c r="M1605" s="83">
        <f t="shared" si="104"/>
        <v>0</v>
      </c>
      <c r="N1605" s="84"/>
      <c r="AA1605" s="154">
        <f>AB1605/COUNTIFS($B:$B,$B1605,$C:$C,$C1605,$H:$H,$H1605,$I:$I,$I1605)</f>
        <v>0.1</v>
      </c>
      <c r="AB1605" s="155">
        <f>VLOOKUP(I1605,'Weights and Confidence'!$D$16:$AC$26,11,FALSE)</f>
        <v>0.1</v>
      </c>
      <c r="AC1605" s="156">
        <f>VLOOKUP(I1605,'Weights and Confidence'!$D$16:$AC$26,12,FALSE)</f>
        <v>1</v>
      </c>
    </row>
    <row r="1606" spans="1:29" x14ac:dyDescent="0.2">
      <c r="A1606" s="76" t="s">
        <v>566</v>
      </c>
      <c r="B1606" s="76" t="s">
        <v>87</v>
      </c>
      <c r="C1606" s="76" t="s">
        <v>144</v>
      </c>
      <c r="D1606" s="76" t="s">
        <v>5</v>
      </c>
      <c r="E1606" s="76" t="s">
        <v>679</v>
      </c>
      <c r="F1606" s="91" t="s">
        <v>586</v>
      </c>
      <c r="G1606" s="76">
        <v>5</v>
      </c>
      <c r="H1606" s="76" t="s">
        <v>17</v>
      </c>
      <c r="I1606" s="76" t="s">
        <v>34</v>
      </c>
      <c r="J1606" s="76">
        <v>0</v>
      </c>
      <c r="K1606" s="78">
        <f>AB1606/COUNTIFS($B:$B,$B1606,$C:$C,$C1606,$H:$H,$H1606,$I:$I,$I1606)</f>
        <v>0.08</v>
      </c>
      <c r="L1606" s="80">
        <f t="shared" si="102"/>
        <v>1</v>
      </c>
      <c r="M1606" s="82">
        <f t="shared" si="104"/>
        <v>0</v>
      </c>
      <c r="N1606" s="59"/>
      <c r="AA1606" s="154">
        <f>AB1606/COUNTIFS($B:$B,$B1606,$C:$C,$C1606,$H:$H,$H1606,$I:$I,$I1606)</f>
        <v>0.08</v>
      </c>
      <c r="AB1606" s="155">
        <f>VLOOKUP(I1606,'Weights and Confidence'!$D$16:$AC$26,11,FALSE)</f>
        <v>0.08</v>
      </c>
      <c r="AC1606" s="156">
        <f>VLOOKUP(I1606,'Weights and Confidence'!$D$16:$AC$26,12,FALSE)</f>
        <v>1</v>
      </c>
    </row>
    <row r="1607" spans="1:29" x14ac:dyDescent="0.2">
      <c r="A1607" s="77" t="s">
        <v>566</v>
      </c>
      <c r="B1607" s="77" t="s">
        <v>87</v>
      </c>
      <c r="C1607" s="77" t="s">
        <v>144</v>
      </c>
      <c r="D1607" s="77" t="s">
        <v>5</v>
      </c>
      <c r="E1607" s="77" t="s">
        <v>679</v>
      </c>
      <c r="F1607" s="91" t="s">
        <v>586</v>
      </c>
      <c r="G1607" s="77">
        <v>5</v>
      </c>
      <c r="H1607" s="77" t="s">
        <v>18</v>
      </c>
      <c r="I1607" s="77" t="s">
        <v>34</v>
      </c>
      <c r="J1607" s="77">
        <v>-1</v>
      </c>
      <c r="K1607" s="79">
        <f>AB1607/COUNTIFS($B:$B,$B1607,$C:$C,$C1607,$H:$H,$H1607,$I:$I,$I1607)</f>
        <v>0.08</v>
      </c>
      <c r="L1607" s="81">
        <f t="shared" si="102"/>
        <v>1</v>
      </c>
      <c r="M1607" s="83">
        <f t="shared" si="104"/>
        <v>-0.08</v>
      </c>
      <c r="N1607" s="17" t="s">
        <v>587</v>
      </c>
      <c r="AA1607" s="154">
        <f>AB1607/COUNTIFS($B:$B,$B1607,$C:$C,$C1607,$H:$H,$H1607,$I:$I,$I1607)</f>
        <v>0.08</v>
      </c>
      <c r="AB1607" s="155">
        <f>VLOOKUP(I1607,'Weights and Confidence'!$D$16:$AC$26,11,FALSE)</f>
        <v>0.08</v>
      </c>
      <c r="AC1607" s="156">
        <f>VLOOKUP(I1607,'Weights and Confidence'!$D$16:$AC$26,12,FALSE)</f>
        <v>1</v>
      </c>
    </row>
    <row r="1608" spans="1:29" x14ac:dyDescent="0.2">
      <c r="A1608" s="76" t="s">
        <v>566</v>
      </c>
      <c r="B1608" s="76" t="s">
        <v>87</v>
      </c>
      <c r="C1608" s="76" t="s">
        <v>144</v>
      </c>
      <c r="D1608" s="76" t="s">
        <v>5</v>
      </c>
      <c r="E1608" s="76" t="s">
        <v>679</v>
      </c>
      <c r="F1608" s="91" t="s">
        <v>586</v>
      </c>
      <c r="G1608" s="76">
        <v>6</v>
      </c>
      <c r="H1608" s="76" t="s">
        <v>17</v>
      </c>
      <c r="I1608" s="76" t="s">
        <v>23</v>
      </c>
      <c r="J1608" s="76">
        <v>0</v>
      </c>
      <c r="K1608" s="78">
        <f>AB1608/COUNTIFS($B:$B,$B1608,$C:$C,$C1608,$H:$H,$H1608,$I:$I,$I1608)</f>
        <v>7.0000000000000007E-2</v>
      </c>
      <c r="L1608" s="80">
        <f t="shared" si="102"/>
        <v>1</v>
      </c>
      <c r="M1608" s="82">
        <f t="shared" si="104"/>
        <v>0</v>
      </c>
      <c r="N1608" s="59"/>
      <c r="AA1608" s="154">
        <f>AB1608/COUNTIFS($B:$B,$B1608,$C:$C,$C1608,$H:$H,$H1608,$I:$I,$I1608)</f>
        <v>7.0000000000000007E-2</v>
      </c>
      <c r="AB1608" s="155">
        <f>VLOOKUP(I1608,'Weights and Confidence'!$D$16:$AC$26,11,FALSE)</f>
        <v>7.0000000000000007E-2</v>
      </c>
      <c r="AC1608" s="156">
        <f>VLOOKUP(I1608,'Weights and Confidence'!$D$16:$AC$26,12,FALSE)</f>
        <v>1</v>
      </c>
    </row>
    <row r="1609" spans="1:29" x14ac:dyDescent="0.2">
      <c r="A1609" s="77" t="s">
        <v>566</v>
      </c>
      <c r="B1609" s="77" t="s">
        <v>87</v>
      </c>
      <c r="C1609" s="77" t="s">
        <v>144</v>
      </c>
      <c r="D1609" s="77" t="s">
        <v>5</v>
      </c>
      <c r="E1609" s="77" t="s">
        <v>679</v>
      </c>
      <c r="F1609" s="91" t="s">
        <v>586</v>
      </c>
      <c r="G1609" s="77">
        <v>6</v>
      </c>
      <c r="H1609" s="77" t="s">
        <v>18</v>
      </c>
      <c r="I1609" s="77" t="s">
        <v>23</v>
      </c>
      <c r="J1609" s="77">
        <v>-1</v>
      </c>
      <c r="K1609" s="79">
        <f>AB1609/COUNTIFS($B:$B,$B1609,$C:$C,$C1609,$H:$H,$H1609,$I:$I,$I1609)</f>
        <v>7.0000000000000007E-2</v>
      </c>
      <c r="L1609" s="81">
        <f t="shared" si="102"/>
        <v>1</v>
      </c>
      <c r="M1609" s="83">
        <f t="shared" si="104"/>
        <v>-7.0000000000000007E-2</v>
      </c>
      <c r="N1609" s="17" t="s">
        <v>587</v>
      </c>
      <c r="AA1609" s="154">
        <f>AB1609/COUNTIFS($B:$B,$B1609,$C:$C,$C1609,$H:$H,$H1609,$I:$I,$I1609)</f>
        <v>7.0000000000000007E-2</v>
      </c>
      <c r="AB1609" s="155">
        <f>VLOOKUP(I1609,'Weights and Confidence'!$D$16:$AC$26,11,FALSE)</f>
        <v>7.0000000000000007E-2</v>
      </c>
      <c r="AC1609" s="156">
        <f>VLOOKUP(I1609,'Weights and Confidence'!$D$16:$AC$26,12,FALSE)</f>
        <v>1</v>
      </c>
    </row>
    <row r="1610" spans="1:29" x14ac:dyDescent="0.2">
      <c r="A1610" s="76" t="s">
        <v>566</v>
      </c>
      <c r="B1610" s="76" t="s">
        <v>87</v>
      </c>
      <c r="C1610" s="76" t="s">
        <v>144</v>
      </c>
      <c r="D1610" s="76" t="s">
        <v>5</v>
      </c>
      <c r="E1610" s="76" t="s">
        <v>679</v>
      </c>
      <c r="F1610" s="91" t="s">
        <v>586</v>
      </c>
      <c r="G1610" s="76">
        <v>7</v>
      </c>
      <c r="H1610" s="76" t="s">
        <v>17</v>
      </c>
      <c r="I1610" s="76" t="s">
        <v>24</v>
      </c>
      <c r="J1610" s="76">
        <v>0</v>
      </c>
      <c r="K1610" s="78">
        <f>AB1610/COUNTIFS($B:$B,$B1610,$C:$C,$C1610,$H:$H,$H1610,$I:$I,$I1610)</f>
        <v>0.15</v>
      </c>
      <c r="L1610" s="80">
        <f t="shared" si="102"/>
        <v>1</v>
      </c>
      <c r="M1610" s="82">
        <f t="shared" si="104"/>
        <v>0</v>
      </c>
      <c r="N1610" s="59"/>
      <c r="AA1610" s="154">
        <f>AB1610/COUNTIFS($B:$B,$B1610,$C:$C,$C1610,$H:$H,$H1610,$I:$I,$I1610)</f>
        <v>0.15</v>
      </c>
      <c r="AB1610" s="155">
        <f>VLOOKUP(I1610,'Weights and Confidence'!$D$16:$AC$26,11,FALSE)</f>
        <v>0.15</v>
      </c>
      <c r="AC1610" s="156">
        <f>VLOOKUP(I1610,'Weights and Confidence'!$D$16:$AC$26,12,FALSE)</f>
        <v>1</v>
      </c>
    </row>
    <row r="1611" spans="1:29" x14ac:dyDescent="0.2">
      <c r="A1611" s="77" t="s">
        <v>566</v>
      </c>
      <c r="B1611" s="77" t="s">
        <v>87</v>
      </c>
      <c r="C1611" s="77" t="s">
        <v>144</v>
      </c>
      <c r="D1611" s="77" t="s">
        <v>5</v>
      </c>
      <c r="E1611" s="77" t="s">
        <v>679</v>
      </c>
      <c r="F1611" s="91" t="s">
        <v>586</v>
      </c>
      <c r="G1611" s="77">
        <v>7</v>
      </c>
      <c r="H1611" s="77" t="s">
        <v>18</v>
      </c>
      <c r="I1611" s="77" t="s">
        <v>24</v>
      </c>
      <c r="J1611" s="77">
        <v>0</v>
      </c>
      <c r="K1611" s="79">
        <f>AB1611/COUNTIFS($B:$B,$B1611,$C:$C,$C1611,$H:$H,$H1611,$I:$I,$I1611)</f>
        <v>0.15</v>
      </c>
      <c r="L1611" s="81">
        <f t="shared" si="102"/>
        <v>1</v>
      </c>
      <c r="M1611" s="83">
        <f t="shared" si="104"/>
        <v>0</v>
      </c>
      <c r="N1611" s="17" t="s">
        <v>587</v>
      </c>
      <c r="AA1611" s="154">
        <f>AB1611/COUNTIFS($B:$B,$B1611,$C:$C,$C1611,$H:$H,$H1611,$I:$I,$I1611)</f>
        <v>0.15</v>
      </c>
      <c r="AB1611" s="155">
        <f>VLOOKUP(I1611,'Weights and Confidence'!$D$16:$AC$26,11,FALSE)</f>
        <v>0.15</v>
      </c>
      <c r="AC1611" s="156">
        <f>VLOOKUP(I1611,'Weights and Confidence'!$D$16:$AC$26,12,FALSE)</f>
        <v>1</v>
      </c>
    </row>
    <row r="1612" spans="1:29" x14ac:dyDescent="0.2">
      <c r="A1612" s="76" t="s">
        <v>566</v>
      </c>
      <c r="B1612" s="76" t="s">
        <v>87</v>
      </c>
      <c r="C1612" s="76" t="s">
        <v>144</v>
      </c>
      <c r="D1612" s="76" t="s">
        <v>5</v>
      </c>
      <c r="E1612" s="76" t="s">
        <v>679</v>
      </c>
      <c r="F1612" s="91" t="s">
        <v>586</v>
      </c>
      <c r="G1612" s="76">
        <v>8</v>
      </c>
      <c r="H1612" s="76" t="s">
        <v>17</v>
      </c>
      <c r="I1612" s="76" t="s">
        <v>25</v>
      </c>
      <c r="J1612" s="76">
        <v>0</v>
      </c>
      <c r="K1612" s="78">
        <f>AB1612/COUNTIFS($B:$B,$B1612,$C:$C,$C1612,$H:$H,$H1612,$I:$I,$I1612)</f>
        <v>0.1</v>
      </c>
      <c r="L1612" s="80">
        <f t="shared" si="102"/>
        <v>1</v>
      </c>
      <c r="M1612" s="82">
        <f t="shared" si="104"/>
        <v>0</v>
      </c>
      <c r="N1612" s="59"/>
      <c r="AA1612" s="154">
        <f>AB1612/COUNTIFS($B:$B,$B1612,$C:$C,$C1612,$H:$H,$H1612,$I:$I,$I1612)</f>
        <v>0.1</v>
      </c>
      <c r="AB1612" s="155">
        <f>VLOOKUP(I1612,'Weights and Confidence'!$D$16:$AC$26,11,FALSE)</f>
        <v>0.1</v>
      </c>
      <c r="AC1612" s="156">
        <f>VLOOKUP(I1612,'Weights and Confidence'!$D$16:$AC$26,12,FALSE)</f>
        <v>1</v>
      </c>
    </row>
    <row r="1613" spans="1:29" x14ac:dyDescent="0.2">
      <c r="A1613" s="77" t="s">
        <v>566</v>
      </c>
      <c r="B1613" s="77" t="s">
        <v>87</v>
      </c>
      <c r="C1613" s="77" t="s">
        <v>144</v>
      </c>
      <c r="D1613" s="77" t="s">
        <v>5</v>
      </c>
      <c r="E1613" s="77" t="s">
        <v>679</v>
      </c>
      <c r="F1613" s="91" t="s">
        <v>586</v>
      </c>
      <c r="G1613" s="77">
        <v>8</v>
      </c>
      <c r="H1613" s="77" t="s">
        <v>18</v>
      </c>
      <c r="I1613" s="77" t="s">
        <v>25</v>
      </c>
      <c r="J1613" s="77">
        <v>0</v>
      </c>
      <c r="K1613" s="79">
        <f>AB1613/COUNTIFS($B:$B,$B1613,$C:$C,$C1613,$H:$H,$H1613,$I:$I,$I1613)</f>
        <v>0.1</v>
      </c>
      <c r="L1613" s="81">
        <f t="shared" si="102"/>
        <v>1</v>
      </c>
      <c r="M1613" s="83">
        <f t="shared" si="104"/>
        <v>0</v>
      </c>
      <c r="N1613" s="84"/>
      <c r="AA1613" s="154">
        <f>AB1613/COUNTIFS($B:$B,$B1613,$C:$C,$C1613,$H:$H,$H1613,$I:$I,$I1613)</f>
        <v>0.1</v>
      </c>
      <c r="AB1613" s="155">
        <f>VLOOKUP(I1613,'Weights and Confidence'!$D$16:$AC$26,11,FALSE)</f>
        <v>0.1</v>
      </c>
      <c r="AC1613" s="156">
        <f>VLOOKUP(I1613,'Weights and Confidence'!$D$16:$AC$26,12,FALSE)</f>
        <v>1</v>
      </c>
    </row>
    <row r="1614" spans="1:29" x14ac:dyDescent="0.2">
      <c r="A1614" s="76" t="s">
        <v>566</v>
      </c>
      <c r="B1614" s="76" t="s">
        <v>87</v>
      </c>
      <c r="C1614" s="76" t="s">
        <v>144</v>
      </c>
      <c r="D1614" s="76" t="s">
        <v>5</v>
      </c>
      <c r="E1614" s="76" t="s">
        <v>679</v>
      </c>
      <c r="F1614" s="91" t="s">
        <v>586</v>
      </c>
      <c r="G1614" s="76">
        <v>9</v>
      </c>
      <c r="H1614" s="76" t="s">
        <v>17</v>
      </c>
      <c r="I1614" s="76" t="s">
        <v>26</v>
      </c>
      <c r="J1614" s="76">
        <v>0</v>
      </c>
      <c r="K1614" s="78">
        <f>AB1614/COUNTIFS($B:$B,$B1614,$C:$C,$C1614,$H:$H,$H1614,$I:$I,$I1614)</f>
        <v>0.1</v>
      </c>
      <c r="L1614" s="80">
        <f t="shared" si="102"/>
        <v>1</v>
      </c>
      <c r="M1614" s="82">
        <f t="shared" si="104"/>
        <v>0</v>
      </c>
      <c r="N1614" s="59"/>
      <c r="AA1614" s="154">
        <f>AB1614/COUNTIFS($B:$B,$B1614,$C:$C,$C1614,$H:$H,$H1614,$I:$I,$I1614)</f>
        <v>0.1</v>
      </c>
      <c r="AB1614" s="155">
        <f>VLOOKUP(I1614,'Weights and Confidence'!$D$16:$AC$26,11,FALSE)</f>
        <v>0.1</v>
      </c>
      <c r="AC1614" s="156">
        <f>VLOOKUP(I1614,'Weights and Confidence'!$D$16:$AC$26,12,FALSE)</f>
        <v>1</v>
      </c>
    </row>
    <row r="1615" spans="1:29" x14ac:dyDescent="0.2">
      <c r="A1615" s="77" t="s">
        <v>566</v>
      </c>
      <c r="B1615" s="77" t="s">
        <v>87</v>
      </c>
      <c r="C1615" s="77" t="s">
        <v>144</v>
      </c>
      <c r="D1615" s="77" t="s">
        <v>5</v>
      </c>
      <c r="E1615" s="77" t="s">
        <v>679</v>
      </c>
      <c r="F1615" s="91" t="s">
        <v>586</v>
      </c>
      <c r="G1615" s="77">
        <v>9</v>
      </c>
      <c r="H1615" s="77" t="s">
        <v>18</v>
      </c>
      <c r="I1615" s="77" t="s">
        <v>26</v>
      </c>
      <c r="J1615" s="77">
        <v>-1</v>
      </c>
      <c r="K1615" s="79">
        <f>AB1615/COUNTIFS($B:$B,$B1615,$C:$C,$C1615,$H:$H,$H1615,$I:$I,$I1615)</f>
        <v>0.1</v>
      </c>
      <c r="L1615" s="81">
        <f t="shared" si="102"/>
        <v>1</v>
      </c>
      <c r="M1615" s="83">
        <f t="shared" si="104"/>
        <v>-0.1</v>
      </c>
      <c r="N1615" s="58"/>
      <c r="AA1615" s="154">
        <f>AB1615/COUNTIFS($B:$B,$B1615,$C:$C,$C1615,$H:$H,$H1615,$I:$I,$I1615)</f>
        <v>0.1</v>
      </c>
      <c r="AB1615" s="155">
        <f>VLOOKUP(I1615,'Weights and Confidence'!$D$16:$AC$26,11,FALSE)</f>
        <v>0.1</v>
      </c>
      <c r="AC1615" s="156">
        <f>VLOOKUP(I1615,'Weights and Confidence'!$D$16:$AC$26,12,FALSE)</f>
        <v>1</v>
      </c>
    </row>
    <row r="1616" spans="1:29" x14ac:dyDescent="0.2">
      <c r="A1616" s="76" t="s">
        <v>566</v>
      </c>
      <c r="B1616" s="76" t="s">
        <v>87</v>
      </c>
      <c r="C1616" s="76" t="s">
        <v>144</v>
      </c>
      <c r="D1616" s="76" t="s">
        <v>5</v>
      </c>
      <c r="E1616" s="76" t="s">
        <v>679</v>
      </c>
      <c r="F1616" s="91" t="s">
        <v>586</v>
      </c>
      <c r="G1616" s="76">
        <v>10</v>
      </c>
      <c r="H1616" s="76" t="s">
        <v>17</v>
      </c>
      <c r="I1616" s="76" t="s">
        <v>27</v>
      </c>
      <c r="J1616" s="76">
        <v>-1</v>
      </c>
      <c r="K1616" s="78">
        <f>AB1616/COUNTIFS($B:$B,$B1616,$C:$C,$C1616,$H:$H,$H1616,$I:$I,$I1616)</f>
        <v>0.05</v>
      </c>
      <c r="L1616" s="80">
        <f t="shared" si="102"/>
        <v>0.9</v>
      </c>
      <c r="M1616" s="82">
        <f t="shared" si="104"/>
        <v>-4.5000000000000005E-2</v>
      </c>
      <c r="N1616" s="59"/>
      <c r="AA1616" s="154">
        <f>AB1616/COUNTIFS($B:$B,$B1616,$C:$C,$C1616,$H:$H,$H1616,$I:$I,$I1616)</f>
        <v>0.05</v>
      </c>
      <c r="AB1616" s="155">
        <f>VLOOKUP(I1616,'Weights and Confidence'!$D$16:$AC$26,11,FALSE)</f>
        <v>0.1</v>
      </c>
      <c r="AC1616" s="156">
        <f>VLOOKUP(I1616,'Weights and Confidence'!$D$16:$AC$26,12,FALSE)</f>
        <v>0.9</v>
      </c>
    </row>
    <row r="1617" spans="1:29" x14ac:dyDescent="0.2">
      <c r="A1617" s="77" t="s">
        <v>566</v>
      </c>
      <c r="B1617" s="77" t="s">
        <v>87</v>
      </c>
      <c r="C1617" s="77" t="s">
        <v>144</v>
      </c>
      <c r="D1617" s="77" t="s">
        <v>5</v>
      </c>
      <c r="E1617" s="77" t="s">
        <v>679</v>
      </c>
      <c r="F1617" s="91" t="s">
        <v>586</v>
      </c>
      <c r="G1617" s="77">
        <v>10</v>
      </c>
      <c r="H1617" s="77" t="s">
        <v>18</v>
      </c>
      <c r="I1617" s="77" t="s">
        <v>27</v>
      </c>
      <c r="J1617" s="77">
        <v>0</v>
      </c>
      <c r="K1617" s="79">
        <f>AB1617/COUNTIFS($B:$B,$B1617,$C:$C,$C1617,$H:$H,$H1617,$I:$I,$I1617)</f>
        <v>0.05</v>
      </c>
      <c r="L1617" s="81">
        <f t="shared" si="102"/>
        <v>0.9</v>
      </c>
      <c r="M1617" s="83">
        <f t="shared" si="104"/>
        <v>0</v>
      </c>
      <c r="N1617" s="84"/>
      <c r="AA1617" s="154">
        <f>AB1617/COUNTIFS($B:$B,$B1617,$C:$C,$C1617,$H:$H,$H1617,$I:$I,$I1617)</f>
        <v>0.05</v>
      </c>
      <c r="AB1617" s="155">
        <f>VLOOKUP(I1617,'Weights and Confidence'!$D$16:$AC$26,11,FALSE)</f>
        <v>0.1</v>
      </c>
      <c r="AC1617" s="156">
        <f>VLOOKUP(I1617,'Weights and Confidence'!$D$16:$AC$26,12,FALSE)</f>
        <v>0.9</v>
      </c>
    </row>
    <row r="1618" spans="1:29" x14ac:dyDescent="0.2">
      <c r="A1618" s="76" t="s">
        <v>566</v>
      </c>
      <c r="B1618" s="76" t="s">
        <v>87</v>
      </c>
      <c r="C1618" s="76" t="s">
        <v>144</v>
      </c>
      <c r="D1618" s="76" t="s">
        <v>5</v>
      </c>
      <c r="E1618" s="76" t="s">
        <v>679</v>
      </c>
      <c r="F1618" s="91" t="s">
        <v>586</v>
      </c>
      <c r="G1618" s="76">
        <v>11</v>
      </c>
      <c r="H1618" s="76" t="s">
        <v>17</v>
      </c>
      <c r="I1618" s="76" t="s">
        <v>27</v>
      </c>
      <c r="J1618" s="76">
        <v>0</v>
      </c>
      <c r="K1618" s="78">
        <f>AB1618/COUNTIFS($B:$B,$B1618,$C:$C,$C1618,$H:$H,$H1618,$I:$I,$I1618)</f>
        <v>0.05</v>
      </c>
      <c r="L1618" s="80">
        <f t="shared" si="102"/>
        <v>0.9</v>
      </c>
      <c r="M1618" s="82">
        <f t="shared" si="104"/>
        <v>0</v>
      </c>
      <c r="N1618" s="59"/>
      <c r="AA1618" s="154">
        <f>AB1618/COUNTIFS($B:$B,$B1618,$C:$C,$C1618,$H:$H,$H1618,$I:$I,$I1618)</f>
        <v>0.05</v>
      </c>
      <c r="AB1618" s="155">
        <f>VLOOKUP(I1618,'Weights and Confidence'!$D$16:$AC$26,11,FALSE)</f>
        <v>0.1</v>
      </c>
      <c r="AC1618" s="156">
        <f>VLOOKUP(I1618,'Weights and Confidence'!$D$16:$AC$26,12,FALSE)</f>
        <v>0.9</v>
      </c>
    </row>
    <row r="1619" spans="1:29" x14ac:dyDescent="0.2">
      <c r="A1619" s="77" t="s">
        <v>566</v>
      </c>
      <c r="B1619" s="77" t="s">
        <v>87</v>
      </c>
      <c r="C1619" s="77" t="s">
        <v>144</v>
      </c>
      <c r="D1619" s="77" t="s">
        <v>5</v>
      </c>
      <c r="E1619" s="77" t="s">
        <v>679</v>
      </c>
      <c r="F1619" s="91" t="s">
        <v>586</v>
      </c>
      <c r="G1619" s="77">
        <v>11</v>
      </c>
      <c r="H1619" s="77" t="s">
        <v>18</v>
      </c>
      <c r="I1619" s="77" t="s">
        <v>27</v>
      </c>
      <c r="J1619" s="77">
        <v>-1</v>
      </c>
      <c r="K1619" s="79">
        <f>AB1619/COUNTIFS($B:$B,$B1619,$C:$C,$C1619,$H:$H,$H1619,$I:$I,$I1619)</f>
        <v>0.05</v>
      </c>
      <c r="L1619" s="81">
        <f t="shared" si="102"/>
        <v>0.9</v>
      </c>
      <c r="M1619" s="83">
        <f t="shared" si="104"/>
        <v>-4.5000000000000005E-2</v>
      </c>
      <c r="N1619" s="84"/>
      <c r="AA1619" s="154">
        <f>AB1619/COUNTIFS($B:$B,$B1619,$C:$C,$C1619,$H:$H,$H1619,$I:$I,$I1619)</f>
        <v>0.05</v>
      </c>
      <c r="AB1619" s="155">
        <f>VLOOKUP(I1619,'Weights and Confidence'!$D$16:$AC$26,11,FALSE)</f>
        <v>0.1</v>
      </c>
      <c r="AC1619" s="156">
        <f>VLOOKUP(I1619,'Weights and Confidence'!$D$16:$AC$26,12,FALSE)</f>
        <v>0.9</v>
      </c>
    </row>
    <row r="1620" spans="1:29" x14ac:dyDescent="0.2">
      <c r="A1620" s="77" t="s">
        <v>566</v>
      </c>
      <c r="B1620" s="77" t="s">
        <v>87</v>
      </c>
      <c r="C1620" s="77" t="s">
        <v>144</v>
      </c>
      <c r="D1620" s="77" t="s">
        <v>5</v>
      </c>
      <c r="E1620" s="77" t="s">
        <v>679</v>
      </c>
      <c r="F1620" s="91" t="s">
        <v>586</v>
      </c>
      <c r="G1620" s="77">
        <v>12</v>
      </c>
      <c r="H1620" s="77" t="s">
        <v>17</v>
      </c>
      <c r="I1620" s="77" t="s">
        <v>28</v>
      </c>
      <c r="J1620" s="77">
        <v>0</v>
      </c>
      <c r="K1620" s="79">
        <f>AB1620/COUNTIFS($B:$B,$B1620,$C:$C,$C1620,$H:$H,$H1620,$I:$I,$I1620)</f>
        <v>0.05</v>
      </c>
      <c r="L1620" s="81">
        <f t="shared" si="102"/>
        <v>1</v>
      </c>
      <c r="M1620" s="83">
        <f>J1620*K1620*L1620</f>
        <v>0</v>
      </c>
      <c r="N1620" s="58"/>
      <c r="AA1620" s="154">
        <f>AB1620/COUNTIFS($B:$B,$B1620,$C:$C,$C1620,$H:$H,$H1620,$I:$I,$I1620)</f>
        <v>0.05</v>
      </c>
      <c r="AB1620" s="155">
        <f>VLOOKUP(I1620,'Weights and Confidence'!$D$16:$AC$26,11,FALSE)</f>
        <v>0.05</v>
      </c>
      <c r="AC1620" s="156">
        <f>VLOOKUP(I1620,'Weights and Confidence'!$D$16:$AC$26,12,FALSE)</f>
        <v>1</v>
      </c>
    </row>
    <row r="1621" spans="1:29" ht="17" thickBot="1" x14ac:dyDescent="0.25">
      <c r="A1621" s="98" t="s">
        <v>566</v>
      </c>
      <c r="B1621" s="98" t="s">
        <v>87</v>
      </c>
      <c r="C1621" s="98" t="s">
        <v>144</v>
      </c>
      <c r="D1621" s="98" t="s">
        <v>5</v>
      </c>
      <c r="E1621" s="98" t="s">
        <v>679</v>
      </c>
      <c r="F1621" s="93" t="s">
        <v>586</v>
      </c>
      <c r="G1621" s="98">
        <v>12</v>
      </c>
      <c r="H1621" s="98" t="s">
        <v>18</v>
      </c>
      <c r="I1621" s="98" t="s">
        <v>28</v>
      </c>
      <c r="J1621" s="98">
        <v>-1</v>
      </c>
      <c r="K1621" s="99">
        <f>AB1621/COUNTIFS($B:$B,$B1621,$C:$C,$C1621,$H:$H,$H1621,$I:$I,$I1621)</f>
        <v>0.05</v>
      </c>
      <c r="L1621" s="100">
        <f t="shared" si="102"/>
        <v>1</v>
      </c>
      <c r="M1621" s="101">
        <f>J1621*K1621*L1621</f>
        <v>-0.05</v>
      </c>
      <c r="N1621" s="22" t="s">
        <v>588</v>
      </c>
      <c r="AA1621" s="157">
        <f>AB1621/COUNTIFS($B:$B,$B1621,$C:$C,$C1621,$H:$H,$H1621,$I:$I,$I1621)</f>
        <v>0.05</v>
      </c>
      <c r="AB1621" s="158">
        <f>VLOOKUP(I1621,'Weights and Confidence'!$D$16:$AC$26,11,FALSE)</f>
        <v>0.05</v>
      </c>
      <c r="AC1621" s="159">
        <f>VLOOKUP(I1621,'Weights and Confidence'!$D$16:$AC$26,12,FALSE)</f>
        <v>1</v>
      </c>
    </row>
    <row r="1622" spans="1:29" ht="17" thickTop="1" x14ac:dyDescent="0.2">
      <c r="A1622" s="86" t="s">
        <v>566</v>
      </c>
      <c r="B1622" s="86" t="s">
        <v>87</v>
      </c>
      <c r="C1622" s="86" t="s">
        <v>149</v>
      </c>
      <c r="D1622" s="86" t="s">
        <v>5</v>
      </c>
      <c r="E1622" s="86" t="s">
        <v>103</v>
      </c>
      <c r="F1622" s="18" t="s">
        <v>150</v>
      </c>
      <c r="G1622" s="86">
        <v>1</v>
      </c>
      <c r="H1622" s="86" t="s">
        <v>17</v>
      </c>
      <c r="I1622" s="86" t="s">
        <v>19</v>
      </c>
      <c r="J1622" s="97">
        <v>1</v>
      </c>
      <c r="K1622" s="87">
        <f>AB1622/COUNTIFS($B:$B,$B1622,$C:$C,$C1622,$H:$H,$H1622,$I:$I,$I1622)</f>
        <v>0.12</v>
      </c>
      <c r="L1622" s="88">
        <f t="shared" ref="L1622:L1645" si="105">AC1622</f>
        <v>1</v>
      </c>
      <c r="M1622" s="89">
        <f t="shared" ref="M1622" si="106">J1622*K1622*L1622</f>
        <v>0.12</v>
      </c>
      <c r="N1622" s="90"/>
      <c r="AA1622" s="154">
        <f>AB1622/COUNTIFS($B:$B,$B1622,$C:$C,$C1622,$H:$H,$H1622,$I:$I,$I1622)</f>
        <v>0.12</v>
      </c>
      <c r="AB1622" s="155">
        <f>VLOOKUP(I1622,'Weights and Confidence'!$D$16:$AC$26,11,FALSE)</f>
        <v>0.12</v>
      </c>
      <c r="AC1622" s="156">
        <f>VLOOKUP(I1622,'Weights and Confidence'!$D$16:$AC$26,12,FALSE)</f>
        <v>1</v>
      </c>
    </row>
    <row r="1623" spans="1:29" x14ac:dyDescent="0.2">
      <c r="A1623" s="77" t="s">
        <v>566</v>
      </c>
      <c r="B1623" s="77" t="s">
        <v>87</v>
      </c>
      <c r="C1623" s="77" t="s">
        <v>149</v>
      </c>
      <c r="D1623" s="77" t="s">
        <v>5</v>
      </c>
      <c r="E1623" s="77" t="s">
        <v>103</v>
      </c>
      <c r="F1623" s="91" t="s">
        <v>150</v>
      </c>
      <c r="G1623" s="77">
        <v>1</v>
      </c>
      <c r="H1623" s="77" t="s">
        <v>18</v>
      </c>
      <c r="I1623" s="77" t="s">
        <v>19</v>
      </c>
      <c r="J1623" s="77">
        <v>1</v>
      </c>
      <c r="K1623" s="79">
        <f>AB1623/COUNTIFS($B:$B,$B1623,$C:$C,$C1623,$H:$H,$H1623,$I:$I,$I1623)</f>
        <v>0.12</v>
      </c>
      <c r="L1623" s="81">
        <f t="shared" si="105"/>
        <v>1</v>
      </c>
      <c r="M1623" s="83">
        <f>J1622*K1623*L1623</f>
        <v>0.12</v>
      </c>
      <c r="N1623" s="84"/>
      <c r="AA1623" s="154">
        <f>AB1623/COUNTIFS($B:$B,$B1623,$C:$C,$C1623,$H:$H,$H1623,$I:$I,$I1623)</f>
        <v>0.12</v>
      </c>
      <c r="AB1623" s="155">
        <f>VLOOKUP(I1623,'Weights and Confidence'!$D$16:$AC$26,11,FALSE)</f>
        <v>0.12</v>
      </c>
      <c r="AC1623" s="156">
        <f>VLOOKUP(I1623,'Weights and Confidence'!$D$16:$AC$26,12,FALSE)</f>
        <v>1</v>
      </c>
    </row>
    <row r="1624" spans="1:29" x14ac:dyDescent="0.2">
      <c r="A1624" s="76" t="s">
        <v>566</v>
      </c>
      <c r="B1624" s="76" t="s">
        <v>87</v>
      </c>
      <c r="C1624" s="76" t="s">
        <v>149</v>
      </c>
      <c r="D1624" s="76" t="s">
        <v>5</v>
      </c>
      <c r="E1624" s="76" t="s">
        <v>103</v>
      </c>
      <c r="F1624" s="91" t="s">
        <v>150</v>
      </c>
      <c r="G1624" s="76">
        <v>2</v>
      </c>
      <c r="H1624" s="76" t="s">
        <v>17</v>
      </c>
      <c r="I1624" s="76" t="s">
        <v>20</v>
      </c>
      <c r="J1624" s="76">
        <v>1</v>
      </c>
      <c r="K1624" s="78">
        <f>AB1624/COUNTIFS($B:$B,$B1624,$C:$C,$C1624,$H:$H,$H1624,$I:$I,$I1624)</f>
        <v>0.08</v>
      </c>
      <c r="L1624" s="80">
        <f t="shared" si="105"/>
        <v>0.9</v>
      </c>
      <c r="M1624" s="82">
        <f t="shared" ref="M1624:M1643" si="107">J1624*K1624*L1624</f>
        <v>7.2000000000000008E-2</v>
      </c>
      <c r="N1624" s="59"/>
      <c r="AA1624" s="154">
        <f>AB1624/COUNTIFS($B:$B,$B1624,$C:$C,$C1624,$H:$H,$H1624,$I:$I,$I1624)</f>
        <v>0.08</v>
      </c>
      <c r="AB1624" s="155">
        <f>VLOOKUP(I1624,'Weights and Confidence'!$D$16:$AC$26,11,FALSE)</f>
        <v>0.08</v>
      </c>
      <c r="AC1624" s="156">
        <f>VLOOKUP(I1624,'Weights and Confidence'!$D$16:$AC$26,12,FALSE)</f>
        <v>0.9</v>
      </c>
    </row>
    <row r="1625" spans="1:29" x14ac:dyDescent="0.2">
      <c r="A1625" s="77" t="s">
        <v>566</v>
      </c>
      <c r="B1625" s="77" t="s">
        <v>87</v>
      </c>
      <c r="C1625" s="77" t="s">
        <v>149</v>
      </c>
      <c r="D1625" s="77" t="s">
        <v>5</v>
      </c>
      <c r="E1625" s="77" t="s">
        <v>103</v>
      </c>
      <c r="F1625" s="91" t="s">
        <v>150</v>
      </c>
      <c r="G1625" s="77">
        <v>2</v>
      </c>
      <c r="H1625" s="77" t="s">
        <v>18</v>
      </c>
      <c r="I1625" s="77" t="s">
        <v>20</v>
      </c>
      <c r="J1625" s="77">
        <v>1</v>
      </c>
      <c r="K1625" s="79">
        <f>AB1625/COUNTIFS($B:$B,$B1625,$C:$C,$C1625,$H:$H,$H1625,$I:$I,$I1625)</f>
        <v>0.08</v>
      </c>
      <c r="L1625" s="81">
        <f t="shared" si="105"/>
        <v>0.9</v>
      </c>
      <c r="M1625" s="83">
        <f t="shared" si="107"/>
        <v>7.2000000000000008E-2</v>
      </c>
      <c r="N1625" s="58"/>
      <c r="AA1625" s="154">
        <f>AB1625/COUNTIFS($B:$B,$B1625,$C:$C,$C1625,$H:$H,$H1625,$I:$I,$I1625)</f>
        <v>0.08</v>
      </c>
      <c r="AB1625" s="155">
        <f>VLOOKUP(I1625,'Weights and Confidence'!$D$16:$AC$26,11,FALSE)</f>
        <v>0.08</v>
      </c>
      <c r="AC1625" s="156">
        <f>VLOOKUP(I1625,'Weights and Confidence'!$D$16:$AC$26,12,FALSE)</f>
        <v>0.9</v>
      </c>
    </row>
    <row r="1626" spans="1:29" x14ac:dyDescent="0.2">
      <c r="A1626" s="76" t="s">
        <v>566</v>
      </c>
      <c r="B1626" s="76" t="s">
        <v>87</v>
      </c>
      <c r="C1626" s="76" t="s">
        <v>149</v>
      </c>
      <c r="D1626" s="76" t="s">
        <v>5</v>
      </c>
      <c r="E1626" s="76" t="s">
        <v>103</v>
      </c>
      <c r="F1626" s="91" t="s">
        <v>150</v>
      </c>
      <c r="G1626" s="76">
        <v>3</v>
      </c>
      <c r="H1626" s="76" t="s">
        <v>17</v>
      </c>
      <c r="I1626" s="76" t="s">
        <v>21</v>
      </c>
      <c r="J1626" s="76">
        <v>1</v>
      </c>
      <c r="K1626" s="78">
        <f>AB1626/COUNTIFS($B:$B,$B1626,$C:$C,$C1626,$H:$H,$H1626,$I:$I,$I1626)</f>
        <v>0.05</v>
      </c>
      <c r="L1626" s="80">
        <f t="shared" si="105"/>
        <v>1</v>
      </c>
      <c r="M1626" s="82">
        <f t="shared" si="107"/>
        <v>0.05</v>
      </c>
      <c r="N1626" s="59"/>
      <c r="AA1626" s="154">
        <f>AB1626/COUNTIFS($B:$B,$B1626,$C:$C,$C1626,$H:$H,$H1626,$I:$I,$I1626)</f>
        <v>0.05</v>
      </c>
      <c r="AB1626" s="155">
        <f>VLOOKUP(I1626,'Weights and Confidence'!$D$16:$AC$26,11,FALSE)</f>
        <v>0.05</v>
      </c>
      <c r="AC1626" s="156">
        <f>VLOOKUP(I1626,'Weights and Confidence'!$D$16:$AC$26,12,FALSE)</f>
        <v>1</v>
      </c>
    </row>
    <row r="1627" spans="1:29" x14ac:dyDescent="0.2">
      <c r="A1627" s="77" t="s">
        <v>566</v>
      </c>
      <c r="B1627" s="77" t="s">
        <v>87</v>
      </c>
      <c r="C1627" s="77" t="s">
        <v>149</v>
      </c>
      <c r="D1627" s="77" t="s">
        <v>5</v>
      </c>
      <c r="E1627" s="77" t="s">
        <v>103</v>
      </c>
      <c r="F1627" s="91" t="s">
        <v>150</v>
      </c>
      <c r="G1627" s="77">
        <v>3</v>
      </c>
      <c r="H1627" s="77" t="s">
        <v>18</v>
      </c>
      <c r="I1627" s="77" t="s">
        <v>21</v>
      </c>
      <c r="J1627" s="77">
        <v>1</v>
      </c>
      <c r="K1627" s="79">
        <f>AB1627/COUNTIFS($B:$B,$B1627,$C:$C,$C1627,$H:$H,$H1627,$I:$I,$I1627)</f>
        <v>0.05</v>
      </c>
      <c r="L1627" s="81">
        <f t="shared" si="105"/>
        <v>1</v>
      </c>
      <c r="M1627" s="83">
        <f t="shared" si="107"/>
        <v>0.05</v>
      </c>
      <c r="N1627" s="84"/>
      <c r="AA1627" s="154">
        <f>AB1627/COUNTIFS($B:$B,$B1627,$C:$C,$C1627,$H:$H,$H1627,$I:$I,$I1627)</f>
        <v>0.05</v>
      </c>
      <c r="AB1627" s="155">
        <f>VLOOKUP(I1627,'Weights and Confidence'!$D$16:$AC$26,11,FALSE)</f>
        <v>0.05</v>
      </c>
      <c r="AC1627" s="156">
        <f>VLOOKUP(I1627,'Weights and Confidence'!$D$16:$AC$26,12,FALSE)</f>
        <v>1</v>
      </c>
    </row>
    <row r="1628" spans="1:29" x14ac:dyDescent="0.2">
      <c r="A1628" s="76" t="s">
        <v>566</v>
      </c>
      <c r="B1628" s="76" t="s">
        <v>87</v>
      </c>
      <c r="C1628" s="76" t="s">
        <v>149</v>
      </c>
      <c r="D1628" s="76" t="s">
        <v>5</v>
      </c>
      <c r="E1628" s="76" t="s">
        <v>103</v>
      </c>
      <c r="F1628" s="91" t="s">
        <v>150</v>
      </c>
      <c r="G1628" s="76">
        <v>4</v>
      </c>
      <c r="H1628" s="76" t="s">
        <v>17</v>
      </c>
      <c r="I1628" s="76" t="s">
        <v>22</v>
      </c>
      <c r="J1628" s="76">
        <v>0</v>
      </c>
      <c r="K1628" s="78">
        <f>AB1628/COUNTIFS($B:$B,$B1628,$C:$C,$C1628,$H:$H,$H1628,$I:$I,$I1628)</f>
        <v>0.1</v>
      </c>
      <c r="L1628" s="80">
        <f t="shared" si="105"/>
        <v>1</v>
      </c>
      <c r="M1628" s="82">
        <f t="shared" si="107"/>
        <v>0</v>
      </c>
      <c r="N1628" s="59"/>
      <c r="AA1628" s="154">
        <f>AB1628/COUNTIFS($B:$B,$B1628,$C:$C,$C1628,$H:$H,$H1628,$I:$I,$I1628)</f>
        <v>0.1</v>
      </c>
      <c r="AB1628" s="155">
        <f>VLOOKUP(I1628,'Weights and Confidence'!$D$16:$AC$26,11,FALSE)</f>
        <v>0.1</v>
      </c>
      <c r="AC1628" s="156">
        <f>VLOOKUP(I1628,'Weights and Confidence'!$D$16:$AC$26,12,FALSE)</f>
        <v>1</v>
      </c>
    </row>
    <row r="1629" spans="1:29" x14ac:dyDescent="0.2">
      <c r="A1629" s="77" t="s">
        <v>566</v>
      </c>
      <c r="B1629" s="77" t="s">
        <v>87</v>
      </c>
      <c r="C1629" s="77" t="s">
        <v>149</v>
      </c>
      <c r="D1629" s="77" t="s">
        <v>5</v>
      </c>
      <c r="E1629" s="77" t="s">
        <v>103</v>
      </c>
      <c r="F1629" s="91" t="s">
        <v>150</v>
      </c>
      <c r="G1629" s="77">
        <v>4</v>
      </c>
      <c r="H1629" s="77" t="s">
        <v>18</v>
      </c>
      <c r="I1629" s="77" t="s">
        <v>22</v>
      </c>
      <c r="J1629" s="77">
        <v>1</v>
      </c>
      <c r="K1629" s="79">
        <f>AB1629/COUNTIFS($B:$B,$B1629,$C:$C,$C1629,$H:$H,$H1629,$I:$I,$I1629)</f>
        <v>0.1</v>
      </c>
      <c r="L1629" s="81">
        <f t="shared" si="105"/>
        <v>1</v>
      </c>
      <c r="M1629" s="83">
        <f t="shared" si="107"/>
        <v>0.1</v>
      </c>
      <c r="N1629" s="17" t="s">
        <v>589</v>
      </c>
      <c r="AA1629" s="154">
        <f>AB1629/COUNTIFS($B:$B,$B1629,$C:$C,$C1629,$H:$H,$H1629,$I:$I,$I1629)</f>
        <v>0.1</v>
      </c>
      <c r="AB1629" s="155">
        <f>VLOOKUP(I1629,'Weights and Confidence'!$D$16:$AC$26,11,FALSE)</f>
        <v>0.1</v>
      </c>
      <c r="AC1629" s="156">
        <f>VLOOKUP(I1629,'Weights and Confidence'!$D$16:$AC$26,12,FALSE)</f>
        <v>1</v>
      </c>
    </row>
    <row r="1630" spans="1:29" x14ac:dyDescent="0.2">
      <c r="A1630" s="76" t="s">
        <v>566</v>
      </c>
      <c r="B1630" s="76" t="s">
        <v>87</v>
      </c>
      <c r="C1630" s="76" t="s">
        <v>149</v>
      </c>
      <c r="D1630" s="76" t="s">
        <v>5</v>
      </c>
      <c r="E1630" s="76" t="s">
        <v>103</v>
      </c>
      <c r="F1630" s="91" t="s">
        <v>150</v>
      </c>
      <c r="G1630" s="76">
        <v>5</v>
      </c>
      <c r="H1630" s="76" t="s">
        <v>17</v>
      </c>
      <c r="I1630" s="76" t="s">
        <v>34</v>
      </c>
      <c r="J1630" s="76">
        <v>0</v>
      </c>
      <c r="K1630" s="78">
        <f>AB1630/COUNTIFS($B:$B,$B1630,$C:$C,$C1630,$H:$H,$H1630,$I:$I,$I1630)</f>
        <v>0.08</v>
      </c>
      <c r="L1630" s="80">
        <f t="shared" si="105"/>
        <v>1</v>
      </c>
      <c r="M1630" s="82">
        <f t="shared" si="107"/>
        <v>0</v>
      </c>
      <c r="N1630" s="17"/>
      <c r="AA1630" s="154">
        <f>AB1630/COUNTIFS($B:$B,$B1630,$C:$C,$C1630,$H:$H,$H1630,$I:$I,$I1630)</f>
        <v>0.08</v>
      </c>
      <c r="AB1630" s="155">
        <f>VLOOKUP(I1630,'Weights and Confidence'!$D$16:$AC$26,11,FALSE)</f>
        <v>0.08</v>
      </c>
      <c r="AC1630" s="156">
        <f>VLOOKUP(I1630,'Weights and Confidence'!$D$16:$AC$26,12,FALSE)</f>
        <v>1</v>
      </c>
    </row>
    <row r="1631" spans="1:29" x14ac:dyDescent="0.2">
      <c r="A1631" s="77" t="s">
        <v>566</v>
      </c>
      <c r="B1631" s="77" t="s">
        <v>87</v>
      </c>
      <c r="C1631" s="77" t="s">
        <v>149</v>
      </c>
      <c r="D1631" s="77" t="s">
        <v>5</v>
      </c>
      <c r="E1631" s="77" t="s">
        <v>103</v>
      </c>
      <c r="F1631" s="91" t="s">
        <v>150</v>
      </c>
      <c r="G1631" s="77">
        <v>5</v>
      </c>
      <c r="H1631" s="77" t="s">
        <v>18</v>
      </c>
      <c r="I1631" s="77" t="s">
        <v>34</v>
      </c>
      <c r="J1631" s="77">
        <v>1</v>
      </c>
      <c r="K1631" s="79">
        <f>AB1631/COUNTIFS($B:$B,$B1631,$C:$C,$C1631,$H:$H,$H1631,$I:$I,$I1631)</f>
        <v>0.08</v>
      </c>
      <c r="L1631" s="81">
        <f t="shared" si="105"/>
        <v>1</v>
      </c>
      <c r="M1631" s="83">
        <f t="shared" si="107"/>
        <v>0.08</v>
      </c>
      <c r="N1631" s="17" t="s">
        <v>589</v>
      </c>
      <c r="AA1631" s="154">
        <f>AB1631/COUNTIFS($B:$B,$B1631,$C:$C,$C1631,$H:$H,$H1631,$I:$I,$I1631)</f>
        <v>0.08</v>
      </c>
      <c r="AB1631" s="155">
        <f>VLOOKUP(I1631,'Weights and Confidence'!$D$16:$AC$26,11,FALSE)</f>
        <v>0.08</v>
      </c>
      <c r="AC1631" s="156">
        <f>VLOOKUP(I1631,'Weights and Confidence'!$D$16:$AC$26,12,FALSE)</f>
        <v>1</v>
      </c>
    </row>
    <row r="1632" spans="1:29" x14ac:dyDescent="0.2">
      <c r="A1632" s="76" t="s">
        <v>566</v>
      </c>
      <c r="B1632" s="76" t="s">
        <v>87</v>
      </c>
      <c r="C1632" s="76" t="s">
        <v>149</v>
      </c>
      <c r="D1632" s="76" t="s">
        <v>5</v>
      </c>
      <c r="E1632" s="76" t="s">
        <v>103</v>
      </c>
      <c r="F1632" s="91" t="s">
        <v>150</v>
      </c>
      <c r="G1632" s="76">
        <v>6</v>
      </c>
      <c r="H1632" s="76" t="s">
        <v>17</v>
      </c>
      <c r="I1632" s="76" t="s">
        <v>23</v>
      </c>
      <c r="J1632" s="76">
        <v>0</v>
      </c>
      <c r="K1632" s="78">
        <f>AB1632/COUNTIFS($B:$B,$B1632,$C:$C,$C1632,$H:$H,$H1632,$I:$I,$I1632)</f>
        <v>7.0000000000000007E-2</v>
      </c>
      <c r="L1632" s="80">
        <f t="shared" si="105"/>
        <v>1</v>
      </c>
      <c r="M1632" s="82">
        <f t="shared" si="107"/>
        <v>0</v>
      </c>
      <c r="N1632" s="59"/>
      <c r="AA1632" s="154">
        <f>AB1632/COUNTIFS($B:$B,$B1632,$C:$C,$C1632,$H:$H,$H1632,$I:$I,$I1632)</f>
        <v>7.0000000000000007E-2</v>
      </c>
      <c r="AB1632" s="155">
        <f>VLOOKUP(I1632,'Weights and Confidence'!$D$16:$AC$26,11,FALSE)</f>
        <v>7.0000000000000007E-2</v>
      </c>
      <c r="AC1632" s="156">
        <f>VLOOKUP(I1632,'Weights and Confidence'!$D$16:$AC$26,12,FALSE)</f>
        <v>1</v>
      </c>
    </row>
    <row r="1633" spans="1:29" x14ac:dyDescent="0.2">
      <c r="A1633" s="77" t="s">
        <v>566</v>
      </c>
      <c r="B1633" s="77" t="s">
        <v>87</v>
      </c>
      <c r="C1633" s="77" t="s">
        <v>149</v>
      </c>
      <c r="D1633" s="77" t="s">
        <v>5</v>
      </c>
      <c r="E1633" s="77" t="s">
        <v>103</v>
      </c>
      <c r="F1633" s="91" t="s">
        <v>150</v>
      </c>
      <c r="G1633" s="77">
        <v>6</v>
      </c>
      <c r="H1633" s="77" t="s">
        <v>18</v>
      </c>
      <c r="I1633" s="77" t="s">
        <v>23</v>
      </c>
      <c r="J1633" s="77">
        <v>1</v>
      </c>
      <c r="K1633" s="79">
        <f>AB1633/COUNTIFS($B:$B,$B1633,$C:$C,$C1633,$H:$H,$H1633,$I:$I,$I1633)</f>
        <v>7.0000000000000007E-2</v>
      </c>
      <c r="L1633" s="81">
        <f t="shared" si="105"/>
        <v>1</v>
      </c>
      <c r="M1633" s="83">
        <f t="shared" si="107"/>
        <v>7.0000000000000007E-2</v>
      </c>
      <c r="N1633" s="17" t="s">
        <v>589</v>
      </c>
      <c r="AA1633" s="154">
        <f>AB1633/COUNTIFS($B:$B,$B1633,$C:$C,$C1633,$H:$H,$H1633,$I:$I,$I1633)</f>
        <v>7.0000000000000007E-2</v>
      </c>
      <c r="AB1633" s="155">
        <f>VLOOKUP(I1633,'Weights and Confidence'!$D$16:$AC$26,11,FALSE)</f>
        <v>7.0000000000000007E-2</v>
      </c>
      <c r="AC1633" s="156">
        <f>VLOOKUP(I1633,'Weights and Confidence'!$D$16:$AC$26,12,FALSE)</f>
        <v>1</v>
      </c>
    </row>
    <row r="1634" spans="1:29" x14ac:dyDescent="0.2">
      <c r="A1634" s="76" t="s">
        <v>566</v>
      </c>
      <c r="B1634" s="76" t="s">
        <v>87</v>
      </c>
      <c r="C1634" s="76" t="s">
        <v>149</v>
      </c>
      <c r="D1634" s="76" t="s">
        <v>5</v>
      </c>
      <c r="E1634" s="76" t="s">
        <v>103</v>
      </c>
      <c r="F1634" s="91" t="s">
        <v>150</v>
      </c>
      <c r="G1634" s="76">
        <v>7</v>
      </c>
      <c r="H1634" s="76" t="s">
        <v>17</v>
      </c>
      <c r="I1634" s="76" t="s">
        <v>24</v>
      </c>
      <c r="J1634" s="76">
        <v>0</v>
      </c>
      <c r="K1634" s="78">
        <f>AB1634/COUNTIFS($B:$B,$B1634,$C:$C,$C1634,$H:$H,$H1634,$I:$I,$I1634)</f>
        <v>0.15</v>
      </c>
      <c r="L1634" s="80">
        <f t="shared" si="105"/>
        <v>1</v>
      </c>
      <c r="M1634" s="82">
        <f t="shared" si="107"/>
        <v>0</v>
      </c>
      <c r="N1634" s="59"/>
      <c r="AA1634" s="154">
        <f>AB1634/COUNTIFS($B:$B,$B1634,$C:$C,$C1634,$H:$H,$H1634,$I:$I,$I1634)</f>
        <v>0.15</v>
      </c>
      <c r="AB1634" s="155">
        <f>VLOOKUP(I1634,'Weights and Confidence'!$D$16:$AC$26,11,FALSE)</f>
        <v>0.15</v>
      </c>
      <c r="AC1634" s="156">
        <f>VLOOKUP(I1634,'Weights and Confidence'!$D$16:$AC$26,12,FALSE)</f>
        <v>1</v>
      </c>
    </row>
    <row r="1635" spans="1:29" x14ac:dyDescent="0.2">
      <c r="A1635" s="77" t="s">
        <v>566</v>
      </c>
      <c r="B1635" s="77" t="s">
        <v>87</v>
      </c>
      <c r="C1635" s="77" t="s">
        <v>149</v>
      </c>
      <c r="D1635" s="77" t="s">
        <v>5</v>
      </c>
      <c r="E1635" s="77" t="s">
        <v>103</v>
      </c>
      <c r="F1635" s="91" t="s">
        <v>150</v>
      </c>
      <c r="G1635" s="77">
        <v>7</v>
      </c>
      <c r="H1635" s="77" t="s">
        <v>18</v>
      </c>
      <c r="I1635" s="77" t="s">
        <v>24</v>
      </c>
      <c r="J1635" s="77">
        <v>1</v>
      </c>
      <c r="K1635" s="79">
        <f>AB1635/COUNTIFS($B:$B,$B1635,$C:$C,$C1635,$H:$H,$H1635,$I:$I,$I1635)</f>
        <v>0.15</v>
      </c>
      <c r="L1635" s="81">
        <f t="shared" si="105"/>
        <v>1</v>
      </c>
      <c r="M1635" s="83">
        <f t="shared" si="107"/>
        <v>0.15</v>
      </c>
      <c r="N1635" s="17" t="s">
        <v>589</v>
      </c>
      <c r="AA1635" s="154">
        <f>AB1635/COUNTIFS($B:$B,$B1635,$C:$C,$C1635,$H:$H,$H1635,$I:$I,$I1635)</f>
        <v>0.15</v>
      </c>
      <c r="AB1635" s="155">
        <f>VLOOKUP(I1635,'Weights and Confidence'!$D$16:$AC$26,11,FALSE)</f>
        <v>0.15</v>
      </c>
      <c r="AC1635" s="156">
        <f>VLOOKUP(I1635,'Weights and Confidence'!$D$16:$AC$26,12,FALSE)</f>
        <v>1</v>
      </c>
    </row>
    <row r="1636" spans="1:29" x14ac:dyDescent="0.2">
      <c r="A1636" s="76" t="s">
        <v>566</v>
      </c>
      <c r="B1636" s="76" t="s">
        <v>87</v>
      </c>
      <c r="C1636" s="76" t="s">
        <v>149</v>
      </c>
      <c r="D1636" s="76" t="s">
        <v>5</v>
      </c>
      <c r="E1636" s="76" t="s">
        <v>103</v>
      </c>
      <c r="F1636" s="91" t="s">
        <v>150</v>
      </c>
      <c r="G1636" s="76">
        <v>8</v>
      </c>
      <c r="H1636" s="76" t="s">
        <v>17</v>
      </c>
      <c r="I1636" s="76" t="s">
        <v>25</v>
      </c>
      <c r="J1636" s="76">
        <v>0</v>
      </c>
      <c r="K1636" s="78">
        <f>AB1636/COUNTIFS($B:$B,$B1636,$C:$C,$C1636,$H:$H,$H1636,$I:$I,$I1636)</f>
        <v>0.1</v>
      </c>
      <c r="L1636" s="80">
        <f t="shared" si="105"/>
        <v>1</v>
      </c>
      <c r="M1636" s="82">
        <f t="shared" si="107"/>
        <v>0</v>
      </c>
      <c r="N1636" s="59"/>
      <c r="AA1636" s="154">
        <f>AB1636/COUNTIFS($B:$B,$B1636,$C:$C,$C1636,$H:$H,$H1636,$I:$I,$I1636)</f>
        <v>0.1</v>
      </c>
      <c r="AB1636" s="155">
        <f>VLOOKUP(I1636,'Weights and Confidence'!$D$16:$AC$26,11,FALSE)</f>
        <v>0.1</v>
      </c>
      <c r="AC1636" s="156">
        <f>VLOOKUP(I1636,'Weights and Confidence'!$D$16:$AC$26,12,FALSE)</f>
        <v>1</v>
      </c>
    </row>
    <row r="1637" spans="1:29" x14ac:dyDescent="0.2">
      <c r="A1637" s="77" t="s">
        <v>566</v>
      </c>
      <c r="B1637" s="77" t="s">
        <v>87</v>
      </c>
      <c r="C1637" s="77" t="s">
        <v>149</v>
      </c>
      <c r="D1637" s="77" t="s">
        <v>5</v>
      </c>
      <c r="E1637" s="77" t="s">
        <v>103</v>
      </c>
      <c r="F1637" s="91" t="s">
        <v>150</v>
      </c>
      <c r="G1637" s="77">
        <v>8</v>
      </c>
      <c r="H1637" s="77" t="s">
        <v>18</v>
      </c>
      <c r="I1637" s="77" t="s">
        <v>25</v>
      </c>
      <c r="J1637" s="77">
        <v>1</v>
      </c>
      <c r="K1637" s="79">
        <f>AB1637/COUNTIFS($B:$B,$B1637,$C:$C,$C1637,$H:$H,$H1637,$I:$I,$I1637)</f>
        <v>0.1</v>
      </c>
      <c r="L1637" s="81">
        <f t="shared" si="105"/>
        <v>1</v>
      </c>
      <c r="M1637" s="83">
        <f t="shared" si="107"/>
        <v>0.1</v>
      </c>
      <c r="N1637" s="17" t="s">
        <v>589</v>
      </c>
      <c r="AA1637" s="154">
        <f>AB1637/COUNTIFS($B:$B,$B1637,$C:$C,$C1637,$H:$H,$H1637,$I:$I,$I1637)</f>
        <v>0.1</v>
      </c>
      <c r="AB1637" s="155">
        <f>VLOOKUP(I1637,'Weights and Confidence'!$D$16:$AC$26,11,FALSE)</f>
        <v>0.1</v>
      </c>
      <c r="AC1637" s="156">
        <f>VLOOKUP(I1637,'Weights and Confidence'!$D$16:$AC$26,12,FALSE)</f>
        <v>1</v>
      </c>
    </row>
    <row r="1638" spans="1:29" x14ac:dyDescent="0.2">
      <c r="A1638" s="76" t="s">
        <v>566</v>
      </c>
      <c r="B1638" s="76" t="s">
        <v>87</v>
      </c>
      <c r="C1638" s="76" t="s">
        <v>149</v>
      </c>
      <c r="D1638" s="76" t="s">
        <v>5</v>
      </c>
      <c r="E1638" s="76" t="s">
        <v>103</v>
      </c>
      <c r="F1638" s="91" t="s">
        <v>150</v>
      </c>
      <c r="G1638" s="76">
        <v>9</v>
      </c>
      <c r="H1638" s="76" t="s">
        <v>17</v>
      </c>
      <c r="I1638" s="76" t="s">
        <v>26</v>
      </c>
      <c r="J1638" s="76">
        <v>0</v>
      </c>
      <c r="K1638" s="78">
        <f>AB1638/COUNTIFS($B:$B,$B1638,$C:$C,$C1638,$H:$H,$H1638,$I:$I,$I1638)</f>
        <v>0.1</v>
      </c>
      <c r="L1638" s="80">
        <f t="shared" si="105"/>
        <v>1</v>
      </c>
      <c r="M1638" s="82">
        <f t="shared" si="107"/>
        <v>0</v>
      </c>
      <c r="N1638" s="59"/>
      <c r="AA1638" s="154">
        <f>AB1638/COUNTIFS($B:$B,$B1638,$C:$C,$C1638,$H:$H,$H1638,$I:$I,$I1638)</f>
        <v>0.1</v>
      </c>
      <c r="AB1638" s="155">
        <f>VLOOKUP(I1638,'Weights and Confidence'!$D$16:$AC$26,11,FALSE)</f>
        <v>0.1</v>
      </c>
      <c r="AC1638" s="156">
        <f>VLOOKUP(I1638,'Weights and Confidence'!$D$16:$AC$26,12,FALSE)</f>
        <v>1</v>
      </c>
    </row>
    <row r="1639" spans="1:29" x14ac:dyDescent="0.2">
      <c r="A1639" s="77" t="s">
        <v>566</v>
      </c>
      <c r="B1639" s="77" t="s">
        <v>87</v>
      </c>
      <c r="C1639" s="77" t="s">
        <v>149</v>
      </c>
      <c r="D1639" s="77" t="s">
        <v>5</v>
      </c>
      <c r="E1639" s="77" t="s">
        <v>103</v>
      </c>
      <c r="F1639" s="91" t="s">
        <v>150</v>
      </c>
      <c r="G1639" s="77">
        <v>9</v>
      </c>
      <c r="H1639" s="77" t="s">
        <v>18</v>
      </c>
      <c r="I1639" s="77" t="s">
        <v>26</v>
      </c>
      <c r="J1639" s="77">
        <v>1</v>
      </c>
      <c r="K1639" s="79">
        <f>AB1639/COUNTIFS($B:$B,$B1639,$C:$C,$C1639,$H:$H,$H1639,$I:$I,$I1639)</f>
        <v>0.1</v>
      </c>
      <c r="L1639" s="81">
        <f t="shared" si="105"/>
        <v>1</v>
      </c>
      <c r="M1639" s="83">
        <f t="shared" si="107"/>
        <v>0.1</v>
      </c>
      <c r="N1639" s="17" t="s">
        <v>589</v>
      </c>
      <c r="AA1639" s="154">
        <f>AB1639/COUNTIFS($B:$B,$B1639,$C:$C,$C1639,$H:$H,$H1639,$I:$I,$I1639)</f>
        <v>0.1</v>
      </c>
      <c r="AB1639" s="155">
        <f>VLOOKUP(I1639,'Weights and Confidence'!$D$16:$AC$26,11,FALSE)</f>
        <v>0.1</v>
      </c>
      <c r="AC1639" s="156">
        <f>VLOOKUP(I1639,'Weights and Confidence'!$D$16:$AC$26,12,FALSE)</f>
        <v>1</v>
      </c>
    </row>
    <row r="1640" spans="1:29" x14ac:dyDescent="0.2">
      <c r="A1640" s="76" t="s">
        <v>566</v>
      </c>
      <c r="B1640" s="76" t="s">
        <v>87</v>
      </c>
      <c r="C1640" s="76" t="s">
        <v>149</v>
      </c>
      <c r="D1640" s="76" t="s">
        <v>5</v>
      </c>
      <c r="E1640" s="76" t="s">
        <v>103</v>
      </c>
      <c r="F1640" s="91" t="s">
        <v>150</v>
      </c>
      <c r="G1640" s="76">
        <v>10</v>
      </c>
      <c r="H1640" s="76" t="s">
        <v>17</v>
      </c>
      <c r="I1640" s="76" t="s">
        <v>27</v>
      </c>
      <c r="J1640" s="76">
        <v>0</v>
      </c>
      <c r="K1640" s="78">
        <f>AB1640/COUNTIFS($B:$B,$B1640,$C:$C,$C1640,$H:$H,$H1640,$I:$I,$I1640)</f>
        <v>0.05</v>
      </c>
      <c r="L1640" s="80">
        <f t="shared" si="105"/>
        <v>0.9</v>
      </c>
      <c r="M1640" s="82">
        <f t="shared" si="107"/>
        <v>0</v>
      </c>
      <c r="N1640" s="59"/>
      <c r="AA1640" s="154">
        <f>AB1640/COUNTIFS($B:$B,$B1640,$C:$C,$C1640,$H:$H,$H1640,$I:$I,$I1640)</f>
        <v>0.05</v>
      </c>
      <c r="AB1640" s="155">
        <f>VLOOKUP(I1640,'Weights and Confidence'!$D$16:$AC$26,11,FALSE)</f>
        <v>0.1</v>
      </c>
      <c r="AC1640" s="156">
        <f>VLOOKUP(I1640,'Weights and Confidence'!$D$16:$AC$26,12,FALSE)</f>
        <v>0.9</v>
      </c>
    </row>
    <row r="1641" spans="1:29" x14ac:dyDescent="0.2">
      <c r="A1641" s="77" t="s">
        <v>566</v>
      </c>
      <c r="B1641" s="77" t="s">
        <v>87</v>
      </c>
      <c r="C1641" s="77" t="s">
        <v>149</v>
      </c>
      <c r="D1641" s="77" t="s">
        <v>5</v>
      </c>
      <c r="E1641" s="77" t="s">
        <v>103</v>
      </c>
      <c r="F1641" s="91" t="s">
        <v>150</v>
      </c>
      <c r="G1641" s="77">
        <v>10</v>
      </c>
      <c r="H1641" s="77" t="s">
        <v>18</v>
      </c>
      <c r="I1641" s="77" t="s">
        <v>27</v>
      </c>
      <c r="J1641" s="77">
        <v>0</v>
      </c>
      <c r="K1641" s="79">
        <f>AB1641/COUNTIFS($B:$B,$B1641,$C:$C,$C1641,$H:$H,$H1641,$I:$I,$I1641)</f>
        <v>0.05</v>
      </c>
      <c r="L1641" s="81">
        <f t="shared" si="105"/>
        <v>0.9</v>
      </c>
      <c r="M1641" s="83">
        <f t="shared" si="107"/>
        <v>0</v>
      </c>
      <c r="N1641" s="17" t="s">
        <v>590</v>
      </c>
      <c r="AA1641" s="154">
        <f>AB1641/COUNTIFS($B:$B,$B1641,$C:$C,$C1641,$H:$H,$H1641,$I:$I,$I1641)</f>
        <v>0.05</v>
      </c>
      <c r="AB1641" s="155">
        <f>VLOOKUP(I1641,'Weights and Confidence'!$D$16:$AC$26,11,FALSE)</f>
        <v>0.1</v>
      </c>
      <c r="AC1641" s="156">
        <f>VLOOKUP(I1641,'Weights and Confidence'!$D$16:$AC$26,12,FALSE)</f>
        <v>0.9</v>
      </c>
    </row>
    <row r="1642" spans="1:29" x14ac:dyDescent="0.2">
      <c r="A1642" s="76" t="s">
        <v>566</v>
      </c>
      <c r="B1642" s="76" t="s">
        <v>87</v>
      </c>
      <c r="C1642" s="76" t="s">
        <v>149</v>
      </c>
      <c r="D1642" s="76" t="s">
        <v>5</v>
      </c>
      <c r="E1642" s="76" t="s">
        <v>103</v>
      </c>
      <c r="F1642" s="91" t="s">
        <v>150</v>
      </c>
      <c r="G1642" s="76">
        <v>11</v>
      </c>
      <c r="H1642" s="76" t="s">
        <v>17</v>
      </c>
      <c r="I1642" s="76" t="s">
        <v>27</v>
      </c>
      <c r="J1642" s="76">
        <v>0</v>
      </c>
      <c r="K1642" s="78">
        <f>AB1642/COUNTIFS($B:$B,$B1642,$C:$C,$C1642,$H:$H,$H1642,$I:$I,$I1642)</f>
        <v>0.05</v>
      </c>
      <c r="L1642" s="80">
        <f t="shared" si="105"/>
        <v>0.9</v>
      </c>
      <c r="M1642" s="82">
        <f t="shared" si="107"/>
        <v>0</v>
      </c>
      <c r="N1642" s="59"/>
      <c r="AA1642" s="154">
        <f>AB1642/COUNTIFS($B:$B,$B1642,$C:$C,$C1642,$H:$H,$H1642,$I:$I,$I1642)</f>
        <v>0.05</v>
      </c>
      <c r="AB1642" s="155">
        <f>VLOOKUP(I1642,'Weights and Confidence'!$D$16:$AC$26,11,FALSE)</f>
        <v>0.1</v>
      </c>
      <c r="AC1642" s="156">
        <f>VLOOKUP(I1642,'Weights and Confidence'!$D$16:$AC$26,12,FALSE)</f>
        <v>0.9</v>
      </c>
    </row>
    <row r="1643" spans="1:29" x14ac:dyDescent="0.2">
      <c r="A1643" s="77" t="s">
        <v>566</v>
      </c>
      <c r="B1643" s="77" t="s">
        <v>87</v>
      </c>
      <c r="C1643" s="77" t="s">
        <v>149</v>
      </c>
      <c r="D1643" s="77" t="s">
        <v>5</v>
      </c>
      <c r="E1643" s="77" t="s">
        <v>103</v>
      </c>
      <c r="F1643" s="91" t="s">
        <v>150</v>
      </c>
      <c r="G1643" s="77">
        <v>11</v>
      </c>
      <c r="H1643" s="77" t="s">
        <v>18</v>
      </c>
      <c r="I1643" s="77" t="s">
        <v>27</v>
      </c>
      <c r="J1643" s="77">
        <v>1</v>
      </c>
      <c r="K1643" s="79">
        <f>AB1643/COUNTIFS($B:$B,$B1643,$C:$C,$C1643,$H:$H,$H1643,$I:$I,$I1643)</f>
        <v>0.05</v>
      </c>
      <c r="L1643" s="81">
        <f t="shared" si="105"/>
        <v>0.9</v>
      </c>
      <c r="M1643" s="83">
        <f t="shared" si="107"/>
        <v>4.5000000000000005E-2</v>
      </c>
      <c r="N1643" s="84"/>
      <c r="AA1643" s="154">
        <f>AB1643/COUNTIFS($B:$B,$B1643,$C:$C,$C1643,$H:$H,$H1643,$I:$I,$I1643)</f>
        <v>0.05</v>
      </c>
      <c r="AB1643" s="155">
        <f>VLOOKUP(I1643,'Weights and Confidence'!$D$16:$AC$26,11,FALSE)</f>
        <v>0.1</v>
      </c>
      <c r="AC1643" s="156">
        <f>VLOOKUP(I1643,'Weights and Confidence'!$D$16:$AC$26,12,FALSE)</f>
        <v>0.9</v>
      </c>
    </row>
    <row r="1644" spans="1:29" x14ac:dyDescent="0.2">
      <c r="A1644" s="77" t="s">
        <v>566</v>
      </c>
      <c r="B1644" s="77" t="s">
        <v>87</v>
      </c>
      <c r="C1644" s="77" t="s">
        <v>149</v>
      </c>
      <c r="D1644" s="77" t="s">
        <v>5</v>
      </c>
      <c r="E1644" s="77" t="s">
        <v>103</v>
      </c>
      <c r="F1644" s="91" t="s">
        <v>150</v>
      </c>
      <c r="G1644" s="77">
        <v>12</v>
      </c>
      <c r="H1644" s="77" t="s">
        <v>17</v>
      </c>
      <c r="I1644" s="77" t="s">
        <v>28</v>
      </c>
      <c r="J1644" s="77">
        <v>0</v>
      </c>
      <c r="K1644" s="79">
        <f>AB1644/COUNTIFS($B:$B,$B1644,$C:$C,$C1644,$H:$H,$H1644,$I:$I,$I1644)</f>
        <v>0.05</v>
      </c>
      <c r="L1644" s="81">
        <f t="shared" si="105"/>
        <v>1</v>
      </c>
      <c r="M1644" s="83">
        <f>J1644*K1644*L1644</f>
        <v>0</v>
      </c>
      <c r="N1644" s="58"/>
      <c r="AA1644" s="154">
        <f>AB1644/COUNTIFS($B:$B,$B1644,$C:$C,$C1644,$H:$H,$H1644,$I:$I,$I1644)</f>
        <v>0.05</v>
      </c>
      <c r="AB1644" s="155">
        <f>VLOOKUP(I1644,'Weights and Confidence'!$D$16:$AC$26,11,FALSE)</f>
        <v>0.05</v>
      </c>
      <c r="AC1644" s="156">
        <f>VLOOKUP(I1644,'Weights and Confidence'!$D$16:$AC$26,12,FALSE)</f>
        <v>1</v>
      </c>
    </row>
    <row r="1645" spans="1:29" ht="17" thickBot="1" x14ac:dyDescent="0.25">
      <c r="A1645" s="98" t="s">
        <v>566</v>
      </c>
      <c r="B1645" s="98" t="s">
        <v>87</v>
      </c>
      <c r="C1645" s="98" t="s">
        <v>149</v>
      </c>
      <c r="D1645" s="98" t="s">
        <v>5</v>
      </c>
      <c r="E1645" s="98" t="s">
        <v>103</v>
      </c>
      <c r="F1645" s="93" t="s">
        <v>150</v>
      </c>
      <c r="G1645" s="98">
        <v>12</v>
      </c>
      <c r="H1645" s="98" t="s">
        <v>18</v>
      </c>
      <c r="I1645" s="98" t="s">
        <v>28</v>
      </c>
      <c r="J1645" s="98">
        <v>0</v>
      </c>
      <c r="K1645" s="99">
        <f>AB1645/COUNTIFS($B:$B,$B1645,$C:$C,$C1645,$H:$H,$H1645,$I:$I,$I1645)</f>
        <v>0.05</v>
      </c>
      <c r="L1645" s="100">
        <f t="shared" si="105"/>
        <v>1</v>
      </c>
      <c r="M1645" s="101">
        <f>J1645*K1645*L1645</f>
        <v>0</v>
      </c>
      <c r="N1645" s="22" t="s">
        <v>591</v>
      </c>
      <c r="AA1645" s="157">
        <f>AB1645/COUNTIFS($B:$B,$B1645,$C:$C,$C1645,$H:$H,$H1645,$I:$I,$I1645)</f>
        <v>0.05</v>
      </c>
      <c r="AB1645" s="158">
        <f>VLOOKUP(I1645,'Weights and Confidence'!$D$16:$AC$26,11,FALSE)</f>
        <v>0.05</v>
      </c>
      <c r="AC1645" s="159">
        <f>VLOOKUP(I1645,'Weights and Confidence'!$D$16:$AC$26,12,FALSE)</f>
        <v>1</v>
      </c>
    </row>
    <row r="1646" spans="1:29" ht="17" thickTop="1" x14ac:dyDescent="0.2">
      <c r="A1646" s="86" t="s">
        <v>566</v>
      </c>
      <c r="B1646" s="86" t="s">
        <v>87</v>
      </c>
      <c r="C1646" s="86" t="s">
        <v>281</v>
      </c>
      <c r="D1646" s="86" t="s">
        <v>5</v>
      </c>
      <c r="E1646" s="86" t="s">
        <v>103</v>
      </c>
      <c r="F1646" s="18" t="s">
        <v>282</v>
      </c>
      <c r="G1646" s="86">
        <v>1</v>
      </c>
      <c r="H1646" s="86" t="s">
        <v>17</v>
      </c>
      <c r="I1646" s="86" t="s">
        <v>19</v>
      </c>
      <c r="J1646" s="97">
        <v>1</v>
      </c>
      <c r="K1646" s="87">
        <f>AB1646/COUNTIFS($B:$B,$B1646,$C:$C,$C1646,$H:$H,$H1646,$I:$I,$I1646)</f>
        <v>0.12</v>
      </c>
      <c r="L1646" s="88">
        <f t="shared" ref="L1646:L1669" si="108">AC1646</f>
        <v>1</v>
      </c>
      <c r="M1646" s="89">
        <f t="shared" ref="M1646" si="109">J1646*K1646*L1646</f>
        <v>0.12</v>
      </c>
      <c r="N1646" s="90"/>
      <c r="AA1646" s="154">
        <f>AB1646/COUNTIFS($B:$B,$B1646,$C:$C,$C1646,$H:$H,$H1646,$I:$I,$I1646)</f>
        <v>0.12</v>
      </c>
      <c r="AB1646" s="155">
        <f>VLOOKUP(I1646,'Weights and Confidence'!$D$16:$AC$26,11,FALSE)</f>
        <v>0.12</v>
      </c>
      <c r="AC1646" s="156">
        <f>VLOOKUP(I1646,'Weights and Confidence'!$D$16:$AC$26,12,FALSE)</f>
        <v>1</v>
      </c>
    </row>
    <row r="1647" spans="1:29" x14ac:dyDescent="0.2">
      <c r="A1647" s="77" t="s">
        <v>566</v>
      </c>
      <c r="B1647" s="77" t="s">
        <v>87</v>
      </c>
      <c r="C1647" s="77" t="s">
        <v>281</v>
      </c>
      <c r="D1647" s="77" t="s">
        <v>5</v>
      </c>
      <c r="E1647" s="77" t="s">
        <v>103</v>
      </c>
      <c r="F1647" s="91" t="s">
        <v>282</v>
      </c>
      <c r="G1647" s="77">
        <v>1</v>
      </c>
      <c r="H1647" s="77" t="s">
        <v>18</v>
      </c>
      <c r="I1647" s="77" t="s">
        <v>19</v>
      </c>
      <c r="J1647" s="77">
        <v>0</v>
      </c>
      <c r="K1647" s="79">
        <f>AB1647/COUNTIFS($B:$B,$B1647,$C:$C,$C1647,$H:$H,$H1647,$I:$I,$I1647)</f>
        <v>0.12</v>
      </c>
      <c r="L1647" s="81">
        <f t="shared" si="108"/>
        <v>1</v>
      </c>
      <c r="M1647" s="83">
        <f>J1646*K1647*L1647</f>
        <v>0.12</v>
      </c>
      <c r="N1647" s="84"/>
      <c r="AA1647" s="154">
        <f>AB1647/COUNTIFS($B:$B,$B1647,$C:$C,$C1647,$H:$H,$H1647,$I:$I,$I1647)</f>
        <v>0.12</v>
      </c>
      <c r="AB1647" s="155">
        <f>VLOOKUP(I1647,'Weights and Confidence'!$D$16:$AC$26,11,FALSE)</f>
        <v>0.12</v>
      </c>
      <c r="AC1647" s="156">
        <f>VLOOKUP(I1647,'Weights and Confidence'!$D$16:$AC$26,12,FALSE)</f>
        <v>1</v>
      </c>
    </row>
    <row r="1648" spans="1:29" x14ac:dyDescent="0.2">
      <c r="A1648" s="76" t="s">
        <v>566</v>
      </c>
      <c r="B1648" s="76" t="s">
        <v>87</v>
      </c>
      <c r="C1648" s="76" t="s">
        <v>281</v>
      </c>
      <c r="D1648" s="76" t="s">
        <v>5</v>
      </c>
      <c r="E1648" s="76" t="s">
        <v>103</v>
      </c>
      <c r="F1648" s="91" t="s">
        <v>282</v>
      </c>
      <c r="G1648" s="76">
        <v>2</v>
      </c>
      <c r="H1648" s="76" t="s">
        <v>17</v>
      </c>
      <c r="I1648" s="76" t="s">
        <v>20</v>
      </c>
      <c r="J1648" s="76">
        <v>1</v>
      </c>
      <c r="K1648" s="78">
        <f>AB1648/COUNTIFS($B:$B,$B1648,$C:$C,$C1648,$H:$H,$H1648,$I:$I,$I1648)</f>
        <v>0.08</v>
      </c>
      <c r="L1648" s="80">
        <f t="shared" si="108"/>
        <v>0.9</v>
      </c>
      <c r="M1648" s="82">
        <f t="shared" ref="M1648:M1667" si="110">J1648*K1648*L1648</f>
        <v>7.2000000000000008E-2</v>
      </c>
      <c r="N1648" s="59"/>
      <c r="AA1648" s="154">
        <f>AB1648/COUNTIFS($B:$B,$B1648,$C:$C,$C1648,$H:$H,$H1648,$I:$I,$I1648)</f>
        <v>0.08</v>
      </c>
      <c r="AB1648" s="155">
        <f>VLOOKUP(I1648,'Weights and Confidence'!$D$16:$AC$26,11,FALSE)</f>
        <v>0.08</v>
      </c>
      <c r="AC1648" s="156">
        <f>VLOOKUP(I1648,'Weights and Confidence'!$D$16:$AC$26,12,FALSE)</f>
        <v>0.9</v>
      </c>
    </row>
    <row r="1649" spans="1:29" x14ac:dyDescent="0.2">
      <c r="A1649" s="77" t="s">
        <v>566</v>
      </c>
      <c r="B1649" s="77" t="s">
        <v>87</v>
      </c>
      <c r="C1649" s="77" t="s">
        <v>281</v>
      </c>
      <c r="D1649" s="77" t="s">
        <v>5</v>
      </c>
      <c r="E1649" s="77" t="s">
        <v>103</v>
      </c>
      <c r="F1649" s="91" t="s">
        <v>282</v>
      </c>
      <c r="G1649" s="77">
        <v>2</v>
      </c>
      <c r="H1649" s="77" t="s">
        <v>18</v>
      </c>
      <c r="I1649" s="77" t="s">
        <v>20</v>
      </c>
      <c r="J1649" s="77">
        <v>0</v>
      </c>
      <c r="K1649" s="79">
        <f>AB1649/COUNTIFS($B:$B,$B1649,$C:$C,$C1649,$H:$H,$H1649,$I:$I,$I1649)</f>
        <v>0.08</v>
      </c>
      <c r="L1649" s="81">
        <f t="shared" si="108"/>
        <v>0.9</v>
      </c>
      <c r="M1649" s="83">
        <f t="shared" si="110"/>
        <v>0</v>
      </c>
      <c r="N1649" s="58"/>
      <c r="AA1649" s="154">
        <f>AB1649/COUNTIFS($B:$B,$B1649,$C:$C,$C1649,$H:$H,$H1649,$I:$I,$I1649)</f>
        <v>0.08</v>
      </c>
      <c r="AB1649" s="155">
        <f>VLOOKUP(I1649,'Weights and Confidence'!$D$16:$AC$26,11,FALSE)</f>
        <v>0.08</v>
      </c>
      <c r="AC1649" s="156">
        <f>VLOOKUP(I1649,'Weights and Confidence'!$D$16:$AC$26,12,FALSE)</f>
        <v>0.9</v>
      </c>
    </row>
    <row r="1650" spans="1:29" x14ac:dyDescent="0.2">
      <c r="A1650" s="76" t="s">
        <v>566</v>
      </c>
      <c r="B1650" s="76" t="s">
        <v>87</v>
      </c>
      <c r="C1650" s="76" t="s">
        <v>281</v>
      </c>
      <c r="D1650" s="76" t="s">
        <v>5</v>
      </c>
      <c r="E1650" s="76" t="s">
        <v>103</v>
      </c>
      <c r="F1650" s="91" t="s">
        <v>282</v>
      </c>
      <c r="G1650" s="76">
        <v>3</v>
      </c>
      <c r="H1650" s="76" t="s">
        <v>17</v>
      </c>
      <c r="I1650" s="76" t="s">
        <v>21</v>
      </c>
      <c r="J1650" s="76">
        <v>1</v>
      </c>
      <c r="K1650" s="78">
        <f>AB1650/COUNTIFS($B:$B,$B1650,$C:$C,$C1650,$H:$H,$H1650,$I:$I,$I1650)</f>
        <v>0.05</v>
      </c>
      <c r="L1650" s="80">
        <f t="shared" si="108"/>
        <v>1</v>
      </c>
      <c r="M1650" s="82">
        <f t="shared" si="110"/>
        <v>0.05</v>
      </c>
      <c r="N1650" s="59"/>
      <c r="AA1650" s="154">
        <f>AB1650/COUNTIFS($B:$B,$B1650,$C:$C,$C1650,$H:$H,$H1650,$I:$I,$I1650)</f>
        <v>0.05</v>
      </c>
      <c r="AB1650" s="155">
        <f>VLOOKUP(I1650,'Weights and Confidence'!$D$16:$AC$26,11,FALSE)</f>
        <v>0.05</v>
      </c>
      <c r="AC1650" s="156">
        <f>VLOOKUP(I1650,'Weights and Confidence'!$D$16:$AC$26,12,FALSE)</f>
        <v>1</v>
      </c>
    </row>
    <row r="1651" spans="1:29" x14ac:dyDescent="0.2">
      <c r="A1651" s="77" t="s">
        <v>566</v>
      </c>
      <c r="B1651" s="77" t="s">
        <v>87</v>
      </c>
      <c r="C1651" s="77" t="s">
        <v>281</v>
      </c>
      <c r="D1651" s="77" t="s">
        <v>5</v>
      </c>
      <c r="E1651" s="77" t="s">
        <v>103</v>
      </c>
      <c r="F1651" s="91" t="s">
        <v>282</v>
      </c>
      <c r="G1651" s="77">
        <v>3</v>
      </c>
      <c r="H1651" s="77" t="s">
        <v>18</v>
      </c>
      <c r="I1651" s="77" t="s">
        <v>21</v>
      </c>
      <c r="J1651" s="77">
        <v>0</v>
      </c>
      <c r="K1651" s="79">
        <f>AB1651/COUNTIFS($B:$B,$B1651,$C:$C,$C1651,$H:$H,$H1651,$I:$I,$I1651)</f>
        <v>0.05</v>
      </c>
      <c r="L1651" s="81">
        <f t="shared" si="108"/>
        <v>1</v>
      </c>
      <c r="M1651" s="83">
        <f t="shared" si="110"/>
        <v>0</v>
      </c>
      <c r="N1651" s="84"/>
      <c r="AA1651" s="154">
        <f>AB1651/COUNTIFS($B:$B,$B1651,$C:$C,$C1651,$H:$H,$H1651,$I:$I,$I1651)</f>
        <v>0.05</v>
      </c>
      <c r="AB1651" s="155">
        <f>VLOOKUP(I1651,'Weights and Confidence'!$D$16:$AC$26,11,FALSE)</f>
        <v>0.05</v>
      </c>
      <c r="AC1651" s="156">
        <f>VLOOKUP(I1651,'Weights and Confidence'!$D$16:$AC$26,12,FALSE)</f>
        <v>1</v>
      </c>
    </row>
    <row r="1652" spans="1:29" x14ac:dyDescent="0.2">
      <c r="A1652" s="76" t="s">
        <v>566</v>
      </c>
      <c r="B1652" s="76" t="s">
        <v>87</v>
      </c>
      <c r="C1652" s="76" t="s">
        <v>281</v>
      </c>
      <c r="D1652" s="76" t="s">
        <v>5</v>
      </c>
      <c r="E1652" s="76" t="s">
        <v>103</v>
      </c>
      <c r="F1652" s="91" t="s">
        <v>282</v>
      </c>
      <c r="G1652" s="76">
        <v>4</v>
      </c>
      <c r="H1652" s="76" t="s">
        <v>17</v>
      </c>
      <c r="I1652" s="76" t="s">
        <v>22</v>
      </c>
      <c r="J1652" s="76">
        <v>1</v>
      </c>
      <c r="K1652" s="78">
        <f>AB1652/COUNTIFS($B:$B,$B1652,$C:$C,$C1652,$H:$H,$H1652,$I:$I,$I1652)</f>
        <v>0.1</v>
      </c>
      <c r="L1652" s="80">
        <f t="shared" si="108"/>
        <v>1</v>
      </c>
      <c r="M1652" s="82">
        <f t="shared" si="110"/>
        <v>0.1</v>
      </c>
      <c r="N1652" s="59"/>
      <c r="AA1652" s="154">
        <f>AB1652/COUNTIFS($B:$B,$B1652,$C:$C,$C1652,$H:$H,$H1652,$I:$I,$I1652)</f>
        <v>0.1</v>
      </c>
      <c r="AB1652" s="155">
        <f>VLOOKUP(I1652,'Weights and Confidence'!$D$16:$AC$26,11,FALSE)</f>
        <v>0.1</v>
      </c>
      <c r="AC1652" s="156">
        <f>VLOOKUP(I1652,'Weights and Confidence'!$D$16:$AC$26,12,FALSE)</f>
        <v>1</v>
      </c>
    </row>
    <row r="1653" spans="1:29" x14ac:dyDescent="0.2">
      <c r="A1653" s="77" t="s">
        <v>566</v>
      </c>
      <c r="B1653" s="77" t="s">
        <v>87</v>
      </c>
      <c r="C1653" s="77" t="s">
        <v>281</v>
      </c>
      <c r="D1653" s="77" t="s">
        <v>5</v>
      </c>
      <c r="E1653" s="77" t="s">
        <v>103</v>
      </c>
      <c r="F1653" s="91" t="s">
        <v>282</v>
      </c>
      <c r="G1653" s="77">
        <v>4</v>
      </c>
      <c r="H1653" s="77" t="s">
        <v>18</v>
      </c>
      <c r="I1653" s="77" t="s">
        <v>22</v>
      </c>
      <c r="J1653" s="77">
        <v>-1</v>
      </c>
      <c r="K1653" s="79">
        <f>AB1653/COUNTIFS($B:$B,$B1653,$C:$C,$C1653,$H:$H,$H1653,$I:$I,$I1653)</f>
        <v>0.1</v>
      </c>
      <c r="L1653" s="81">
        <f t="shared" si="108"/>
        <v>1</v>
      </c>
      <c r="M1653" s="83">
        <f t="shared" si="110"/>
        <v>-0.1</v>
      </c>
      <c r="N1653" s="84"/>
      <c r="AA1653" s="154">
        <f>AB1653/COUNTIFS($B:$B,$B1653,$C:$C,$C1653,$H:$H,$H1653,$I:$I,$I1653)</f>
        <v>0.1</v>
      </c>
      <c r="AB1653" s="155">
        <f>VLOOKUP(I1653,'Weights and Confidence'!$D$16:$AC$26,11,FALSE)</f>
        <v>0.1</v>
      </c>
      <c r="AC1653" s="156">
        <f>VLOOKUP(I1653,'Weights and Confidence'!$D$16:$AC$26,12,FALSE)</f>
        <v>1</v>
      </c>
    </row>
    <row r="1654" spans="1:29" x14ac:dyDescent="0.2">
      <c r="A1654" s="76" t="s">
        <v>566</v>
      </c>
      <c r="B1654" s="76" t="s">
        <v>87</v>
      </c>
      <c r="C1654" s="76" t="s">
        <v>281</v>
      </c>
      <c r="D1654" s="76" t="s">
        <v>5</v>
      </c>
      <c r="E1654" s="76" t="s">
        <v>103</v>
      </c>
      <c r="F1654" s="91" t="s">
        <v>282</v>
      </c>
      <c r="G1654" s="76">
        <v>5</v>
      </c>
      <c r="H1654" s="76" t="s">
        <v>17</v>
      </c>
      <c r="I1654" s="76" t="s">
        <v>34</v>
      </c>
      <c r="J1654" s="76">
        <v>1</v>
      </c>
      <c r="K1654" s="78">
        <f>AB1654/COUNTIFS($B:$B,$B1654,$C:$C,$C1654,$H:$H,$H1654,$I:$I,$I1654)</f>
        <v>0.08</v>
      </c>
      <c r="L1654" s="80">
        <f t="shared" si="108"/>
        <v>1</v>
      </c>
      <c r="M1654" s="82">
        <f t="shared" si="110"/>
        <v>0.08</v>
      </c>
      <c r="N1654" s="84"/>
      <c r="AA1654" s="154">
        <f>AB1654/COUNTIFS($B:$B,$B1654,$C:$C,$C1654,$H:$H,$H1654,$I:$I,$I1654)</f>
        <v>0.08</v>
      </c>
      <c r="AB1654" s="155">
        <f>VLOOKUP(I1654,'Weights and Confidence'!$D$16:$AC$26,11,FALSE)</f>
        <v>0.08</v>
      </c>
      <c r="AC1654" s="156">
        <f>VLOOKUP(I1654,'Weights and Confidence'!$D$16:$AC$26,12,FALSE)</f>
        <v>1</v>
      </c>
    </row>
    <row r="1655" spans="1:29" x14ac:dyDescent="0.2">
      <c r="A1655" s="77" t="s">
        <v>566</v>
      </c>
      <c r="B1655" s="77" t="s">
        <v>87</v>
      </c>
      <c r="C1655" s="77" t="s">
        <v>281</v>
      </c>
      <c r="D1655" s="77" t="s">
        <v>5</v>
      </c>
      <c r="E1655" s="77" t="s">
        <v>103</v>
      </c>
      <c r="F1655" s="91" t="s">
        <v>282</v>
      </c>
      <c r="G1655" s="77">
        <v>5</v>
      </c>
      <c r="H1655" s="77" t="s">
        <v>18</v>
      </c>
      <c r="I1655" s="77" t="s">
        <v>34</v>
      </c>
      <c r="J1655" s="77">
        <v>-1</v>
      </c>
      <c r="K1655" s="79">
        <f>AB1655/COUNTIFS($B:$B,$B1655,$C:$C,$C1655,$H:$H,$H1655,$I:$I,$I1655)</f>
        <v>0.08</v>
      </c>
      <c r="L1655" s="81">
        <f t="shared" si="108"/>
        <v>1</v>
      </c>
      <c r="M1655" s="83">
        <f t="shared" si="110"/>
        <v>-0.08</v>
      </c>
      <c r="N1655" s="84"/>
      <c r="AA1655" s="154">
        <f>AB1655/COUNTIFS($B:$B,$B1655,$C:$C,$C1655,$H:$H,$H1655,$I:$I,$I1655)</f>
        <v>0.08</v>
      </c>
      <c r="AB1655" s="155">
        <f>VLOOKUP(I1655,'Weights and Confidence'!$D$16:$AC$26,11,FALSE)</f>
        <v>0.08</v>
      </c>
      <c r="AC1655" s="156">
        <f>VLOOKUP(I1655,'Weights and Confidence'!$D$16:$AC$26,12,FALSE)</f>
        <v>1</v>
      </c>
    </row>
    <row r="1656" spans="1:29" x14ac:dyDescent="0.2">
      <c r="A1656" s="76" t="s">
        <v>566</v>
      </c>
      <c r="B1656" s="76" t="s">
        <v>87</v>
      </c>
      <c r="C1656" s="76" t="s">
        <v>281</v>
      </c>
      <c r="D1656" s="76" t="s">
        <v>5</v>
      </c>
      <c r="E1656" s="76" t="s">
        <v>103</v>
      </c>
      <c r="F1656" s="91" t="s">
        <v>282</v>
      </c>
      <c r="G1656" s="76">
        <v>6</v>
      </c>
      <c r="H1656" s="76" t="s">
        <v>17</v>
      </c>
      <c r="I1656" s="76" t="s">
        <v>23</v>
      </c>
      <c r="J1656" s="76">
        <v>0</v>
      </c>
      <c r="K1656" s="78">
        <f>AB1656/COUNTIFS($B:$B,$B1656,$C:$C,$C1656,$H:$H,$H1656,$I:$I,$I1656)</f>
        <v>7.0000000000000007E-2</v>
      </c>
      <c r="L1656" s="80">
        <f t="shared" si="108"/>
        <v>1</v>
      </c>
      <c r="M1656" s="82">
        <f t="shared" si="110"/>
        <v>0</v>
      </c>
      <c r="N1656" s="59"/>
      <c r="AA1656" s="154">
        <f>AB1656/COUNTIFS($B:$B,$B1656,$C:$C,$C1656,$H:$H,$H1656,$I:$I,$I1656)</f>
        <v>7.0000000000000007E-2</v>
      </c>
      <c r="AB1656" s="155">
        <f>VLOOKUP(I1656,'Weights and Confidence'!$D$16:$AC$26,11,FALSE)</f>
        <v>7.0000000000000007E-2</v>
      </c>
      <c r="AC1656" s="156">
        <f>VLOOKUP(I1656,'Weights and Confidence'!$D$16:$AC$26,12,FALSE)</f>
        <v>1</v>
      </c>
    </row>
    <row r="1657" spans="1:29" x14ac:dyDescent="0.2">
      <c r="A1657" s="77" t="s">
        <v>566</v>
      </c>
      <c r="B1657" s="77" t="s">
        <v>87</v>
      </c>
      <c r="C1657" s="77" t="s">
        <v>281</v>
      </c>
      <c r="D1657" s="77" t="s">
        <v>5</v>
      </c>
      <c r="E1657" s="77" t="s">
        <v>103</v>
      </c>
      <c r="F1657" s="91" t="s">
        <v>282</v>
      </c>
      <c r="G1657" s="77">
        <v>6</v>
      </c>
      <c r="H1657" s="77" t="s">
        <v>18</v>
      </c>
      <c r="I1657" s="77" t="s">
        <v>23</v>
      </c>
      <c r="J1657" s="77">
        <v>-1</v>
      </c>
      <c r="K1657" s="79">
        <f>AB1657/COUNTIFS($B:$B,$B1657,$C:$C,$C1657,$H:$H,$H1657,$I:$I,$I1657)</f>
        <v>7.0000000000000007E-2</v>
      </c>
      <c r="L1657" s="81">
        <f t="shared" si="108"/>
        <v>1</v>
      </c>
      <c r="M1657" s="83">
        <f t="shared" si="110"/>
        <v>-7.0000000000000007E-2</v>
      </c>
      <c r="N1657" s="84"/>
      <c r="AA1657" s="154">
        <f>AB1657/COUNTIFS($B:$B,$B1657,$C:$C,$C1657,$H:$H,$H1657,$I:$I,$I1657)</f>
        <v>7.0000000000000007E-2</v>
      </c>
      <c r="AB1657" s="155">
        <f>VLOOKUP(I1657,'Weights and Confidence'!$D$16:$AC$26,11,FALSE)</f>
        <v>7.0000000000000007E-2</v>
      </c>
      <c r="AC1657" s="156">
        <f>VLOOKUP(I1657,'Weights and Confidence'!$D$16:$AC$26,12,FALSE)</f>
        <v>1</v>
      </c>
    </row>
    <row r="1658" spans="1:29" x14ac:dyDescent="0.2">
      <c r="A1658" s="76" t="s">
        <v>566</v>
      </c>
      <c r="B1658" s="76" t="s">
        <v>87</v>
      </c>
      <c r="C1658" s="76" t="s">
        <v>281</v>
      </c>
      <c r="D1658" s="76" t="s">
        <v>5</v>
      </c>
      <c r="E1658" s="76" t="s">
        <v>103</v>
      </c>
      <c r="F1658" s="91" t="s">
        <v>282</v>
      </c>
      <c r="G1658" s="76">
        <v>7</v>
      </c>
      <c r="H1658" s="76" t="s">
        <v>17</v>
      </c>
      <c r="I1658" s="76" t="s">
        <v>24</v>
      </c>
      <c r="J1658" s="76">
        <v>0</v>
      </c>
      <c r="K1658" s="78">
        <f>AB1658/COUNTIFS($B:$B,$B1658,$C:$C,$C1658,$H:$H,$H1658,$I:$I,$I1658)</f>
        <v>0.15</v>
      </c>
      <c r="L1658" s="80">
        <f t="shared" si="108"/>
        <v>1</v>
      </c>
      <c r="M1658" s="82">
        <f t="shared" si="110"/>
        <v>0</v>
      </c>
      <c r="N1658" s="59"/>
      <c r="AA1658" s="154">
        <f>AB1658/COUNTIFS($B:$B,$B1658,$C:$C,$C1658,$H:$H,$H1658,$I:$I,$I1658)</f>
        <v>0.15</v>
      </c>
      <c r="AB1658" s="155">
        <f>VLOOKUP(I1658,'Weights and Confidence'!$D$16:$AC$26,11,FALSE)</f>
        <v>0.15</v>
      </c>
      <c r="AC1658" s="156">
        <f>VLOOKUP(I1658,'Weights and Confidence'!$D$16:$AC$26,12,FALSE)</f>
        <v>1</v>
      </c>
    </row>
    <row r="1659" spans="1:29" x14ac:dyDescent="0.2">
      <c r="A1659" s="77" t="s">
        <v>566</v>
      </c>
      <c r="B1659" s="77" t="s">
        <v>87</v>
      </c>
      <c r="C1659" s="77" t="s">
        <v>281</v>
      </c>
      <c r="D1659" s="77" t="s">
        <v>5</v>
      </c>
      <c r="E1659" s="77" t="s">
        <v>103</v>
      </c>
      <c r="F1659" s="91" t="s">
        <v>282</v>
      </c>
      <c r="G1659" s="77">
        <v>7</v>
      </c>
      <c r="H1659" s="77" t="s">
        <v>18</v>
      </c>
      <c r="I1659" s="77" t="s">
        <v>24</v>
      </c>
      <c r="J1659" s="77">
        <v>-1</v>
      </c>
      <c r="K1659" s="79">
        <f>AB1659/COUNTIFS($B:$B,$B1659,$C:$C,$C1659,$H:$H,$H1659,$I:$I,$I1659)</f>
        <v>0.15</v>
      </c>
      <c r="L1659" s="81">
        <f t="shared" si="108"/>
        <v>1</v>
      </c>
      <c r="M1659" s="83">
        <f t="shared" si="110"/>
        <v>-0.15</v>
      </c>
      <c r="N1659" s="84"/>
      <c r="AA1659" s="154">
        <f>AB1659/COUNTIFS($B:$B,$B1659,$C:$C,$C1659,$H:$H,$H1659,$I:$I,$I1659)</f>
        <v>0.15</v>
      </c>
      <c r="AB1659" s="155">
        <f>VLOOKUP(I1659,'Weights and Confidence'!$D$16:$AC$26,11,FALSE)</f>
        <v>0.15</v>
      </c>
      <c r="AC1659" s="156">
        <f>VLOOKUP(I1659,'Weights and Confidence'!$D$16:$AC$26,12,FALSE)</f>
        <v>1</v>
      </c>
    </row>
    <row r="1660" spans="1:29" x14ac:dyDescent="0.2">
      <c r="A1660" s="76" t="s">
        <v>566</v>
      </c>
      <c r="B1660" s="76" t="s">
        <v>87</v>
      </c>
      <c r="C1660" s="76" t="s">
        <v>281</v>
      </c>
      <c r="D1660" s="76" t="s">
        <v>5</v>
      </c>
      <c r="E1660" s="76" t="s">
        <v>103</v>
      </c>
      <c r="F1660" s="91" t="s">
        <v>282</v>
      </c>
      <c r="G1660" s="76">
        <v>8</v>
      </c>
      <c r="H1660" s="76" t="s">
        <v>17</v>
      </c>
      <c r="I1660" s="76" t="s">
        <v>25</v>
      </c>
      <c r="J1660" s="76">
        <v>0</v>
      </c>
      <c r="K1660" s="78">
        <f>AB1660/COUNTIFS($B:$B,$B1660,$C:$C,$C1660,$H:$H,$H1660,$I:$I,$I1660)</f>
        <v>0.1</v>
      </c>
      <c r="L1660" s="80">
        <f t="shared" si="108"/>
        <v>1</v>
      </c>
      <c r="M1660" s="82">
        <f t="shared" si="110"/>
        <v>0</v>
      </c>
      <c r="N1660" s="59"/>
      <c r="AA1660" s="154">
        <f>AB1660/COUNTIFS($B:$B,$B1660,$C:$C,$C1660,$H:$H,$H1660,$I:$I,$I1660)</f>
        <v>0.1</v>
      </c>
      <c r="AB1660" s="155">
        <f>VLOOKUP(I1660,'Weights and Confidence'!$D$16:$AC$26,11,FALSE)</f>
        <v>0.1</v>
      </c>
      <c r="AC1660" s="156">
        <f>VLOOKUP(I1660,'Weights and Confidence'!$D$16:$AC$26,12,FALSE)</f>
        <v>1</v>
      </c>
    </row>
    <row r="1661" spans="1:29" x14ac:dyDescent="0.2">
      <c r="A1661" s="77" t="s">
        <v>566</v>
      </c>
      <c r="B1661" s="77" t="s">
        <v>87</v>
      </c>
      <c r="C1661" s="77" t="s">
        <v>281</v>
      </c>
      <c r="D1661" s="77" t="s">
        <v>5</v>
      </c>
      <c r="E1661" s="77" t="s">
        <v>103</v>
      </c>
      <c r="F1661" s="91" t="s">
        <v>282</v>
      </c>
      <c r="G1661" s="77">
        <v>8</v>
      </c>
      <c r="H1661" s="77" t="s">
        <v>18</v>
      </c>
      <c r="I1661" s="77" t="s">
        <v>25</v>
      </c>
      <c r="J1661" s="77">
        <v>-1</v>
      </c>
      <c r="K1661" s="79">
        <f>AB1661/COUNTIFS($B:$B,$B1661,$C:$C,$C1661,$H:$H,$H1661,$I:$I,$I1661)</f>
        <v>0.1</v>
      </c>
      <c r="L1661" s="81">
        <f t="shared" si="108"/>
        <v>1</v>
      </c>
      <c r="M1661" s="83">
        <f t="shared" si="110"/>
        <v>-0.1</v>
      </c>
      <c r="N1661" s="84"/>
      <c r="AA1661" s="154">
        <f>AB1661/COUNTIFS($B:$B,$B1661,$C:$C,$C1661,$H:$H,$H1661,$I:$I,$I1661)</f>
        <v>0.1</v>
      </c>
      <c r="AB1661" s="155">
        <f>VLOOKUP(I1661,'Weights and Confidence'!$D$16:$AC$26,11,FALSE)</f>
        <v>0.1</v>
      </c>
      <c r="AC1661" s="156">
        <f>VLOOKUP(I1661,'Weights and Confidence'!$D$16:$AC$26,12,FALSE)</f>
        <v>1</v>
      </c>
    </row>
    <row r="1662" spans="1:29" x14ac:dyDescent="0.2">
      <c r="A1662" s="76" t="s">
        <v>566</v>
      </c>
      <c r="B1662" s="76" t="s">
        <v>87</v>
      </c>
      <c r="C1662" s="76" t="s">
        <v>281</v>
      </c>
      <c r="D1662" s="76" t="s">
        <v>5</v>
      </c>
      <c r="E1662" s="76" t="s">
        <v>103</v>
      </c>
      <c r="F1662" s="91" t="s">
        <v>282</v>
      </c>
      <c r="G1662" s="76">
        <v>9</v>
      </c>
      <c r="H1662" s="76" t="s">
        <v>17</v>
      </c>
      <c r="I1662" s="76" t="s">
        <v>26</v>
      </c>
      <c r="J1662" s="76">
        <v>1</v>
      </c>
      <c r="K1662" s="78">
        <f>AB1662/COUNTIFS($B:$B,$B1662,$C:$C,$C1662,$H:$H,$H1662,$I:$I,$I1662)</f>
        <v>0.1</v>
      </c>
      <c r="L1662" s="80">
        <f t="shared" si="108"/>
        <v>1</v>
      </c>
      <c r="M1662" s="82">
        <f t="shared" si="110"/>
        <v>0.1</v>
      </c>
      <c r="N1662" s="59"/>
      <c r="AA1662" s="154">
        <f>AB1662/COUNTIFS($B:$B,$B1662,$C:$C,$C1662,$H:$H,$H1662,$I:$I,$I1662)</f>
        <v>0.1</v>
      </c>
      <c r="AB1662" s="155">
        <f>VLOOKUP(I1662,'Weights and Confidence'!$D$16:$AC$26,11,FALSE)</f>
        <v>0.1</v>
      </c>
      <c r="AC1662" s="156">
        <f>VLOOKUP(I1662,'Weights and Confidence'!$D$16:$AC$26,12,FALSE)</f>
        <v>1</v>
      </c>
    </row>
    <row r="1663" spans="1:29" x14ac:dyDescent="0.2">
      <c r="A1663" s="77" t="s">
        <v>566</v>
      </c>
      <c r="B1663" s="77" t="s">
        <v>87</v>
      </c>
      <c r="C1663" s="77" t="s">
        <v>281</v>
      </c>
      <c r="D1663" s="77" t="s">
        <v>5</v>
      </c>
      <c r="E1663" s="77" t="s">
        <v>103</v>
      </c>
      <c r="F1663" s="91" t="s">
        <v>282</v>
      </c>
      <c r="G1663" s="77">
        <v>9</v>
      </c>
      <c r="H1663" s="77" t="s">
        <v>18</v>
      </c>
      <c r="I1663" s="77" t="s">
        <v>26</v>
      </c>
      <c r="J1663" s="77">
        <v>-1</v>
      </c>
      <c r="K1663" s="79">
        <f>AB1663/COUNTIFS($B:$B,$B1663,$C:$C,$C1663,$H:$H,$H1663,$I:$I,$I1663)</f>
        <v>0.1</v>
      </c>
      <c r="L1663" s="81">
        <f t="shared" si="108"/>
        <v>1</v>
      </c>
      <c r="M1663" s="83">
        <f t="shared" si="110"/>
        <v>-0.1</v>
      </c>
      <c r="N1663" s="84"/>
      <c r="AA1663" s="154">
        <f>AB1663/COUNTIFS($B:$B,$B1663,$C:$C,$C1663,$H:$H,$H1663,$I:$I,$I1663)</f>
        <v>0.1</v>
      </c>
      <c r="AB1663" s="155">
        <f>VLOOKUP(I1663,'Weights and Confidence'!$D$16:$AC$26,11,FALSE)</f>
        <v>0.1</v>
      </c>
      <c r="AC1663" s="156">
        <f>VLOOKUP(I1663,'Weights and Confidence'!$D$16:$AC$26,12,FALSE)</f>
        <v>1</v>
      </c>
    </row>
    <row r="1664" spans="1:29" x14ac:dyDescent="0.2">
      <c r="A1664" s="76" t="s">
        <v>566</v>
      </c>
      <c r="B1664" s="76" t="s">
        <v>87</v>
      </c>
      <c r="C1664" s="76" t="s">
        <v>281</v>
      </c>
      <c r="D1664" s="76" t="s">
        <v>5</v>
      </c>
      <c r="E1664" s="76" t="s">
        <v>103</v>
      </c>
      <c r="F1664" s="91" t="s">
        <v>282</v>
      </c>
      <c r="G1664" s="76">
        <v>10</v>
      </c>
      <c r="H1664" s="76" t="s">
        <v>17</v>
      </c>
      <c r="I1664" s="76" t="s">
        <v>27</v>
      </c>
      <c r="J1664" s="76">
        <v>0</v>
      </c>
      <c r="K1664" s="78">
        <f>AB1664/COUNTIFS($B:$B,$B1664,$C:$C,$C1664,$H:$H,$H1664,$I:$I,$I1664)</f>
        <v>0.05</v>
      </c>
      <c r="L1664" s="80">
        <f t="shared" si="108"/>
        <v>0.9</v>
      </c>
      <c r="M1664" s="82">
        <f t="shared" si="110"/>
        <v>0</v>
      </c>
      <c r="N1664" s="59"/>
      <c r="AA1664" s="154">
        <f>AB1664/COUNTIFS($B:$B,$B1664,$C:$C,$C1664,$H:$H,$H1664,$I:$I,$I1664)</f>
        <v>0.05</v>
      </c>
      <c r="AB1664" s="155">
        <f>VLOOKUP(I1664,'Weights and Confidence'!$D$16:$AC$26,11,FALSE)</f>
        <v>0.1</v>
      </c>
      <c r="AC1664" s="156">
        <f>VLOOKUP(I1664,'Weights and Confidence'!$D$16:$AC$26,12,FALSE)</f>
        <v>0.9</v>
      </c>
    </row>
    <row r="1665" spans="1:29" x14ac:dyDescent="0.2">
      <c r="A1665" s="77" t="s">
        <v>566</v>
      </c>
      <c r="B1665" s="77" t="s">
        <v>87</v>
      </c>
      <c r="C1665" s="77" t="s">
        <v>281</v>
      </c>
      <c r="D1665" s="77" t="s">
        <v>5</v>
      </c>
      <c r="E1665" s="77" t="s">
        <v>103</v>
      </c>
      <c r="F1665" s="91" t="s">
        <v>282</v>
      </c>
      <c r="G1665" s="77">
        <v>10</v>
      </c>
      <c r="H1665" s="77" t="s">
        <v>18</v>
      </c>
      <c r="I1665" s="77" t="s">
        <v>27</v>
      </c>
      <c r="J1665" s="77">
        <v>-1</v>
      </c>
      <c r="K1665" s="79">
        <f>AB1665/COUNTIFS($B:$B,$B1665,$C:$C,$C1665,$H:$H,$H1665,$I:$I,$I1665)</f>
        <v>0.05</v>
      </c>
      <c r="L1665" s="81">
        <f t="shared" si="108"/>
        <v>0.9</v>
      </c>
      <c r="M1665" s="83">
        <f t="shared" si="110"/>
        <v>-4.5000000000000005E-2</v>
      </c>
      <c r="N1665" s="84"/>
      <c r="AA1665" s="154">
        <f>AB1665/COUNTIFS($B:$B,$B1665,$C:$C,$C1665,$H:$H,$H1665,$I:$I,$I1665)</f>
        <v>0.05</v>
      </c>
      <c r="AB1665" s="155">
        <f>VLOOKUP(I1665,'Weights and Confidence'!$D$16:$AC$26,11,FALSE)</f>
        <v>0.1</v>
      </c>
      <c r="AC1665" s="156">
        <f>VLOOKUP(I1665,'Weights and Confidence'!$D$16:$AC$26,12,FALSE)</f>
        <v>0.9</v>
      </c>
    </row>
    <row r="1666" spans="1:29" x14ac:dyDescent="0.2">
      <c r="A1666" s="76" t="s">
        <v>566</v>
      </c>
      <c r="B1666" s="76" t="s">
        <v>87</v>
      </c>
      <c r="C1666" s="76" t="s">
        <v>281</v>
      </c>
      <c r="D1666" s="76" t="s">
        <v>5</v>
      </c>
      <c r="E1666" s="76" t="s">
        <v>103</v>
      </c>
      <c r="F1666" s="91" t="s">
        <v>282</v>
      </c>
      <c r="G1666" s="76">
        <v>11</v>
      </c>
      <c r="H1666" s="76" t="s">
        <v>17</v>
      </c>
      <c r="I1666" s="76" t="s">
        <v>27</v>
      </c>
      <c r="J1666" s="76">
        <v>-1</v>
      </c>
      <c r="K1666" s="78">
        <f>AB1666/COUNTIFS($B:$B,$B1666,$C:$C,$C1666,$H:$H,$H1666,$I:$I,$I1666)</f>
        <v>0.05</v>
      </c>
      <c r="L1666" s="80">
        <f t="shared" si="108"/>
        <v>0.9</v>
      </c>
      <c r="M1666" s="82">
        <f t="shared" si="110"/>
        <v>-4.5000000000000005E-2</v>
      </c>
      <c r="N1666" s="59"/>
      <c r="AA1666" s="154">
        <f>AB1666/COUNTIFS($B:$B,$B1666,$C:$C,$C1666,$H:$H,$H1666,$I:$I,$I1666)</f>
        <v>0.05</v>
      </c>
      <c r="AB1666" s="155">
        <f>VLOOKUP(I1666,'Weights and Confidence'!$D$16:$AC$26,11,FALSE)</f>
        <v>0.1</v>
      </c>
      <c r="AC1666" s="156">
        <f>VLOOKUP(I1666,'Weights and Confidence'!$D$16:$AC$26,12,FALSE)</f>
        <v>0.9</v>
      </c>
    </row>
    <row r="1667" spans="1:29" x14ac:dyDescent="0.2">
      <c r="A1667" s="77" t="s">
        <v>566</v>
      </c>
      <c r="B1667" s="77" t="s">
        <v>87</v>
      </c>
      <c r="C1667" s="77" t="s">
        <v>281</v>
      </c>
      <c r="D1667" s="77" t="s">
        <v>5</v>
      </c>
      <c r="E1667" s="77" t="s">
        <v>103</v>
      </c>
      <c r="F1667" s="91" t="s">
        <v>282</v>
      </c>
      <c r="G1667" s="77">
        <v>11</v>
      </c>
      <c r="H1667" s="77" t="s">
        <v>18</v>
      </c>
      <c r="I1667" s="77" t="s">
        <v>27</v>
      </c>
      <c r="J1667" s="77">
        <v>0</v>
      </c>
      <c r="K1667" s="79">
        <f>AB1667/COUNTIFS($B:$B,$B1667,$C:$C,$C1667,$H:$H,$H1667,$I:$I,$I1667)</f>
        <v>0.05</v>
      </c>
      <c r="L1667" s="81">
        <f t="shared" si="108"/>
        <v>0.9</v>
      </c>
      <c r="M1667" s="83">
        <f t="shared" si="110"/>
        <v>0</v>
      </c>
      <c r="N1667" s="84"/>
      <c r="AA1667" s="154">
        <f>AB1667/COUNTIFS($B:$B,$B1667,$C:$C,$C1667,$H:$H,$H1667,$I:$I,$I1667)</f>
        <v>0.05</v>
      </c>
      <c r="AB1667" s="155">
        <f>VLOOKUP(I1667,'Weights and Confidence'!$D$16:$AC$26,11,FALSE)</f>
        <v>0.1</v>
      </c>
      <c r="AC1667" s="156">
        <f>VLOOKUP(I1667,'Weights and Confidence'!$D$16:$AC$26,12,FALSE)</f>
        <v>0.9</v>
      </c>
    </row>
    <row r="1668" spans="1:29" x14ac:dyDescent="0.2">
      <c r="A1668" s="77" t="s">
        <v>566</v>
      </c>
      <c r="B1668" s="77" t="s">
        <v>87</v>
      </c>
      <c r="C1668" s="77" t="s">
        <v>281</v>
      </c>
      <c r="D1668" s="77" t="s">
        <v>5</v>
      </c>
      <c r="E1668" s="77" t="s">
        <v>103</v>
      </c>
      <c r="F1668" s="91" t="s">
        <v>282</v>
      </c>
      <c r="G1668" s="77">
        <v>12</v>
      </c>
      <c r="H1668" s="77" t="s">
        <v>17</v>
      </c>
      <c r="I1668" s="77" t="s">
        <v>28</v>
      </c>
      <c r="J1668" s="77">
        <v>-1</v>
      </c>
      <c r="K1668" s="79">
        <f>AB1668/COUNTIFS($B:$B,$B1668,$C:$C,$C1668,$H:$H,$H1668,$I:$I,$I1668)</f>
        <v>0.05</v>
      </c>
      <c r="L1668" s="81">
        <f t="shared" si="108"/>
        <v>1</v>
      </c>
      <c r="M1668" s="83">
        <f>J1668*K1668*L1668</f>
        <v>-0.05</v>
      </c>
      <c r="N1668" s="58"/>
      <c r="AA1668" s="154">
        <f>AB1668/COUNTIFS($B:$B,$B1668,$C:$C,$C1668,$H:$H,$H1668,$I:$I,$I1668)</f>
        <v>0.05</v>
      </c>
      <c r="AB1668" s="155">
        <f>VLOOKUP(I1668,'Weights and Confidence'!$D$16:$AC$26,11,FALSE)</f>
        <v>0.05</v>
      </c>
      <c r="AC1668" s="156">
        <f>VLOOKUP(I1668,'Weights and Confidence'!$D$16:$AC$26,12,FALSE)</f>
        <v>1</v>
      </c>
    </row>
    <row r="1669" spans="1:29" ht="17" thickBot="1" x14ac:dyDescent="0.25">
      <c r="A1669" s="98" t="s">
        <v>566</v>
      </c>
      <c r="B1669" s="98" t="s">
        <v>87</v>
      </c>
      <c r="C1669" s="98" t="s">
        <v>281</v>
      </c>
      <c r="D1669" s="98" t="s">
        <v>5</v>
      </c>
      <c r="E1669" s="98" t="s">
        <v>103</v>
      </c>
      <c r="F1669" s="93" t="s">
        <v>282</v>
      </c>
      <c r="G1669" s="98">
        <v>12</v>
      </c>
      <c r="H1669" s="98" t="s">
        <v>18</v>
      </c>
      <c r="I1669" s="98" t="s">
        <v>28</v>
      </c>
      <c r="J1669" s="98">
        <v>0</v>
      </c>
      <c r="K1669" s="99">
        <f>AB1669/COUNTIFS($B:$B,$B1669,$C:$C,$C1669,$H:$H,$H1669,$I:$I,$I1669)</f>
        <v>0.05</v>
      </c>
      <c r="L1669" s="100">
        <f t="shared" si="108"/>
        <v>1</v>
      </c>
      <c r="M1669" s="101">
        <f>J1669*K1669*L1669</f>
        <v>0</v>
      </c>
      <c r="N1669" s="22" t="s">
        <v>592</v>
      </c>
      <c r="AA1669" s="157">
        <f>AB1669/COUNTIFS($B:$B,$B1669,$C:$C,$C1669,$H:$H,$H1669,$I:$I,$I1669)</f>
        <v>0.05</v>
      </c>
      <c r="AB1669" s="158">
        <f>VLOOKUP(I1669,'Weights and Confidence'!$D$16:$AC$26,11,FALSE)</f>
        <v>0.05</v>
      </c>
      <c r="AC1669" s="159">
        <f>VLOOKUP(I1669,'Weights and Confidence'!$D$16:$AC$26,12,FALSE)</f>
        <v>1</v>
      </c>
    </row>
    <row r="1670" spans="1:29" ht="17" thickTop="1" x14ac:dyDescent="0.2">
      <c r="A1670" s="86" t="s">
        <v>566</v>
      </c>
      <c r="B1670" s="86" t="s">
        <v>87</v>
      </c>
      <c r="C1670" s="86" t="s">
        <v>290</v>
      </c>
      <c r="D1670" s="86" t="s">
        <v>5</v>
      </c>
      <c r="E1670" s="86" t="s">
        <v>465</v>
      </c>
      <c r="F1670" s="18" t="s">
        <v>291</v>
      </c>
      <c r="G1670" s="86">
        <v>1</v>
      </c>
      <c r="H1670" s="86" t="s">
        <v>17</v>
      </c>
      <c r="I1670" s="86" t="s">
        <v>19</v>
      </c>
      <c r="J1670" s="97">
        <v>1</v>
      </c>
      <c r="K1670" s="87">
        <f>AB1670/COUNTIFS($B:$B,$B1670,$C:$C,$C1670,$H:$H,$H1670,$I:$I,$I1670)</f>
        <v>0.12</v>
      </c>
      <c r="L1670" s="88">
        <f t="shared" ref="L1670:L1693" si="111">AC1670</f>
        <v>1</v>
      </c>
      <c r="M1670" s="89">
        <f t="shared" ref="M1670" si="112">J1670*K1670*L1670</f>
        <v>0.12</v>
      </c>
      <c r="N1670" s="90"/>
      <c r="AA1670" s="154">
        <f>AB1670/COUNTIFS($B:$B,$B1670,$C:$C,$C1670,$H:$H,$H1670,$I:$I,$I1670)</f>
        <v>0.12</v>
      </c>
      <c r="AB1670" s="155">
        <f>VLOOKUP(I1670,'Weights and Confidence'!$D$16:$AC$26,11,FALSE)</f>
        <v>0.12</v>
      </c>
      <c r="AC1670" s="156">
        <f>VLOOKUP(I1670,'Weights and Confidence'!$D$16:$AC$26,12,FALSE)</f>
        <v>1</v>
      </c>
    </row>
    <row r="1671" spans="1:29" x14ac:dyDescent="0.2">
      <c r="A1671" s="77" t="s">
        <v>566</v>
      </c>
      <c r="B1671" s="77" t="s">
        <v>87</v>
      </c>
      <c r="C1671" s="77" t="s">
        <v>290</v>
      </c>
      <c r="D1671" s="77" t="s">
        <v>5</v>
      </c>
      <c r="E1671" s="77" t="s">
        <v>465</v>
      </c>
      <c r="F1671" s="91" t="s">
        <v>291</v>
      </c>
      <c r="G1671" s="77">
        <v>1</v>
      </c>
      <c r="H1671" s="77" t="s">
        <v>18</v>
      </c>
      <c r="I1671" s="77" t="s">
        <v>19</v>
      </c>
      <c r="J1671" s="77">
        <v>1</v>
      </c>
      <c r="K1671" s="79">
        <f>AB1671/COUNTIFS($B:$B,$B1671,$C:$C,$C1671,$H:$H,$H1671,$I:$I,$I1671)</f>
        <v>0.12</v>
      </c>
      <c r="L1671" s="81">
        <f t="shared" si="111"/>
        <v>1</v>
      </c>
      <c r="M1671" s="83">
        <f>J1670*K1671*L1671</f>
        <v>0.12</v>
      </c>
      <c r="N1671" s="84"/>
      <c r="AA1671" s="154">
        <f>AB1671/COUNTIFS($B:$B,$B1671,$C:$C,$C1671,$H:$H,$H1671,$I:$I,$I1671)</f>
        <v>0.12</v>
      </c>
      <c r="AB1671" s="155">
        <f>VLOOKUP(I1671,'Weights and Confidence'!$D$16:$AC$26,11,FALSE)</f>
        <v>0.12</v>
      </c>
      <c r="AC1671" s="156">
        <f>VLOOKUP(I1671,'Weights and Confidence'!$D$16:$AC$26,12,FALSE)</f>
        <v>1</v>
      </c>
    </row>
    <row r="1672" spans="1:29" x14ac:dyDescent="0.2">
      <c r="A1672" s="76" t="s">
        <v>566</v>
      </c>
      <c r="B1672" s="76" t="s">
        <v>87</v>
      </c>
      <c r="C1672" s="76" t="s">
        <v>290</v>
      </c>
      <c r="D1672" s="76" t="s">
        <v>5</v>
      </c>
      <c r="E1672" s="76" t="s">
        <v>465</v>
      </c>
      <c r="F1672" s="91" t="s">
        <v>291</v>
      </c>
      <c r="G1672" s="76">
        <v>2</v>
      </c>
      <c r="H1672" s="76" t="s">
        <v>17</v>
      </c>
      <c r="I1672" s="76" t="s">
        <v>20</v>
      </c>
      <c r="J1672" s="76">
        <v>1</v>
      </c>
      <c r="K1672" s="78">
        <f>AB1672/COUNTIFS($B:$B,$B1672,$C:$C,$C1672,$H:$H,$H1672,$I:$I,$I1672)</f>
        <v>0.08</v>
      </c>
      <c r="L1672" s="80">
        <f t="shared" si="111"/>
        <v>0.9</v>
      </c>
      <c r="M1672" s="82">
        <f t="shared" ref="M1672:M1691" si="113">J1672*K1672*L1672</f>
        <v>7.2000000000000008E-2</v>
      </c>
      <c r="N1672" s="59"/>
      <c r="AA1672" s="154">
        <f>AB1672/COUNTIFS($B:$B,$B1672,$C:$C,$C1672,$H:$H,$H1672,$I:$I,$I1672)</f>
        <v>0.08</v>
      </c>
      <c r="AB1672" s="155">
        <f>VLOOKUP(I1672,'Weights and Confidence'!$D$16:$AC$26,11,FALSE)</f>
        <v>0.08</v>
      </c>
      <c r="AC1672" s="156">
        <f>VLOOKUP(I1672,'Weights and Confidence'!$D$16:$AC$26,12,FALSE)</f>
        <v>0.9</v>
      </c>
    </row>
    <row r="1673" spans="1:29" x14ac:dyDescent="0.2">
      <c r="A1673" s="77" t="s">
        <v>566</v>
      </c>
      <c r="B1673" s="77" t="s">
        <v>87</v>
      </c>
      <c r="C1673" s="77" t="s">
        <v>290</v>
      </c>
      <c r="D1673" s="77" t="s">
        <v>5</v>
      </c>
      <c r="E1673" s="77" t="s">
        <v>465</v>
      </c>
      <c r="F1673" s="91" t="s">
        <v>291</v>
      </c>
      <c r="G1673" s="77">
        <v>2</v>
      </c>
      <c r="H1673" s="77" t="s">
        <v>18</v>
      </c>
      <c r="I1673" s="77" t="s">
        <v>20</v>
      </c>
      <c r="J1673" s="77">
        <v>1</v>
      </c>
      <c r="K1673" s="79">
        <f>AB1673/COUNTIFS($B:$B,$B1673,$C:$C,$C1673,$H:$H,$H1673,$I:$I,$I1673)</f>
        <v>0.08</v>
      </c>
      <c r="L1673" s="81">
        <f t="shared" si="111"/>
        <v>0.9</v>
      </c>
      <c r="M1673" s="83">
        <f t="shared" si="113"/>
        <v>7.2000000000000008E-2</v>
      </c>
      <c r="N1673" s="58"/>
      <c r="AA1673" s="154">
        <f>AB1673/COUNTIFS($B:$B,$B1673,$C:$C,$C1673,$H:$H,$H1673,$I:$I,$I1673)</f>
        <v>0.08</v>
      </c>
      <c r="AB1673" s="155">
        <f>VLOOKUP(I1673,'Weights and Confidence'!$D$16:$AC$26,11,FALSE)</f>
        <v>0.08</v>
      </c>
      <c r="AC1673" s="156">
        <f>VLOOKUP(I1673,'Weights and Confidence'!$D$16:$AC$26,12,FALSE)</f>
        <v>0.9</v>
      </c>
    </row>
    <row r="1674" spans="1:29" x14ac:dyDescent="0.2">
      <c r="A1674" s="76" t="s">
        <v>566</v>
      </c>
      <c r="B1674" s="76" t="s">
        <v>87</v>
      </c>
      <c r="C1674" s="76" t="s">
        <v>290</v>
      </c>
      <c r="D1674" s="76" t="s">
        <v>5</v>
      </c>
      <c r="E1674" s="76" t="s">
        <v>465</v>
      </c>
      <c r="F1674" s="91" t="s">
        <v>291</v>
      </c>
      <c r="G1674" s="76">
        <v>3</v>
      </c>
      <c r="H1674" s="76" t="s">
        <v>17</v>
      </c>
      <c r="I1674" s="76" t="s">
        <v>21</v>
      </c>
      <c r="J1674" s="76">
        <v>1</v>
      </c>
      <c r="K1674" s="78">
        <f>AB1674/COUNTIFS($B:$B,$B1674,$C:$C,$C1674,$H:$H,$H1674,$I:$I,$I1674)</f>
        <v>0.05</v>
      </c>
      <c r="L1674" s="80">
        <f t="shared" si="111"/>
        <v>1</v>
      </c>
      <c r="M1674" s="82">
        <f t="shared" si="113"/>
        <v>0.05</v>
      </c>
      <c r="N1674" s="59"/>
      <c r="AA1674" s="154">
        <f>AB1674/COUNTIFS($B:$B,$B1674,$C:$C,$C1674,$H:$H,$H1674,$I:$I,$I1674)</f>
        <v>0.05</v>
      </c>
      <c r="AB1674" s="155">
        <f>VLOOKUP(I1674,'Weights and Confidence'!$D$16:$AC$26,11,FALSE)</f>
        <v>0.05</v>
      </c>
      <c r="AC1674" s="156">
        <f>VLOOKUP(I1674,'Weights and Confidence'!$D$16:$AC$26,12,FALSE)</f>
        <v>1</v>
      </c>
    </row>
    <row r="1675" spans="1:29" x14ac:dyDescent="0.2">
      <c r="A1675" s="77" t="s">
        <v>566</v>
      </c>
      <c r="B1675" s="77" t="s">
        <v>87</v>
      </c>
      <c r="C1675" s="77" t="s">
        <v>290</v>
      </c>
      <c r="D1675" s="77" t="s">
        <v>5</v>
      </c>
      <c r="E1675" s="77" t="s">
        <v>465</v>
      </c>
      <c r="F1675" s="91" t="s">
        <v>291</v>
      </c>
      <c r="G1675" s="77">
        <v>3</v>
      </c>
      <c r="H1675" s="77" t="s">
        <v>18</v>
      </c>
      <c r="I1675" s="77" t="s">
        <v>21</v>
      </c>
      <c r="J1675" s="77">
        <v>1</v>
      </c>
      <c r="K1675" s="79">
        <f>AB1675/COUNTIFS($B:$B,$B1675,$C:$C,$C1675,$H:$H,$H1675,$I:$I,$I1675)</f>
        <v>0.05</v>
      </c>
      <c r="L1675" s="81">
        <f t="shared" si="111"/>
        <v>1</v>
      </c>
      <c r="M1675" s="83">
        <f t="shared" si="113"/>
        <v>0.05</v>
      </c>
      <c r="N1675" s="84"/>
      <c r="AA1675" s="154">
        <f>AB1675/COUNTIFS($B:$B,$B1675,$C:$C,$C1675,$H:$H,$H1675,$I:$I,$I1675)</f>
        <v>0.05</v>
      </c>
      <c r="AB1675" s="155">
        <f>VLOOKUP(I1675,'Weights and Confidence'!$D$16:$AC$26,11,FALSE)</f>
        <v>0.05</v>
      </c>
      <c r="AC1675" s="156">
        <f>VLOOKUP(I1675,'Weights and Confidence'!$D$16:$AC$26,12,FALSE)</f>
        <v>1</v>
      </c>
    </row>
    <row r="1676" spans="1:29" x14ac:dyDescent="0.2">
      <c r="A1676" s="76" t="s">
        <v>566</v>
      </c>
      <c r="B1676" s="76" t="s">
        <v>87</v>
      </c>
      <c r="C1676" s="76" t="s">
        <v>290</v>
      </c>
      <c r="D1676" s="76" t="s">
        <v>5</v>
      </c>
      <c r="E1676" s="76" t="s">
        <v>465</v>
      </c>
      <c r="F1676" s="91" t="s">
        <v>291</v>
      </c>
      <c r="G1676" s="76">
        <v>4</v>
      </c>
      <c r="H1676" s="76" t="s">
        <v>17</v>
      </c>
      <c r="I1676" s="76" t="s">
        <v>22</v>
      </c>
      <c r="J1676" s="76">
        <v>0</v>
      </c>
      <c r="K1676" s="78">
        <f>AB1676/COUNTIFS($B:$B,$B1676,$C:$C,$C1676,$H:$H,$H1676,$I:$I,$I1676)</f>
        <v>0.1</v>
      </c>
      <c r="L1676" s="80">
        <f t="shared" si="111"/>
        <v>1</v>
      </c>
      <c r="M1676" s="82">
        <f t="shared" si="113"/>
        <v>0</v>
      </c>
      <c r="N1676" s="59"/>
      <c r="AA1676" s="154">
        <f>AB1676/COUNTIFS($B:$B,$B1676,$C:$C,$C1676,$H:$H,$H1676,$I:$I,$I1676)</f>
        <v>0.1</v>
      </c>
      <c r="AB1676" s="155">
        <f>VLOOKUP(I1676,'Weights and Confidence'!$D$16:$AC$26,11,FALSE)</f>
        <v>0.1</v>
      </c>
      <c r="AC1676" s="156">
        <f>VLOOKUP(I1676,'Weights and Confidence'!$D$16:$AC$26,12,FALSE)</f>
        <v>1</v>
      </c>
    </row>
    <row r="1677" spans="1:29" x14ac:dyDescent="0.2">
      <c r="A1677" s="77" t="s">
        <v>566</v>
      </c>
      <c r="B1677" s="77" t="s">
        <v>87</v>
      </c>
      <c r="C1677" s="77" t="s">
        <v>290</v>
      </c>
      <c r="D1677" s="77" t="s">
        <v>5</v>
      </c>
      <c r="E1677" s="77" t="s">
        <v>465</v>
      </c>
      <c r="F1677" s="91" t="s">
        <v>291</v>
      </c>
      <c r="G1677" s="77">
        <v>4</v>
      </c>
      <c r="H1677" s="77" t="s">
        <v>18</v>
      </c>
      <c r="I1677" s="77" t="s">
        <v>22</v>
      </c>
      <c r="J1677" s="77">
        <v>1</v>
      </c>
      <c r="K1677" s="79">
        <f>AB1677/COUNTIFS($B:$B,$B1677,$C:$C,$C1677,$H:$H,$H1677,$I:$I,$I1677)</f>
        <v>0.1</v>
      </c>
      <c r="L1677" s="81">
        <f t="shared" si="111"/>
        <v>1</v>
      </c>
      <c r="M1677" s="83">
        <f t="shared" si="113"/>
        <v>0.1</v>
      </c>
      <c r="N1677" s="84" t="s">
        <v>593</v>
      </c>
      <c r="AA1677" s="154">
        <f>AB1677/COUNTIFS($B:$B,$B1677,$C:$C,$C1677,$H:$H,$H1677,$I:$I,$I1677)</f>
        <v>0.1</v>
      </c>
      <c r="AB1677" s="155">
        <f>VLOOKUP(I1677,'Weights and Confidence'!$D$16:$AC$26,11,FALSE)</f>
        <v>0.1</v>
      </c>
      <c r="AC1677" s="156">
        <f>VLOOKUP(I1677,'Weights and Confidence'!$D$16:$AC$26,12,FALSE)</f>
        <v>1</v>
      </c>
    </row>
    <row r="1678" spans="1:29" x14ac:dyDescent="0.2">
      <c r="A1678" s="76" t="s">
        <v>566</v>
      </c>
      <c r="B1678" s="76" t="s">
        <v>87</v>
      </c>
      <c r="C1678" s="76" t="s">
        <v>290</v>
      </c>
      <c r="D1678" s="76" t="s">
        <v>5</v>
      </c>
      <c r="E1678" s="76" t="s">
        <v>465</v>
      </c>
      <c r="F1678" s="91" t="s">
        <v>291</v>
      </c>
      <c r="G1678" s="76">
        <v>5</v>
      </c>
      <c r="H1678" s="76" t="s">
        <v>17</v>
      </c>
      <c r="I1678" s="76" t="s">
        <v>34</v>
      </c>
      <c r="J1678" s="76">
        <v>0</v>
      </c>
      <c r="K1678" s="78">
        <f>AB1678/COUNTIFS($B:$B,$B1678,$C:$C,$C1678,$H:$H,$H1678,$I:$I,$I1678)</f>
        <v>0.08</v>
      </c>
      <c r="L1678" s="80">
        <f t="shared" si="111"/>
        <v>1</v>
      </c>
      <c r="M1678" s="82">
        <f t="shared" si="113"/>
        <v>0</v>
      </c>
      <c r="N1678" s="84"/>
      <c r="AA1678" s="154">
        <f>AB1678/COUNTIFS($B:$B,$B1678,$C:$C,$C1678,$H:$H,$H1678,$I:$I,$I1678)</f>
        <v>0.08</v>
      </c>
      <c r="AB1678" s="155">
        <f>VLOOKUP(I1678,'Weights and Confidence'!$D$16:$AC$26,11,FALSE)</f>
        <v>0.08</v>
      </c>
      <c r="AC1678" s="156">
        <f>VLOOKUP(I1678,'Weights and Confidence'!$D$16:$AC$26,12,FALSE)</f>
        <v>1</v>
      </c>
    </row>
    <row r="1679" spans="1:29" x14ac:dyDescent="0.2">
      <c r="A1679" s="77" t="s">
        <v>566</v>
      </c>
      <c r="B1679" s="77" t="s">
        <v>87</v>
      </c>
      <c r="C1679" s="77" t="s">
        <v>290</v>
      </c>
      <c r="D1679" s="77" t="s">
        <v>5</v>
      </c>
      <c r="E1679" s="77" t="s">
        <v>465</v>
      </c>
      <c r="F1679" s="91" t="s">
        <v>291</v>
      </c>
      <c r="G1679" s="77">
        <v>5</v>
      </c>
      <c r="H1679" s="77" t="s">
        <v>18</v>
      </c>
      <c r="I1679" s="77" t="s">
        <v>34</v>
      </c>
      <c r="J1679" s="77">
        <v>0</v>
      </c>
      <c r="K1679" s="79">
        <f>AB1679/COUNTIFS($B:$B,$B1679,$C:$C,$C1679,$H:$H,$H1679,$I:$I,$I1679)</f>
        <v>0.08</v>
      </c>
      <c r="L1679" s="81">
        <f t="shared" si="111"/>
        <v>1</v>
      </c>
      <c r="M1679" s="83">
        <f t="shared" si="113"/>
        <v>0</v>
      </c>
      <c r="N1679" s="17" t="s">
        <v>593</v>
      </c>
      <c r="AA1679" s="154">
        <f>AB1679/COUNTIFS($B:$B,$B1679,$C:$C,$C1679,$H:$H,$H1679,$I:$I,$I1679)</f>
        <v>0.08</v>
      </c>
      <c r="AB1679" s="155">
        <f>VLOOKUP(I1679,'Weights and Confidence'!$D$16:$AC$26,11,FALSE)</f>
        <v>0.08</v>
      </c>
      <c r="AC1679" s="156">
        <f>VLOOKUP(I1679,'Weights and Confidence'!$D$16:$AC$26,12,FALSE)</f>
        <v>1</v>
      </c>
    </row>
    <row r="1680" spans="1:29" x14ac:dyDescent="0.2">
      <c r="A1680" s="76" t="s">
        <v>566</v>
      </c>
      <c r="B1680" s="76" t="s">
        <v>87</v>
      </c>
      <c r="C1680" s="76" t="s">
        <v>290</v>
      </c>
      <c r="D1680" s="76" t="s">
        <v>5</v>
      </c>
      <c r="E1680" s="76" t="s">
        <v>465</v>
      </c>
      <c r="F1680" s="91" t="s">
        <v>291</v>
      </c>
      <c r="G1680" s="76">
        <v>6</v>
      </c>
      <c r="H1680" s="76" t="s">
        <v>17</v>
      </c>
      <c r="I1680" s="76" t="s">
        <v>23</v>
      </c>
      <c r="J1680" s="76">
        <v>-1</v>
      </c>
      <c r="K1680" s="78">
        <f>AB1680/COUNTIFS($B:$B,$B1680,$C:$C,$C1680,$H:$H,$H1680,$I:$I,$I1680)</f>
        <v>7.0000000000000007E-2</v>
      </c>
      <c r="L1680" s="80">
        <f t="shared" si="111"/>
        <v>1</v>
      </c>
      <c r="M1680" s="82">
        <f t="shared" si="113"/>
        <v>-7.0000000000000007E-2</v>
      </c>
      <c r="N1680" s="59"/>
      <c r="AA1680" s="154">
        <f>AB1680/COUNTIFS($B:$B,$B1680,$C:$C,$C1680,$H:$H,$H1680,$I:$I,$I1680)</f>
        <v>7.0000000000000007E-2</v>
      </c>
      <c r="AB1680" s="155">
        <f>VLOOKUP(I1680,'Weights and Confidence'!$D$16:$AC$26,11,FALSE)</f>
        <v>7.0000000000000007E-2</v>
      </c>
      <c r="AC1680" s="156">
        <f>VLOOKUP(I1680,'Weights and Confidence'!$D$16:$AC$26,12,FALSE)</f>
        <v>1</v>
      </c>
    </row>
    <row r="1681" spans="1:29" x14ac:dyDescent="0.2">
      <c r="A1681" s="77" t="s">
        <v>566</v>
      </c>
      <c r="B1681" s="77" t="s">
        <v>87</v>
      </c>
      <c r="C1681" s="77" t="s">
        <v>290</v>
      </c>
      <c r="D1681" s="77" t="s">
        <v>5</v>
      </c>
      <c r="E1681" s="77" t="s">
        <v>465</v>
      </c>
      <c r="F1681" s="91" t="s">
        <v>291</v>
      </c>
      <c r="G1681" s="77">
        <v>6</v>
      </c>
      <c r="H1681" s="77" t="s">
        <v>18</v>
      </c>
      <c r="I1681" s="77" t="s">
        <v>23</v>
      </c>
      <c r="J1681" s="77">
        <v>0</v>
      </c>
      <c r="K1681" s="79">
        <f>AB1681/COUNTIFS($B:$B,$B1681,$C:$C,$C1681,$H:$H,$H1681,$I:$I,$I1681)</f>
        <v>7.0000000000000007E-2</v>
      </c>
      <c r="L1681" s="81">
        <f t="shared" si="111"/>
        <v>1</v>
      </c>
      <c r="M1681" s="83">
        <f t="shared" si="113"/>
        <v>0</v>
      </c>
      <c r="N1681" s="17" t="s">
        <v>593</v>
      </c>
      <c r="AA1681" s="154">
        <f>AB1681/COUNTIFS($B:$B,$B1681,$C:$C,$C1681,$H:$H,$H1681,$I:$I,$I1681)</f>
        <v>7.0000000000000007E-2</v>
      </c>
      <c r="AB1681" s="155">
        <f>VLOOKUP(I1681,'Weights and Confidence'!$D$16:$AC$26,11,FALSE)</f>
        <v>7.0000000000000007E-2</v>
      </c>
      <c r="AC1681" s="156">
        <f>VLOOKUP(I1681,'Weights and Confidence'!$D$16:$AC$26,12,FALSE)</f>
        <v>1</v>
      </c>
    </row>
    <row r="1682" spans="1:29" x14ac:dyDescent="0.2">
      <c r="A1682" s="76" t="s">
        <v>566</v>
      </c>
      <c r="B1682" s="76" t="s">
        <v>87</v>
      </c>
      <c r="C1682" s="76" t="s">
        <v>290</v>
      </c>
      <c r="D1682" s="76" t="s">
        <v>5</v>
      </c>
      <c r="E1682" s="76" t="s">
        <v>465</v>
      </c>
      <c r="F1682" s="91" t="s">
        <v>291</v>
      </c>
      <c r="G1682" s="76">
        <v>7</v>
      </c>
      <c r="H1682" s="76" t="s">
        <v>17</v>
      </c>
      <c r="I1682" s="76" t="s">
        <v>24</v>
      </c>
      <c r="J1682" s="76">
        <v>0</v>
      </c>
      <c r="K1682" s="78">
        <f>AB1682/COUNTIFS($B:$B,$B1682,$C:$C,$C1682,$H:$H,$H1682,$I:$I,$I1682)</f>
        <v>0.15</v>
      </c>
      <c r="L1682" s="80">
        <f t="shared" si="111"/>
        <v>1</v>
      </c>
      <c r="M1682" s="82">
        <f t="shared" si="113"/>
        <v>0</v>
      </c>
      <c r="N1682" s="59"/>
      <c r="AA1682" s="154">
        <f>AB1682/COUNTIFS($B:$B,$B1682,$C:$C,$C1682,$H:$H,$H1682,$I:$I,$I1682)</f>
        <v>0.15</v>
      </c>
      <c r="AB1682" s="155">
        <f>VLOOKUP(I1682,'Weights and Confidence'!$D$16:$AC$26,11,FALSE)</f>
        <v>0.15</v>
      </c>
      <c r="AC1682" s="156">
        <f>VLOOKUP(I1682,'Weights and Confidence'!$D$16:$AC$26,12,FALSE)</f>
        <v>1</v>
      </c>
    </row>
    <row r="1683" spans="1:29" x14ac:dyDescent="0.2">
      <c r="A1683" s="77" t="s">
        <v>566</v>
      </c>
      <c r="B1683" s="77" t="s">
        <v>87</v>
      </c>
      <c r="C1683" s="77" t="s">
        <v>290</v>
      </c>
      <c r="D1683" s="77" t="s">
        <v>5</v>
      </c>
      <c r="E1683" s="77" t="s">
        <v>465</v>
      </c>
      <c r="F1683" s="91" t="s">
        <v>291</v>
      </c>
      <c r="G1683" s="77">
        <v>7</v>
      </c>
      <c r="H1683" s="77" t="s">
        <v>18</v>
      </c>
      <c r="I1683" s="77" t="s">
        <v>24</v>
      </c>
      <c r="J1683" s="77">
        <v>0</v>
      </c>
      <c r="K1683" s="79">
        <f>AB1683/COUNTIFS($B:$B,$B1683,$C:$C,$C1683,$H:$H,$H1683,$I:$I,$I1683)</f>
        <v>0.15</v>
      </c>
      <c r="L1683" s="81">
        <f t="shared" si="111"/>
        <v>1</v>
      </c>
      <c r="M1683" s="83">
        <f t="shared" si="113"/>
        <v>0</v>
      </c>
      <c r="N1683" s="17" t="s">
        <v>593</v>
      </c>
      <c r="AA1683" s="154">
        <f>AB1683/COUNTIFS($B:$B,$B1683,$C:$C,$C1683,$H:$H,$H1683,$I:$I,$I1683)</f>
        <v>0.15</v>
      </c>
      <c r="AB1683" s="155">
        <f>VLOOKUP(I1683,'Weights and Confidence'!$D$16:$AC$26,11,FALSE)</f>
        <v>0.15</v>
      </c>
      <c r="AC1683" s="156">
        <f>VLOOKUP(I1683,'Weights and Confidence'!$D$16:$AC$26,12,FALSE)</f>
        <v>1</v>
      </c>
    </row>
    <row r="1684" spans="1:29" x14ac:dyDescent="0.2">
      <c r="A1684" s="76" t="s">
        <v>566</v>
      </c>
      <c r="B1684" s="76" t="s">
        <v>87</v>
      </c>
      <c r="C1684" s="76" t="s">
        <v>290</v>
      </c>
      <c r="D1684" s="76" t="s">
        <v>5</v>
      </c>
      <c r="E1684" s="76" t="s">
        <v>465</v>
      </c>
      <c r="F1684" s="91" t="s">
        <v>291</v>
      </c>
      <c r="G1684" s="76">
        <v>8</v>
      </c>
      <c r="H1684" s="76" t="s">
        <v>17</v>
      </c>
      <c r="I1684" s="76" t="s">
        <v>25</v>
      </c>
      <c r="J1684" s="76">
        <v>-1</v>
      </c>
      <c r="K1684" s="78">
        <f>AB1684/COUNTIFS($B:$B,$B1684,$C:$C,$C1684,$H:$H,$H1684,$I:$I,$I1684)</f>
        <v>0.1</v>
      </c>
      <c r="L1684" s="80">
        <f t="shared" si="111"/>
        <v>1</v>
      </c>
      <c r="M1684" s="82">
        <f t="shared" si="113"/>
        <v>-0.1</v>
      </c>
      <c r="N1684" s="59"/>
      <c r="AA1684" s="154">
        <f>AB1684/COUNTIFS($B:$B,$B1684,$C:$C,$C1684,$H:$H,$H1684,$I:$I,$I1684)</f>
        <v>0.1</v>
      </c>
      <c r="AB1684" s="155">
        <f>VLOOKUP(I1684,'Weights and Confidence'!$D$16:$AC$26,11,FALSE)</f>
        <v>0.1</v>
      </c>
      <c r="AC1684" s="156">
        <f>VLOOKUP(I1684,'Weights and Confidence'!$D$16:$AC$26,12,FALSE)</f>
        <v>1</v>
      </c>
    </row>
    <row r="1685" spans="1:29" x14ac:dyDescent="0.2">
      <c r="A1685" s="77" t="s">
        <v>566</v>
      </c>
      <c r="B1685" s="77" t="s">
        <v>87</v>
      </c>
      <c r="C1685" s="77" t="s">
        <v>290</v>
      </c>
      <c r="D1685" s="77" t="s">
        <v>5</v>
      </c>
      <c r="E1685" s="77" t="s">
        <v>465</v>
      </c>
      <c r="F1685" s="91" t="s">
        <v>291</v>
      </c>
      <c r="G1685" s="77">
        <v>8</v>
      </c>
      <c r="H1685" s="77" t="s">
        <v>18</v>
      </c>
      <c r="I1685" s="77" t="s">
        <v>25</v>
      </c>
      <c r="J1685" s="77">
        <v>1</v>
      </c>
      <c r="K1685" s="79">
        <f>AB1685/COUNTIFS($B:$B,$B1685,$C:$C,$C1685,$H:$H,$H1685,$I:$I,$I1685)</f>
        <v>0.1</v>
      </c>
      <c r="L1685" s="81">
        <f t="shared" si="111"/>
        <v>1</v>
      </c>
      <c r="M1685" s="83">
        <f t="shared" si="113"/>
        <v>0.1</v>
      </c>
      <c r="N1685" s="17" t="s">
        <v>593</v>
      </c>
      <c r="AA1685" s="154">
        <f>AB1685/COUNTIFS($B:$B,$B1685,$C:$C,$C1685,$H:$H,$H1685,$I:$I,$I1685)</f>
        <v>0.1</v>
      </c>
      <c r="AB1685" s="155">
        <f>VLOOKUP(I1685,'Weights and Confidence'!$D$16:$AC$26,11,FALSE)</f>
        <v>0.1</v>
      </c>
      <c r="AC1685" s="156">
        <f>VLOOKUP(I1685,'Weights and Confidence'!$D$16:$AC$26,12,FALSE)</f>
        <v>1</v>
      </c>
    </row>
    <row r="1686" spans="1:29" x14ac:dyDescent="0.2">
      <c r="A1686" s="76" t="s">
        <v>566</v>
      </c>
      <c r="B1686" s="76" t="s">
        <v>87</v>
      </c>
      <c r="C1686" s="76" t="s">
        <v>290</v>
      </c>
      <c r="D1686" s="76" t="s">
        <v>5</v>
      </c>
      <c r="E1686" s="76" t="s">
        <v>465</v>
      </c>
      <c r="F1686" s="91" t="s">
        <v>291</v>
      </c>
      <c r="G1686" s="76">
        <v>9</v>
      </c>
      <c r="H1686" s="76" t="s">
        <v>17</v>
      </c>
      <c r="I1686" s="76" t="s">
        <v>26</v>
      </c>
      <c r="J1686" s="76">
        <v>0</v>
      </c>
      <c r="K1686" s="78">
        <f>AB1686/COUNTIFS($B:$B,$B1686,$C:$C,$C1686,$H:$H,$H1686,$I:$I,$I1686)</f>
        <v>0.1</v>
      </c>
      <c r="L1686" s="80">
        <f t="shared" si="111"/>
        <v>1</v>
      </c>
      <c r="M1686" s="82">
        <f t="shared" si="113"/>
        <v>0</v>
      </c>
      <c r="N1686" s="59"/>
      <c r="AA1686" s="154">
        <f>AB1686/COUNTIFS($B:$B,$B1686,$C:$C,$C1686,$H:$H,$H1686,$I:$I,$I1686)</f>
        <v>0.1</v>
      </c>
      <c r="AB1686" s="155">
        <f>VLOOKUP(I1686,'Weights and Confidence'!$D$16:$AC$26,11,FALSE)</f>
        <v>0.1</v>
      </c>
      <c r="AC1686" s="156">
        <f>VLOOKUP(I1686,'Weights and Confidence'!$D$16:$AC$26,12,FALSE)</f>
        <v>1</v>
      </c>
    </row>
    <row r="1687" spans="1:29" x14ac:dyDescent="0.2">
      <c r="A1687" s="77" t="s">
        <v>566</v>
      </c>
      <c r="B1687" s="77" t="s">
        <v>87</v>
      </c>
      <c r="C1687" s="77" t="s">
        <v>290</v>
      </c>
      <c r="D1687" s="77" t="s">
        <v>5</v>
      </c>
      <c r="E1687" s="77" t="s">
        <v>465</v>
      </c>
      <c r="F1687" s="91" t="s">
        <v>291</v>
      </c>
      <c r="G1687" s="77">
        <v>9</v>
      </c>
      <c r="H1687" s="77" t="s">
        <v>18</v>
      </c>
      <c r="I1687" s="77" t="s">
        <v>26</v>
      </c>
      <c r="J1687" s="77">
        <v>0</v>
      </c>
      <c r="K1687" s="79">
        <f>AB1687/COUNTIFS($B:$B,$B1687,$C:$C,$C1687,$H:$H,$H1687,$I:$I,$I1687)</f>
        <v>0.1</v>
      </c>
      <c r="L1687" s="81">
        <f t="shared" si="111"/>
        <v>1</v>
      </c>
      <c r="M1687" s="83">
        <f t="shared" si="113"/>
        <v>0</v>
      </c>
      <c r="N1687" s="17" t="s">
        <v>593</v>
      </c>
      <c r="AA1687" s="154">
        <f>AB1687/COUNTIFS($B:$B,$B1687,$C:$C,$C1687,$H:$H,$H1687,$I:$I,$I1687)</f>
        <v>0.1</v>
      </c>
      <c r="AB1687" s="155">
        <f>VLOOKUP(I1687,'Weights and Confidence'!$D$16:$AC$26,11,FALSE)</f>
        <v>0.1</v>
      </c>
      <c r="AC1687" s="156">
        <f>VLOOKUP(I1687,'Weights and Confidence'!$D$16:$AC$26,12,FALSE)</f>
        <v>1</v>
      </c>
    </row>
    <row r="1688" spans="1:29" x14ac:dyDescent="0.2">
      <c r="A1688" s="76" t="s">
        <v>566</v>
      </c>
      <c r="B1688" s="76" t="s">
        <v>87</v>
      </c>
      <c r="C1688" s="76" t="s">
        <v>290</v>
      </c>
      <c r="D1688" s="76" t="s">
        <v>5</v>
      </c>
      <c r="E1688" s="76" t="s">
        <v>465</v>
      </c>
      <c r="F1688" s="91" t="s">
        <v>291</v>
      </c>
      <c r="G1688" s="76">
        <v>10</v>
      </c>
      <c r="H1688" s="76" t="s">
        <v>17</v>
      </c>
      <c r="I1688" s="76" t="s">
        <v>27</v>
      </c>
      <c r="J1688" s="76">
        <v>0</v>
      </c>
      <c r="K1688" s="78">
        <f>AB1688/COUNTIFS($B:$B,$B1688,$C:$C,$C1688,$H:$H,$H1688,$I:$I,$I1688)</f>
        <v>0.05</v>
      </c>
      <c r="L1688" s="80">
        <f t="shared" si="111"/>
        <v>0.9</v>
      </c>
      <c r="M1688" s="82">
        <f t="shared" si="113"/>
        <v>0</v>
      </c>
      <c r="N1688" s="59"/>
      <c r="AA1688" s="154">
        <f>AB1688/COUNTIFS($B:$B,$B1688,$C:$C,$C1688,$H:$H,$H1688,$I:$I,$I1688)</f>
        <v>0.05</v>
      </c>
      <c r="AB1688" s="155">
        <f>VLOOKUP(I1688,'Weights and Confidence'!$D$16:$AC$26,11,FALSE)</f>
        <v>0.1</v>
      </c>
      <c r="AC1688" s="156">
        <f>VLOOKUP(I1688,'Weights and Confidence'!$D$16:$AC$26,12,FALSE)</f>
        <v>0.9</v>
      </c>
    </row>
    <row r="1689" spans="1:29" x14ac:dyDescent="0.2">
      <c r="A1689" s="77" t="s">
        <v>566</v>
      </c>
      <c r="B1689" s="77" t="s">
        <v>87</v>
      </c>
      <c r="C1689" s="77" t="s">
        <v>290</v>
      </c>
      <c r="D1689" s="77" t="s">
        <v>5</v>
      </c>
      <c r="E1689" s="77" t="s">
        <v>465</v>
      </c>
      <c r="F1689" s="91" t="s">
        <v>291</v>
      </c>
      <c r="G1689" s="77">
        <v>10</v>
      </c>
      <c r="H1689" s="77" t="s">
        <v>18</v>
      </c>
      <c r="I1689" s="77" t="s">
        <v>27</v>
      </c>
      <c r="J1689" s="77">
        <v>0</v>
      </c>
      <c r="K1689" s="79">
        <f>AB1689/COUNTIFS($B:$B,$B1689,$C:$C,$C1689,$H:$H,$H1689,$I:$I,$I1689)</f>
        <v>0.05</v>
      </c>
      <c r="L1689" s="81">
        <f t="shared" si="111"/>
        <v>0.9</v>
      </c>
      <c r="M1689" s="83">
        <f t="shared" si="113"/>
        <v>0</v>
      </c>
      <c r="N1689" s="17" t="s">
        <v>593</v>
      </c>
      <c r="AA1689" s="154">
        <f>AB1689/COUNTIFS($B:$B,$B1689,$C:$C,$C1689,$H:$H,$H1689,$I:$I,$I1689)</f>
        <v>0.05</v>
      </c>
      <c r="AB1689" s="155">
        <f>VLOOKUP(I1689,'Weights and Confidence'!$D$16:$AC$26,11,FALSE)</f>
        <v>0.1</v>
      </c>
      <c r="AC1689" s="156">
        <f>VLOOKUP(I1689,'Weights and Confidence'!$D$16:$AC$26,12,FALSE)</f>
        <v>0.9</v>
      </c>
    </row>
    <row r="1690" spans="1:29" x14ac:dyDescent="0.2">
      <c r="A1690" s="76" t="s">
        <v>566</v>
      </c>
      <c r="B1690" s="76" t="s">
        <v>87</v>
      </c>
      <c r="C1690" s="76" t="s">
        <v>290</v>
      </c>
      <c r="D1690" s="76" t="s">
        <v>5</v>
      </c>
      <c r="E1690" s="76" t="s">
        <v>465</v>
      </c>
      <c r="F1690" s="91" t="s">
        <v>291</v>
      </c>
      <c r="G1690" s="76">
        <v>11</v>
      </c>
      <c r="H1690" s="76" t="s">
        <v>17</v>
      </c>
      <c r="I1690" s="76" t="s">
        <v>27</v>
      </c>
      <c r="J1690" s="76">
        <v>0</v>
      </c>
      <c r="K1690" s="78">
        <f>AB1690/COUNTIFS($B:$B,$B1690,$C:$C,$C1690,$H:$H,$H1690,$I:$I,$I1690)</f>
        <v>0.05</v>
      </c>
      <c r="L1690" s="80">
        <f t="shared" si="111"/>
        <v>0.9</v>
      </c>
      <c r="M1690" s="82">
        <f t="shared" si="113"/>
        <v>0</v>
      </c>
      <c r="N1690" s="59"/>
      <c r="AA1690" s="154">
        <f>AB1690/COUNTIFS($B:$B,$B1690,$C:$C,$C1690,$H:$H,$H1690,$I:$I,$I1690)</f>
        <v>0.05</v>
      </c>
      <c r="AB1690" s="155">
        <f>VLOOKUP(I1690,'Weights and Confidence'!$D$16:$AC$26,11,FALSE)</f>
        <v>0.1</v>
      </c>
      <c r="AC1690" s="156">
        <f>VLOOKUP(I1690,'Weights and Confidence'!$D$16:$AC$26,12,FALSE)</f>
        <v>0.9</v>
      </c>
    </row>
    <row r="1691" spans="1:29" x14ac:dyDescent="0.2">
      <c r="A1691" s="77" t="s">
        <v>566</v>
      </c>
      <c r="B1691" s="77" t="s">
        <v>87</v>
      </c>
      <c r="C1691" s="77" t="s">
        <v>290</v>
      </c>
      <c r="D1691" s="77" t="s">
        <v>5</v>
      </c>
      <c r="E1691" s="77" t="s">
        <v>465</v>
      </c>
      <c r="F1691" s="91" t="s">
        <v>291</v>
      </c>
      <c r="G1691" s="77">
        <v>11</v>
      </c>
      <c r="H1691" s="77" t="s">
        <v>18</v>
      </c>
      <c r="I1691" s="77" t="s">
        <v>27</v>
      </c>
      <c r="J1691" s="77">
        <v>0</v>
      </c>
      <c r="K1691" s="79">
        <f>AB1691/COUNTIFS($B:$B,$B1691,$C:$C,$C1691,$H:$H,$H1691,$I:$I,$I1691)</f>
        <v>0.05</v>
      </c>
      <c r="L1691" s="81">
        <f t="shared" si="111"/>
        <v>0.9</v>
      </c>
      <c r="M1691" s="83">
        <f t="shared" si="113"/>
        <v>0</v>
      </c>
      <c r="N1691" s="17" t="s">
        <v>593</v>
      </c>
      <c r="AA1691" s="154">
        <f>AB1691/COUNTIFS($B:$B,$B1691,$C:$C,$C1691,$H:$H,$H1691,$I:$I,$I1691)</f>
        <v>0.05</v>
      </c>
      <c r="AB1691" s="155">
        <f>VLOOKUP(I1691,'Weights and Confidence'!$D$16:$AC$26,11,FALSE)</f>
        <v>0.1</v>
      </c>
      <c r="AC1691" s="156">
        <f>VLOOKUP(I1691,'Weights and Confidence'!$D$16:$AC$26,12,FALSE)</f>
        <v>0.9</v>
      </c>
    </row>
    <row r="1692" spans="1:29" x14ac:dyDescent="0.2">
      <c r="A1692" s="77" t="s">
        <v>566</v>
      </c>
      <c r="B1692" s="77" t="s">
        <v>87</v>
      </c>
      <c r="C1692" s="77" t="s">
        <v>290</v>
      </c>
      <c r="D1692" s="77" t="s">
        <v>5</v>
      </c>
      <c r="E1692" s="77" t="s">
        <v>465</v>
      </c>
      <c r="F1692" s="91" t="s">
        <v>291</v>
      </c>
      <c r="G1692" s="77">
        <v>12</v>
      </c>
      <c r="H1692" s="77" t="s">
        <v>17</v>
      </c>
      <c r="I1692" s="77" t="s">
        <v>28</v>
      </c>
      <c r="J1692" s="77">
        <v>0</v>
      </c>
      <c r="K1692" s="79">
        <f>AB1692/COUNTIFS($B:$B,$B1692,$C:$C,$C1692,$H:$H,$H1692,$I:$I,$I1692)</f>
        <v>0.05</v>
      </c>
      <c r="L1692" s="81">
        <f t="shared" si="111"/>
        <v>1</v>
      </c>
      <c r="M1692" s="83">
        <f>J1692*K1692*L1692</f>
        <v>0</v>
      </c>
      <c r="N1692" s="58"/>
      <c r="AA1692" s="154">
        <f>AB1692/COUNTIFS($B:$B,$B1692,$C:$C,$C1692,$H:$H,$H1692,$I:$I,$I1692)</f>
        <v>0.05</v>
      </c>
      <c r="AB1692" s="155">
        <f>VLOOKUP(I1692,'Weights and Confidence'!$D$16:$AC$26,11,FALSE)</f>
        <v>0.05</v>
      </c>
      <c r="AC1692" s="156">
        <f>VLOOKUP(I1692,'Weights and Confidence'!$D$16:$AC$26,12,FALSE)</f>
        <v>1</v>
      </c>
    </row>
    <row r="1693" spans="1:29" ht="17" thickBot="1" x14ac:dyDescent="0.25">
      <c r="A1693" s="98" t="s">
        <v>566</v>
      </c>
      <c r="B1693" s="98" t="s">
        <v>87</v>
      </c>
      <c r="C1693" s="98" t="s">
        <v>290</v>
      </c>
      <c r="D1693" s="98" t="s">
        <v>5</v>
      </c>
      <c r="E1693" s="98" t="s">
        <v>465</v>
      </c>
      <c r="F1693" s="93" t="s">
        <v>291</v>
      </c>
      <c r="G1693" s="98">
        <v>12</v>
      </c>
      <c r="H1693" s="98" t="s">
        <v>18</v>
      </c>
      <c r="I1693" s="98" t="s">
        <v>28</v>
      </c>
      <c r="J1693" s="98">
        <v>0</v>
      </c>
      <c r="K1693" s="99">
        <f>AB1693/COUNTIFS($B:$B,$B1693,$C:$C,$C1693,$H:$H,$H1693,$I:$I,$I1693)</f>
        <v>0.05</v>
      </c>
      <c r="L1693" s="100">
        <f t="shared" si="111"/>
        <v>1</v>
      </c>
      <c r="M1693" s="101">
        <f>J1693*K1693*L1693</f>
        <v>0</v>
      </c>
      <c r="N1693" s="22" t="s">
        <v>594</v>
      </c>
      <c r="AA1693" s="157">
        <f>AB1693/COUNTIFS($B:$B,$B1693,$C:$C,$C1693,$H:$H,$H1693,$I:$I,$I1693)</f>
        <v>0.05</v>
      </c>
      <c r="AB1693" s="158">
        <f>VLOOKUP(I1693,'Weights and Confidence'!$D$16:$AC$26,11,FALSE)</f>
        <v>0.05</v>
      </c>
      <c r="AC1693" s="159">
        <f>VLOOKUP(I1693,'Weights and Confidence'!$D$16:$AC$26,12,FALSE)</f>
        <v>1</v>
      </c>
    </row>
    <row r="1694" spans="1:29" ht="17" thickTop="1" x14ac:dyDescent="0.2">
      <c r="A1694" s="86" t="s">
        <v>566</v>
      </c>
      <c r="B1694" s="86" t="s">
        <v>87</v>
      </c>
      <c r="C1694" s="86" t="s">
        <v>299</v>
      </c>
      <c r="D1694" s="86" t="s">
        <v>5</v>
      </c>
      <c r="E1694" s="86" t="s">
        <v>679</v>
      </c>
      <c r="F1694" s="18" t="s">
        <v>300</v>
      </c>
      <c r="G1694" s="86">
        <v>1</v>
      </c>
      <c r="H1694" s="86" t="s">
        <v>17</v>
      </c>
      <c r="I1694" s="86" t="s">
        <v>19</v>
      </c>
      <c r="J1694" s="97">
        <v>1</v>
      </c>
      <c r="K1694" s="87">
        <f>AB1694/COUNTIFS($B:$B,$B1694,$C:$C,$C1694,$H:$H,$H1694,$I:$I,$I1694)</f>
        <v>0.12</v>
      </c>
      <c r="L1694" s="88">
        <f t="shared" ref="L1694:L1717" si="114">AC1694</f>
        <v>1</v>
      </c>
      <c r="M1694" s="89">
        <f t="shared" ref="M1694" si="115">J1694*K1694*L1694</f>
        <v>0.12</v>
      </c>
      <c r="N1694" s="90"/>
      <c r="AA1694" s="154">
        <f>AB1694/COUNTIFS($B:$B,$B1694,$C:$C,$C1694,$H:$H,$H1694,$I:$I,$I1694)</f>
        <v>0.12</v>
      </c>
      <c r="AB1694" s="155">
        <f>VLOOKUP(I1694,'Weights and Confidence'!$D$16:$AC$26,11,FALSE)</f>
        <v>0.12</v>
      </c>
      <c r="AC1694" s="156">
        <f>VLOOKUP(I1694,'Weights and Confidence'!$D$16:$AC$26,12,FALSE)</f>
        <v>1</v>
      </c>
    </row>
    <row r="1695" spans="1:29" x14ac:dyDescent="0.2">
      <c r="A1695" s="77" t="s">
        <v>566</v>
      </c>
      <c r="B1695" s="77" t="s">
        <v>87</v>
      </c>
      <c r="C1695" s="77" t="s">
        <v>299</v>
      </c>
      <c r="D1695" s="77" t="s">
        <v>5</v>
      </c>
      <c r="E1695" s="77" t="s">
        <v>679</v>
      </c>
      <c r="F1695" s="91" t="s">
        <v>300</v>
      </c>
      <c r="G1695" s="77">
        <v>1</v>
      </c>
      <c r="H1695" s="77" t="s">
        <v>18</v>
      </c>
      <c r="I1695" s="77" t="s">
        <v>19</v>
      </c>
      <c r="J1695" s="77">
        <v>-1</v>
      </c>
      <c r="K1695" s="79">
        <f>AB1695/COUNTIFS($B:$B,$B1695,$C:$C,$C1695,$H:$H,$H1695,$I:$I,$I1695)</f>
        <v>0.12</v>
      </c>
      <c r="L1695" s="81">
        <f t="shared" si="114"/>
        <v>1</v>
      </c>
      <c r="M1695" s="83">
        <f>J1694*K1695*L1695</f>
        <v>0.12</v>
      </c>
      <c r="N1695" s="84"/>
      <c r="AA1695" s="154">
        <f>AB1695/COUNTIFS($B:$B,$B1695,$C:$C,$C1695,$H:$H,$H1695,$I:$I,$I1695)</f>
        <v>0.12</v>
      </c>
      <c r="AB1695" s="155">
        <f>VLOOKUP(I1695,'Weights and Confidence'!$D$16:$AC$26,11,FALSE)</f>
        <v>0.12</v>
      </c>
      <c r="AC1695" s="156">
        <f>VLOOKUP(I1695,'Weights and Confidence'!$D$16:$AC$26,12,FALSE)</f>
        <v>1</v>
      </c>
    </row>
    <row r="1696" spans="1:29" x14ac:dyDescent="0.2">
      <c r="A1696" s="76" t="s">
        <v>566</v>
      </c>
      <c r="B1696" s="76" t="s">
        <v>87</v>
      </c>
      <c r="C1696" s="76" t="s">
        <v>299</v>
      </c>
      <c r="D1696" s="76" t="s">
        <v>5</v>
      </c>
      <c r="E1696" s="76" t="s">
        <v>679</v>
      </c>
      <c r="F1696" s="91" t="s">
        <v>300</v>
      </c>
      <c r="G1696" s="76">
        <v>2</v>
      </c>
      <c r="H1696" s="76" t="s">
        <v>17</v>
      </c>
      <c r="I1696" s="76" t="s">
        <v>20</v>
      </c>
      <c r="J1696" s="76">
        <v>1</v>
      </c>
      <c r="K1696" s="78">
        <f>AB1696/COUNTIFS($B:$B,$B1696,$C:$C,$C1696,$H:$H,$H1696,$I:$I,$I1696)</f>
        <v>0.08</v>
      </c>
      <c r="L1696" s="80">
        <f t="shared" si="114"/>
        <v>0.9</v>
      </c>
      <c r="M1696" s="82">
        <f t="shared" ref="M1696:M1715" si="116">J1696*K1696*L1696</f>
        <v>7.2000000000000008E-2</v>
      </c>
      <c r="N1696" s="59"/>
      <c r="AA1696" s="154">
        <f>AB1696/COUNTIFS($B:$B,$B1696,$C:$C,$C1696,$H:$H,$H1696,$I:$I,$I1696)</f>
        <v>0.08</v>
      </c>
      <c r="AB1696" s="155">
        <f>VLOOKUP(I1696,'Weights and Confidence'!$D$16:$AC$26,11,FALSE)</f>
        <v>0.08</v>
      </c>
      <c r="AC1696" s="156">
        <f>VLOOKUP(I1696,'Weights and Confidence'!$D$16:$AC$26,12,FALSE)</f>
        <v>0.9</v>
      </c>
    </row>
    <row r="1697" spans="1:29" x14ac:dyDescent="0.2">
      <c r="A1697" s="77" t="s">
        <v>566</v>
      </c>
      <c r="B1697" s="77" t="s">
        <v>87</v>
      </c>
      <c r="C1697" s="77" t="s">
        <v>299</v>
      </c>
      <c r="D1697" s="77" t="s">
        <v>5</v>
      </c>
      <c r="E1697" s="77" t="s">
        <v>679</v>
      </c>
      <c r="F1697" s="91" t="s">
        <v>300</v>
      </c>
      <c r="G1697" s="77">
        <v>2</v>
      </c>
      <c r="H1697" s="77" t="s">
        <v>18</v>
      </c>
      <c r="I1697" s="77" t="s">
        <v>20</v>
      </c>
      <c r="J1697" s="77">
        <v>-1</v>
      </c>
      <c r="K1697" s="79">
        <f>AB1697/COUNTIFS($B:$B,$B1697,$C:$C,$C1697,$H:$H,$H1697,$I:$I,$I1697)</f>
        <v>0.08</v>
      </c>
      <c r="L1697" s="81">
        <f t="shared" si="114"/>
        <v>0.9</v>
      </c>
      <c r="M1697" s="83">
        <f t="shared" si="116"/>
        <v>-7.2000000000000008E-2</v>
      </c>
      <c r="N1697" s="58"/>
      <c r="AA1697" s="154">
        <f>AB1697/COUNTIFS($B:$B,$B1697,$C:$C,$C1697,$H:$H,$H1697,$I:$I,$I1697)</f>
        <v>0.08</v>
      </c>
      <c r="AB1697" s="155">
        <f>VLOOKUP(I1697,'Weights and Confidence'!$D$16:$AC$26,11,FALSE)</f>
        <v>0.08</v>
      </c>
      <c r="AC1697" s="156">
        <f>VLOOKUP(I1697,'Weights and Confidence'!$D$16:$AC$26,12,FALSE)</f>
        <v>0.9</v>
      </c>
    </row>
    <row r="1698" spans="1:29" x14ac:dyDescent="0.2">
      <c r="A1698" s="76" t="s">
        <v>566</v>
      </c>
      <c r="B1698" s="76" t="s">
        <v>87</v>
      </c>
      <c r="C1698" s="76" t="s">
        <v>299</v>
      </c>
      <c r="D1698" s="76" t="s">
        <v>5</v>
      </c>
      <c r="E1698" s="76" t="s">
        <v>679</v>
      </c>
      <c r="F1698" s="91" t="s">
        <v>300</v>
      </c>
      <c r="G1698" s="76">
        <v>3</v>
      </c>
      <c r="H1698" s="76" t="s">
        <v>17</v>
      </c>
      <c r="I1698" s="76" t="s">
        <v>21</v>
      </c>
      <c r="J1698" s="76">
        <v>1</v>
      </c>
      <c r="K1698" s="78">
        <f>AB1698/COUNTIFS($B:$B,$B1698,$C:$C,$C1698,$H:$H,$H1698,$I:$I,$I1698)</f>
        <v>0.05</v>
      </c>
      <c r="L1698" s="80">
        <f t="shared" si="114"/>
        <v>1</v>
      </c>
      <c r="M1698" s="82">
        <f t="shared" si="116"/>
        <v>0.05</v>
      </c>
      <c r="N1698" s="59"/>
      <c r="AA1698" s="154">
        <f>AB1698/COUNTIFS($B:$B,$B1698,$C:$C,$C1698,$H:$H,$H1698,$I:$I,$I1698)</f>
        <v>0.05</v>
      </c>
      <c r="AB1698" s="155">
        <f>VLOOKUP(I1698,'Weights and Confidence'!$D$16:$AC$26,11,FALSE)</f>
        <v>0.05</v>
      </c>
      <c r="AC1698" s="156">
        <f>VLOOKUP(I1698,'Weights and Confidence'!$D$16:$AC$26,12,FALSE)</f>
        <v>1</v>
      </c>
    </row>
    <row r="1699" spans="1:29" x14ac:dyDescent="0.2">
      <c r="A1699" s="77" t="s">
        <v>566</v>
      </c>
      <c r="B1699" s="77" t="s">
        <v>87</v>
      </c>
      <c r="C1699" s="77" t="s">
        <v>299</v>
      </c>
      <c r="D1699" s="77" t="s">
        <v>5</v>
      </c>
      <c r="E1699" s="77" t="s">
        <v>679</v>
      </c>
      <c r="F1699" s="91" t="s">
        <v>300</v>
      </c>
      <c r="G1699" s="77">
        <v>3</v>
      </c>
      <c r="H1699" s="77" t="s">
        <v>18</v>
      </c>
      <c r="I1699" s="77" t="s">
        <v>21</v>
      </c>
      <c r="J1699" s="77">
        <v>0</v>
      </c>
      <c r="K1699" s="79">
        <f>AB1699/COUNTIFS($B:$B,$B1699,$C:$C,$C1699,$H:$H,$H1699,$I:$I,$I1699)</f>
        <v>0.05</v>
      </c>
      <c r="L1699" s="81">
        <f t="shared" si="114"/>
        <v>1</v>
      </c>
      <c r="M1699" s="83">
        <f t="shared" si="116"/>
        <v>0</v>
      </c>
      <c r="N1699" s="84"/>
      <c r="AA1699" s="154">
        <f>AB1699/COUNTIFS($B:$B,$B1699,$C:$C,$C1699,$H:$H,$H1699,$I:$I,$I1699)</f>
        <v>0.05</v>
      </c>
      <c r="AB1699" s="155">
        <f>VLOOKUP(I1699,'Weights and Confidence'!$D$16:$AC$26,11,FALSE)</f>
        <v>0.05</v>
      </c>
      <c r="AC1699" s="156">
        <f>VLOOKUP(I1699,'Weights and Confidence'!$D$16:$AC$26,12,FALSE)</f>
        <v>1</v>
      </c>
    </row>
    <row r="1700" spans="1:29" x14ac:dyDescent="0.2">
      <c r="A1700" s="76" t="s">
        <v>566</v>
      </c>
      <c r="B1700" s="76" t="s">
        <v>87</v>
      </c>
      <c r="C1700" s="76" t="s">
        <v>299</v>
      </c>
      <c r="D1700" s="76" t="s">
        <v>5</v>
      </c>
      <c r="E1700" s="76" t="s">
        <v>679</v>
      </c>
      <c r="F1700" s="91" t="s">
        <v>300</v>
      </c>
      <c r="G1700" s="76">
        <v>4</v>
      </c>
      <c r="H1700" s="76" t="s">
        <v>17</v>
      </c>
      <c r="I1700" s="76" t="s">
        <v>22</v>
      </c>
      <c r="J1700" s="76">
        <v>0</v>
      </c>
      <c r="K1700" s="78">
        <f>AB1700/COUNTIFS($B:$B,$B1700,$C:$C,$C1700,$H:$H,$H1700,$I:$I,$I1700)</f>
        <v>0.1</v>
      </c>
      <c r="L1700" s="80">
        <f t="shared" si="114"/>
        <v>1</v>
      </c>
      <c r="M1700" s="82">
        <f t="shared" si="116"/>
        <v>0</v>
      </c>
      <c r="N1700" s="59"/>
      <c r="AA1700" s="154">
        <f>AB1700/COUNTIFS($B:$B,$B1700,$C:$C,$C1700,$H:$H,$H1700,$I:$I,$I1700)</f>
        <v>0.1</v>
      </c>
      <c r="AB1700" s="155">
        <f>VLOOKUP(I1700,'Weights and Confidence'!$D$16:$AC$26,11,FALSE)</f>
        <v>0.1</v>
      </c>
      <c r="AC1700" s="156">
        <f>VLOOKUP(I1700,'Weights and Confidence'!$D$16:$AC$26,12,FALSE)</f>
        <v>1</v>
      </c>
    </row>
    <row r="1701" spans="1:29" x14ac:dyDescent="0.2">
      <c r="A1701" s="77" t="s">
        <v>566</v>
      </c>
      <c r="B1701" s="77" t="s">
        <v>87</v>
      </c>
      <c r="C1701" s="77" t="s">
        <v>299</v>
      </c>
      <c r="D1701" s="77" t="s">
        <v>5</v>
      </c>
      <c r="E1701" s="77" t="s">
        <v>679</v>
      </c>
      <c r="F1701" s="91" t="s">
        <v>300</v>
      </c>
      <c r="G1701" s="77">
        <v>4</v>
      </c>
      <c r="H1701" s="77" t="s">
        <v>18</v>
      </c>
      <c r="I1701" s="77" t="s">
        <v>22</v>
      </c>
      <c r="J1701" s="77">
        <v>0</v>
      </c>
      <c r="K1701" s="79">
        <f>AB1701/COUNTIFS($B:$B,$B1701,$C:$C,$C1701,$H:$H,$H1701,$I:$I,$I1701)</f>
        <v>0.1</v>
      </c>
      <c r="L1701" s="81">
        <f t="shared" si="114"/>
        <v>1</v>
      </c>
      <c r="M1701" s="83">
        <f t="shared" si="116"/>
        <v>0</v>
      </c>
      <c r="N1701" s="84"/>
      <c r="AA1701" s="154">
        <f>AB1701/COUNTIFS($B:$B,$B1701,$C:$C,$C1701,$H:$H,$H1701,$I:$I,$I1701)</f>
        <v>0.1</v>
      </c>
      <c r="AB1701" s="155">
        <f>VLOOKUP(I1701,'Weights and Confidence'!$D$16:$AC$26,11,FALSE)</f>
        <v>0.1</v>
      </c>
      <c r="AC1701" s="156">
        <f>VLOOKUP(I1701,'Weights and Confidence'!$D$16:$AC$26,12,FALSE)</f>
        <v>1</v>
      </c>
    </row>
    <row r="1702" spans="1:29" x14ac:dyDescent="0.2">
      <c r="A1702" s="76" t="s">
        <v>566</v>
      </c>
      <c r="B1702" s="76" t="s">
        <v>87</v>
      </c>
      <c r="C1702" s="76" t="s">
        <v>299</v>
      </c>
      <c r="D1702" s="76" t="s">
        <v>5</v>
      </c>
      <c r="E1702" s="76" t="s">
        <v>679</v>
      </c>
      <c r="F1702" s="91" t="s">
        <v>300</v>
      </c>
      <c r="G1702" s="76">
        <v>5</v>
      </c>
      <c r="H1702" s="76" t="s">
        <v>17</v>
      </c>
      <c r="I1702" s="76" t="s">
        <v>34</v>
      </c>
      <c r="J1702" s="76">
        <v>0</v>
      </c>
      <c r="K1702" s="78">
        <f>AB1702/COUNTIFS($B:$B,$B1702,$C:$C,$C1702,$H:$H,$H1702,$I:$I,$I1702)</f>
        <v>0.08</v>
      </c>
      <c r="L1702" s="80">
        <f t="shared" si="114"/>
        <v>1</v>
      </c>
      <c r="M1702" s="82">
        <f t="shared" si="116"/>
        <v>0</v>
      </c>
      <c r="N1702" s="84"/>
      <c r="AA1702" s="154">
        <f>AB1702/COUNTIFS($B:$B,$B1702,$C:$C,$C1702,$H:$H,$H1702,$I:$I,$I1702)</f>
        <v>0.08</v>
      </c>
      <c r="AB1702" s="155">
        <f>VLOOKUP(I1702,'Weights and Confidence'!$D$16:$AC$26,11,FALSE)</f>
        <v>0.08</v>
      </c>
      <c r="AC1702" s="156">
        <f>VLOOKUP(I1702,'Weights and Confidence'!$D$16:$AC$26,12,FALSE)</f>
        <v>1</v>
      </c>
    </row>
    <row r="1703" spans="1:29" x14ac:dyDescent="0.2">
      <c r="A1703" s="77" t="s">
        <v>566</v>
      </c>
      <c r="B1703" s="77" t="s">
        <v>87</v>
      </c>
      <c r="C1703" s="77" t="s">
        <v>299</v>
      </c>
      <c r="D1703" s="77" t="s">
        <v>5</v>
      </c>
      <c r="E1703" s="77" t="s">
        <v>679</v>
      </c>
      <c r="F1703" s="91" t="s">
        <v>300</v>
      </c>
      <c r="G1703" s="77">
        <v>5</v>
      </c>
      <c r="H1703" s="77" t="s">
        <v>18</v>
      </c>
      <c r="I1703" s="77" t="s">
        <v>34</v>
      </c>
      <c r="J1703" s="77">
        <v>-1</v>
      </c>
      <c r="K1703" s="79">
        <f>AB1703/COUNTIFS($B:$B,$B1703,$C:$C,$C1703,$H:$H,$H1703,$I:$I,$I1703)</f>
        <v>0.08</v>
      </c>
      <c r="L1703" s="81">
        <f t="shared" si="114"/>
        <v>1</v>
      </c>
      <c r="M1703" s="83">
        <f t="shared" si="116"/>
        <v>-0.08</v>
      </c>
      <c r="N1703" s="17"/>
      <c r="AA1703" s="154">
        <f>AB1703/COUNTIFS($B:$B,$B1703,$C:$C,$C1703,$H:$H,$H1703,$I:$I,$I1703)</f>
        <v>0.08</v>
      </c>
      <c r="AB1703" s="155">
        <f>VLOOKUP(I1703,'Weights and Confidence'!$D$16:$AC$26,11,FALSE)</f>
        <v>0.08</v>
      </c>
      <c r="AC1703" s="156">
        <f>VLOOKUP(I1703,'Weights and Confidence'!$D$16:$AC$26,12,FALSE)</f>
        <v>1</v>
      </c>
    </row>
    <row r="1704" spans="1:29" x14ac:dyDescent="0.2">
      <c r="A1704" s="76" t="s">
        <v>566</v>
      </c>
      <c r="B1704" s="76" t="s">
        <v>87</v>
      </c>
      <c r="C1704" s="76" t="s">
        <v>299</v>
      </c>
      <c r="D1704" s="76" t="s">
        <v>5</v>
      </c>
      <c r="E1704" s="76" t="s">
        <v>679</v>
      </c>
      <c r="F1704" s="91" t="s">
        <v>300</v>
      </c>
      <c r="G1704" s="76">
        <v>6</v>
      </c>
      <c r="H1704" s="76" t="s">
        <v>17</v>
      </c>
      <c r="I1704" s="76" t="s">
        <v>23</v>
      </c>
      <c r="J1704" s="76">
        <v>0</v>
      </c>
      <c r="K1704" s="78">
        <f>AB1704/COUNTIFS($B:$B,$B1704,$C:$C,$C1704,$H:$H,$H1704,$I:$I,$I1704)</f>
        <v>7.0000000000000007E-2</v>
      </c>
      <c r="L1704" s="80">
        <f t="shared" si="114"/>
        <v>1</v>
      </c>
      <c r="M1704" s="82">
        <f t="shared" si="116"/>
        <v>0</v>
      </c>
      <c r="N1704" s="59"/>
      <c r="AA1704" s="154">
        <f>AB1704/COUNTIFS($B:$B,$B1704,$C:$C,$C1704,$H:$H,$H1704,$I:$I,$I1704)</f>
        <v>7.0000000000000007E-2</v>
      </c>
      <c r="AB1704" s="155">
        <f>VLOOKUP(I1704,'Weights and Confidence'!$D$16:$AC$26,11,FALSE)</f>
        <v>7.0000000000000007E-2</v>
      </c>
      <c r="AC1704" s="156">
        <f>VLOOKUP(I1704,'Weights and Confidence'!$D$16:$AC$26,12,FALSE)</f>
        <v>1</v>
      </c>
    </row>
    <row r="1705" spans="1:29" x14ac:dyDescent="0.2">
      <c r="A1705" s="77" t="s">
        <v>566</v>
      </c>
      <c r="B1705" s="77" t="s">
        <v>87</v>
      </c>
      <c r="C1705" s="77" t="s">
        <v>299</v>
      </c>
      <c r="D1705" s="77" t="s">
        <v>5</v>
      </c>
      <c r="E1705" s="77" t="s">
        <v>679</v>
      </c>
      <c r="F1705" s="91" t="s">
        <v>300</v>
      </c>
      <c r="G1705" s="77">
        <v>6</v>
      </c>
      <c r="H1705" s="77" t="s">
        <v>18</v>
      </c>
      <c r="I1705" s="77" t="s">
        <v>23</v>
      </c>
      <c r="J1705" s="77">
        <v>-1</v>
      </c>
      <c r="K1705" s="79">
        <f>AB1705/COUNTIFS($B:$B,$B1705,$C:$C,$C1705,$H:$H,$H1705,$I:$I,$I1705)</f>
        <v>7.0000000000000007E-2</v>
      </c>
      <c r="L1705" s="81">
        <f t="shared" si="114"/>
        <v>1</v>
      </c>
      <c r="M1705" s="83">
        <f t="shared" si="116"/>
        <v>-7.0000000000000007E-2</v>
      </c>
      <c r="N1705" s="17"/>
      <c r="AA1705" s="154">
        <f>AB1705/COUNTIFS($B:$B,$B1705,$C:$C,$C1705,$H:$H,$H1705,$I:$I,$I1705)</f>
        <v>7.0000000000000007E-2</v>
      </c>
      <c r="AB1705" s="155">
        <f>VLOOKUP(I1705,'Weights and Confidence'!$D$16:$AC$26,11,FALSE)</f>
        <v>7.0000000000000007E-2</v>
      </c>
      <c r="AC1705" s="156">
        <f>VLOOKUP(I1705,'Weights and Confidence'!$D$16:$AC$26,12,FALSE)</f>
        <v>1</v>
      </c>
    </row>
    <row r="1706" spans="1:29" x14ac:dyDescent="0.2">
      <c r="A1706" s="76" t="s">
        <v>566</v>
      </c>
      <c r="B1706" s="76" t="s">
        <v>87</v>
      </c>
      <c r="C1706" s="76" t="s">
        <v>299</v>
      </c>
      <c r="D1706" s="76" t="s">
        <v>5</v>
      </c>
      <c r="E1706" s="76" t="s">
        <v>679</v>
      </c>
      <c r="F1706" s="91" t="s">
        <v>300</v>
      </c>
      <c r="G1706" s="76">
        <v>7</v>
      </c>
      <c r="H1706" s="76" t="s">
        <v>17</v>
      </c>
      <c r="I1706" s="76" t="s">
        <v>24</v>
      </c>
      <c r="J1706" s="76">
        <v>0</v>
      </c>
      <c r="K1706" s="78">
        <f>AB1706/COUNTIFS($B:$B,$B1706,$C:$C,$C1706,$H:$H,$H1706,$I:$I,$I1706)</f>
        <v>0.15</v>
      </c>
      <c r="L1706" s="80">
        <f t="shared" si="114"/>
        <v>1</v>
      </c>
      <c r="M1706" s="82">
        <f t="shared" si="116"/>
        <v>0</v>
      </c>
      <c r="N1706" s="59"/>
      <c r="AA1706" s="154">
        <f>AB1706/COUNTIFS($B:$B,$B1706,$C:$C,$C1706,$H:$H,$H1706,$I:$I,$I1706)</f>
        <v>0.15</v>
      </c>
      <c r="AB1706" s="155">
        <f>VLOOKUP(I1706,'Weights and Confidence'!$D$16:$AC$26,11,FALSE)</f>
        <v>0.15</v>
      </c>
      <c r="AC1706" s="156">
        <f>VLOOKUP(I1706,'Weights and Confidence'!$D$16:$AC$26,12,FALSE)</f>
        <v>1</v>
      </c>
    </row>
    <row r="1707" spans="1:29" x14ac:dyDescent="0.2">
      <c r="A1707" s="77" t="s">
        <v>566</v>
      </c>
      <c r="B1707" s="77" t="s">
        <v>87</v>
      </c>
      <c r="C1707" s="77" t="s">
        <v>299</v>
      </c>
      <c r="D1707" s="77" t="s">
        <v>5</v>
      </c>
      <c r="E1707" s="77" t="s">
        <v>679</v>
      </c>
      <c r="F1707" s="91" t="s">
        <v>300</v>
      </c>
      <c r="G1707" s="77">
        <v>7</v>
      </c>
      <c r="H1707" s="77" t="s">
        <v>18</v>
      </c>
      <c r="I1707" s="77" t="s">
        <v>24</v>
      </c>
      <c r="J1707" s="77">
        <v>-1</v>
      </c>
      <c r="K1707" s="79">
        <f>AB1707/COUNTIFS($B:$B,$B1707,$C:$C,$C1707,$H:$H,$H1707,$I:$I,$I1707)</f>
        <v>0.15</v>
      </c>
      <c r="L1707" s="81">
        <f t="shared" si="114"/>
        <v>1</v>
      </c>
      <c r="M1707" s="83">
        <f t="shared" si="116"/>
        <v>-0.15</v>
      </c>
      <c r="N1707" s="17"/>
      <c r="AA1707" s="154">
        <f>AB1707/COUNTIFS($B:$B,$B1707,$C:$C,$C1707,$H:$H,$H1707,$I:$I,$I1707)</f>
        <v>0.15</v>
      </c>
      <c r="AB1707" s="155">
        <f>VLOOKUP(I1707,'Weights and Confidence'!$D$16:$AC$26,11,FALSE)</f>
        <v>0.15</v>
      </c>
      <c r="AC1707" s="156">
        <f>VLOOKUP(I1707,'Weights and Confidence'!$D$16:$AC$26,12,FALSE)</f>
        <v>1</v>
      </c>
    </row>
    <row r="1708" spans="1:29" x14ac:dyDescent="0.2">
      <c r="A1708" s="76" t="s">
        <v>566</v>
      </c>
      <c r="B1708" s="76" t="s">
        <v>87</v>
      </c>
      <c r="C1708" s="76" t="s">
        <v>299</v>
      </c>
      <c r="D1708" s="76" t="s">
        <v>5</v>
      </c>
      <c r="E1708" s="76" t="s">
        <v>679</v>
      </c>
      <c r="F1708" s="91" t="s">
        <v>300</v>
      </c>
      <c r="G1708" s="76">
        <v>8</v>
      </c>
      <c r="H1708" s="76" t="s">
        <v>17</v>
      </c>
      <c r="I1708" s="76" t="s">
        <v>25</v>
      </c>
      <c r="J1708" s="76">
        <v>0</v>
      </c>
      <c r="K1708" s="78">
        <f>AB1708/COUNTIFS($B:$B,$B1708,$C:$C,$C1708,$H:$H,$H1708,$I:$I,$I1708)</f>
        <v>0.1</v>
      </c>
      <c r="L1708" s="80">
        <f t="shared" si="114"/>
        <v>1</v>
      </c>
      <c r="M1708" s="82">
        <f t="shared" si="116"/>
        <v>0</v>
      </c>
      <c r="N1708" s="59"/>
      <c r="AA1708" s="154">
        <f>AB1708/COUNTIFS($B:$B,$B1708,$C:$C,$C1708,$H:$H,$H1708,$I:$I,$I1708)</f>
        <v>0.1</v>
      </c>
      <c r="AB1708" s="155">
        <f>VLOOKUP(I1708,'Weights and Confidence'!$D$16:$AC$26,11,FALSE)</f>
        <v>0.1</v>
      </c>
      <c r="AC1708" s="156">
        <f>VLOOKUP(I1708,'Weights and Confidence'!$D$16:$AC$26,12,FALSE)</f>
        <v>1</v>
      </c>
    </row>
    <row r="1709" spans="1:29" x14ac:dyDescent="0.2">
      <c r="A1709" s="77" t="s">
        <v>566</v>
      </c>
      <c r="B1709" s="77" t="s">
        <v>87</v>
      </c>
      <c r="C1709" s="77" t="s">
        <v>299</v>
      </c>
      <c r="D1709" s="77" t="s">
        <v>5</v>
      </c>
      <c r="E1709" s="77" t="s">
        <v>679</v>
      </c>
      <c r="F1709" s="91" t="s">
        <v>300</v>
      </c>
      <c r="G1709" s="77">
        <v>8</v>
      </c>
      <c r="H1709" s="77" t="s">
        <v>18</v>
      </c>
      <c r="I1709" s="77" t="s">
        <v>25</v>
      </c>
      <c r="J1709" s="77">
        <v>0</v>
      </c>
      <c r="K1709" s="79">
        <f>AB1709/COUNTIFS($B:$B,$B1709,$C:$C,$C1709,$H:$H,$H1709,$I:$I,$I1709)</f>
        <v>0.1</v>
      </c>
      <c r="L1709" s="81">
        <f t="shared" si="114"/>
        <v>1</v>
      </c>
      <c r="M1709" s="83">
        <f t="shared" si="116"/>
        <v>0</v>
      </c>
      <c r="N1709" s="17"/>
      <c r="AA1709" s="154">
        <f>AB1709/COUNTIFS($B:$B,$B1709,$C:$C,$C1709,$H:$H,$H1709,$I:$I,$I1709)</f>
        <v>0.1</v>
      </c>
      <c r="AB1709" s="155">
        <f>VLOOKUP(I1709,'Weights and Confidence'!$D$16:$AC$26,11,FALSE)</f>
        <v>0.1</v>
      </c>
      <c r="AC1709" s="156">
        <f>VLOOKUP(I1709,'Weights and Confidence'!$D$16:$AC$26,12,FALSE)</f>
        <v>1</v>
      </c>
    </row>
    <row r="1710" spans="1:29" x14ac:dyDescent="0.2">
      <c r="A1710" s="76" t="s">
        <v>566</v>
      </c>
      <c r="B1710" s="76" t="s">
        <v>87</v>
      </c>
      <c r="C1710" s="76" t="s">
        <v>299</v>
      </c>
      <c r="D1710" s="76" t="s">
        <v>5</v>
      </c>
      <c r="E1710" s="76" t="s">
        <v>679</v>
      </c>
      <c r="F1710" s="91" t="s">
        <v>300</v>
      </c>
      <c r="G1710" s="76">
        <v>9</v>
      </c>
      <c r="H1710" s="76" t="s">
        <v>17</v>
      </c>
      <c r="I1710" s="76" t="s">
        <v>26</v>
      </c>
      <c r="J1710" s="76">
        <v>0</v>
      </c>
      <c r="K1710" s="78">
        <f>AB1710/COUNTIFS($B:$B,$B1710,$C:$C,$C1710,$H:$H,$H1710,$I:$I,$I1710)</f>
        <v>0.1</v>
      </c>
      <c r="L1710" s="80">
        <f t="shared" si="114"/>
        <v>1</v>
      </c>
      <c r="M1710" s="82">
        <f t="shared" si="116"/>
        <v>0</v>
      </c>
      <c r="N1710" s="59"/>
      <c r="AA1710" s="154">
        <f>AB1710/COUNTIFS($B:$B,$B1710,$C:$C,$C1710,$H:$H,$H1710,$I:$I,$I1710)</f>
        <v>0.1</v>
      </c>
      <c r="AB1710" s="155">
        <f>VLOOKUP(I1710,'Weights and Confidence'!$D$16:$AC$26,11,FALSE)</f>
        <v>0.1</v>
      </c>
      <c r="AC1710" s="156">
        <f>VLOOKUP(I1710,'Weights and Confidence'!$D$16:$AC$26,12,FALSE)</f>
        <v>1</v>
      </c>
    </row>
    <row r="1711" spans="1:29" x14ac:dyDescent="0.2">
      <c r="A1711" s="77" t="s">
        <v>566</v>
      </c>
      <c r="B1711" s="77" t="s">
        <v>87</v>
      </c>
      <c r="C1711" s="77" t="s">
        <v>299</v>
      </c>
      <c r="D1711" s="77" t="s">
        <v>5</v>
      </c>
      <c r="E1711" s="77" t="s">
        <v>679</v>
      </c>
      <c r="F1711" s="91" t="s">
        <v>300</v>
      </c>
      <c r="G1711" s="77">
        <v>9</v>
      </c>
      <c r="H1711" s="77" t="s">
        <v>18</v>
      </c>
      <c r="I1711" s="77" t="s">
        <v>26</v>
      </c>
      <c r="J1711" s="77">
        <v>-1</v>
      </c>
      <c r="K1711" s="79">
        <f>AB1711/COUNTIFS($B:$B,$B1711,$C:$C,$C1711,$H:$H,$H1711,$I:$I,$I1711)</f>
        <v>0.1</v>
      </c>
      <c r="L1711" s="81">
        <f t="shared" si="114"/>
        <v>1</v>
      </c>
      <c r="M1711" s="83">
        <f t="shared" si="116"/>
        <v>-0.1</v>
      </c>
      <c r="N1711" s="17"/>
      <c r="AA1711" s="154">
        <f>AB1711/COUNTIFS($B:$B,$B1711,$C:$C,$C1711,$H:$H,$H1711,$I:$I,$I1711)</f>
        <v>0.1</v>
      </c>
      <c r="AB1711" s="155">
        <f>VLOOKUP(I1711,'Weights and Confidence'!$D$16:$AC$26,11,FALSE)</f>
        <v>0.1</v>
      </c>
      <c r="AC1711" s="156">
        <f>VLOOKUP(I1711,'Weights and Confidence'!$D$16:$AC$26,12,FALSE)</f>
        <v>1</v>
      </c>
    </row>
    <row r="1712" spans="1:29" x14ac:dyDescent="0.2">
      <c r="A1712" s="76" t="s">
        <v>566</v>
      </c>
      <c r="B1712" s="76" t="s">
        <v>87</v>
      </c>
      <c r="C1712" s="76" t="s">
        <v>299</v>
      </c>
      <c r="D1712" s="76" t="s">
        <v>5</v>
      </c>
      <c r="E1712" s="76" t="s">
        <v>679</v>
      </c>
      <c r="F1712" s="91" t="s">
        <v>300</v>
      </c>
      <c r="G1712" s="76">
        <v>10</v>
      </c>
      <c r="H1712" s="76" t="s">
        <v>17</v>
      </c>
      <c r="I1712" s="76" t="s">
        <v>27</v>
      </c>
      <c r="J1712" s="76">
        <v>0</v>
      </c>
      <c r="K1712" s="78">
        <f>AB1712/COUNTIFS($B:$B,$B1712,$C:$C,$C1712,$H:$H,$H1712,$I:$I,$I1712)</f>
        <v>0.05</v>
      </c>
      <c r="L1712" s="80">
        <f t="shared" si="114"/>
        <v>0.9</v>
      </c>
      <c r="M1712" s="82">
        <f t="shared" si="116"/>
        <v>0</v>
      </c>
      <c r="N1712" s="59"/>
      <c r="AA1712" s="154">
        <f>AB1712/COUNTIFS($B:$B,$B1712,$C:$C,$C1712,$H:$H,$H1712,$I:$I,$I1712)</f>
        <v>0.05</v>
      </c>
      <c r="AB1712" s="155">
        <f>VLOOKUP(I1712,'Weights and Confidence'!$D$16:$AC$26,11,FALSE)</f>
        <v>0.1</v>
      </c>
      <c r="AC1712" s="156">
        <f>VLOOKUP(I1712,'Weights and Confidence'!$D$16:$AC$26,12,FALSE)</f>
        <v>0.9</v>
      </c>
    </row>
    <row r="1713" spans="1:29" x14ac:dyDescent="0.2">
      <c r="A1713" s="77" t="s">
        <v>566</v>
      </c>
      <c r="B1713" s="77" t="s">
        <v>87</v>
      </c>
      <c r="C1713" s="77" t="s">
        <v>299</v>
      </c>
      <c r="D1713" s="77" t="s">
        <v>5</v>
      </c>
      <c r="E1713" s="77" t="s">
        <v>679</v>
      </c>
      <c r="F1713" s="91" t="s">
        <v>300</v>
      </c>
      <c r="G1713" s="77">
        <v>10</v>
      </c>
      <c r="H1713" s="77" t="s">
        <v>18</v>
      </c>
      <c r="I1713" s="77" t="s">
        <v>27</v>
      </c>
      <c r="J1713" s="77">
        <v>0</v>
      </c>
      <c r="K1713" s="79">
        <f>AB1713/COUNTIFS($B:$B,$B1713,$C:$C,$C1713,$H:$H,$H1713,$I:$I,$I1713)</f>
        <v>0.05</v>
      </c>
      <c r="L1713" s="81">
        <f t="shared" si="114"/>
        <v>0.9</v>
      </c>
      <c r="M1713" s="83">
        <f t="shared" si="116"/>
        <v>0</v>
      </c>
      <c r="N1713" s="17"/>
      <c r="AA1713" s="154">
        <f>AB1713/COUNTIFS($B:$B,$B1713,$C:$C,$C1713,$H:$H,$H1713,$I:$I,$I1713)</f>
        <v>0.05</v>
      </c>
      <c r="AB1713" s="155">
        <f>VLOOKUP(I1713,'Weights and Confidence'!$D$16:$AC$26,11,FALSE)</f>
        <v>0.1</v>
      </c>
      <c r="AC1713" s="156">
        <f>VLOOKUP(I1713,'Weights and Confidence'!$D$16:$AC$26,12,FALSE)</f>
        <v>0.9</v>
      </c>
    </row>
    <row r="1714" spans="1:29" x14ac:dyDescent="0.2">
      <c r="A1714" s="76" t="s">
        <v>566</v>
      </c>
      <c r="B1714" s="76" t="s">
        <v>87</v>
      </c>
      <c r="C1714" s="76" t="s">
        <v>299</v>
      </c>
      <c r="D1714" s="76" t="s">
        <v>5</v>
      </c>
      <c r="E1714" s="76" t="s">
        <v>679</v>
      </c>
      <c r="F1714" s="91" t="s">
        <v>300</v>
      </c>
      <c r="G1714" s="76">
        <v>11</v>
      </c>
      <c r="H1714" s="76" t="s">
        <v>17</v>
      </c>
      <c r="I1714" s="76" t="s">
        <v>27</v>
      </c>
      <c r="J1714" s="76">
        <v>0</v>
      </c>
      <c r="K1714" s="78">
        <f>AB1714/COUNTIFS($B:$B,$B1714,$C:$C,$C1714,$H:$H,$H1714,$I:$I,$I1714)</f>
        <v>0.05</v>
      </c>
      <c r="L1714" s="80">
        <f t="shared" si="114"/>
        <v>0.9</v>
      </c>
      <c r="M1714" s="82">
        <f t="shared" si="116"/>
        <v>0</v>
      </c>
      <c r="N1714" s="59"/>
      <c r="AA1714" s="154">
        <f>AB1714/COUNTIFS($B:$B,$B1714,$C:$C,$C1714,$H:$H,$H1714,$I:$I,$I1714)</f>
        <v>0.05</v>
      </c>
      <c r="AB1714" s="155">
        <f>VLOOKUP(I1714,'Weights and Confidence'!$D$16:$AC$26,11,FALSE)</f>
        <v>0.1</v>
      </c>
      <c r="AC1714" s="156">
        <f>VLOOKUP(I1714,'Weights and Confidence'!$D$16:$AC$26,12,FALSE)</f>
        <v>0.9</v>
      </c>
    </row>
    <row r="1715" spans="1:29" x14ac:dyDescent="0.2">
      <c r="A1715" s="77" t="s">
        <v>566</v>
      </c>
      <c r="B1715" s="77" t="s">
        <v>87</v>
      </c>
      <c r="C1715" s="77" t="s">
        <v>299</v>
      </c>
      <c r="D1715" s="77" t="s">
        <v>5</v>
      </c>
      <c r="E1715" s="77" t="s">
        <v>679</v>
      </c>
      <c r="F1715" s="91" t="s">
        <v>300</v>
      </c>
      <c r="G1715" s="77">
        <v>11</v>
      </c>
      <c r="H1715" s="77" t="s">
        <v>18</v>
      </c>
      <c r="I1715" s="77" t="s">
        <v>27</v>
      </c>
      <c r="J1715" s="77">
        <v>0</v>
      </c>
      <c r="K1715" s="79">
        <f>AB1715/COUNTIFS($B:$B,$B1715,$C:$C,$C1715,$H:$H,$H1715,$I:$I,$I1715)</f>
        <v>0.05</v>
      </c>
      <c r="L1715" s="81">
        <f t="shared" si="114"/>
        <v>0.9</v>
      </c>
      <c r="M1715" s="83">
        <f t="shared" si="116"/>
        <v>0</v>
      </c>
      <c r="N1715" s="17"/>
      <c r="AA1715" s="154">
        <f>AB1715/COUNTIFS($B:$B,$B1715,$C:$C,$C1715,$H:$H,$H1715,$I:$I,$I1715)</f>
        <v>0.05</v>
      </c>
      <c r="AB1715" s="155">
        <f>VLOOKUP(I1715,'Weights and Confidence'!$D$16:$AC$26,11,FALSE)</f>
        <v>0.1</v>
      </c>
      <c r="AC1715" s="156">
        <f>VLOOKUP(I1715,'Weights and Confidence'!$D$16:$AC$26,12,FALSE)</f>
        <v>0.9</v>
      </c>
    </row>
    <row r="1716" spans="1:29" x14ac:dyDescent="0.2">
      <c r="A1716" s="77" t="s">
        <v>566</v>
      </c>
      <c r="B1716" s="77" t="s">
        <v>87</v>
      </c>
      <c r="C1716" s="77" t="s">
        <v>299</v>
      </c>
      <c r="D1716" s="77" t="s">
        <v>5</v>
      </c>
      <c r="E1716" s="77" t="s">
        <v>679</v>
      </c>
      <c r="F1716" s="91" t="s">
        <v>300</v>
      </c>
      <c r="G1716" s="77">
        <v>12</v>
      </c>
      <c r="H1716" s="77" t="s">
        <v>17</v>
      </c>
      <c r="I1716" s="77" t="s">
        <v>28</v>
      </c>
      <c r="J1716" s="77">
        <v>0</v>
      </c>
      <c r="K1716" s="79">
        <f>AB1716/COUNTIFS($B:$B,$B1716,$C:$C,$C1716,$H:$H,$H1716,$I:$I,$I1716)</f>
        <v>0.05</v>
      </c>
      <c r="L1716" s="81">
        <f t="shared" si="114"/>
        <v>1</v>
      </c>
      <c r="M1716" s="83">
        <f>J1716*K1716*L1716</f>
        <v>0</v>
      </c>
      <c r="N1716" s="58"/>
      <c r="AA1716" s="154">
        <f>AB1716/COUNTIFS($B:$B,$B1716,$C:$C,$C1716,$H:$H,$H1716,$I:$I,$I1716)</f>
        <v>0.05</v>
      </c>
      <c r="AB1716" s="155">
        <f>VLOOKUP(I1716,'Weights and Confidence'!$D$16:$AC$26,11,FALSE)</f>
        <v>0.05</v>
      </c>
      <c r="AC1716" s="156">
        <f>VLOOKUP(I1716,'Weights and Confidence'!$D$16:$AC$26,12,FALSE)</f>
        <v>1</v>
      </c>
    </row>
    <row r="1717" spans="1:29" ht="17" thickBot="1" x14ac:dyDescent="0.25">
      <c r="A1717" s="98" t="s">
        <v>566</v>
      </c>
      <c r="B1717" s="98" t="s">
        <v>87</v>
      </c>
      <c r="C1717" s="98" t="s">
        <v>299</v>
      </c>
      <c r="D1717" s="98" t="s">
        <v>5</v>
      </c>
      <c r="E1717" s="98" t="s">
        <v>679</v>
      </c>
      <c r="F1717" s="93" t="s">
        <v>300</v>
      </c>
      <c r="G1717" s="98">
        <v>12</v>
      </c>
      <c r="H1717" s="98" t="s">
        <v>18</v>
      </c>
      <c r="I1717" s="98" t="s">
        <v>28</v>
      </c>
      <c r="J1717" s="98">
        <v>-1</v>
      </c>
      <c r="K1717" s="99">
        <f>AB1717/COUNTIFS($B:$B,$B1717,$C:$C,$C1717,$H:$H,$H1717,$I:$I,$I1717)</f>
        <v>0.05</v>
      </c>
      <c r="L1717" s="100">
        <f t="shared" si="114"/>
        <v>1</v>
      </c>
      <c r="M1717" s="101">
        <f>J1717*K1717*L1717</f>
        <v>-0.05</v>
      </c>
      <c r="N1717" s="22" t="s">
        <v>595</v>
      </c>
      <c r="AA1717" s="157">
        <f>AB1717/COUNTIFS($B:$B,$B1717,$C:$C,$C1717,$H:$H,$H1717,$I:$I,$I1717)</f>
        <v>0.05</v>
      </c>
      <c r="AB1717" s="158">
        <f>VLOOKUP(I1717,'Weights and Confidence'!$D$16:$AC$26,11,FALSE)</f>
        <v>0.05</v>
      </c>
      <c r="AC1717" s="159">
        <f>VLOOKUP(I1717,'Weights and Confidence'!$D$16:$AC$26,12,FALSE)</f>
        <v>1</v>
      </c>
    </row>
    <row r="1718" spans="1:29" ht="17" thickTop="1" x14ac:dyDescent="0.2">
      <c r="A1718" s="86" t="s">
        <v>566</v>
      </c>
      <c r="B1718" s="86" t="s">
        <v>87</v>
      </c>
      <c r="C1718" s="86" t="s">
        <v>596</v>
      </c>
      <c r="D1718" s="86" t="s">
        <v>5</v>
      </c>
      <c r="E1718" s="86" t="s">
        <v>679</v>
      </c>
      <c r="F1718" s="91" t="s">
        <v>597</v>
      </c>
      <c r="G1718" s="86">
        <v>1</v>
      </c>
      <c r="H1718" s="86" t="s">
        <v>17</v>
      </c>
      <c r="I1718" s="86" t="s">
        <v>19</v>
      </c>
      <c r="J1718" s="97">
        <v>1</v>
      </c>
      <c r="K1718" s="87">
        <f>AB1718/COUNTIFS($B:$B,$B1718,$C:$C,$C1718,$H:$H,$H1718,$I:$I,$I1718)</f>
        <v>0.12</v>
      </c>
      <c r="L1718" s="88">
        <f t="shared" ref="L1718:L1741" si="117">AC1718</f>
        <v>1</v>
      </c>
      <c r="M1718" s="89">
        <f t="shared" ref="M1718" si="118">J1718*K1718*L1718</f>
        <v>0.12</v>
      </c>
      <c r="N1718" s="90"/>
      <c r="AA1718" s="154">
        <f>AB1718/COUNTIFS($B:$B,$B1718,$C:$C,$C1718,$H:$H,$H1718,$I:$I,$I1718)</f>
        <v>0.12</v>
      </c>
      <c r="AB1718" s="155">
        <f>VLOOKUP(I1718,'Weights and Confidence'!$D$16:$AC$26,11,FALSE)</f>
        <v>0.12</v>
      </c>
      <c r="AC1718" s="156">
        <f>VLOOKUP(I1718,'Weights and Confidence'!$D$16:$AC$26,12,FALSE)</f>
        <v>1</v>
      </c>
    </row>
    <row r="1719" spans="1:29" x14ac:dyDescent="0.2">
      <c r="A1719" s="77" t="s">
        <v>566</v>
      </c>
      <c r="B1719" s="77" t="s">
        <v>87</v>
      </c>
      <c r="C1719" s="77" t="s">
        <v>596</v>
      </c>
      <c r="D1719" s="77" t="s">
        <v>5</v>
      </c>
      <c r="E1719" s="77" t="s">
        <v>679</v>
      </c>
      <c r="F1719" s="91" t="s">
        <v>597</v>
      </c>
      <c r="G1719" s="77">
        <v>1</v>
      </c>
      <c r="H1719" s="77" t="s">
        <v>18</v>
      </c>
      <c r="I1719" s="77" t="s">
        <v>19</v>
      </c>
      <c r="J1719" s="77">
        <v>0</v>
      </c>
      <c r="K1719" s="79">
        <f>AB1719/COUNTIFS($B:$B,$B1719,$C:$C,$C1719,$H:$H,$H1719,$I:$I,$I1719)</f>
        <v>0.12</v>
      </c>
      <c r="L1719" s="81">
        <f t="shared" si="117"/>
        <v>1</v>
      </c>
      <c r="M1719" s="83">
        <f>J1718*K1719*L1719</f>
        <v>0.12</v>
      </c>
      <c r="N1719" s="17" t="s">
        <v>598</v>
      </c>
      <c r="AA1719" s="154">
        <f>AB1719/COUNTIFS($B:$B,$B1719,$C:$C,$C1719,$H:$H,$H1719,$I:$I,$I1719)</f>
        <v>0.12</v>
      </c>
      <c r="AB1719" s="155">
        <f>VLOOKUP(I1719,'Weights and Confidence'!$D$16:$AC$26,11,FALSE)</f>
        <v>0.12</v>
      </c>
      <c r="AC1719" s="156">
        <f>VLOOKUP(I1719,'Weights and Confidence'!$D$16:$AC$26,12,FALSE)</f>
        <v>1</v>
      </c>
    </row>
    <row r="1720" spans="1:29" x14ac:dyDescent="0.2">
      <c r="A1720" s="76" t="s">
        <v>566</v>
      </c>
      <c r="B1720" s="76" t="s">
        <v>87</v>
      </c>
      <c r="C1720" s="76" t="s">
        <v>596</v>
      </c>
      <c r="D1720" s="76" t="s">
        <v>5</v>
      </c>
      <c r="E1720" s="76" t="s">
        <v>679</v>
      </c>
      <c r="F1720" s="91" t="s">
        <v>597</v>
      </c>
      <c r="G1720" s="76">
        <v>2</v>
      </c>
      <c r="H1720" s="76" t="s">
        <v>17</v>
      </c>
      <c r="I1720" s="76" t="s">
        <v>20</v>
      </c>
      <c r="J1720" s="76">
        <v>1</v>
      </c>
      <c r="K1720" s="78">
        <f>AB1720/COUNTIFS($B:$B,$B1720,$C:$C,$C1720,$H:$H,$H1720,$I:$I,$I1720)</f>
        <v>0.08</v>
      </c>
      <c r="L1720" s="80">
        <f t="shared" si="117"/>
        <v>0.9</v>
      </c>
      <c r="M1720" s="82">
        <f t="shared" ref="M1720:M1739" si="119">J1720*K1720*L1720</f>
        <v>7.2000000000000008E-2</v>
      </c>
      <c r="N1720" s="59"/>
      <c r="AA1720" s="154">
        <f>AB1720/COUNTIFS($B:$B,$B1720,$C:$C,$C1720,$H:$H,$H1720,$I:$I,$I1720)</f>
        <v>0.08</v>
      </c>
      <c r="AB1720" s="155">
        <f>VLOOKUP(I1720,'Weights and Confidence'!$D$16:$AC$26,11,FALSE)</f>
        <v>0.08</v>
      </c>
      <c r="AC1720" s="156">
        <f>VLOOKUP(I1720,'Weights and Confidence'!$D$16:$AC$26,12,FALSE)</f>
        <v>0.9</v>
      </c>
    </row>
    <row r="1721" spans="1:29" x14ac:dyDescent="0.2">
      <c r="A1721" s="77" t="s">
        <v>566</v>
      </c>
      <c r="B1721" s="77" t="s">
        <v>87</v>
      </c>
      <c r="C1721" s="77" t="s">
        <v>596</v>
      </c>
      <c r="D1721" s="77" t="s">
        <v>5</v>
      </c>
      <c r="E1721" s="77" t="s">
        <v>679</v>
      </c>
      <c r="F1721" s="91" t="s">
        <v>597</v>
      </c>
      <c r="G1721" s="77">
        <v>2</v>
      </c>
      <c r="H1721" s="77" t="s">
        <v>18</v>
      </c>
      <c r="I1721" s="77" t="s">
        <v>20</v>
      </c>
      <c r="J1721" s="77">
        <v>0</v>
      </c>
      <c r="K1721" s="79">
        <f>AB1721/COUNTIFS($B:$B,$B1721,$C:$C,$C1721,$H:$H,$H1721,$I:$I,$I1721)</f>
        <v>0.08</v>
      </c>
      <c r="L1721" s="81">
        <f t="shared" si="117"/>
        <v>0.9</v>
      </c>
      <c r="M1721" s="83">
        <f t="shared" si="119"/>
        <v>0</v>
      </c>
      <c r="N1721" s="17" t="s">
        <v>599</v>
      </c>
      <c r="AA1721" s="154">
        <f>AB1721/COUNTIFS($B:$B,$B1721,$C:$C,$C1721,$H:$H,$H1721,$I:$I,$I1721)</f>
        <v>0.08</v>
      </c>
      <c r="AB1721" s="155">
        <f>VLOOKUP(I1721,'Weights and Confidence'!$D$16:$AC$26,11,FALSE)</f>
        <v>0.08</v>
      </c>
      <c r="AC1721" s="156">
        <f>VLOOKUP(I1721,'Weights and Confidence'!$D$16:$AC$26,12,FALSE)</f>
        <v>0.9</v>
      </c>
    </row>
    <row r="1722" spans="1:29" x14ac:dyDescent="0.2">
      <c r="A1722" s="76" t="s">
        <v>566</v>
      </c>
      <c r="B1722" s="76" t="s">
        <v>87</v>
      </c>
      <c r="C1722" s="76" t="s">
        <v>596</v>
      </c>
      <c r="D1722" s="76" t="s">
        <v>5</v>
      </c>
      <c r="E1722" s="76" t="s">
        <v>679</v>
      </c>
      <c r="F1722" s="91" t="s">
        <v>597</v>
      </c>
      <c r="G1722" s="76">
        <v>3</v>
      </c>
      <c r="H1722" s="76" t="s">
        <v>17</v>
      </c>
      <c r="I1722" s="76" t="s">
        <v>21</v>
      </c>
      <c r="J1722" s="76">
        <v>1</v>
      </c>
      <c r="K1722" s="78">
        <f>AB1722/COUNTIFS($B:$B,$B1722,$C:$C,$C1722,$H:$H,$H1722,$I:$I,$I1722)</f>
        <v>0.05</v>
      </c>
      <c r="L1722" s="80">
        <f t="shared" si="117"/>
        <v>1</v>
      </c>
      <c r="M1722" s="82">
        <f t="shared" si="119"/>
        <v>0.05</v>
      </c>
      <c r="N1722" s="59"/>
      <c r="AA1722" s="154">
        <f>AB1722/COUNTIFS($B:$B,$B1722,$C:$C,$C1722,$H:$H,$H1722,$I:$I,$I1722)</f>
        <v>0.05</v>
      </c>
      <c r="AB1722" s="155">
        <f>VLOOKUP(I1722,'Weights and Confidence'!$D$16:$AC$26,11,FALSE)</f>
        <v>0.05</v>
      </c>
      <c r="AC1722" s="156">
        <f>VLOOKUP(I1722,'Weights and Confidence'!$D$16:$AC$26,12,FALSE)</f>
        <v>1</v>
      </c>
    </row>
    <row r="1723" spans="1:29" x14ac:dyDescent="0.2">
      <c r="A1723" s="77" t="s">
        <v>566</v>
      </c>
      <c r="B1723" s="77" t="s">
        <v>87</v>
      </c>
      <c r="C1723" s="77" t="s">
        <v>596</v>
      </c>
      <c r="D1723" s="77" t="s">
        <v>5</v>
      </c>
      <c r="E1723" s="77" t="s">
        <v>679</v>
      </c>
      <c r="F1723" s="91" t="s">
        <v>597</v>
      </c>
      <c r="G1723" s="77">
        <v>3</v>
      </c>
      <c r="H1723" s="77" t="s">
        <v>18</v>
      </c>
      <c r="I1723" s="77" t="s">
        <v>21</v>
      </c>
      <c r="J1723" s="77">
        <v>0</v>
      </c>
      <c r="K1723" s="79">
        <f>AB1723/COUNTIFS($B:$B,$B1723,$C:$C,$C1723,$H:$H,$H1723,$I:$I,$I1723)</f>
        <v>0.05</v>
      </c>
      <c r="L1723" s="81">
        <f t="shared" si="117"/>
        <v>1</v>
      </c>
      <c r="M1723" s="83">
        <f t="shared" si="119"/>
        <v>0</v>
      </c>
      <c r="N1723" s="17" t="s">
        <v>599</v>
      </c>
      <c r="AA1723" s="154">
        <f>AB1723/COUNTIFS($B:$B,$B1723,$C:$C,$C1723,$H:$H,$H1723,$I:$I,$I1723)</f>
        <v>0.05</v>
      </c>
      <c r="AB1723" s="155">
        <f>VLOOKUP(I1723,'Weights and Confidence'!$D$16:$AC$26,11,FALSE)</f>
        <v>0.05</v>
      </c>
      <c r="AC1723" s="156">
        <f>VLOOKUP(I1723,'Weights and Confidence'!$D$16:$AC$26,12,FALSE)</f>
        <v>1</v>
      </c>
    </row>
    <row r="1724" spans="1:29" x14ac:dyDescent="0.2">
      <c r="A1724" s="76" t="s">
        <v>566</v>
      </c>
      <c r="B1724" s="76" t="s">
        <v>87</v>
      </c>
      <c r="C1724" s="76" t="s">
        <v>596</v>
      </c>
      <c r="D1724" s="76" t="s">
        <v>5</v>
      </c>
      <c r="E1724" s="76" t="s">
        <v>679</v>
      </c>
      <c r="F1724" s="91" t="s">
        <v>597</v>
      </c>
      <c r="G1724" s="76">
        <v>4</v>
      </c>
      <c r="H1724" s="76" t="s">
        <v>17</v>
      </c>
      <c r="I1724" s="76" t="s">
        <v>22</v>
      </c>
      <c r="J1724" s="76">
        <v>0</v>
      </c>
      <c r="K1724" s="78">
        <f>AB1724/COUNTIFS($B:$B,$B1724,$C:$C,$C1724,$H:$H,$H1724,$I:$I,$I1724)</f>
        <v>0.1</v>
      </c>
      <c r="L1724" s="80">
        <f t="shared" si="117"/>
        <v>1</v>
      </c>
      <c r="M1724" s="82">
        <f t="shared" si="119"/>
        <v>0</v>
      </c>
      <c r="N1724" s="59"/>
      <c r="AA1724" s="154">
        <f>AB1724/COUNTIFS($B:$B,$B1724,$C:$C,$C1724,$H:$H,$H1724,$I:$I,$I1724)</f>
        <v>0.1</v>
      </c>
      <c r="AB1724" s="155">
        <f>VLOOKUP(I1724,'Weights and Confidence'!$D$16:$AC$26,11,FALSE)</f>
        <v>0.1</v>
      </c>
      <c r="AC1724" s="156">
        <f>VLOOKUP(I1724,'Weights and Confidence'!$D$16:$AC$26,12,FALSE)</f>
        <v>1</v>
      </c>
    </row>
    <row r="1725" spans="1:29" x14ac:dyDescent="0.2">
      <c r="A1725" s="77" t="s">
        <v>566</v>
      </c>
      <c r="B1725" s="77" t="s">
        <v>87</v>
      </c>
      <c r="C1725" s="77" t="s">
        <v>596</v>
      </c>
      <c r="D1725" s="77" t="s">
        <v>5</v>
      </c>
      <c r="E1725" s="77" t="s">
        <v>679</v>
      </c>
      <c r="F1725" s="91" t="s">
        <v>597</v>
      </c>
      <c r="G1725" s="77">
        <v>4</v>
      </c>
      <c r="H1725" s="77" t="s">
        <v>18</v>
      </c>
      <c r="I1725" s="77" t="s">
        <v>22</v>
      </c>
      <c r="J1725" s="77">
        <v>-1</v>
      </c>
      <c r="K1725" s="79">
        <f>AB1725/COUNTIFS($B:$B,$B1725,$C:$C,$C1725,$H:$H,$H1725,$I:$I,$I1725)</f>
        <v>0.1</v>
      </c>
      <c r="L1725" s="81">
        <f t="shared" si="117"/>
        <v>1</v>
      </c>
      <c r="M1725" s="83">
        <f t="shared" si="119"/>
        <v>-0.1</v>
      </c>
      <c r="N1725" s="17" t="s">
        <v>600</v>
      </c>
      <c r="AA1725" s="154">
        <f>AB1725/COUNTIFS($B:$B,$B1725,$C:$C,$C1725,$H:$H,$H1725,$I:$I,$I1725)</f>
        <v>0.1</v>
      </c>
      <c r="AB1725" s="155">
        <f>VLOOKUP(I1725,'Weights and Confidence'!$D$16:$AC$26,11,FALSE)</f>
        <v>0.1</v>
      </c>
      <c r="AC1725" s="156">
        <f>VLOOKUP(I1725,'Weights and Confidence'!$D$16:$AC$26,12,FALSE)</f>
        <v>1</v>
      </c>
    </row>
    <row r="1726" spans="1:29" x14ac:dyDescent="0.2">
      <c r="A1726" s="76" t="s">
        <v>566</v>
      </c>
      <c r="B1726" s="76" t="s">
        <v>87</v>
      </c>
      <c r="C1726" s="76" t="s">
        <v>596</v>
      </c>
      <c r="D1726" s="76" t="s">
        <v>5</v>
      </c>
      <c r="E1726" s="76" t="s">
        <v>679</v>
      </c>
      <c r="F1726" s="91" t="s">
        <v>597</v>
      </c>
      <c r="G1726" s="76">
        <v>5</v>
      </c>
      <c r="H1726" s="76" t="s">
        <v>17</v>
      </c>
      <c r="I1726" s="76" t="s">
        <v>34</v>
      </c>
      <c r="J1726" s="76">
        <v>0</v>
      </c>
      <c r="K1726" s="78">
        <f>AB1726/COUNTIFS($B:$B,$B1726,$C:$C,$C1726,$H:$H,$H1726,$I:$I,$I1726)</f>
        <v>0.08</v>
      </c>
      <c r="L1726" s="80">
        <f t="shared" si="117"/>
        <v>1</v>
      </c>
      <c r="M1726" s="82">
        <f t="shared" si="119"/>
        <v>0</v>
      </c>
      <c r="N1726" s="84"/>
      <c r="AA1726" s="154">
        <f>AB1726/COUNTIFS($B:$B,$B1726,$C:$C,$C1726,$H:$H,$H1726,$I:$I,$I1726)</f>
        <v>0.08</v>
      </c>
      <c r="AB1726" s="155">
        <f>VLOOKUP(I1726,'Weights and Confidence'!$D$16:$AC$26,11,FALSE)</f>
        <v>0.08</v>
      </c>
      <c r="AC1726" s="156">
        <f>VLOOKUP(I1726,'Weights and Confidence'!$D$16:$AC$26,12,FALSE)</f>
        <v>1</v>
      </c>
    </row>
    <row r="1727" spans="1:29" x14ac:dyDescent="0.2">
      <c r="A1727" s="77" t="s">
        <v>566</v>
      </c>
      <c r="B1727" s="77" t="s">
        <v>87</v>
      </c>
      <c r="C1727" s="77" t="s">
        <v>596</v>
      </c>
      <c r="D1727" s="77" t="s">
        <v>5</v>
      </c>
      <c r="E1727" s="77" t="s">
        <v>679</v>
      </c>
      <c r="F1727" s="91" t="s">
        <v>597</v>
      </c>
      <c r="G1727" s="77">
        <v>5</v>
      </c>
      <c r="H1727" s="77" t="s">
        <v>18</v>
      </c>
      <c r="I1727" s="77" t="s">
        <v>34</v>
      </c>
      <c r="J1727" s="77">
        <v>-1</v>
      </c>
      <c r="K1727" s="79">
        <f>AB1727/COUNTIFS($B:$B,$B1727,$C:$C,$C1727,$H:$H,$H1727,$I:$I,$I1727)</f>
        <v>0.08</v>
      </c>
      <c r="L1727" s="81">
        <f t="shared" si="117"/>
        <v>1</v>
      </c>
      <c r="M1727" s="83">
        <f t="shared" si="119"/>
        <v>-0.08</v>
      </c>
      <c r="N1727" s="17" t="s">
        <v>601</v>
      </c>
      <c r="AA1727" s="154">
        <f>AB1727/COUNTIFS($B:$B,$B1727,$C:$C,$C1727,$H:$H,$H1727,$I:$I,$I1727)</f>
        <v>0.08</v>
      </c>
      <c r="AB1727" s="155">
        <f>VLOOKUP(I1727,'Weights and Confidence'!$D$16:$AC$26,11,FALSE)</f>
        <v>0.08</v>
      </c>
      <c r="AC1727" s="156">
        <f>VLOOKUP(I1727,'Weights and Confidence'!$D$16:$AC$26,12,FALSE)</f>
        <v>1</v>
      </c>
    </row>
    <row r="1728" spans="1:29" x14ac:dyDescent="0.2">
      <c r="A1728" s="76" t="s">
        <v>566</v>
      </c>
      <c r="B1728" s="76" t="s">
        <v>87</v>
      </c>
      <c r="C1728" s="76" t="s">
        <v>596</v>
      </c>
      <c r="D1728" s="76" t="s">
        <v>5</v>
      </c>
      <c r="E1728" s="76" t="s">
        <v>679</v>
      </c>
      <c r="F1728" s="91" t="s">
        <v>597</v>
      </c>
      <c r="G1728" s="76">
        <v>6</v>
      </c>
      <c r="H1728" s="76" t="s">
        <v>17</v>
      </c>
      <c r="I1728" s="76" t="s">
        <v>23</v>
      </c>
      <c r="J1728" s="76">
        <v>0</v>
      </c>
      <c r="K1728" s="78">
        <f>AB1728/COUNTIFS($B:$B,$B1728,$C:$C,$C1728,$H:$H,$H1728,$I:$I,$I1728)</f>
        <v>7.0000000000000007E-2</v>
      </c>
      <c r="L1728" s="80">
        <f t="shared" si="117"/>
        <v>1</v>
      </c>
      <c r="M1728" s="82">
        <f t="shared" si="119"/>
        <v>0</v>
      </c>
      <c r="N1728" s="59"/>
      <c r="AA1728" s="154">
        <f>AB1728/COUNTIFS($B:$B,$B1728,$C:$C,$C1728,$H:$H,$H1728,$I:$I,$I1728)</f>
        <v>7.0000000000000007E-2</v>
      </c>
      <c r="AB1728" s="155">
        <f>VLOOKUP(I1728,'Weights and Confidence'!$D$16:$AC$26,11,FALSE)</f>
        <v>7.0000000000000007E-2</v>
      </c>
      <c r="AC1728" s="156">
        <f>VLOOKUP(I1728,'Weights and Confidence'!$D$16:$AC$26,12,FALSE)</f>
        <v>1</v>
      </c>
    </row>
    <row r="1729" spans="1:29" x14ac:dyDescent="0.2">
      <c r="A1729" s="77" t="s">
        <v>566</v>
      </c>
      <c r="B1729" s="77" t="s">
        <v>87</v>
      </c>
      <c r="C1729" s="77" t="s">
        <v>596</v>
      </c>
      <c r="D1729" s="77" t="s">
        <v>5</v>
      </c>
      <c r="E1729" s="77" t="s">
        <v>679</v>
      </c>
      <c r="F1729" s="91" t="s">
        <v>597</v>
      </c>
      <c r="G1729" s="77">
        <v>6</v>
      </c>
      <c r="H1729" s="77" t="s">
        <v>18</v>
      </c>
      <c r="I1729" s="77" t="s">
        <v>23</v>
      </c>
      <c r="J1729" s="77">
        <v>-1</v>
      </c>
      <c r="K1729" s="79">
        <f>AB1729/COUNTIFS($B:$B,$B1729,$C:$C,$C1729,$H:$H,$H1729,$I:$I,$I1729)</f>
        <v>7.0000000000000007E-2</v>
      </c>
      <c r="L1729" s="81">
        <f t="shared" si="117"/>
        <v>1</v>
      </c>
      <c r="M1729" s="83">
        <f t="shared" si="119"/>
        <v>-7.0000000000000007E-2</v>
      </c>
      <c r="N1729" s="17" t="s">
        <v>128</v>
      </c>
      <c r="AA1729" s="154">
        <f>AB1729/COUNTIFS($B:$B,$B1729,$C:$C,$C1729,$H:$H,$H1729,$I:$I,$I1729)</f>
        <v>7.0000000000000007E-2</v>
      </c>
      <c r="AB1729" s="155">
        <f>VLOOKUP(I1729,'Weights and Confidence'!$D$16:$AC$26,11,FALSE)</f>
        <v>7.0000000000000007E-2</v>
      </c>
      <c r="AC1729" s="156">
        <f>VLOOKUP(I1729,'Weights and Confidence'!$D$16:$AC$26,12,FALSE)</f>
        <v>1</v>
      </c>
    </row>
    <row r="1730" spans="1:29" x14ac:dyDescent="0.2">
      <c r="A1730" s="76" t="s">
        <v>566</v>
      </c>
      <c r="B1730" s="76" t="s">
        <v>87</v>
      </c>
      <c r="C1730" s="76" t="s">
        <v>596</v>
      </c>
      <c r="D1730" s="76" t="s">
        <v>5</v>
      </c>
      <c r="E1730" s="76" t="s">
        <v>679</v>
      </c>
      <c r="F1730" s="91" t="s">
        <v>597</v>
      </c>
      <c r="G1730" s="76">
        <v>7</v>
      </c>
      <c r="H1730" s="76" t="s">
        <v>17</v>
      </c>
      <c r="I1730" s="76" t="s">
        <v>24</v>
      </c>
      <c r="J1730" s="76">
        <v>-1</v>
      </c>
      <c r="K1730" s="78">
        <f>AB1730/COUNTIFS($B:$B,$B1730,$C:$C,$C1730,$H:$H,$H1730,$I:$I,$I1730)</f>
        <v>0.15</v>
      </c>
      <c r="L1730" s="80">
        <f t="shared" si="117"/>
        <v>1</v>
      </c>
      <c r="M1730" s="82">
        <f t="shared" si="119"/>
        <v>-0.15</v>
      </c>
      <c r="N1730" s="59"/>
      <c r="AA1730" s="154">
        <f>AB1730/COUNTIFS($B:$B,$B1730,$C:$C,$C1730,$H:$H,$H1730,$I:$I,$I1730)</f>
        <v>0.15</v>
      </c>
      <c r="AB1730" s="155">
        <f>VLOOKUP(I1730,'Weights and Confidence'!$D$16:$AC$26,11,FALSE)</f>
        <v>0.15</v>
      </c>
      <c r="AC1730" s="156">
        <f>VLOOKUP(I1730,'Weights and Confidence'!$D$16:$AC$26,12,FALSE)</f>
        <v>1</v>
      </c>
    </row>
    <row r="1731" spans="1:29" x14ac:dyDescent="0.2">
      <c r="A1731" s="77" t="s">
        <v>566</v>
      </c>
      <c r="B1731" s="77" t="s">
        <v>87</v>
      </c>
      <c r="C1731" s="77" t="s">
        <v>596</v>
      </c>
      <c r="D1731" s="77" t="s">
        <v>5</v>
      </c>
      <c r="E1731" s="77" t="s">
        <v>679</v>
      </c>
      <c r="F1731" s="91" t="s">
        <v>597</v>
      </c>
      <c r="G1731" s="77">
        <v>7</v>
      </c>
      <c r="H1731" s="77" t="s">
        <v>18</v>
      </c>
      <c r="I1731" s="77" t="s">
        <v>24</v>
      </c>
      <c r="J1731" s="77">
        <v>0</v>
      </c>
      <c r="K1731" s="79">
        <f>AB1731/COUNTIFS($B:$B,$B1731,$C:$C,$C1731,$H:$H,$H1731,$I:$I,$I1731)</f>
        <v>0.15</v>
      </c>
      <c r="L1731" s="81">
        <f t="shared" si="117"/>
        <v>1</v>
      </c>
      <c r="M1731" s="83">
        <f t="shared" si="119"/>
        <v>0</v>
      </c>
      <c r="N1731" s="17" t="s">
        <v>128</v>
      </c>
      <c r="AA1731" s="154">
        <f>AB1731/COUNTIFS($B:$B,$B1731,$C:$C,$C1731,$H:$H,$H1731,$I:$I,$I1731)</f>
        <v>0.15</v>
      </c>
      <c r="AB1731" s="155">
        <f>VLOOKUP(I1731,'Weights and Confidence'!$D$16:$AC$26,11,FALSE)</f>
        <v>0.15</v>
      </c>
      <c r="AC1731" s="156">
        <f>VLOOKUP(I1731,'Weights and Confidence'!$D$16:$AC$26,12,FALSE)</f>
        <v>1</v>
      </c>
    </row>
    <row r="1732" spans="1:29" x14ac:dyDescent="0.2">
      <c r="A1732" s="76" t="s">
        <v>566</v>
      </c>
      <c r="B1732" s="76" t="s">
        <v>87</v>
      </c>
      <c r="C1732" s="76" t="s">
        <v>596</v>
      </c>
      <c r="D1732" s="76" t="s">
        <v>5</v>
      </c>
      <c r="E1732" s="76" t="s">
        <v>679</v>
      </c>
      <c r="F1732" s="91" t="s">
        <v>597</v>
      </c>
      <c r="G1732" s="76">
        <v>8</v>
      </c>
      <c r="H1732" s="76" t="s">
        <v>17</v>
      </c>
      <c r="I1732" s="76" t="s">
        <v>25</v>
      </c>
      <c r="J1732" s="76">
        <v>0</v>
      </c>
      <c r="K1732" s="78">
        <f>AB1732/COUNTIFS($B:$B,$B1732,$C:$C,$C1732,$H:$H,$H1732,$I:$I,$I1732)</f>
        <v>0.1</v>
      </c>
      <c r="L1732" s="80">
        <f t="shared" si="117"/>
        <v>1</v>
      </c>
      <c r="M1732" s="82">
        <f t="shared" si="119"/>
        <v>0</v>
      </c>
      <c r="N1732" s="59"/>
      <c r="AA1732" s="154">
        <f>AB1732/COUNTIFS($B:$B,$B1732,$C:$C,$C1732,$H:$H,$H1732,$I:$I,$I1732)</f>
        <v>0.1</v>
      </c>
      <c r="AB1732" s="155">
        <f>VLOOKUP(I1732,'Weights and Confidence'!$D$16:$AC$26,11,FALSE)</f>
        <v>0.1</v>
      </c>
      <c r="AC1732" s="156">
        <f>VLOOKUP(I1732,'Weights and Confidence'!$D$16:$AC$26,12,FALSE)</f>
        <v>1</v>
      </c>
    </row>
    <row r="1733" spans="1:29" x14ac:dyDescent="0.2">
      <c r="A1733" s="77" t="s">
        <v>566</v>
      </c>
      <c r="B1733" s="77" t="s">
        <v>87</v>
      </c>
      <c r="C1733" s="77" t="s">
        <v>596</v>
      </c>
      <c r="D1733" s="77" t="s">
        <v>5</v>
      </c>
      <c r="E1733" s="77" t="s">
        <v>679</v>
      </c>
      <c r="F1733" s="91" t="s">
        <v>597</v>
      </c>
      <c r="G1733" s="77">
        <v>8</v>
      </c>
      <c r="H1733" s="77" t="s">
        <v>18</v>
      </c>
      <c r="I1733" s="77" t="s">
        <v>25</v>
      </c>
      <c r="J1733" s="77">
        <v>-1</v>
      </c>
      <c r="K1733" s="79">
        <f>AB1733/COUNTIFS($B:$B,$B1733,$C:$C,$C1733,$H:$H,$H1733,$I:$I,$I1733)</f>
        <v>0.1</v>
      </c>
      <c r="L1733" s="81">
        <f t="shared" si="117"/>
        <v>1</v>
      </c>
      <c r="M1733" s="83">
        <f t="shared" si="119"/>
        <v>-0.1</v>
      </c>
      <c r="N1733" s="17" t="s">
        <v>602</v>
      </c>
      <c r="AA1733" s="154">
        <f>AB1733/COUNTIFS($B:$B,$B1733,$C:$C,$C1733,$H:$H,$H1733,$I:$I,$I1733)</f>
        <v>0.1</v>
      </c>
      <c r="AB1733" s="155">
        <f>VLOOKUP(I1733,'Weights and Confidence'!$D$16:$AC$26,11,FALSE)</f>
        <v>0.1</v>
      </c>
      <c r="AC1733" s="156">
        <f>VLOOKUP(I1733,'Weights and Confidence'!$D$16:$AC$26,12,FALSE)</f>
        <v>1</v>
      </c>
    </row>
    <row r="1734" spans="1:29" x14ac:dyDescent="0.2">
      <c r="A1734" s="76" t="s">
        <v>566</v>
      </c>
      <c r="B1734" s="76" t="s">
        <v>87</v>
      </c>
      <c r="C1734" s="76" t="s">
        <v>596</v>
      </c>
      <c r="D1734" s="76" t="s">
        <v>5</v>
      </c>
      <c r="E1734" s="76" t="s">
        <v>679</v>
      </c>
      <c r="F1734" s="91" t="s">
        <v>597</v>
      </c>
      <c r="G1734" s="76">
        <v>9</v>
      </c>
      <c r="H1734" s="76" t="s">
        <v>17</v>
      </c>
      <c r="I1734" s="76" t="s">
        <v>26</v>
      </c>
      <c r="J1734" s="76">
        <v>-1</v>
      </c>
      <c r="K1734" s="78">
        <f>AB1734/COUNTIFS($B:$B,$B1734,$C:$C,$C1734,$H:$H,$H1734,$I:$I,$I1734)</f>
        <v>0.1</v>
      </c>
      <c r="L1734" s="80">
        <f t="shared" si="117"/>
        <v>1</v>
      </c>
      <c r="M1734" s="82">
        <f t="shared" si="119"/>
        <v>-0.1</v>
      </c>
      <c r="N1734" s="59"/>
      <c r="AA1734" s="154">
        <f>AB1734/COUNTIFS($B:$B,$B1734,$C:$C,$C1734,$H:$H,$H1734,$I:$I,$I1734)</f>
        <v>0.1</v>
      </c>
      <c r="AB1734" s="155">
        <f>VLOOKUP(I1734,'Weights and Confidence'!$D$16:$AC$26,11,FALSE)</f>
        <v>0.1</v>
      </c>
      <c r="AC1734" s="156">
        <f>VLOOKUP(I1734,'Weights and Confidence'!$D$16:$AC$26,12,FALSE)</f>
        <v>1</v>
      </c>
    </row>
    <row r="1735" spans="1:29" x14ac:dyDescent="0.2">
      <c r="A1735" s="77" t="s">
        <v>566</v>
      </c>
      <c r="B1735" s="77" t="s">
        <v>87</v>
      </c>
      <c r="C1735" s="77" t="s">
        <v>596</v>
      </c>
      <c r="D1735" s="77" t="s">
        <v>5</v>
      </c>
      <c r="E1735" s="77" t="s">
        <v>679</v>
      </c>
      <c r="F1735" s="91" t="s">
        <v>597</v>
      </c>
      <c r="G1735" s="77">
        <v>9</v>
      </c>
      <c r="H1735" s="77" t="s">
        <v>18</v>
      </c>
      <c r="I1735" s="77" t="s">
        <v>26</v>
      </c>
      <c r="J1735" s="77">
        <v>0</v>
      </c>
      <c r="K1735" s="79">
        <f>AB1735/COUNTIFS($B:$B,$B1735,$C:$C,$C1735,$H:$H,$H1735,$I:$I,$I1735)</f>
        <v>0.1</v>
      </c>
      <c r="L1735" s="81">
        <f t="shared" si="117"/>
        <v>1</v>
      </c>
      <c r="M1735" s="83">
        <f t="shared" si="119"/>
        <v>0</v>
      </c>
      <c r="N1735" s="17" t="s">
        <v>603</v>
      </c>
      <c r="AA1735" s="154">
        <f>AB1735/COUNTIFS($B:$B,$B1735,$C:$C,$C1735,$H:$H,$H1735,$I:$I,$I1735)</f>
        <v>0.1</v>
      </c>
      <c r="AB1735" s="155">
        <f>VLOOKUP(I1735,'Weights and Confidence'!$D$16:$AC$26,11,FALSE)</f>
        <v>0.1</v>
      </c>
      <c r="AC1735" s="156">
        <f>VLOOKUP(I1735,'Weights and Confidence'!$D$16:$AC$26,12,FALSE)</f>
        <v>1</v>
      </c>
    </row>
    <row r="1736" spans="1:29" x14ac:dyDescent="0.2">
      <c r="A1736" s="76" t="s">
        <v>566</v>
      </c>
      <c r="B1736" s="76" t="s">
        <v>87</v>
      </c>
      <c r="C1736" s="76" t="s">
        <v>596</v>
      </c>
      <c r="D1736" s="76" t="s">
        <v>5</v>
      </c>
      <c r="E1736" s="76" t="s">
        <v>679</v>
      </c>
      <c r="F1736" s="91" t="s">
        <v>597</v>
      </c>
      <c r="G1736" s="76">
        <v>10</v>
      </c>
      <c r="H1736" s="76" t="s">
        <v>17</v>
      </c>
      <c r="I1736" s="76" t="s">
        <v>27</v>
      </c>
      <c r="J1736" s="76">
        <v>0</v>
      </c>
      <c r="K1736" s="78">
        <f>AB1736/COUNTIFS($B:$B,$B1736,$C:$C,$C1736,$H:$H,$H1736,$I:$I,$I1736)</f>
        <v>0.05</v>
      </c>
      <c r="L1736" s="80">
        <f t="shared" si="117"/>
        <v>0.9</v>
      </c>
      <c r="M1736" s="82">
        <f t="shared" si="119"/>
        <v>0</v>
      </c>
      <c r="N1736" s="59"/>
      <c r="AA1736" s="154">
        <f>AB1736/COUNTIFS($B:$B,$B1736,$C:$C,$C1736,$H:$H,$H1736,$I:$I,$I1736)</f>
        <v>0.05</v>
      </c>
      <c r="AB1736" s="155">
        <f>VLOOKUP(I1736,'Weights and Confidence'!$D$16:$AC$26,11,FALSE)</f>
        <v>0.1</v>
      </c>
      <c r="AC1736" s="156">
        <f>VLOOKUP(I1736,'Weights and Confidence'!$D$16:$AC$26,12,FALSE)</f>
        <v>0.9</v>
      </c>
    </row>
    <row r="1737" spans="1:29" x14ac:dyDescent="0.2">
      <c r="A1737" s="77" t="s">
        <v>566</v>
      </c>
      <c r="B1737" s="77" t="s">
        <v>87</v>
      </c>
      <c r="C1737" s="77" t="s">
        <v>596</v>
      </c>
      <c r="D1737" s="77" t="s">
        <v>5</v>
      </c>
      <c r="E1737" s="77" t="s">
        <v>679</v>
      </c>
      <c r="F1737" s="91" t="s">
        <v>597</v>
      </c>
      <c r="G1737" s="77">
        <v>10</v>
      </c>
      <c r="H1737" s="77" t="s">
        <v>18</v>
      </c>
      <c r="I1737" s="77" t="s">
        <v>27</v>
      </c>
      <c r="J1737" s="77">
        <v>0</v>
      </c>
      <c r="K1737" s="79">
        <f>AB1737/COUNTIFS($B:$B,$B1737,$C:$C,$C1737,$H:$H,$H1737,$I:$I,$I1737)</f>
        <v>0.05</v>
      </c>
      <c r="L1737" s="81">
        <f t="shared" si="117"/>
        <v>0.9</v>
      </c>
      <c r="M1737" s="83">
        <f t="shared" si="119"/>
        <v>0</v>
      </c>
      <c r="N1737" s="84" t="s">
        <v>128</v>
      </c>
      <c r="AA1737" s="154">
        <f>AB1737/COUNTIFS($B:$B,$B1737,$C:$C,$C1737,$H:$H,$H1737,$I:$I,$I1737)</f>
        <v>0.05</v>
      </c>
      <c r="AB1737" s="155">
        <f>VLOOKUP(I1737,'Weights and Confidence'!$D$16:$AC$26,11,FALSE)</f>
        <v>0.1</v>
      </c>
      <c r="AC1737" s="156">
        <f>VLOOKUP(I1737,'Weights and Confidence'!$D$16:$AC$26,12,FALSE)</f>
        <v>0.9</v>
      </c>
    </row>
    <row r="1738" spans="1:29" x14ac:dyDescent="0.2">
      <c r="A1738" s="76" t="s">
        <v>566</v>
      </c>
      <c r="B1738" s="76" t="s">
        <v>87</v>
      </c>
      <c r="C1738" s="76" t="s">
        <v>596</v>
      </c>
      <c r="D1738" s="76" t="s">
        <v>5</v>
      </c>
      <c r="E1738" s="76" t="s">
        <v>679</v>
      </c>
      <c r="F1738" s="91" t="s">
        <v>597</v>
      </c>
      <c r="G1738" s="76">
        <v>11</v>
      </c>
      <c r="H1738" s="76" t="s">
        <v>17</v>
      </c>
      <c r="I1738" s="76" t="s">
        <v>27</v>
      </c>
      <c r="J1738" s="76">
        <v>0</v>
      </c>
      <c r="K1738" s="78">
        <f>AB1738/COUNTIFS($B:$B,$B1738,$C:$C,$C1738,$H:$H,$H1738,$I:$I,$I1738)</f>
        <v>0.05</v>
      </c>
      <c r="L1738" s="80">
        <f t="shared" si="117"/>
        <v>0.9</v>
      </c>
      <c r="M1738" s="82">
        <f t="shared" si="119"/>
        <v>0</v>
      </c>
      <c r="N1738" s="59"/>
      <c r="AA1738" s="154">
        <f>AB1738/COUNTIFS($B:$B,$B1738,$C:$C,$C1738,$H:$H,$H1738,$I:$I,$I1738)</f>
        <v>0.05</v>
      </c>
      <c r="AB1738" s="155">
        <f>VLOOKUP(I1738,'Weights and Confidence'!$D$16:$AC$26,11,FALSE)</f>
        <v>0.1</v>
      </c>
      <c r="AC1738" s="156">
        <f>VLOOKUP(I1738,'Weights and Confidence'!$D$16:$AC$26,12,FALSE)</f>
        <v>0.9</v>
      </c>
    </row>
    <row r="1739" spans="1:29" x14ac:dyDescent="0.2">
      <c r="A1739" s="77" t="s">
        <v>566</v>
      </c>
      <c r="B1739" s="77" t="s">
        <v>87</v>
      </c>
      <c r="C1739" s="77" t="s">
        <v>596</v>
      </c>
      <c r="D1739" s="77" t="s">
        <v>5</v>
      </c>
      <c r="E1739" s="77" t="s">
        <v>679</v>
      </c>
      <c r="F1739" s="91" t="s">
        <v>597</v>
      </c>
      <c r="G1739" s="77">
        <v>11</v>
      </c>
      <c r="H1739" s="77" t="s">
        <v>18</v>
      </c>
      <c r="I1739" s="77" t="s">
        <v>27</v>
      </c>
      <c r="J1739" s="77">
        <v>0</v>
      </c>
      <c r="K1739" s="79">
        <f>AB1739/COUNTIFS($B:$B,$B1739,$C:$C,$C1739,$H:$H,$H1739,$I:$I,$I1739)</f>
        <v>0.05</v>
      </c>
      <c r="L1739" s="81">
        <f t="shared" si="117"/>
        <v>0.9</v>
      </c>
      <c r="M1739" s="83">
        <f t="shared" si="119"/>
        <v>0</v>
      </c>
      <c r="N1739" s="17" t="s">
        <v>604</v>
      </c>
      <c r="AA1739" s="154">
        <f>AB1739/COUNTIFS($B:$B,$B1739,$C:$C,$C1739,$H:$H,$H1739,$I:$I,$I1739)</f>
        <v>0.05</v>
      </c>
      <c r="AB1739" s="155">
        <f>VLOOKUP(I1739,'Weights and Confidence'!$D$16:$AC$26,11,FALSE)</f>
        <v>0.1</v>
      </c>
      <c r="AC1739" s="156">
        <f>VLOOKUP(I1739,'Weights and Confidence'!$D$16:$AC$26,12,FALSE)</f>
        <v>0.9</v>
      </c>
    </row>
    <row r="1740" spans="1:29" x14ac:dyDescent="0.2">
      <c r="A1740" s="77" t="s">
        <v>566</v>
      </c>
      <c r="B1740" s="77" t="s">
        <v>87</v>
      </c>
      <c r="C1740" s="77" t="s">
        <v>596</v>
      </c>
      <c r="D1740" s="77" t="s">
        <v>5</v>
      </c>
      <c r="E1740" s="77" t="s">
        <v>679</v>
      </c>
      <c r="F1740" s="91" t="s">
        <v>597</v>
      </c>
      <c r="G1740" s="77">
        <v>12</v>
      </c>
      <c r="H1740" s="77" t="s">
        <v>17</v>
      </c>
      <c r="I1740" s="77" t="s">
        <v>28</v>
      </c>
      <c r="J1740" s="77">
        <v>-1</v>
      </c>
      <c r="K1740" s="79">
        <f>AB1740/COUNTIFS($B:$B,$B1740,$C:$C,$C1740,$H:$H,$H1740,$I:$I,$I1740)</f>
        <v>0.05</v>
      </c>
      <c r="L1740" s="81">
        <f t="shared" si="117"/>
        <v>1</v>
      </c>
      <c r="M1740" s="83">
        <f>J1740*K1740*L1740</f>
        <v>-0.05</v>
      </c>
      <c r="N1740" s="58"/>
      <c r="AA1740" s="154">
        <f>AB1740/COUNTIFS($B:$B,$B1740,$C:$C,$C1740,$H:$H,$H1740,$I:$I,$I1740)</f>
        <v>0.05</v>
      </c>
      <c r="AB1740" s="155">
        <f>VLOOKUP(I1740,'Weights and Confidence'!$D$16:$AC$26,11,FALSE)</f>
        <v>0.05</v>
      </c>
      <c r="AC1740" s="156">
        <f>VLOOKUP(I1740,'Weights and Confidence'!$D$16:$AC$26,12,FALSE)</f>
        <v>1</v>
      </c>
    </row>
    <row r="1741" spans="1:29" ht="17" thickBot="1" x14ac:dyDescent="0.25">
      <c r="A1741" s="98" t="s">
        <v>566</v>
      </c>
      <c r="B1741" s="98" t="s">
        <v>87</v>
      </c>
      <c r="C1741" s="98" t="s">
        <v>596</v>
      </c>
      <c r="D1741" s="98" t="s">
        <v>5</v>
      </c>
      <c r="E1741" s="98" t="s">
        <v>679</v>
      </c>
      <c r="F1741" s="93" t="s">
        <v>597</v>
      </c>
      <c r="G1741" s="98">
        <v>12</v>
      </c>
      <c r="H1741" s="98" t="s">
        <v>18</v>
      </c>
      <c r="I1741" s="98" t="s">
        <v>28</v>
      </c>
      <c r="J1741" s="98">
        <v>-1</v>
      </c>
      <c r="K1741" s="99">
        <f>AB1741/COUNTIFS($B:$B,$B1741,$C:$C,$C1741,$H:$H,$H1741,$I:$I,$I1741)</f>
        <v>0.05</v>
      </c>
      <c r="L1741" s="100">
        <f t="shared" si="117"/>
        <v>1</v>
      </c>
      <c r="M1741" s="101">
        <f>J1741*K1741*L1741</f>
        <v>-0.05</v>
      </c>
      <c r="N1741" s="22" t="s">
        <v>605</v>
      </c>
      <c r="AA1741" s="157">
        <f>AB1741/COUNTIFS($B:$B,$B1741,$C:$C,$C1741,$H:$H,$H1741,$I:$I,$I1741)</f>
        <v>0.05</v>
      </c>
      <c r="AB1741" s="158">
        <f>VLOOKUP(I1741,'Weights and Confidence'!$D$16:$AC$26,11,FALSE)</f>
        <v>0.05</v>
      </c>
      <c r="AC1741" s="159">
        <f>VLOOKUP(I1741,'Weights and Confidence'!$D$16:$AC$26,12,FALSE)</f>
        <v>1</v>
      </c>
    </row>
    <row r="1742" spans="1:29" ht="17" thickTop="1" x14ac:dyDescent="0.2">
      <c r="A1742" s="86" t="s">
        <v>566</v>
      </c>
      <c r="B1742" s="86" t="s">
        <v>87</v>
      </c>
      <c r="C1742" s="86" t="s">
        <v>606</v>
      </c>
      <c r="D1742" s="86" t="s">
        <v>5</v>
      </c>
      <c r="E1742" s="86" t="s">
        <v>105</v>
      </c>
      <c r="F1742" s="91" t="s">
        <v>607</v>
      </c>
      <c r="G1742" s="86">
        <v>1</v>
      </c>
      <c r="H1742" s="86" t="s">
        <v>17</v>
      </c>
      <c r="I1742" s="86" t="s">
        <v>19</v>
      </c>
      <c r="J1742" s="97">
        <v>1</v>
      </c>
      <c r="K1742" s="87">
        <f>AB1742/COUNTIFS($B:$B,$B1742,$C:$C,$C1742,$H:$H,$H1742,$I:$I,$I1742)</f>
        <v>0.12</v>
      </c>
      <c r="L1742" s="88">
        <f t="shared" ref="L1742:L1765" si="120">AC1742</f>
        <v>1</v>
      </c>
      <c r="M1742" s="89">
        <f t="shared" ref="M1742" si="121">J1742*K1742*L1742</f>
        <v>0.12</v>
      </c>
      <c r="N1742" s="90"/>
      <c r="AA1742" s="154">
        <f>AB1742/COUNTIFS($B:$B,$B1742,$C:$C,$C1742,$H:$H,$H1742,$I:$I,$I1742)</f>
        <v>0.12</v>
      </c>
      <c r="AB1742" s="155">
        <f>VLOOKUP(I1742,'Weights and Confidence'!$D$16:$AC$26,11,FALSE)</f>
        <v>0.12</v>
      </c>
      <c r="AC1742" s="156">
        <f>VLOOKUP(I1742,'Weights and Confidence'!$D$16:$AC$26,12,FALSE)</f>
        <v>1</v>
      </c>
    </row>
    <row r="1743" spans="1:29" x14ac:dyDescent="0.2">
      <c r="A1743" s="77" t="s">
        <v>566</v>
      </c>
      <c r="B1743" s="77" t="s">
        <v>87</v>
      </c>
      <c r="C1743" s="77" t="s">
        <v>606</v>
      </c>
      <c r="D1743" s="77" t="s">
        <v>5</v>
      </c>
      <c r="E1743" s="77" t="s">
        <v>105</v>
      </c>
      <c r="F1743" s="91" t="s">
        <v>607</v>
      </c>
      <c r="G1743" s="77">
        <v>1</v>
      </c>
      <c r="H1743" s="77" t="s">
        <v>18</v>
      </c>
      <c r="I1743" s="77" t="s">
        <v>19</v>
      </c>
      <c r="J1743" s="77">
        <v>0</v>
      </c>
      <c r="K1743" s="79">
        <f>AB1743/COUNTIFS($B:$B,$B1743,$C:$C,$C1743,$H:$H,$H1743,$I:$I,$I1743)</f>
        <v>0.12</v>
      </c>
      <c r="L1743" s="81">
        <f t="shared" si="120"/>
        <v>1</v>
      </c>
      <c r="M1743" s="83">
        <f>J1742*K1743*L1743</f>
        <v>0.12</v>
      </c>
      <c r="N1743" s="17"/>
      <c r="AA1743" s="154">
        <f>AB1743/COUNTIFS($B:$B,$B1743,$C:$C,$C1743,$H:$H,$H1743,$I:$I,$I1743)</f>
        <v>0.12</v>
      </c>
      <c r="AB1743" s="155">
        <f>VLOOKUP(I1743,'Weights and Confidence'!$D$16:$AC$26,11,FALSE)</f>
        <v>0.12</v>
      </c>
      <c r="AC1743" s="156">
        <f>VLOOKUP(I1743,'Weights and Confidence'!$D$16:$AC$26,12,FALSE)</f>
        <v>1</v>
      </c>
    </row>
    <row r="1744" spans="1:29" x14ac:dyDescent="0.2">
      <c r="A1744" s="76" t="s">
        <v>566</v>
      </c>
      <c r="B1744" s="76" t="s">
        <v>87</v>
      </c>
      <c r="C1744" s="76" t="s">
        <v>606</v>
      </c>
      <c r="D1744" s="76" t="s">
        <v>5</v>
      </c>
      <c r="E1744" s="76" t="s">
        <v>105</v>
      </c>
      <c r="F1744" s="91" t="s">
        <v>607</v>
      </c>
      <c r="G1744" s="76">
        <v>2</v>
      </c>
      <c r="H1744" s="76" t="s">
        <v>17</v>
      </c>
      <c r="I1744" s="76" t="s">
        <v>20</v>
      </c>
      <c r="J1744" s="76">
        <v>1</v>
      </c>
      <c r="K1744" s="78">
        <f>AB1744/COUNTIFS($B:$B,$B1744,$C:$C,$C1744,$H:$H,$H1744,$I:$I,$I1744)</f>
        <v>0.08</v>
      </c>
      <c r="L1744" s="80">
        <f t="shared" si="120"/>
        <v>0.9</v>
      </c>
      <c r="M1744" s="82">
        <f t="shared" ref="M1744:M1763" si="122">J1744*K1744*L1744</f>
        <v>7.2000000000000008E-2</v>
      </c>
      <c r="N1744" s="59"/>
      <c r="AA1744" s="154">
        <f>AB1744/COUNTIFS($B:$B,$B1744,$C:$C,$C1744,$H:$H,$H1744,$I:$I,$I1744)</f>
        <v>0.08</v>
      </c>
      <c r="AB1744" s="155">
        <f>VLOOKUP(I1744,'Weights and Confidence'!$D$16:$AC$26,11,FALSE)</f>
        <v>0.08</v>
      </c>
      <c r="AC1744" s="156">
        <f>VLOOKUP(I1744,'Weights and Confidence'!$D$16:$AC$26,12,FALSE)</f>
        <v>0.9</v>
      </c>
    </row>
    <row r="1745" spans="1:29" x14ac:dyDescent="0.2">
      <c r="A1745" s="77" t="s">
        <v>566</v>
      </c>
      <c r="B1745" s="77" t="s">
        <v>87</v>
      </c>
      <c r="C1745" s="77" t="s">
        <v>606</v>
      </c>
      <c r="D1745" s="77" t="s">
        <v>5</v>
      </c>
      <c r="E1745" s="77" t="s">
        <v>105</v>
      </c>
      <c r="F1745" s="91" t="s">
        <v>607</v>
      </c>
      <c r="G1745" s="77">
        <v>2</v>
      </c>
      <c r="H1745" s="77" t="s">
        <v>18</v>
      </c>
      <c r="I1745" s="77" t="s">
        <v>20</v>
      </c>
      <c r="J1745" s="77">
        <v>-1</v>
      </c>
      <c r="K1745" s="79">
        <f>AB1745/COUNTIFS($B:$B,$B1745,$C:$C,$C1745,$H:$H,$H1745,$I:$I,$I1745)</f>
        <v>0.08</v>
      </c>
      <c r="L1745" s="81">
        <f t="shared" si="120"/>
        <v>0.9</v>
      </c>
      <c r="M1745" s="83">
        <f t="shared" si="122"/>
        <v>-7.2000000000000008E-2</v>
      </c>
      <c r="N1745" s="17"/>
      <c r="AA1745" s="154">
        <f>AB1745/COUNTIFS($B:$B,$B1745,$C:$C,$C1745,$H:$H,$H1745,$I:$I,$I1745)</f>
        <v>0.08</v>
      </c>
      <c r="AB1745" s="155">
        <f>VLOOKUP(I1745,'Weights and Confidence'!$D$16:$AC$26,11,FALSE)</f>
        <v>0.08</v>
      </c>
      <c r="AC1745" s="156">
        <f>VLOOKUP(I1745,'Weights and Confidence'!$D$16:$AC$26,12,FALSE)</f>
        <v>0.9</v>
      </c>
    </row>
    <row r="1746" spans="1:29" x14ac:dyDescent="0.2">
      <c r="A1746" s="76" t="s">
        <v>566</v>
      </c>
      <c r="B1746" s="76" t="s">
        <v>87</v>
      </c>
      <c r="C1746" s="76" t="s">
        <v>606</v>
      </c>
      <c r="D1746" s="76" t="s">
        <v>5</v>
      </c>
      <c r="E1746" s="76" t="s">
        <v>105</v>
      </c>
      <c r="F1746" s="91" t="s">
        <v>607</v>
      </c>
      <c r="G1746" s="76">
        <v>3</v>
      </c>
      <c r="H1746" s="76" t="s">
        <v>17</v>
      </c>
      <c r="I1746" s="76" t="s">
        <v>21</v>
      </c>
      <c r="J1746" s="76">
        <v>1</v>
      </c>
      <c r="K1746" s="78">
        <f>AB1746/COUNTIFS($B:$B,$B1746,$C:$C,$C1746,$H:$H,$H1746,$I:$I,$I1746)</f>
        <v>0.05</v>
      </c>
      <c r="L1746" s="80">
        <f t="shared" si="120"/>
        <v>1</v>
      </c>
      <c r="M1746" s="82">
        <f t="shared" si="122"/>
        <v>0.05</v>
      </c>
      <c r="N1746" s="59"/>
      <c r="AA1746" s="154">
        <f>AB1746/COUNTIFS($B:$B,$B1746,$C:$C,$C1746,$H:$H,$H1746,$I:$I,$I1746)</f>
        <v>0.05</v>
      </c>
      <c r="AB1746" s="155">
        <f>VLOOKUP(I1746,'Weights and Confidence'!$D$16:$AC$26,11,FALSE)</f>
        <v>0.05</v>
      </c>
      <c r="AC1746" s="156">
        <f>VLOOKUP(I1746,'Weights and Confidence'!$D$16:$AC$26,12,FALSE)</f>
        <v>1</v>
      </c>
    </row>
    <row r="1747" spans="1:29" x14ac:dyDescent="0.2">
      <c r="A1747" s="77" t="s">
        <v>566</v>
      </c>
      <c r="B1747" s="77" t="s">
        <v>87</v>
      </c>
      <c r="C1747" s="77" t="s">
        <v>606</v>
      </c>
      <c r="D1747" s="77" t="s">
        <v>5</v>
      </c>
      <c r="E1747" s="77" t="s">
        <v>105</v>
      </c>
      <c r="F1747" s="91" t="s">
        <v>607</v>
      </c>
      <c r="G1747" s="77">
        <v>3</v>
      </c>
      <c r="H1747" s="77" t="s">
        <v>18</v>
      </c>
      <c r="I1747" s="77" t="s">
        <v>21</v>
      </c>
      <c r="J1747" s="77">
        <v>0</v>
      </c>
      <c r="K1747" s="79">
        <f>AB1747/COUNTIFS($B:$B,$B1747,$C:$C,$C1747,$H:$H,$H1747,$I:$I,$I1747)</f>
        <v>0.05</v>
      </c>
      <c r="L1747" s="81">
        <f t="shared" si="120"/>
        <v>1</v>
      </c>
      <c r="M1747" s="83">
        <f t="shared" si="122"/>
        <v>0</v>
      </c>
      <c r="N1747" s="17"/>
      <c r="AA1747" s="154">
        <f>AB1747/COUNTIFS($B:$B,$B1747,$C:$C,$C1747,$H:$H,$H1747,$I:$I,$I1747)</f>
        <v>0.05</v>
      </c>
      <c r="AB1747" s="155">
        <f>VLOOKUP(I1747,'Weights and Confidence'!$D$16:$AC$26,11,FALSE)</f>
        <v>0.05</v>
      </c>
      <c r="AC1747" s="156">
        <f>VLOOKUP(I1747,'Weights and Confidence'!$D$16:$AC$26,12,FALSE)</f>
        <v>1</v>
      </c>
    </row>
    <row r="1748" spans="1:29" x14ac:dyDescent="0.2">
      <c r="A1748" s="76" t="s">
        <v>566</v>
      </c>
      <c r="B1748" s="76" t="s">
        <v>87</v>
      </c>
      <c r="C1748" s="76" t="s">
        <v>606</v>
      </c>
      <c r="D1748" s="76" t="s">
        <v>5</v>
      </c>
      <c r="E1748" s="76" t="s">
        <v>105</v>
      </c>
      <c r="F1748" s="91" t="s">
        <v>607</v>
      </c>
      <c r="G1748" s="76">
        <v>4</v>
      </c>
      <c r="H1748" s="76" t="s">
        <v>17</v>
      </c>
      <c r="I1748" s="76" t="s">
        <v>22</v>
      </c>
      <c r="J1748" s="76">
        <v>0</v>
      </c>
      <c r="K1748" s="78">
        <f>AB1748/COUNTIFS($B:$B,$B1748,$C:$C,$C1748,$H:$H,$H1748,$I:$I,$I1748)</f>
        <v>0.1</v>
      </c>
      <c r="L1748" s="80">
        <f t="shared" si="120"/>
        <v>1</v>
      </c>
      <c r="M1748" s="82">
        <f t="shared" si="122"/>
        <v>0</v>
      </c>
      <c r="N1748" s="59"/>
      <c r="AA1748" s="154">
        <f>AB1748/COUNTIFS($B:$B,$B1748,$C:$C,$C1748,$H:$H,$H1748,$I:$I,$I1748)</f>
        <v>0.1</v>
      </c>
      <c r="AB1748" s="155">
        <f>VLOOKUP(I1748,'Weights and Confidence'!$D$16:$AC$26,11,FALSE)</f>
        <v>0.1</v>
      </c>
      <c r="AC1748" s="156">
        <f>VLOOKUP(I1748,'Weights and Confidence'!$D$16:$AC$26,12,FALSE)</f>
        <v>1</v>
      </c>
    </row>
    <row r="1749" spans="1:29" x14ac:dyDescent="0.2">
      <c r="A1749" s="77" t="s">
        <v>566</v>
      </c>
      <c r="B1749" s="77" t="s">
        <v>87</v>
      </c>
      <c r="C1749" s="77" t="s">
        <v>606</v>
      </c>
      <c r="D1749" s="77" t="s">
        <v>5</v>
      </c>
      <c r="E1749" s="77" t="s">
        <v>105</v>
      </c>
      <c r="F1749" s="91" t="s">
        <v>607</v>
      </c>
      <c r="G1749" s="77">
        <v>4</v>
      </c>
      <c r="H1749" s="77" t="s">
        <v>18</v>
      </c>
      <c r="I1749" s="77" t="s">
        <v>22</v>
      </c>
      <c r="J1749" s="77">
        <v>-1</v>
      </c>
      <c r="K1749" s="79">
        <f>AB1749/COUNTIFS($B:$B,$B1749,$C:$C,$C1749,$H:$H,$H1749,$I:$I,$I1749)</f>
        <v>0.1</v>
      </c>
      <c r="L1749" s="81">
        <f t="shared" si="120"/>
        <v>1</v>
      </c>
      <c r="M1749" s="83">
        <f t="shared" si="122"/>
        <v>-0.1</v>
      </c>
      <c r="N1749" s="17"/>
      <c r="AA1749" s="154">
        <f>AB1749/COUNTIFS($B:$B,$B1749,$C:$C,$C1749,$H:$H,$H1749,$I:$I,$I1749)</f>
        <v>0.1</v>
      </c>
      <c r="AB1749" s="155">
        <f>VLOOKUP(I1749,'Weights and Confidence'!$D$16:$AC$26,11,FALSE)</f>
        <v>0.1</v>
      </c>
      <c r="AC1749" s="156">
        <f>VLOOKUP(I1749,'Weights and Confidence'!$D$16:$AC$26,12,FALSE)</f>
        <v>1</v>
      </c>
    </row>
    <row r="1750" spans="1:29" x14ac:dyDescent="0.2">
      <c r="A1750" s="76" t="s">
        <v>566</v>
      </c>
      <c r="B1750" s="76" t="s">
        <v>87</v>
      </c>
      <c r="C1750" s="76" t="s">
        <v>606</v>
      </c>
      <c r="D1750" s="76" t="s">
        <v>5</v>
      </c>
      <c r="E1750" s="76" t="s">
        <v>105</v>
      </c>
      <c r="F1750" s="91" t="s">
        <v>607</v>
      </c>
      <c r="G1750" s="76">
        <v>5</v>
      </c>
      <c r="H1750" s="76" t="s">
        <v>17</v>
      </c>
      <c r="I1750" s="76" t="s">
        <v>34</v>
      </c>
      <c r="J1750" s="76">
        <v>0</v>
      </c>
      <c r="K1750" s="78">
        <f>AB1750/COUNTIFS($B:$B,$B1750,$C:$C,$C1750,$H:$H,$H1750,$I:$I,$I1750)</f>
        <v>0.08</v>
      </c>
      <c r="L1750" s="80">
        <f t="shared" si="120"/>
        <v>1</v>
      </c>
      <c r="M1750" s="82">
        <f t="shared" si="122"/>
        <v>0</v>
      </c>
      <c r="N1750" s="84"/>
      <c r="AA1750" s="154">
        <f>AB1750/COUNTIFS($B:$B,$B1750,$C:$C,$C1750,$H:$H,$H1750,$I:$I,$I1750)</f>
        <v>0.08</v>
      </c>
      <c r="AB1750" s="155">
        <f>VLOOKUP(I1750,'Weights and Confidence'!$D$16:$AC$26,11,FALSE)</f>
        <v>0.08</v>
      </c>
      <c r="AC1750" s="156">
        <f>VLOOKUP(I1750,'Weights and Confidence'!$D$16:$AC$26,12,FALSE)</f>
        <v>1</v>
      </c>
    </row>
    <row r="1751" spans="1:29" x14ac:dyDescent="0.2">
      <c r="A1751" s="77" t="s">
        <v>566</v>
      </c>
      <c r="B1751" s="77" t="s">
        <v>87</v>
      </c>
      <c r="C1751" s="77" t="s">
        <v>606</v>
      </c>
      <c r="D1751" s="77" t="s">
        <v>5</v>
      </c>
      <c r="E1751" s="77" t="s">
        <v>105</v>
      </c>
      <c r="F1751" s="91" t="s">
        <v>607</v>
      </c>
      <c r="G1751" s="77">
        <v>5</v>
      </c>
      <c r="H1751" s="77" t="s">
        <v>18</v>
      </c>
      <c r="I1751" s="77" t="s">
        <v>34</v>
      </c>
      <c r="J1751" s="77">
        <v>-1</v>
      </c>
      <c r="K1751" s="79">
        <f>AB1751/COUNTIFS($B:$B,$B1751,$C:$C,$C1751,$H:$H,$H1751,$I:$I,$I1751)</f>
        <v>0.08</v>
      </c>
      <c r="L1751" s="81">
        <f t="shared" si="120"/>
        <v>1</v>
      </c>
      <c r="M1751" s="83">
        <f t="shared" si="122"/>
        <v>-0.08</v>
      </c>
      <c r="N1751" s="17"/>
      <c r="AA1751" s="154">
        <f>AB1751/COUNTIFS($B:$B,$B1751,$C:$C,$C1751,$H:$H,$H1751,$I:$I,$I1751)</f>
        <v>0.08</v>
      </c>
      <c r="AB1751" s="155">
        <f>VLOOKUP(I1751,'Weights and Confidence'!$D$16:$AC$26,11,FALSE)</f>
        <v>0.08</v>
      </c>
      <c r="AC1751" s="156">
        <f>VLOOKUP(I1751,'Weights and Confidence'!$D$16:$AC$26,12,FALSE)</f>
        <v>1</v>
      </c>
    </row>
    <row r="1752" spans="1:29" x14ac:dyDescent="0.2">
      <c r="A1752" s="76" t="s">
        <v>566</v>
      </c>
      <c r="B1752" s="76" t="s">
        <v>87</v>
      </c>
      <c r="C1752" s="76" t="s">
        <v>606</v>
      </c>
      <c r="D1752" s="76" t="s">
        <v>5</v>
      </c>
      <c r="E1752" s="76" t="s">
        <v>105</v>
      </c>
      <c r="F1752" s="91" t="s">
        <v>607</v>
      </c>
      <c r="G1752" s="76">
        <v>6</v>
      </c>
      <c r="H1752" s="76" t="s">
        <v>17</v>
      </c>
      <c r="I1752" s="76" t="s">
        <v>23</v>
      </c>
      <c r="J1752" s="76">
        <v>0</v>
      </c>
      <c r="K1752" s="78">
        <f>AB1752/COUNTIFS($B:$B,$B1752,$C:$C,$C1752,$H:$H,$H1752,$I:$I,$I1752)</f>
        <v>7.0000000000000007E-2</v>
      </c>
      <c r="L1752" s="80">
        <f t="shared" si="120"/>
        <v>1</v>
      </c>
      <c r="M1752" s="82">
        <f t="shared" si="122"/>
        <v>0</v>
      </c>
      <c r="N1752" s="59"/>
      <c r="AA1752" s="154">
        <f>AB1752/COUNTIFS($B:$B,$B1752,$C:$C,$C1752,$H:$H,$H1752,$I:$I,$I1752)</f>
        <v>7.0000000000000007E-2</v>
      </c>
      <c r="AB1752" s="155">
        <f>VLOOKUP(I1752,'Weights and Confidence'!$D$16:$AC$26,11,FALSE)</f>
        <v>7.0000000000000007E-2</v>
      </c>
      <c r="AC1752" s="156">
        <f>VLOOKUP(I1752,'Weights and Confidence'!$D$16:$AC$26,12,FALSE)</f>
        <v>1</v>
      </c>
    </row>
    <row r="1753" spans="1:29" x14ac:dyDescent="0.2">
      <c r="A1753" s="77" t="s">
        <v>566</v>
      </c>
      <c r="B1753" s="77" t="s">
        <v>87</v>
      </c>
      <c r="C1753" s="77" t="s">
        <v>606</v>
      </c>
      <c r="D1753" s="77" t="s">
        <v>5</v>
      </c>
      <c r="E1753" s="77" t="s">
        <v>105</v>
      </c>
      <c r="F1753" s="91" t="s">
        <v>607</v>
      </c>
      <c r="G1753" s="77">
        <v>6</v>
      </c>
      <c r="H1753" s="77" t="s">
        <v>18</v>
      </c>
      <c r="I1753" s="77" t="s">
        <v>23</v>
      </c>
      <c r="J1753" s="77">
        <v>-1</v>
      </c>
      <c r="K1753" s="79">
        <f>AB1753/COUNTIFS($B:$B,$B1753,$C:$C,$C1753,$H:$H,$H1753,$I:$I,$I1753)</f>
        <v>7.0000000000000007E-2</v>
      </c>
      <c r="L1753" s="81">
        <f t="shared" si="120"/>
        <v>1</v>
      </c>
      <c r="M1753" s="83">
        <f t="shared" si="122"/>
        <v>-7.0000000000000007E-2</v>
      </c>
      <c r="N1753" s="17"/>
      <c r="AA1753" s="154">
        <f>AB1753/COUNTIFS($B:$B,$B1753,$C:$C,$C1753,$H:$H,$H1753,$I:$I,$I1753)</f>
        <v>7.0000000000000007E-2</v>
      </c>
      <c r="AB1753" s="155">
        <f>VLOOKUP(I1753,'Weights and Confidence'!$D$16:$AC$26,11,FALSE)</f>
        <v>7.0000000000000007E-2</v>
      </c>
      <c r="AC1753" s="156">
        <f>VLOOKUP(I1753,'Weights and Confidence'!$D$16:$AC$26,12,FALSE)</f>
        <v>1</v>
      </c>
    </row>
    <row r="1754" spans="1:29" x14ac:dyDescent="0.2">
      <c r="A1754" s="76" t="s">
        <v>566</v>
      </c>
      <c r="B1754" s="76" t="s">
        <v>87</v>
      </c>
      <c r="C1754" s="76" t="s">
        <v>606</v>
      </c>
      <c r="D1754" s="76" t="s">
        <v>5</v>
      </c>
      <c r="E1754" s="76" t="s">
        <v>105</v>
      </c>
      <c r="F1754" s="91" t="s">
        <v>607</v>
      </c>
      <c r="G1754" s="76">
        <v>7</v>
      </c>
      <c r="H1754" s="76" t="s">
        <v>17</v>
      </c>
      <c r="I1754" s="76" t="s">
        <v>24</v>
      </c>
      <c r="J1754" s="76">
        <v>0</v>
      </c>
      <c r="K1754" s="78">
        <f>AB1754/COUNTIFS($B:$B,$B1754,$C:$C,$C1754,$H:$H,$H1754,$I:$I,$I1754)</f>
        <v>0.15</v>
      </c>
      <c r="L1754" s="80">
        <f t="shared" si="120"/>
        <v>1</v>
      </c>
      <c r="M1754" s="82">
        <f t="shared" si="122"/>
        <v>0</v>
      </c>
      <c r="N1754" s="59"/>
      <c r="AA1754" s="154">
        <f>AB1754/COUNTIFS($B:$B,$B1754,$C:$C,$C1754,$H:$H,$H1754,$I:$I,$I1754)</f>
        <v>0.15</v>
      </c>
      <c r="AB1754" s="155">
        <f>VLOOKUP(I1754,'Weights and Confidence'!$D$16:$AC$26,11,FALSE)</f>
        <v>0.15</v>
      </c>
      <c r="AC1754" s="156">
        <f>VLOOKUP(I1754,'Weights and Confidence'!$D$16:$AC$26,12,FALSE)</f>
        <v>1</v>
      </c>
    </row>
    <row r="1755" spans="1:29" x14ac:dyDescent="0.2">
      <c r="A1755" s="77" t="s">
        <v>566</v>
      </c>
      <c r="B1755" s="77" t="s">
        <v>87</v>
      </c>
      <c r="C1755" s="77" t="s">
        <v>606</v>
      </c>
      <c r="D1755" s="77" t="s">
        <v>5</v>
      </c>
      <c r="E1755" s="77" t="s">
        <v>105</v>
      </c>
      <c r="F1755" s="91" t="s">
        <v>607</v>
      </c>
      <c r="G1755" s="77">
        <v>7</v>
      </c>
      <c r="H1755" s="77" t="s">
        <v>18</v>
      </c>
      <c r="I1755" s="77" t="s">
        <v>24</v>
      </c>
      <c r="J1755" s="77">
        <v>-1</v>
      </c>
      <c r="K1755" s="79">
        <f>AB1755/COUNTIFS($B:$B,$B1755,$C:$C,$C1755,$H:$H,$H1755,$I:$I,$I1755)</f>
        <v>0.15</v>
      </c>
      <c r="L1755" s="81">
        <f t="shared" si="120"/>
        <v>1</v>
      </c>
      <c r="M1755" s="83">
        <f t="shared" si="122"/>
        <v>-0.15</v>
      </c>
      <c r="N1755" s="17"/>
      <c r="AA1755" s="154">
        <f>AB1755/COUNTIFS($B:$B,$B1755,$C:$C,$C1755,$H:$H,$H1755,$I:$I,$I1755)</f>
        <v>0.15</v>
      </c>
      <c r="AB1755" s="155">
        <f>VLOOKUP(I1755,'Weights and Confidence'!$D$16:$AC$26,11,FALSE)</f>
        <v>0.15</v>
      </c>
      <c r="AC1755" s="156">
        <f>VLOOKUP(I1755,'Weights and Confidence'!$D$16:$AC$26,12,FALSE)</f>
        <v>1</v>
      </c>
    </row>
    <row r="1756" spans="1:29" x14ac:dyDescent="0.2">
      <c r="A1756" s="76" t="s">
        <v>566</v>
      </c>
      <c r="B1756" s="76" t="s">
        <v>87</v>
      </c>
      <c r="C1756" s="76" t="s">
        <v>606</v>
      </c>
      <c r="D1756" s="76" t="s">
        <v>5</v>
      </c>
      <c r="E1756" s="76" t="s">
        <v>105</v>
      </c>
      <c r="F1756" s="91" t="s">
        <v>607</v>
      </c>
      <c r="G1756" s="76">
        <v>8</v>
      </c>
      <c r="H1756" s="76" t="s">
        <v>17</v>
      </c>
      <c r="I1756" s="76" t="s">
        <v>25</v>
      </c>
      <c r="J1756" s="76">
        <v>0</v>
      </c>
      <c r="K1756" s="78">
        <f>AB1756/COUNTIFS($B:$B,$B1756,$C:$C,$C1756,$H:$H,$H1756,$I:$I,$I1756)</f>
        <v>0.1</v>
      </c>
      <c r="L1756" s="80">
        <f t="shared" si="120"/>
        <v>1</v>
      </c>
      <c r="M1756" s="82">
        <f t="shared" si="122"/>
        <v>0</v>
      </c>
      <c r="N1756" s="59"/>
      <c r="AA1756" s="154">
        <f>AB1756/COUNTIFS($B:$B,$B1756,$C:$C,$C1756,$H:$H,$H1756,$I:$I,$I1756)</f>
        <v>0.1</v>
      </c>
      <c r="AB1756" s="155">
        <f>VLOOKUP(I1756,'Weights and Confidence'!$D$16:$AC$26,11,FALSE)</f>
        <v>0.1</v>
      </c>
      <c r="AC1756" s="156">
        <f>VLOOKUP(I1756,'Weights and Confidence'!$D$16:$AC$26,12,FALSE)</f>
        <v>1</v>
      </c>
    </row>
    <row r="1757" spans="1:29" x14ac:dyDescent="0.2">
      <c r="A1757" s="77" t="s">
        <v>566</v>
      </c>
      <c r="B1757" s="77" t="s">
        <v>87</v>
      </c>
      <c r="C1757" s="77" t="s">
        <v>606</v>
      </c>
      <c r="D1757" s="77" t="s">
        <v>5</v>
      </c>
      <c r="E1757" s="77" t="s">
        <v>105</v>
      </c>
      <c r="F1757" s="91" t="s">
        <v>607</v>
      </c>
      <c r="G1757" s="77">
        <v>8</v>
      </c>
      <c r="H1757" s="77" t="s">
        <v>18</v>
      </c>
      <c r="I1757" s="77" t="s">
        <v>25</v>
      </c>
      <c r="J1757" s="77">
        <v>-1</v>
      </c>
      <c r="K1757" s="79">
        <f>AB1757/COUNTIFS($B:$B,$B1757,$C:$C,$C1757,$H:$H,$H1757,$I:$I,$I1757)</f>
        <v>0.1</v>
      </c>
      <c r="L1757" s="81">
        <f t="shared" si="120"/>
        <v>1</v>
      </c>
      <c r="M1757" s="83">
        <f t="shared" si="122"/>
        <v>-0.1</v>
      </c>
      <c r="N1757" s="17"/>
      <c r="AA1757" s="154">
        <f>AB1757/COUNTIFS($B:$B,$B1757,$C:$C,$C1757,$H:$H,$H1757,$I:$I,$I1757)</f>
        <v>0.1</v>
      </c>
      <c r="AB1757" s="155">
        <f>VLOOKUP(I1757,'Weights and Confidence'!$D$16:$AC$26,11,FALSE)</f>
        <v>0.1</v>
      </c>
      <c r="AC1757" s="156">
        <f>VLOOKUP(I1757,'Weights and Confidence'!$D$16:$AC$26,12,FALSE)</f>
        <v>1</v>
      </c>
    </row>
    <row r="1758" spans="1:29" x14ac:dyDescent="0.2">
      <c r="A1758" s="76" t="s">
        <v>566</v>
      </c>
      <c r="B1758" s="76" t="s">
        <v>87</v>
      </c>
      <c r="C1758" s="76" t="s">
        <v>606</v>
      </c>
      <c r="D1758" s="76" t="s">
        <v>5</v>
      </c>
      <c r="E1758" s="76" t="s">
        <v>105</v>
      </c>
      <c r="F1758" s="91" t="s">
        <v>607</v>
      </c>
      <c r="G1758" s="76">
        <v>9</v>
      </c>
      <c r="H1758" s="76" t="s">
        <v>17</v>
      </c>
      <c r="I1758" s="76" t="s">
        <v>26</v>
      </c>
      <c r="J1758" s="76">
        <v>0</v>
      </c>
      <c r="K1758" s="78">
        <f>AB1758/COUNTIFS($B:$B,$B1758,$C:$C,$C1758,$H:$H,$H1758,$I:$I,$I1758)</f>
        <v>0.1</v>
      </c>
      <c r="L1758" s="80">
        <f t="shared" si="120"/>
        <v>1</v>
      </c>
      <c r="M1758" s="82">
        <f t="shared" si="122"/>
        <v>0</v>
      </c>
      <c r="N1758" s="59"/>
      <c r="AA1758" s="154">
        <f>AB1758/COUNTIFS($B:$B,$B1758,$C:$C,$C1758,$H:$H,$H1758,$I:$I,$I1758)</f>
        <v>0.1</v>
      </c>
      <c r="AB1758" s="155">
        <f>VLOOKUP(I1758,'Weights and Confidence'!$D$16:$AC$26,11,FALSE)</f>
        <v>0.1</v>
      </c>
      <c r="AC1758" s="156">
        <f>VLOOKUP(I1758,'Weights and Confidence'!$D$16:$AC$26,12,FALSE)</f>
        <v>1</v>
      </c>
    </row>
    <row r="1759" spans="1:29" x14ac:dyDescent="0.2">
      <c r="A1759" s="77" t="s">
        <v>566</v>
      </c>
      <c r="B1759" s="77" t="s">
        <v>87</v>
      </c>
      <c r="C1759" s="77" t="s">
        <v>606</v>
      </c>
      <c r="D1759" s="77" t="s">
        <v>5</v>
      </c>
      <c r="E1759" s="77" t="s">
        <v>105</v>
      </c>
      <c r="F1759" s="91" t="s">
        <v>607</v>
      </c>
      <c r="G1759" s="77">
        <v>9</v>
      </c>
      <c r="H1759" s="77" t="s">
        <v>18</v>
      </c>
      <c r="I1759" s="77" t="s">
        <v>26</v>
      </c>
      <c r="J1759" s="77">
        <v>-1</v>
      </c>
      <c r="K1759" s="79">
        <f>AB1759/COUNTIFS($B:$B,$B1759,$C:$C,$C1759,$H:$H,$H1759,$I:$I,$I1759)</f>
        <v>0.1</v>
      </c>
      <c r="L1759" s="81">
        <f t="shared" si="120"/>
        <v>1</v>
      </c>
      <c r="M1759" s="83">
        <f t="shared" si="122"/>
        <v>-0.1</v>
      </c>
      <c r="N1759" s="17"/>
      <c r="AA1759" s="154">
        <f>AB1759/COUNTIFS($B:$B,$B1759,$C:$C,$C1759,$H:$H,$H1759,$I:$I,$I1759)</f>
        <v>0.1</v>
      </c>
      <c r="AB1759" s="155">
        <f>VLOOKUP(I1759,'Weights and Confidence'!$D$16:$AC$26,11,FALSE)</f>
        <v>0.1</v>
      </c>
      <c r="AC1759" s="156">
        <f>VLOOKUP(I1759,'Weights and Confidence'!$D$16:$AC$26,12,FALSE)</f>
        <v>1</v>
      </c>
    </row>
    <row r="1760" spans="1:29" x14ac:dyDescent="0.2">
      <c r="A1760" s="76" t="s">
        <v>566</v>
      </c>
      <c r="B1760" s="76" t="s">
        <v>87</v>
      </c>
      <c r="C1760" s="76" t="s">
        <v>606</v>
      </c>
      <c r="D1760" s="76" t="s">
        <v>5</v>
      </c>
      <c r="E1760" s="76" t="s">
        <v>105</v>
      </c>
      <c r="F1760" s="91" t="s">
        <v>607</v>
      </c>
      <c r="G1760" s="76">
        <v>10</v>
      </c>
      <c r="H1760" s="76" t="s">
        <v>17</v>
      </c>
      <c r="I1760" s="76" t="s">
        <v>27</v>
      </c>
      <c r="J1760" s="76">
        <v>0</v>
      </c>
      <c r="K1760" s="78">
        <f>AB1760/COUNTIFS($B:$B,$B1760,$C:$C,$C1760,$H:$H,$H1760,$I:$I,$I1760)</f>
        <v>0.05</v>
      </c>
      <c r="L1760" s="80">
        <f t="shared" si="120"/>
        <v>0.9</v>
      </c>
      <c r="M1760" s="82">
        <f t="shared" si="122"/>
        <v>0</v>
      </c>
      <c r="N1760" s="59"/>
      <c r="AA1760" s="154">
        <f>AB1760/COUNTIFS($B:$B,$B1760,$C:$C,$C1760,$H:$H,$H1760,$I:$I,$I1760)</f>
        <v>0.05</v>
      </c>
      <c r="AB1760" s="155">
        <f>VLOOKUP(I1760,'Weights and Confidence'!$D$16:$AC$26,11,FALSE)</f>
        <v>0.1</v>
      </c>
      <c r="AC1760" s="156">
        <f>VLOOKUP(I1760,'Weights and Confidence'!$D$16:$AC$26,12,FALSE)</f>
        <v>0.9</v>
      </c>
    </row>
    <row r="1761" spans="1:29" x14ac:dyDescent="0.2">
      <c r="A1761" s="77" t="s">
        <v>566</v>
      </c>
      <c r="B1761" s="77" t="s">
        <v>87</v>
      </c>
      <c r="C1761" s="77" t="s">
        <v>606</v>
      </c>
      <c r="D1761" s="77" t="s">
        <v>5</v>
      </c>
      <c r="E1761" s="77" t="s">
        <v>105</v>
      </c>
      <c r="F1761" s="91" t="s">
        <v>607</v>
      </c>
      <c r="G1761" s="77">
        <v>10</v>
      </c>
      <c r="H1761" s="77" t="s">
        <v>18</v>
      </c>
      <c r="I1761" s="77" t="s">
        <v>27</v>
      </c>
      <c r="J1761" s="77">
        <v>0</v>
      </c>
      <c r="K1761" s="79">
        <f>AB1761/COUNTIFS($B:$B,$B1761,$C:$C,$C1761,$H:$H,$H1761,$I:$I,$I1761)</f>
        <v>0.05</v>
      </c>
      <c r="L1761" s="81">
        <f t="shared" si="120"/>
        <v>0.9</v>
      </c>
      <c r="M1761" s="83">
        <f t="shared" si="122"/>
        <v>0</v>
      </c>
      <c r="N1761" s="84"/>
      <c r="AA1761" s="154">
        <f>AB1761/COUNTIFS($B:$B,$B1761,$C:$C,$C1761,$H:$H,$H1761,$I:$I,$I1761)</f>
        <v>0.05</v>
      </c>
      <c r="AB1761" s="155">
        <f>VLOOKUP(I1761,'Weights and Confidence'!$D$16:$AC$26,11,FALSE)</f>
        <v>0.1</v>
      </c>
      <c r="AC1761" s="156">
        <f>VLOOKUP(I1761,'Weights and Confidence'!$D$16:$AC$26,12,FALSE)</f>
        <v>0.9</v>
      </c>
    </row>
    <row r="1762" spans="1:29" x14ac:dyDescent="0.2">
      <c r="A1762" s="76" t="s">
        <v>566</v>
      </c>
      <c r="B1762" s="76" t="s">
        <v>87</v>
      </c>
      <c r="C1762" s="76" t="s">
        <v>606</v>
      </c>
      <c r="D1762" s="76" t="s">
        <v>5</v>
      </c>
      <c r="E1762" s="76" t="s">
        <v>105</v>
      </c>
      <c r="F1762" s="91" t="s">
        <v>607</v>
      </c>
      <c r="G1762" s="76">
        <v>11</v>
      </c>
      <c r="H1762" s="76" t="s">
        <v>17</v>
      </c>
      <c r="I1762" s="76" t="s">
        <v>27</v>
      </c>
      <c r="J1762" s="76">
        <v>0</v>
      </c>
      <c r="K1762" s="78">
        <f>AB1762/COUNTIFS($B:$B,$B1762,$C:$C,$C1762,$H:$H,$H1762,$I:$I,$I1762)</f>
        <v>0.05</v>
      </c>
      <c r="L1762" s="80">
        <f t="shared" si="120"/>
        <v>0.9</v>
      </c>
      <c r="M1762" s="82">
        <f t="shared" si="122"/>
        <v>0</v>
      </c>
      <c r="N1762" s="59"/>
      <c r="AA1762" s="154">
        <f>AB1762/COUNTIFS($B:$B,$B1762,$C:$C,$C1762,$H:$H,$H1762,$I:$I,$I1762)</f>
        <v>0.05</v>
      </c>
      <c r="AB1762" s="155">
        <f>VLOOKUP(I1762,'Weights and Confidence'!$D$16:$AC$26,11,FALSE)</f>
        <v>0.1</v>
      </c>
      <c r="AC1762" s="156">
        <f>VLOOKUP(I1762,'Weights and Confidence'!$D$16:$AC$26,12,FALSE)</f>
        <v>0.9</v>
      </c>
    </row>
    <row r="1763" spans="1:29" x14ac:dyDescent="0.2">
      <c r="A1763" s="77" t="s">
        <v>566</v>
      </c>
      <c r="B1763" s="77" t="s">
        <v>87</v>
      </c>
      <c r="C1763" s="77" t="s">
        <v>606</v>
      </c>
      <c r="D1763" s="77" t="s">
        <v>5</v>
      </c>
      <c r="E1763" s="77" t="s">
        <v>105</v>
      </c>
      <c r="F1763" s="91" t="s">
        <v>607</v>
      </c>
      <c r="G1763" s="77">
        <v>11</v>
      </c>
      <c r="H1763" s="77" t="s">
        <v>18</v>
      </c>
      <c r="I1763" s="77" t="s">
        <v>27</v>
      </c>
      <c r="J1763" s="77">
        <v>0</v>
      </c>
      <c r="K1763" s="79">
        <f>AB1763/COUNTIFS($B:$B,$B1763,$C:$C,$C1763,$H:$H,$H1763,$I:$I,$I1763)</f>
        <v>0.05</v>
      </c>
      <c r="L1763" s="81">
        <f t="shared" si="120"/>
        <v>0.9</v>
      </c>
      <c r="M1763" s="83">
        <f t="shared" si="122"/>
        <v>0</v>
      </c>
      <c r="N1763" s="17"/>
      <c r="AA1763" s="154">
        <f>AB1763/COUNTIFS($B:$B,$B1763,$C:$C,$C1763,$H:$H,$H1763,$I:$I,$I1763)</f>
        <v>0.05</v>
      </c>
      <c r="AB1763" s="155">
        <f>VLOOKUP(I1763,'Weights and Confidence'!$D$16:$AC$26,11,FALSE)</f>
        <v>0.1</v>
      </c>
      <c r="AC1763" s="156">
        <f>VLOOKUP(I1763,'Weights and Confidence'!$D$16:$AC$26,12,FALSE)</f>
        <v>0.9</v>
      </c>
    </row>
    <row r="1764" spans="1:29" x14ac:dyDescent="0.2">
      <c r="A1764" s="77" t="s">
        <v>566</v>
      </c>
      <c r="B1764" s="77" t="s">
        <v>87</v>
      </c>
      <c r="C1764" s="77" t="s">
        <v>606</v>
      </c>
      <c r="D1764" s="77" t="s">
        <v>5</v>
      </c>
      <c r="E1764" s="77" t="s">
        <v>105</v>
      </c>
      <c r="F1764" s="91" t="s">
        <v>607</v>
      </c>
      <c r="G1764" s="77">
        <v>12</v>
      </c>
      <c r="H1764" s="77" t="s">
        <v>17</v>
      </c>
      <c r="I1764" s="77" t="s">
        <v>28</v>
      </c>
      <c r="J1764" s="77">
        <v>0</v>
      </c>
      <c r="K1764" s="79">
        <f>AB1764/COUNTIFS($B:$B,$B1764,$C:$C,$C1764,$H:$H,$H1764,$I:$I,$I1764)</f>
        <v>0.05</v>
      </c>
      <c r="L1764" s="81">
        <f t="shared" si="120"/>
        <v>1</v>
      </c>
      <c r="M1764" s="83">
        <f>J1764*K1764*L1764</f>
        <v>0</v>
      </c>
      <c r="N1764" s="58"/>
      <c r="AA1764" s="154">
        <f>AB1764/COUNTIFS($B:$B,$B1764,$C:$C,$C1764,$H:$H,$H1764,$I:$I,$I1764)</f>
        <v>0.05</v>
      </c>
      <c r="AB1764" s="155">
        <f>VLOOKUP(I1764,'Weights and Confidence'!$D$16:$AC$26,11,FALSE)</f>
        <v>0.05</v>
      </c>
      <c r="AC1764" s="156">
        <f>VLOOKUP(I1764,'Weights and Confidence'!$D$16:$AC$26,12,FALSE)</f>
        <v>1</v>
      </c>
    </row>
    <row r="1765" spans="1:29" ht="17" thickBot="1" x14ac:dyDescent="0.25">
      <c r="A1765" s="98" t="s">
        <v>566</v>
      </c>
      <c r="B1765" s="98" t="s">
        <v>87</v>
      </c>
      <c r="C1765" s="98" t="s">
        <v>606</v>
      </c>
      <c r="D1765" s="98" t="s">
        <v>5</v>
      </c>
      <c r="E1765" s="98" t="s">
        <v>105</v>
      </c>
      <c r="F1765" s="93" t="s">
        <v>607</v>
      </c>
      <c r="G1765" s="98">
        <v>12</v>
      </c>
      <c r="H1765" s="98" t="s">
        <v>18</v>
      </c>
      <c r="I1765" s="98" t="s">
        <v>28</v>
      </c>
      <c r="J1765" s="98">
        <v>-1</v>
      </c>
      <c r="K1765" s="99">
        <f>AB1765/COUNTIFS($B:$B,$B1765,$C:$C,$C1765,$H:$H,$H1765,$I:$I,$I1765)</f>
        <v>0.05</v>
      </c>
      <c r="L1765" s="100">
        <f t="shared" si="120"/>
        <v>1</v>
      </c>
      <c r="M1765" s="101">
        <f>J1765*K1765*L1765</f>
        <v>-0.05</v>
      </c>
      <c r="N1765" s="22"/>
      <c r="AA1765" s="157">
        <f>AB1765/COUNTIFS($B:$B,$B1765,$C:$C,$C1765,$H:$H,$H1765,$I:$I,$I1765)</f>
        <v>0.05</v>
      </c>
      <c r="AB1765" s="158">
        <f>VLOOKUP(I1765,'Weights and Confidence'!$D$16:$AC$26,11,FALSE)</f>
        <v>0.05</v>
      </c>
      <c r="AC1765" s="159">
        <f>VLOOKUP(I1765,'Weights and Confidence'!$D$16:$AC$26,12,FALSE)</f>
        <v>1</v>
      </c>
    </row>
    <row r="1766" spans="1:29" ht="17" thickTop="1" x14ac:dyDescent="0.2">
      <c r="A1766" s="76" t="s">
        <v>566</v>
      </c>
      <c r="B1766" s="76" t="s">
        <v>87</v>
      </c>
      <c r="C1766" s="76" t="s">
        <v>608</v>
      </c>
      <c r="D1766" s="76" t="s">
        <v>5</v>
      </c>
      <c r="E1766" s="76" t="s">
        <v>465</v>
      </c>
      <c r="F1766" s="50" t="s">
        <v>609</v>
      </c>
      <c r="G1766" s="76">
        <v>1</v>
      </c>
      <c r="H1766" s="76" t="s">
        <v>17</v>
      </c>
      <c r="I1766" s="76" t="s">
        <v>19</v>
      </c>
      <c r="J1766" s="77">
        <v>1</v>
      </c>
      <c r="K1766" s="78">
        <f>AB1766/COUNTIFS($B:$B,$B1766,$C:$C,$C1766,$H:$H,$H1766,$I:$I,$I1766)</f>
        <v>0.12</v>
      </c>
      <c r="L1766" s="80">
        <f t="shared" ref="L1766:L1789" si="123">AC1766</f>
        <v>1</v>
      </c>
      <c r="M1766" s="82">
        <f t="shared" ref="M1766" si="124">J1766*K1766*L1766</f>
        <v>0.12</v>
      </c>
      <c r="N1766" s="59"/>
      <c r="AA1766" s="154">
        <f>AB1766/COUNTIFS($B:$B,$B1766,$C:$C,$C1766,$H:$H,$H1766,$I:$I,$I1766)</f>
        <v>0.12</v>
      </c>
      <c r="AB1766" s="155">
        <f>VLOOKUP(I1766,'Weights and Confidence'!$D$16:$AC$26,11,FALSE)</f>
        <v>0.12</v>
      </c>
      <c r="AC1766" s="156">
        <f>VLOOKUP(I1766,'Weights and Confidence'!$D$16:$AC$26,12,FALSE)</f>
        <v>1</v>
      </c>
    </row>
    <row r="1767" spans="1:29" x14ac:dyDescent="0.2">
      <c r="A1767" s="77" t="s">
        <v>566</v>
      </c>
      <c r="B1767" s="77" t="s">
        <v>87</v>
      </c>
      <c r="C1767" s="77" t="s">
        <v>608</v>
      </c>
      <c r="D1767" s="77" t="s">
        <v>5</v>
      </c>
      <c r="E1767" s="77" t="s">
        <v>465</v>
      </c>
      <c r="F1767" s="91" t="s">
        <v>609</v>
      </c>
      <c r="G1767" s="77">
        <v>1</v>
      </c>
      <c r="H1767" s="77" t="s">
        <v>18</v>
      </c>
      <c r="I1767" s="77" t="s">
        <v>19</v>
      </c>
      <c r="J1767" s="77">
        <v>1</v>
      </c>
      <c r="K1767" s="79">
        <f>AB1767/COUNTIFS($B:$B,$B1767,$C:$C,$C1767,$H:$H,$H1767,$I:$I,$I1767)</f>
        <v>0.12</v>
      </c>
      <c r="L1767" s="81">
        <f t="shared" si="123"/>
        <v>1</v>
      </c>
      <c r="M1767" s="83">
        <f>J1766*K1767*L1767</f>
        <v>0.12</v>
      </c>
      <c r="N1767" s="84"/>
      <c r="AA1767" s="154">
        <f>AB1767/COUNTIFS($B:$B,$B1767,$C:$C,$C1767,$H:$H,$H1767,$I:$I,$I1767)</f>
        <v>0.12</v>
      </c>
      <c r="AB1767" s="155">
        <f>VLOOKUP(I1767,'Weights and Confidence'!$D$16:$AC$26,11,FALSE)</f>
        <v>0.12</v>
      </c>
      <c r="AC1767" s="156">
        <f>VLOOKUP(I1767,'Weights and Confidence'!$D$16:$AC$26,12,FALSE)</f>
        <v>1</v>
      </c>
    </row>
    <row r="1768" spans="1:29" x14ac:dyDescent="0.2">
      <c r="A1768" s="76" t="s">
        <v>566</v>
      </c>
      <c r="B1768" s="76" t="s">
        <v>87</v>
      </c>
      <c r="C1768" s="76" t="s">
        <v>608</v>
      </c>
      <c r="D1768" s="76" t="s">
        <v>5</v>
      </c>
      <c r="E1768" s="76" t="s">
        <v>465</v>
      </c>
      <c r="F1768" s="91" t="s">
        <v>609</v>
      </c>
      <c r="G1768" s="76">
        <v>2</v>
      </c>
      <c r="H1768" s="76" t="s">
        <v>17</v>
      </c>
      <c r="I1768" s="76" t="s">
        <v>20</v>
      </c>
      <c r="J1768" s="76">
        <v>0</v>
      </c>
      <c r="K1768" s="78">
        <f>AB1768/COUNTIFS($B:$B,$B1768,$C:$C,$C1768,$H:$H,$H1768,$I:$I,$I1768)</f>
        <v>0.08</v>
      </c>
      <c r="L1768" s="80">
        <f t="shared" si="123"/>
        <v>0.9</v>
      </c>
      <c r="M1768" s="82">
        <f t="shared" ref="M1768:M1787" si="125">J1768*K1768*L1768</f>
        <v>0</v>
      </c>
      <c r="N1768" s="59"/>
      <c r="AA1768" s="154">
        <f>AB1768/COUNTIFS($B:$B,$B1768,$C:$C,$C1768,$H:$H,$H1768,$I:$I,$I1768)</f>
        <v>0.08</v>
      </c>
      <c r="AB1768" s="155">
        <f>VLOOKUP(I1768,'Weights and Confidence'!$D$16:$AC$26,11,FALSE)</f>
        <v>0.08</v>
      </c>
      <c r="AC1768" s="156">
        <f>VLOOKUP(I1768,'Weights and Confidence'!$D$16:$AC$26,12,FALSE)</f>
        <v>0.9</v>
      </c>
    </row>
    <row r="1769" spans="1:29" x14ac:dyDescent="0.2">
      <c r="A1769" s="77" t="s">
        <v>566</v>
      </c>
      <c r="B1769" s="77" t="s">
        <v>87</v>
      </c>
      <c r="C1769" s="77" t="s">
        <v>608</v>
      </c>
      <c r="D1769" s="77" t="s">
        <v>5</v>
      </c>
      <c r="E1769" s="77" t="s">
        <v>465</v>
      </c>
      <c r="F1769" s="91" t="s">
        <v>609</v>
      </c>
      <c r="G1769" s="77">
        <v>2</v>
      </c>
      <c r="H1769" s="77" t="s">
        <v>18</v>
      </c>
      <c r="I1769" s="77" t="s">
        <v>20</v>
      </c>
      <c r="J1769" s="77">
        <v>1</v>
      </c>
      <c r="K1769" s="79">
        <f>AB1769/COUNTIFS($B:$B,$B1769,$C:$C,$C1769,$H:$H,$H1769,$I:$I,$I1769)</f>
        <v>0.08</v>
      </c>
      <c r="L1769" s="81">
        <f t="shared" si="123"/>
        <v>0.9</v>
      </c>
      <c r="M1769" s="83">
        <f t="shared" si="125"/>
        <v>7.2000000000000008E-2</v>
      </c>
      <c r="N1769" s="84"/>
      <c r="AA1769" s="154">
        <f>AB1769/COUNTIFS($B:$B,$B1769,$C:$C,$C1769,$H:$H,$H1769,$I:$I,$I1769)</f>
        <v>0.08</v>
      </c>
      <c r="AB1769" s="155">
        <f>VLOOKUP(I1769,'Weights and Confidence'!$D$16:$AC$26,11,FALSE)</f>
        <v>0.08</v>
      </c>
      <c r="AC1769" s="156">
        <f>VLOOKUP(I1769,'Weights and Confidence'!$D$16:$AC$26,12,FALSE)</f>
        <v>0.9</v>
      </c>
    </row>
    <row r="1770" spans="1:29" x14ac:dyDescent="0.2">
      <c r="A1770" s="76" t="s">
        <v>566</v>
      </c>
      <c r="B1770" s="76" t="s">
        <v>87</v>
      </c>
      <c r="C1770" s="76" t="s">
        <v>608</v>
      </c>
      <c r="D1770" s="76" t="s">
        <v>5</v>
      </c>
      <c r="E1770" s="76" t="s">
        <v>465</v>
      </c>
      <c r="F1770" s="91" t="s">
        <v>609</v>
      </c>
      <c r="G1770" s="76">
        <v>3</v>
      </c>
      <c r="H1770" s="76" t="s">
        <v>17</v>
      </c>
      <c r="I1770" s="76" t="s">
        <v>21</v>
      </c>
      <c r="J1770" s="76">
        <v>1</v>
      </c>
      <c r="K1770" s="78">
        <f>AB1770/COUNTIFS($B:$B,$B1770,$C:$C,$C1770,$H:$H,$H1770,$I:$I,$I1770)</f>
        <v>0.05</v>
      </c>
      <c r="L1770" s="80">
        <f t="shared" si="123"/>
        <v>1</v>
      </c>
      <c r="M1770" s="82">
        <f t="shared" si="125"/>
        <v>0.05</v>
      </c>
      <c r="N1770" s="59"/>
      <c r="AA1770" s="154">
        <f>AB1770/COUNTIFS($B:$B,$B1770,$C:$C,$C1770,$H:$H,$H1770,$I:$I,$I1770)</f>
        <v>0.05</v>
      </c>
      <c r="AB1770" s="155">
        <f>VLOOKUP(I1770,'Weights and Confidence'!$D$16:$AC$26,11,FALSE)</f>
        <v>0.05</v>
      </c>
      <c r="AC1770" s="156">
        <f>VLOOKUP(I1770,'Weights and Confidence'!$D$16:$AC$26,12,FALSE)</f>
        <v>1</v>
      </c>
    </row>
    <row r="1771" spans="1:29" x14ac:dyDescent="0.2">
      <c r="A1771" s="77" t="s">
        <v>566</v>
      </c>
      <c r="B1771" s="77" t="s">
        <v>87</v>
      </c>
      <c r="C1771" s="77" t="s">
        <v>608</v>
      </c>
      <c r="D1771" s="77" t="s">
        <v>5</v>
      </c>
      <c r="E1771" s="77" t="s">
        <v>465</v>
      </c>
      <c r="F1771" s="91" t="s">
        <v>609</v>
      </c>
      <c r="G1771" s="77">
        <v>3</v>
      </c>
      <c r="H1771" s="77" t="s">
        <v>18</v>
      </c>
      <c r="I1771" s="77" t="s">
        <v>21</v>
      </c>
      <c r="J1771" s="77">
        <v>1</v>
      </c>
      <c r="K1771" s="79">
        <f>AB1771/COUNTIFS($B:$B,$B1771,$C:$C,$C1771,$H:$H,$H1771,$I:$I,$I1771)</f>
        <v>0.05</v>
      </c>
      <c r="L1771" s="81">
        <f t="shared" si="123"/>
        <v>1</v>
      </c>
      <c r="M1771" s="83">
        <f t="shared" si="125"/>
        <v>0.05</v>
      </c>
      <c r="N1771" s="84"/>
      <c r="AA1771" s="154">
        <f>AB1771/COUNTIFS($B:$B,$B1771,$C:$C,$C1771,$H:$H,$H1771,$I:$I,$I1771)</f>
        <v>0.05</v>
      </c>
      <c r="AB1771" s="155">
        <f>VLOOKUP(I1771,'Weights and Confidence'!$D$16:$AC$26,11,FALSE)</f>
        <v>0.05</v>
      </c>
      <c r="AC1771" s="156">
        <f>VLOOKUP(I1771,'Weights and Confidence'!$D$16:$AC$26,12,FALSE)</f>
        <v>1</v>
      </c>
    </row>
    <row r="1772" spans="1:29" x14ac:dyDescent="0.2">
      <c r="A1772" s="76" t="s">
        <v>566</v>
      </c>
      <c r="B1772" s="76" t="s">
        <v>87</v>
      </c>
      <c r="C1772" s="76" t="s">
        <v>608</v>
      </c>
      <c r="D1772" s="76" t="s">
        <v>5</v>
      </c>
      <c r="E1772" s="76" t="s">
        <v>465</v>
      </c>
      <c r="F1772" s="91" t="s">
        <v>609</v>
      </c>
      <c r="G1772" s="76">
        <v>4</v>
      </c>
      <c r="H1772" s="76" t="s">
        <v>17</v>
      </c>
      <c r="I1772" s="76" t="s">
        <v>22</v>
      </c>
      <c r="J1772" s="76">
        <v>0</v>
      </c>
      <c r="K1772" s="78">
        <f>AB1772/COUNTIFS($B:$B,$B1772,$C:$C,$C1772,$H:$H,$H1772,$I:$I,$I1772)</f>
        <v>0.1</v>
      </c>
      <c r="L1772" s="80">
        <f t="shared" si="123"/>
        <v>1</v>
      </c>
      <c r="M1772" s="82">
        <f t="shared" si="125"/>
        <v>0</v>
      </c>
      <c r="N1772" s="59"/>
      <c r="AA1772" s="154">
        <f>AB1772/COUNTIFS($B:$B,$B1772,$C:$C,$C1772,$H:$H,$H1772,$I:$I,$I1772)</f>
        <v>0.1</v>
      </c>
      <c r="AB1772" s="155">
        <f>VLOOKUP(I1772,'Weights and Confidence'!$D$16:$AC$26,11,FALSE)</f>
        <v>0.1</v>
      </c>
      <c r="AC1772" s="156">
        <f>VLOOKUP(I1772,'Weights and Confidence'!$D$16:$AC$26,12,FALSE)</f>
        <v>1</v>
      </c>
    </row>
    <row r="1773" spans="1:29" x14ac:dyDescent="0.2">
      <c r="A1773" s="77" t="s">
        <v>566</v>
      </c>
      <c r="B1773" s="77" t="s">
        <v>87</v>
      </c>
      <c r="C1773" s="77" t="s">
        <v>608</v>
      </c>
      <c r="D1773" s="77" t="s">
        <v>5</v>
      </c>
      <c r="E1773" s="77" t="s">
        <v>465</v>
      </c>
      <c r="F1773" s="91" t="s">
        <v>609</v>
      </c>
      <c r="G1773" s="77">
        <v>4</v>
      </c>
      <c r="H1773" s="77" t="s">
        <v>18</v>
      </c>
      <c r="I1773" s="77" t="s">
        <v>22</v>
      </c>
      <c r="J1773" s="77">
        <v>0</v>
      </c>
      <c r="K1773" s="79">
        <f>AB1773/COUNTIFS($B:$B,$B1773,$C:$C,$C1773,$H:$H,$H1773,$I:$I,$I1773)</f>
        <v>0.1</v>
      </c>
      <c r="L1773" s="81">
        <f t="shared" si="123"/>
        <v>1</v>
      </c>
      <c r="M1773" s="83">
        <f t="shared" si="125"/>
        <v>0</v>
      </c>
      <c r="N1773" s="17" t="s">
        <v>610</v>
      </c>
      <c r="AA1773" s="154">
        <f>AB1773/COUNTIFS($B:$B,$B1773,$C:$C,$C1773,$H:$H,$H1773,$I:$I,$I1773)</f>
        <v>0.1</v>
      </c>
      <c r="AB1773" s="155">
        <f>VLOOKUP(I1773,'Weights and Confidence'!$D$16:$AC$26,11,FALSE)</f>
        <v>0.1</v>
      </c>
      <c r="AC1773" s="156">
        <f>VLOOKUP(I1773,'Weights and Confidence'!$D$16:$AC$26,12,FALSE)</f>
        <v>1</v>
      </c>
    </row>
    <row r="1774" spans="1:29" x14ac:dyDescent="0.2">
      <c r="A1774" s="76" t="s">
        <v>566</v>
      </c>
      <c r="B1774" s="76" t="s">
        <v>87</v>
      </c>
      <c r="C1774" s="76" t="s">
        <v>608</v>
      </c>
      <c r="D1774" s="76" t="s">
        <v>5</v>
      </c>
      <c r="E1774" s="76" t="s">
        <v>465</v>
      </c>
      <c r="F1774" s="91" t="s">
        <v>609</v>
      </c>
      <c r="G1774" s="76">
        <v>5</v>
      </c>
      <c r="H1774" s="76" t="s">
        <v>17</v>
      </c>
      <c r="I1774" s="76" t="s">
        <v>34</v>
      </c>
      <c r="J1774" s="76">
        <v>0</v>
      </c>
      <c r="K1774" s="78">
        <f>AB1774/COUNTIFS($B:$B,$B1774,$C:$C,$C1774,$H:$H,$H1774,$I:$I,$I1774)</f>
        <v>0.08</v>
      </c>
      <c r="L1774" s="80">
        <f t="shared" si="123"/>
        <v>1</v>
      </c>
      <c r="M1774" s="82">
        <f t="shared" si="125"/>
        <v>0</v>
      </c>
      <c r="N1774" s="84"/>
      <c r="AA1774" s="154">
        <f>AB1774/COUNTIFS($B:$B,$B1774,$C:$C,$C1774,$H:$H,$H1774,$I:$I,$I1774)</f>
        <v>0.08</v>
      </c>
      <c r="AB1774" s="155">
        <f>VLOOKUP(I1774,'Weights and Confidence'!$D$16:$AC$26,11,FALSE)</f>
        <v>0.08</v>
      </c>
      <c r="AC1774" s="156">
        <f>VLOOKUP(I1774,'Weights and Confidence'!$D$16:$AC$26,12,FALSE)</f>
        <v>1</v>
      </c>
    </row>
    <row r="1775" spans="1:29" x14ac:dyDescent="0.2">
      <c r="A1775" s="77" t="s">
        <v>566</v>
      </c>
      <c r="B1775" s="77" t="s">
        <v>87</v>
      </c>
      <c r="C1775" s="77" t="s">
        <v>608</v>
      </c>
      <c r="D1775" s="77" t="s">
        <v>5</v>
      </c>
      <c r="E1775" s="77" t="s">
        <v>465</v>
      </c>
      <c r="F1775" s="91" t="s">
        <v>609</v>
      </c>
      <c r="G1775" s="77">
        <v>5</v>
      </c>
      <c r="H1775" s="77" t="s">
        <v>18</v>
      </c>
      <c r="I1775" s="77" t="s">
        <v>34</v>
      </c>
      <c r="J1775" s="77">
        <v>0</v>
      </c>
      <c r="K1775" s="79">
        <f>AB1775/COUNTIFS($B:$B,$B1775,$C:$C,$C1775,$H:$H,$H1775,$I:$I,$I1775)</f>
        <v>0.08</v>
      </c>
      <c r="L1775" s="81">
        <f t="shared" si="123"/>
        <v>1</v>
      </c>
      <c r="M1775" s="83">
        <f t="shared" si="125"/>
        <v>0</v>
      </c>
      <c r="N1775" s="84"/>
      <c r="AA1775" s="154">
        <f>AB1775/COUNTIFS($B:$B,$B1775,$C:$C,$C1775,$H:$H,$H1775,$I:$I,$I1775)</f>
        <v>0.08</v>
      </c>
      <c r="AB1775" s="155">
        <f>VLOOKUP(I1775,'Weights and Confidence'!$D$16:$AC$26,11,FALSE)</f>
        <v>0.08</v>
      </c>
      <c r="AC1775" s="156">
        <f>VLOOKUP(I1775,'Weights and Confidence'!$D$16:$AC$26,12,FALSE)</f>
        <v>1</v>
      </c>
    </row>
    <row r="1776" spans="1:29" x14ac:dyDescent="0.2">
      <c r="A1776" s="76" t="s">
        <v>566</v>
      </c>
      <c r="B1776" s="76" t="s">
        <v>87</v>
      </c>
      <c r="C1776" s="76" t="s">
        <v>608</v>
      </c>
      <c r="D1776" s="76" t="s">
        <v>5</v>
      </c>
      <c r="E1776" s="76" t="s">
        <v>465</v>
      </c>
      <c r="F1776" s="91" t="s">
        <v>609</v>
      </c>
      <c r="G1776" s="76">
        <v>6</v>
      </c>
      <c r="H1776" s="76" t="s">
        <v>17</v>
      </c>
      <c r="I1776" s="76" t="s">
        <v>23</v>
      </c>
      <c r="J1776" s="76">
        <v>0</v>
      </c>
      <c r="K1776" s="78">
        <f>AB1776/COUNTIFS($B:$B,$B1776,$C:$C,$C1776,$H:$H,$H1776,$I:$I,$I1776)</f>
        <v>7.0000000000000007E-2</v>
      </c>
      <c r="L1776" s="80">
        <f t="shared" si="123"/>
        <v>1</v>
      </c>
      <c r="M1776" s="82">
        <f t="shared" si="125"/>
        <v>0</v>
      </c>
      <c r="N1776" s="59"/>
      <c r="AA1776" s="154">
        <f>AB1776/COUNTIFS($B:$B,$B1776,$C:$C,$C1776,$H:$H,$H1776,$I:$I,$I1776)</f>
        <v>7.0000000000000007E-2</v>
      </c>
      <c r="AB1776" s="155">
        <f>VLOOKUP(I1776,'Weights and Confidence'!$D$16:$AC$26,11,FALSE)</f>
        <v>7.0000000000000007E-2</v>
      </c>
      <c r="AC1776" s="156">
        <f>VLOOKUP(I1776,'Weights and Confidence'!$D$16:$AC$26,12,FALSE)</f>
        <v>1</v>
      </c>
    </row>
    <row r="1777" spans="1:29" x14ac:dyDescent="0.2">
      <c r="A1777" s="77" t="s">
        <v>566</v>
      </c>
      <c r="B1777" s="77" t="s">
        <v>87</v>
      </c>
      <c r="C1777" s="77" t="s">
        <v>608</v>
      </c>
      <c r="D1777" s="77" t="s">
        <v>5</v>
      </c>
      <c r="E1777" s="77" t="s">
        <v>465</v>
      </c>
      <c r="F1777" s="91" t="s">
        <v>609</v>
      </c>
      <c r="G1777" s="77">
        <v>6</v>
      </c>
      <c r="H1777" s="77" t="s">
        <v>18</v>
      </c>
      <c r="I1777" s="77" t="s">
        <v>23</v>
      </c>
      <c r="J1777" s="77">
        <v>0</v>
      </c>
      <c r="K1777" s="79">
        <f>AB1777/COUNTIFS($B:$B,$B1777,$C:$C,$C1777,$H:$H,$H1777,$I:$I,$I1777)</f>
        <v>7.0000000000000007E-2</v>
      </c>
      <c r="L1777" s="81">
        <f t="shared" si="123"/>
        <v>1</v>
      </c>
      <c r="M1777" s="83">
        <f t="shared" si="125"/>
        <v>0</v>
      </c>
      <c r="N1777" s="84" t="s">
        <v>611</v>
      </c>
      <c r="AA1777" s="154">
        <f>AB1777/COUNTIFS($B:$B,$B1777,$C:$C,$C1777,$H:$H,$H1777,$I:$I,$I1777)</f>
        <v>7.0000000000000007E-2</v>
      </c>
      <c r="AB1777" s="155">
        <f>VLOOKUP(I1777,'Weights and Confidence'!$D$16:$AC$26,11,FALSE)</f>
        <v>7.0000000000000007E-2</v>
      </c>
      <c r="AC1777" s="156">
        <f>VLOOKUP(I1777,'Weights and Confidence'!$D$16:$AC$26,12,FALSE)</f>
        <v>1</v>
      </c>
    </row>
    <row r="1778" spans="1:29" x14ac:dyDescent="0.2">
      <c r="A1778" s="76" t="s">
        <v>566</v>
      </c>
      <c r="B1778" s="76" t="s">
        <v>87</v>
      </c>
      <c r="C1778" s="76" t="s">
        <v>608</v>
      </c>
      <c r="D1778" s="76" t="s">
        <v>5</v>
      </c>
      <c r="E1778" s="76" t="s">
        <v>465</v>
      </c>
      <c r="F1778" s="91" t="s">
        <v>609</v>
      </c>
      <c r="G1778" s="76">
        <v>7</v>
      </c>
      <c r="H1778" s="76" t="s">
        <v>17</v>
      </c>
      <c r="I1778" s="76" t="s">
        <v>24</v>
      </c>
      <c r="J1778" s="76">
        <v>-1</v>
      </c>
      <c r="K1778" s="78">
        <f>AB1778/COUNTIFS($B:$B,$B1778,$C:$C,$C1778,$H:$H,$H1778,$I:$I,$I1778)</f>
        <v>0.15</v>
      </c>
      <c r="L1778" s="80">
        <f t="shared" si="123"/>
        <v>1</v>
      </c>
      <c r="M1778" s="82">
        <f t="shared" si="125"/>
        <v>-0.15</v>
      </c>
      <c r="N1778" s="59"/>
      <c r="AA1778" s="154">
        <f>AB1778/COUNTIFS($B:$B,$B1778,$C:$C,$C1778,$H:$H,$H1778,$I:$I,$I1778)</f>
        <v>0.15</v>
      </c>
      <c r="AB1778" s="155">
        <f>VLOOKUP(I1778,'Weights and Confidence'!$D$16:$AC$26,11,FALSE)</f>
        <v>0.15</v>
      </c>
      <c r="AC1778" s="156">
        <f>VLOOKUP(I1778,'Weights and Confidence'!$D$16:$AC$26,12,FALSE)</f>
        <v>1</v>
      </c>
    </row>
    <row r="1779" spans="1:29" x14ac:dyDescent="0.2">
      <c r="A1779" s="77" t="s">
        <v>566</v>
      </c>
      <c r="B1779" s="77" t="s">
        <v>87</v>
      </c>
      <c r="C1779" s="77" t="s">
        <v>608</v>
      </c>
      <c r="D1779" s="77" t="s">
        <v>5</v>
      </c>
      <c r="E1779" s="77" t="s">
        <v>465</v>
      </c>
      <c r="F1779" s="91" t="s">
        <v>609</v>
      </c>
      <c r="G1779" s="77">
        <v>7</v>
      </c>
      <c r="H1779" s="77" t="s">
        <v>18</v>
      </c>
      <c r="I1779" s="77" t="s">
        <v>24</v>
      </c>
      <c r="J1779" s="77">
        <v>0</v>
      </c>
      <c r="K1779" s="79">
        <f>AB1779/COUNTIFS($B:$B,$B1779,$C:$C,$C1779,$H:$H,$H1779,$I:$I,$I1779)</f>
        <v>0.15</v>
      </c>
      <c r="L1779" s="81">
        <f t="shared" si="123"/>
        <v>1</v>
      </c>
      <c r="M1779" s="83">
        <f t="shared" si="125"/>
        <v>0</v>
      </c>
      <c r="N1779" s="84"/>
      <c r="AA1779" s="154">
        <f>AB1779/COUNTIFS($B:$B,$B1779,$C:$C,$C1779,$H:$H,$H1779,$I:$I,$I1779)</f>
        <v>0.15</v>
      </c>
      <c r="AB1779" s="155">
        <f>VLOOKUP(I1779,'Weights and Confidence'!$D$16:$AC$26,11,FALSE)</f>
        <v>0.15</v>
      </c>
      <c r="AC1779" s="156">
        <f>VLOOKUP(I1779,'Weights and Confidence'!$D$16:$AC$26,12,FALSE)</f>
        <v>1</v>
      </c>
    </row>
    <row r="1780" spans="1:29" x14ac:dyDescent="0.2">
      <c r="A1780" s="76" t="s">
        <v>566</v>
      </c>
      <c r="B1780" s="76" t="s">
        <v>87</v>
      </c>
      <c r="C1780" s="76" t="s">
        <v>608</v>
      </c>
      <c r="D1780" s="76" t="s">
        <v>5</v>
      </c>
      <c r="E1780" s="76" t="s">
        <v>465</v>
      </c>
      <c r="F1780" s="91" t="s">
        <v>609</v>
      </c>
      <c r="G1780" s="76">
        <v>8</v>
      </c>
      <c r="H1780" s="76" t="s">
        <v>17</v>
      </c>
      <c r="I1780" s="76" t="s">
        <v>25</v>
      </c>
      <c r="J1780" s="76">
        <v>-1</v>
      </c>
      <c r="K1780" s="78">
        <f>AB1780/COUNTIFS($B:$B,$B1780,$C:$C,$C1780,$H:$H,$H1780,$I:$I,$I1780)</f>
        <v>0.1</v>
      </c>
      <c r="L1780" s="80">
        <f t="shared" si="123"/>
        <v>1</v>
      </c>
      <c r="M1780" s="82">
        <f t="shared" si="125"/>
        <v>-0.1</v>
      </c>
      <c r="N1780" s="59"/>
      <c r="AA1780" s="154">
        <f>AB1780/COUNTIFS($B:$B,$B1780,$C:$C,$C1780,$H:$H,$H1780,$I:$I,$I1780)</f>
        <v>0.1</v>
      </c>
      <c r="AB1780" s="155">
        <f>VLOOKUP(I1780,'Weights and Confidence'!$D$16:$AC$26,11,FALSE)</f>
        <v>0.1</v>
      </c>
      <c r="AC1780" s="156">
        <f>VLOOKUP(I1780,'Weights and Confidence'!$D$16:$AC$26,12,FALSE)</f>
        <v>1</v>
      </c>
    </row>
    <row r="1781" spans="1:29" x14ac:dyDescent="0.2">
      <c r="A1781" s="77" t="s">
        <v>566</v>
      </c>
      <c r="B1781" s="77" t="s">
        <v>87</v>
      </c>
      <c r="C1781" s="77" t="s">
        <v>608</v>
      </c>
      <c r="D1781" s="77" t="s">
        <v>5</v>
      </c>
      <c r="E1781" s="77" t="s">
        <v>465</v>
      </c>
      <c r="F1781" s="91" t="s">
        <v>609</v>
      </c>
      <c r="G1781" s="77">
        <v>8</v>
      </c>
      <c r="H1781" s="77" t="s">
        <v>18</v>
      </c>
      <c r="I1781" s="77" t="s">
        <v>25</v>
      </c>
      <c r="J1781" s="77">
        <v>0</v>
      </c>
      <c r="K1781" s="79">
        <f>AB1781/COUNTIFS($B:$B,$B1781,$C:$C,$C1781,$H:$H,$H1781,$I:$I,$I1781)</f>
        <v>0.1</v>
      </c>
      <c r="L1781" s="81">
        <f t="shared" si="123"/>
        <v>1</v>
      </c>
      <c r="M1781" s="83">
        <f t="shared" si="125"/>
        <v>0</v>
      </c>
      <c r="N1781" s="84"/>
      <c r="AA1781" s="154">
        <f>AB1781/COUNTIFS($B:$B,$B1781,$C:$C,$C1781,$H:$H,$H1781,$I:$I,$I1781)</f>
        <v>0.1</v>
      </c>
      <c r="AB1781" s="155">
        <f>VLOOKUP(I1781,'Weights and Confidence'!$D$16:$AC$26,11,FALSE)</f>
        <v>0.1</v>
      </c>
      <c r="AC1781" s="156">
        <f>VLOOKUP(I1781,'Weights and Confidence'!$D$16:$AC$26,12,FALSE)</f>
        <v>1</v>
      </c>
    </row>
    <row r="1782" spans="1:29" x14ac:dyDescent="0.2">
      <c r="A1782" s="76" t="s">
        <v>566</v>
      </c>
      <c r="B1782" s="76" t="s">
        <v>87</v>
      </c>
      <c r="C1782" s="76" t="s">
        <v>608</v>
      </c>
      <c r="D1782" s="76" t="s">
        <v>5</v>
      </c>
      <c r="E1782" s="76" t="s">
        <v>465</v>
      </c>
      <c r="F1782" s="91" t="s">
        <v>609</v>
      </c>
      <c r="G1782" s="76">
        <v>9</v>
      </c>
      <c r="H1782" s="76" t="s">
        <v>17</v>
      </c>
      <c r="I1782" s="76" t="s">
        <v>26</v>
      </c>
      <c r="J1782" s="76">
        <v>0</v>
      </c>
      <c r="K1782" s="78">
        <f>AB1782/COUNTIFS($B:$B,$B1782,$C:$C,$C1782,$H:$H,$H1782,$I:$I,$I1782)</f>
        <v>0.1</v>
      </c>
      <c r="L1782" s="80">
        <f t="shared" si="123"/>
        <v>1</v>
      </c>
      <c r="M1782" s="82">
        <f t="shared" si="125"/>
        <v>0</v>
      </c>
      <c r="N1782" s="59"/>
      <c r="AA1782" s="154">
        <f>AB1782/COUNTIFS($B:$B,$B1782,$C:$C,$C1782,$H:$H,$H1782,$I:$I,$I1782)</f>
        <v>0.1</v>
      </c>
      <c r="AB1782" s="155">
        <f>VLOOKUP(I1782,'Weights and Confidence'!$D$16:$AC$26,11,FALSE)</f>
        <v>0.1</v>
      </c>
      <c r="AC1782" s="156">
        <f>VLOOKUP(I1782,'Weights and Confidence'!$D$16:$AC$26,12,FALSE)</f>
        <v>1</v>
      </c>
    </row>
    <row r="1783" spans="1:29" x14ac:dyDescent="0.2">
      <c r="A1783" s="77" t="s">
        <v>566</v>
      </c>
      <c r="B1783" s="77" t="s">
        <v>87</v>
      </c>
      <c r="C1783" s="77" t="s">
        <v>608</v>
      </c>
      <c r="D1783" s="77" t="s">
        <v>5</v>
      </c>
      <c r="E1783" s="77" t="s">
        <v>465</v>
      </c>
      <c r="F1783" s="91" t="s">
        <v>609</v>
      </c>
      <c r="G1783" s="77">
        <v>9</v>
      </c>
      <c r="H1783" s="77" t="s">
        <v>18</v>
      </c>
      <c r="I1783" s="77" t="s">
        <v>26</v>
      </c>
      <c r="J1783" s="77">
        <v>0</v>
      </c>
      <c r="K1783" s="79">
        <f>AB1783/COUNTIFS($B:$B,$B1783,$C:$C,$C1783,$H:$H,$H1783,$I:$I,$I1783)</f>
        <v>0.1</v>
      </c>
      <c r="L1783" s="81">
        <f t="shared" si="123"/>
        <v>1</v>
      </c>
      <c r="M1783" s="83">
        <f t="shared" si="125"/>
        <v>0</v>
      </c>
      <c r="N1783" s="84"/>
      <c r="AA1783" s="154">
        <f>AB1783/COUNTIFS($B:$B,$B1783,$C:$C,$C1783,$H:$H,$H1783,$I:$I,$I1783)</f>
        <v>0.1</v>
      </c>
      <c r="AB1783" s="155">
        <f>VLOOKUP(I1783,'Weights and Confidence'!$D$16:$AC$26,11,FALSE)</f>
        <v>0.1</v>
      </c>
      <c r="AC1783" s="156">
        <f>VLOOKUP(I1783,'Weights and Confidence'!$D$16:$AC$26,12,FALSE)</f>
        <v>1</v>
      </c>
    </row>
    <row r="1784" spans="1:29" x14ac:dyDescent="0.2">
      <c r="A1784" s="76" t="s">
        <v>566</v>
      </c>
      <c r="B1784" s="76" t="s">
        <v>87</v>
      </c>
      <c r="C1784" s="76" t="s">
        <v>608</v>
      </c>
      <c r="D1784" s="76" t="s">
        <v>5</v>
      </c>
      <c r="E1784" s="76" t="s">
        <v>465</v>
      </c>
      <c r="F1784" s="91" t="s">
        <v>609</v>
      </c>
      <c r="G1784" s="76">
        <v>10</v>
      </c>
      <c r="H1784" s="76" t="s">
        <v>17</v>
      </c>
      <c r="I1784" s="76" t="s">
        <v>27</v>
      </c>
      <c r="J1784" s="76">
        <v>0</v>
      </c>
      <c r="K1784" s="78">
        <f>AB1784/COUNTIFS($B:$B,$B1784,$C:$C,$C1784,$H:$H,$H1784,$I:$I,$I1784)</f>
        <v>0.05</v>
      </c>
      <c r="L1784" s="80">
        <f t="shared" si="123"/>
        <v>0.9</v>
      </c>
      <c r="M1784" s="82">
        <f t="shared" si="125"/>
        <v>0</v>
      </c>
      <c r="N1784" s="59"/>
      <c r="AA1784" s="154">
        <f>AB1784/COUNTIFS($B:$B,$B1784,$C:$C,$C1784,$H:$H,$H1784,$I:$I,$I1784)</f>
        <v>0.05</v>
      </c>
      <c r="AB1784" s="155">
        <f>VLOOKUP(I1784,'Weights and Confidence'!$D$16:$AC$26,11,FALSE)</f>
        <v>0.1</v>
      </c>
      <c r="AC1784" s="156">
        <f>VLOOKUP(I1784,'Weights and Confidence'!$D$16:$AC$26,12,FALSE)</f>
        <v>0.9</v>
      </c>
    </row>
    <row r="1785" spans="1:29" x14ac:dyDescent="0.2">
      <c r="A1785" s="77" t="s">
        <v>566</v>
      </c>
      <c r="B1785" s="77" t="s">
        <v>87</v>
      </c>
      <c r="C1785" s="77" t="s">
        <v>608</v>
      </c>
      <c r="D1785" s="77" t="s">
        <v>5</v>
      </c>
      <c r="E1785" s="77" t="s">
        <v>465</v>
      </c>
      <c r="F1785" s="91" t="s">
        <v>609</v>
      </c>
      <c r="G1785" s="77">
        <v>10</v>
      </c>
      <c r="H1785" s="77" t="s">
        <v>18</v>
      </c>
      <c r="I1785" s="77" t="s">
        <v>27</v>
      </c>
      <c r="J1785" s="77">
        <v>0</v>
      </c>
      <c r="K1785" s="79">
        <f>AB1785/COUNTIFS($B:$B,$B1785,$C:$C,$C1785,$H:$H,$H1785,$I:$I,$I1785)</f>
        <v>0.05</v>
      </c>
      <c r="L1785" s="81">
        <f t="shared" si="123"/>
        <v>0.9</v>
      </c>
      <c r="M1785" s="83">
        <f t="shared" si="125"/>
        <v>0</v>
      </c>
      <c r="N1785" s="84"/>
      <c r="AA1785" s="154">
        <f>AB1785/COUNTIFS($B:$B,$B1785,$C:$C,$C1785,$H:$H,$H1785,$I:$I,$I1785)</f>
        <v>0.05</v>
      </c>
      <c r="AB1785" s="155">
        <f>VLOOKUP(I1785,'Weights and Confidence'!$D$16:$AC$26,11,FALSE)</f>
        <v>0.1</v>
      </c>
      <c r="AC1785" s="156">
        <f>VLOOKUP(I1785,'Weights and Confidence'!$D$16:$AC$26,12,FALSE)</f>
        <v>0.9</v>
      </c>
    </row>
    <row r="1786" spans="1:29" x14ac:dyDescent="0.2">
      <c r="A1786" s="76" t="s">
        <v>566</v>
      </c>
      <c r="B1786" s="76" t="s">
        <v>87</v>
      </c>
      <c r="C1786" s="76" t="s">
        <v>608</v>
      </c>
      <c r="D1786" s="76" t="s">
        <v>5</v>
      </c>
      <c r="E1786" s="76" t="s">
        <v>465</v>
      </c>
      <c r="F1786" s="91" t="s">
        <v>609</v>
      </c>
      <c r="G1786" s="76">
        <v>11</v>
      </c>
      <c r="H1786" s="76" t="s">
        <v>17</v>
      </c>
      <c r="I1786" s="76" t="s">
        <v>27</v>
      </c>
      <c r="J1786" s="76">
        <v>0</v>
      </c>
      <c r="K1786" s="78">
        <f>AB1786/COUNTIFS($B:$B,$B1786,$C:$C,$C1786,$H:$H,$H1786,$I:$I,$I1786)</f>
        <v>0.05</v>
      </c>
      <c r="L1786" s="80">
        <f t="shared" si="123"/>
        <v>0.9</v>
      </c>
      <c r="M1786" s="82">
        <f t="shared" si="125"/>
        <v>0</v>
      </c>
      <c r="N1786" s="59"/>
      <c r="AA1786" s="154">
        <f>AB1786/COUNTIFS($B:$B,$B1786,$C:$C,$C1786,$H:$H,$H1786,$I:$I,$I1786)</f>
        <v>0.05</v>
      </c>
      <c r="AB1786" s="155">
        <f>VLOOKUP(I1786,'Weights and Confidence'!$D$16:$AC$26,11,FALSE)</f>
        <v>0.1</v>
      </c>
      <c r="AC1786" s="156">
        <f>VLOOKUP(I1786,'Weights and Confidence'!$D$16:$AC$26,12,FALSE)</f>
        <v>0.9</v>
      </c>
    </row>
    <row r="1787" spans="1:29" x14ac:dyDescent="0.2">
      <c r="A1787" s="77" t="s">
        <v>566</v>
      </c>
      <c r="B1787" s="77" t="s">
        <v>87</v>
      </c>
      <c r="C1787" s="77" t="s">
        <v>608</v>
      </c>
      <c r="D1787" s="77" t="s">
        <v>5</v>
      </c>
      <c r="E1787" s="77" t="s">
        <v>465</v>
      </c>
      <c r="F1787" s="91" t="s">
        <v>609</v>
      </c>
      <c r="G1787" s="77">
        <v>11</v>
      </c>
      <c r="H1787" s="77" t="s">
        <v>18</v>
      </c>
      <c r="I1787" s="77" t="s">
        <v>27</v>
      </c>
      <c r="J1787" s="77">
        <v>0</v>
      </c>
      <c r="K1787" s="79">
        <f>AB1787/COUNTIFS($B:$B,$B1787,$C:$C,$C1787,$H:$H,$H1787,$I:$I,$I1787)</f>
        <v>0.05</v>
      </c>
      <c r="L1787" s="81">
        <f t="shared" si="123"/>
        <v>0.9</v>
      </c>
      <c r="M1787" s="83">
        <f t="shared" si="125"/>
        <v>0</v>
      </c>
      <c r="N1787" s="84"/>
      <c r="AA1787" s="154">
        <f>AB1787/COUNTIFS($B:$B,$B1787,$C:$C,$C1787,$H:$H,$H1787,$I:$I,$I1787)</f>
        <v>0.05</v>
      </c>
      <c r="AB1787" s="155">
        <f>VLOOKUP(I1787,'Weights and Confidence'!$D$16:$AC$26,11,FALSE)</f>
        <v>0.1</v>
      </c>
      <c r="AC1787" s="156">
        <f>VLOOKUP(I1787,'Weights and Confidence'!$D$16:$AC$26,12,FALSE)</f>
        <v>0.9</v>
      </c>
    </row>
    <row r="1788" spans="1:29" x14ac:dyDescent="0.2">
      <c r="A1788" s="77" t="s">
        <v>566</v>
      </c>
      <c r="B1788" s="77" t="s">
        <v>87</v>
      </c>
      <c r="C1788" s="77" t="s">
        <v>608</v>
      </c>
      <c r="D1788" s="77" t="s">
        <v>5</v>
      </c>
      <c r="E1788" s="77" t="s">
        <v>465</v>
      </c>
      <c r="F1788" s="91" t="s">
        <v>609</v>
      </c>
      <c r="G1788" s="77">
        <v>12</v>
      </c>
      <c r="H1788" s="77" t="s">
        <v>17</v>
      </c>
      <c r="I1788" s="77" t="s">
        <v>28</v>
      </c>
      <c r="J1788" s="77">
        <v>-1</v>
      </c>
      <c r="K1788" s="79">
        <f>AB1788/COUNTIFS($B:$B,$B1788,$C:$C,$C1788,$H:$H,$H1788,$I:$I,$I1788)</f>
        <v>0.05</v>
      </c>
      <c r="L1788" s="81">
        <f t="shared" si="123"/>
        <v>1</v>
      </c>
      <c r="M1788" s="83">
        <f>J1788*K1788*L1788</f>
        <v>-0.05</v>
      </c>
      <c r="N1788" s="58"/>
      <c r="AA1788" s="154">
        <f>AB1788/COUNTIFS($B:$B,$B1788,$C:$C,$C1788,$H:$H,$H1788,$I:$I,$I1788)</f>
        <v>0.05</v>
      </c>
      <c r="AB1788" s="155">
        <f>VLOOKUP(I1788,'Weights and Confidence'!$D$16:$AC$26,11,FALSE)</f>
        <v>0.05</v>
      </c>
      <c r="AC1788" s="156">
        <f>VLOOKUP(I1788,'Weights and Confidence'!$D$16:$AC$26,12,FALSE)</f>
        <v>1</v>
      </c>
    </row>
    <row r="1789" spans="1:29" ht="17" thickBot="1" x14ac:dyDescent="0.25">
      <c r="A1789" s="98" t="s">
        <v>566</v>
      </c>
      <c r="B1789" s="98" t="s">
        <v>87</v>
      </c>
      <c r="C1789" s="98" t="s">
        <v>608</v>
      </c>
      <c r="D1789" s="98" t="s">
        <v>5</v>
      </c>
      <c r="E1789" s="98" t="s">
        <v>465</v>
      </c>
      <c r="F1789" s="93" t="s">
        <v>609</v>
      </c>
      <c r="G1789" s="98">
        <v>12</v>
      </c>
      <c r="H1789" s="98" t="s">
        <v>18</v>
      </c>
      <c r="I1789" s="98" t="s">
        <v>28</v>
      </c>
      <c r="J1789" s="98">
        <v>-1</v>
      </c>
      <c r="K1789" s="99">
        <f>AB1789/COUNTIFS($B:$B,$B1789,$C:$C,$C1789,$H:$H,$H1789,$I:$I,$I1789)</f>
        <v>0.05</v>
      </c>
      <c r="L1789" s="100">
        <f t="shared" si="123"/>
        <v>1</v>
      </c>
      <c r="M1789" s="101">
        <f>J1789*K1789*L1789</f>
        <v>-0.05</v>
      </c>
      <c r="N1789" s="22" t="s">
        <v>612</v>
      </c>
      <c r="AA1789" s="157">
        <f>AB1789/COUNTIFS($B:$B,$B1789,$C:$C,$C1789,$H:$H,$H1789,$I:$I,$I1789)</f>
        <v>0.05</v>
      </c>
      <c r="AB1789" s="158">
        <f>VLOOKUP(I1789,'Weights and Confidence'!$D$16:$AC$26,11,FALSE)</f>
        <v>0.05</v>
      </c>
      <c r="AC1789" s="159">
        <f>VLOOKUP(I1789,'Weights and Confidence'!$D$16:$AC$26,12,FALSE)</f>
        <v>1</v>
      </c>
    </row>
    <row r="1790" spans="1:29" ht="17" thickTop="1" x14ac:dyDescent="0.2">
      <c r="A1790" s="86" t="s">
        <v>566</v>
      </c>
      <c r="B1790" s="86" t="s">
        <v>87</v>
      </c>
      <c r="C1790" s="86" t="s">
        <v>613</v>
      </c>
      <c r="D1790" s="86" t="s">
        <v>5</v>
      </c>
      <c r="E1790" s="86" t="s">
        <v>103</v>
      </c>
      <c r="F1790" s="18" t="s">
        <v>614</v>
      </c>
      <c r="G1790" s="86">
        <v>1</v>
      </c>
      <c r="H1790" s="86" t="s">
        <v>17</v>
      </c>
      <c r="I1790" s="86" t="s">
        <v>19</v>
      </c>
      <c r="J1790" s="97">
        <v>1</v>
      </c>
      <c r="K1790" s="87">
        <f>AB1790/COUNTIFS($B:$B,$B1790,$C:$C,$C1790,$H:$H,$H1790,$I:$I,$I1790)</f>
        <v>0.12</v>
      </c>
      <c r="L1790" s="88">
        <f t="shared" ref="L1790:L1813" si="126">AC1790</f>
        <v>1</v>
      </c>
      <c r="M1790" s="89">
        <f t="shared" ref="M1790" si="127">J1790*K1790*L1790</f>
        <v>0.12</v>
      </c>
      <c r="N1790" s="90"/>
      <c r="AA1790" s="154">
        <f>AB1790/COUNTIFS($B:$B,$B1790,$C:$C,$C1790,$H:$H,$H1790,$I:$I,$I1790)</f>
        <v>0.12</v>
      </c>
      <c r="AB1790" s="155">
        <f>VLOOKUP(I1790,'Weights and Confidence'!$D$16:$AC$26,11,FALSE)</f>
        <v>0.12</v>
      </c>
      <c r="AC1790" s="156">
        <f>VLOOKUP(I1790,'Weights and Confidence'!$D$16:$AC$26,12,FALSE)</f>
        <v>1</v>
      </c>
    </row>
    <row r="1791" spans="1:29" x14ac:dyDescent="0.2">
      <c r="A1791" s="77" t="s">
        <v>566</v>
      </c>
      <c r="B1791" s="77" t="s">
        <v>87</v>
      </c>
      <c r="C1791" s="77" t="s">
        <v>613</v>
      </c>
      <c r="D1791" s="77" t="s">
        <v>5</v>
      </c>
      <c r="E1791" s="77" t="s">
        <v>103</v>
      </c>
      <c r="F1791" s="91" t="s">
        <v>614</v>
      </c>
      <c r="G1791" s="77">
        <v>1</v>
      </c>
      <c r="H1791" s="77" t="s">
        <v>18</v>
      </c>
      <c r="I1791" s="77" t="s">
        <v>19</v>
      </c>
      <c r="J1791" s="77">
        <v>1</v>
      </c>
      <c r="K1791" s="79">
        <f>AB1791/COUNTIFS($B:$B,$B1791,$C:$C,$C1791,$H:$H,$H1791,$I:$I,$I1791)</f>
        <v>0.12</v>
      </c>
      <c r="L1791" s="81">
        <f t="shared" si="126"/>
        <v>1</v>
      </c>
      <c r="M1791" s="83">
        <f>J1790*K1791*L1791</f>
        <v>0.12</v>
      </c>
      <c r="N1791" s="84"/>
      <c r="AA1791" s="154">
        <f>AB1791/COUNTIFS($B:$B,$B1791,$C:$C,$C1791,$H:$H,$H1791,$I:$I,$I1791)</f>
        <v>0.12</v>
      </c>
      <c r="AB1791" s="155">
        <f>VLOOKUP(I1791,'Weights and Confidence'!$D$16:$AC$26,11,FALSE)</f>
        <v>0.12</v>
      </c>
      <c r="AC1791" s="156">
        <f>VLOOKUP(I1791,'Weights and Confidence'!$D$16:$AC$26,12,FALSE)</f>
        <v>1</v>
      </c>
    </row>
    <row r="1792" spans="1:29" x14ac:dyDescent="0.2">
      <c r="A1792" s="76" t="s">
        <v>566</v>
      </c>
      <c r="B1792" s="76" t="s">
        <v>87</v>
      </c>
      <c r="C1792" s="76" t="s">
        <v>613</v>
      </c>
      <c r="D1792" s="76" t="s">
        <v>5</v>
      </c>
      <c r="E1792" s="76" t="s">
        <v>103</v>
      </c>
      <c r="F1792" s="91" t="s">
        <v>614</v>
      </c>
      <c r="G1792" s="76">
        <v>2</v>
      </c>
      <c r="H1792" s="76" t="s">
        <v>17</v>
      </c>
      <c r="I1792" s="76" t="s">
        <v>20</v>
      </c>
      <c r="J1792" s="76">
        <v>1</v>
      </c>
      <c r="K1792" s="78">
        <f>AB1792/COUNTIFS($B:$B,$B1792,$C:$C,$C1792,$H:$H,$H1792,$I:$I,$I1792)</f>
        <v>0.08</v>
      </c>
      <c r="L1792" s="80">
        <f t="shared" si="126"/>
        <v>0.9</v>
      </c>
      <c r="M1792" s="82">
        <f t="shared" ref="M1792:M1811" si="128">J1792*K1792*L1792</f>
        <v>7.2000000000000008E-2</v>
      </c>
      <c r="N1792" s="59"/>
      <c r="AA1792" s="154">
        <f>AB1792/COUNTIFS($B:$B,$B1792,$C:$C,$C1792,$H:$H,$H1792,$I:$I,$I1792)</f>
        <v>0.08</v>
      </c>
      <c r="AB1792" s="155">
        <f>VLOOKUP(I1792,'Weights and Confidence'!$D$16:$AC$26,11,FALSE)</f>
        <v>0.08</v>
      </c>
      <c r="AC1792" s="156">
        <f>VLOOKUP(I1792,'Weights and Confidence'!$D$16:$AC$26,12,FALSE)</f>
        <v>0.9</v>
      </c>
    </row>
    <row r="1793" spans="1:29" x14ac:dyDescent="0.2">
      <c r="A1793" s="77" t="s">
        <v>566</v>
      </c>
      <c r="B1793" s="77" t="s">
        <v>87</v>
      </c>
      <c r="C1793" s="77" t="s">
        <v>613</v>
      </c>
      <c r="D1793" s="77" t="s">
        <v>5</v>
      </c>
      <c r="E1793" s="77" t="s">
        <v>103</v>
      </c>
      <c r="F1793" s="91" t="s">
        <v>614</v>
      </c>
      <c r="G1793" s="77">
        <v>2</v>
      </c>
      <c r="H1793" s="77" t="s">
        <v>18</v>
      </c>
      <c r="I1793" s="77" t="s">
        <v>20</v>
      </c>
      <c r="J1793" s="77">
        <v>1</v>
      </c>
      <c r="K1793" s="79">
        <f>AB1793/COUNTIFS($B:$B,$B1793,$C:$C,$C1793,$H:$H,$H1793,$I:$I,$I1793)</f>
        <v>0.08</v>
      </c>
      <c r="L1793" s="81">
        <f t="shared" si="126"/>
        <v>0.9</v>
      </c>
      <c r="M1793" s="83">
        <f t="shared" si="128"/>
        <v>7.2000000000000008E-2</v>
      </c>
      <c r="N1793" s="84"/>
      <c r="AA1793" s="154">
        <f>AB1793/COUNTIFS($B:$B,$B1793,$C:$C,$C1793,$H:$H,$H1793,$I:$I,$I1793)</f>
        <v>0.08</v>
      </c>
      <c r="AB1793" s="155">
        <f>VLOOKUP(I1793,'Weights and Confidence'!$D$16:$AC$26,11,FALSE)</f>
        <v>0.08</v>
      </c>
      <c r="AC1793" s="156">
        <f>VLOOKUP(I1793,'Weights and Confidence'!$D$16:$AC$26,12,FALSE)</f>
        <v>0.9</v>
      </c>
    </row>
    <row r="1794" spans="1:29" x14ac:dyDescent="0.2">
      <c r="A1794" s="76" t="s">
        <v>566</v>
      </c>
      <c r="B1794" s="76" t="s">
        <v>87</v>
      </c>
      <c r="C1794" s="76" t="s">
        <v>613</v>
      </c>
      <c r="D1794" s="76" t="s">
        <v>5</v>
      </c>
      <c r="E1794" s="76" t="s">
        <v>103</v>
      </c>
      <c r="F1794" s="91" t="s">
        <v>614</v>
      </c>
      <c r="G1794" s="76">
        <v>3</v>
      </c>
      <c r="H1794" s="76" t="s">
        <v>17</v>
      </c>
      <c r="I1794" s="76" t="s">
        <v>21</v>
      </c>
      <c r="J1794" s="76">
        <v>1</v>
      </c>
      <c r="K1794" s="78">
        <f>AB1794/COUNTIFS($B:$B,$B1794,$C:$C,$C1794,$H:$H,$H1794,$I:$I,$I1794)</f>
        <v>0.05</v>
      </c>
      <c r="L1794" s="80">
        <f t="shared" si="126"/>
        <v>1</v>
      </c>
      <c r="M1794" s="82">
        <f t="shared" si="128"/>
        <v>0.05</v>
      </c>
      <c r="N1794" s="59"/>
      <c r="AA1794" s="154">
        <f>AB1794/COUNTIFS($B:$B,$B1794,$C:$C,$C1794,$H:$H,$H1794,$I:$I,$I1794)</f>
        <v>0.05</v>
      </c>
      <c r="AB1794" s="155">
        <f>VLOOKUP(I1794,'Weights and Confidence'!$D$16:$AC$26,11,FALSE)</f>
        <v>0.05</v>
      </c>
      <c r="AC1794" s="156">
        <f>VLOOKUP(I1794,'Weights and Confidence'!$D$16:$AC$26,12,FALSE)</f>
        <v>1</v>
      </c>
    </row>
    <row r="1795" spans="1:29" x14ac:dyDescent="0.2">
      <c r="A1795" s="77" t="s">
        <v>566</v>
      </c>
      <c r="B1795" s="77" t="s">
        <v>87</v>
      </c>
      <c r="C1795" s="77" t="s">
        <v>613</v>
      </c>
      <c r="D1795" s="77" t="s">
        <v>5</v>
      </c>
      <c r="E1795" s="77" t="s">
        <v>103</v>
      </c>
      <c r="F1795" s="91" t="s">
        <v>614</v>
      </c>
      <c r="G1795" s="77">
        <v>3</v>
      </c>
      <c r="H1795" s="77" t="s">
        <v>18</v>
      </c>
      <c r="I1795" s="77" t="s">
        <v>21</v>
      </c>
      <c r="J1795" s="77">
        <v>1</v>
      </c>
      <c r="K1795" s="79">
        <f>AB1795/COUNTIFS($B:$B,$B1795,$C:$C,$C1795,$H:$H,$H1795,$I:$I,$I1795)</f>
        <v>0.05</v>
      </c>
      <c r="L1795" s="81">
        <f t="shared" si="126"/>
        <v>1</v>
      </c>
      <c r="M1795" s="83">
        <f t="shared" si="128"/>
        <v>0.05</v>
      </c>
      <c r="N1795" s="84"/>
      <c r="AA1795" s="154">
        <f>AB1795/COUNTIFS($B:$B,$B1795,$C:$C,$C1795,$H:$H,$H1795,$I:$I,$I1795)</f>
        <v>0.05</v>
      </c>
      <c r="AB1795" s="155">
        <f>VLOOKUP(I1795,'Weights and Confidence'!$D$16:$AC$26,11,FALSE)</f>
        <v>0.05</v>
      </c>
      <c r="AC1795" s="156">
        <f>VLOOKUP(I1795,'Weights and Confidence'!$D$16:$AC$26,12,FALSE)</f>
        <v>1</v>
      </c>
    </row>
    <row r="1796" spans="1:29" x14ac:dyDescent="0.2">
      <c r="A1796" s="76" t="s">
        <v>566</v>
      </c>
      <c r="B1796" s="76" t="s">
        <v>87</v>
      </c>
      <c r="C1796" s="76" t="s">
        <v>613</v>
      </c>
      <c r="D1796" s="76" t="s">
        <v>5</v>
      </c>
      <c r="E1796" s="76" t="s">
        <v>103</v>
      </c>
      <c r="F1796" s="91" t="s">
        <v>614</v>
      </c>
      <c r="G1796" s="76">
        <v>4</v>
      </c>
      <c r="H1796" s="76" t="s">
        <v>17</v>
      </c>
      <c r="I1796" s="76" t="s">
        <v>22</v>
      </c>
      <c r="J1796" s="76">
        <v>0</v>
      </c>
      <c r="K1796" s="78">
        <f>AB1796/COUNTIFS($B:$B,$B1796,$C:$C,$C1796,$H:$H,$H1796,$I:$I,$I1796)</f>
        <v>0.1</v>
      </c>
      <c r="L1796" s="80">
        <f t="shared" si="126"/>
        <v>1</v>
      </c>
      <c r="M1796" s="82">
        <f t="shared" si="128"/>
        <v>0</v>
      </c>
      <c r="N1796" s="59"/>
      <c r="AA1796" s="154">
        <f>AB1796/COUNTIFS($B:$B,$B1796,$C:$C,$C1796,$H:$H,$H1796,$I:$I,$I1796)</f>
        <v>0.1</v>
      </c>
      <c r="AB1796" s="155">
        <f>VLOOKUP(I1796,'Weights and Confidence'!$D$16:$AC$26,11,FALSE)</f>
        <v>0.1</v>
      </c>
      <c r="AC1796" s="156">
        <f>VLOOKUP(I1796,'Weights and Confidence'!$D$16:$AC$26,12,FALSE)</f>
        <v>1</v>
      </c>
    </row>
    <row r="1797" spans="1:29" x14ac:dyDescent="0.2">
      <c r="A1797" s="77" t="s">
        <v>566</v>
      </c>
      <c r="B1797" s="77" t="s">
        <v>87</v>
      </c>
      <c r="C1797" s="77" t="s">
        <v>613</v>
      </c>
      <c r="D1797" s="77" t="s">
        <v>5</v>
      </c>
      <c r="E1797" s="77" t="s">
        <v>103</v>
      </c>
      <c r="F1797" s="91" t="s">
        <v>614</v>
      </c>
      <c r="G1797" s="77">
        <v>4</v>
      </c>
      <c r="H1797" s="77" t="s">
        <v>18</v>
      </c>
      <c r="I1797" s="77" t="s">
        <v>22</v>
      </c>
      <c r="J1797" s="77">
        <v>1</v>
      </c>
      <c r="K1797" s="79">
        <f>AB1797/COUNTIFS($B:$B,$B1797,$C:$C,$C1797,$H:$H,$H1797,$I:$I,$I1797)</f>
        <v>0.1</v>
      </c>
      <c r="L1797" s="81">
        <f t="shared" si="126"/>
        <v>1</v>
      </c>
      <c r="M1797" s="83">
        <f t="shared" si="128"/>
        <v>0.1</v>
      </c>
      <c r="N1797" s="17" t="s">
        <v>615</v>
      </c>
      <c r="AA1797" s="154">
        <f>AB1797/COUNTIFS($B:$B,$B1797,$C:$C,$C1797,$H:$H,$H1797,$I:$I,$I1797)</f>
        <v>0.1</v>
      </c>
      <c r="AB1797" s="155">
        <f>VLOOKUP(I1797,'Weights and Confidence'!$D$16:$AC$26,11,FALSE)</f>
        <v>0.1</v>
      </c>
      <c r="AC1797" s="156">
        <f>VLOOKUP(I1797,'Weights and Confidence'!$D$16:$AC$26,12,FALSE)</f>
        <v>1</v>
      </c>
    </row>
    <row r="1798" spans="1:29" x14ac:dyDescent="0.2">
      <c r="A1798" s="76" t="s">
        <v>566</v>
      </c>
      <c r="B1798" s="76" t="s">
        <v>87</v>
      </c>
      <c r="C1798" s="76" t="s">
        <v>613</v>
      </c>
      <c r="D1798" s="76" t="s">
        <v>5</v>
      </c>
      <c r="E1798" s="76" t="s">
        <v>103</v>
      </c>
      <c r="F1798" s="91" t="s">
        <v>614</v>
      </c>
      <c r="G1798" s="76">
        <v>5</v>
      </c>
      <c r="H1798" s="76" t="s">
        <v>17</v>
      </c>
      <c r="I1798" s="76" t="s">
        <v>34</v>
      </c>
      <c r="J1798" s="76">
        <v>0</v>
      </c>
      <c r="K1798" s="78">
        <f>AB1798/COUNTIFS($B:$B,$B1798,$C:$C,$C1798,$H:$H,$H1798,$I:$I,$I1798)</f>
        <v>0.08</v>
      </c>
      <c r="L1798" s="80">
        <f t="shared" si="126"/>
        <v>1</v>
      </c>
      <c r="M1798" s="82">
        <f t="shared" si="128"/>
        <v>0</v>
      </c>
      <c r="N1798" s="84"/>
      <c r="AA1798" s="154">
        <f>AB1798/COUNTIFS($B:$B,$B1798,$C:$C,$C1798,$H:$H,$H1798,$I:$I,$I1798)</f>
        <v>0.08</v>
      </c>
      <c r="AB1798" s="155">
        <f>VLOOKUP(I1798,'Weights and Confidence'!$D$16:$AC$26,11,FALSE)</f>
        <v>0.08</v>
      </c>
      <c r="AC1798" s="156">
        <f>VLOOKUP(I1798,'Weights and Confidence'!$D$16:$AC$26,12,FALSE)</f>
        <v>1</v>
      </c>
    </row>
    <row r="1799" spans="1:29" x14ac:dyDescent="0.2">
      <c r="A1799" s="77" t="s">
        <v>566</v>
      </c>
      <c r="B1799" s="77" t="s">
        <v>87</v>
      </c>
      <c r="C1799" s="77" t="s">
        <v>613</v>
      </c>
      <c r="D1799" s="77" t="s">
        <v>5</v>
      </c>
      <c r="E1799" s="77" t="s">
        <v>103</v>
      </c>
      <c r="F1799" s="91" t="s">
        <v>614</v>
      </c>
      <c r="G1799" s="77">
        <v>5</v>
      </c>
      <c r="H1799" s="77" t="s">
        <v>18</v>
      </c>
      <c r="I1799" s="77" t="s">
        <v>34</v>
      </c>
      <c r="J1799" s="77">
        <v>1</v>
      </c>
      <c r="K1799" s="79">
        <f>AB1799/COUNTIFS($B:$B,$B1799,$C:$C,$C1799,$H:$H,$H1799,$I:$I,$I1799)</f>
        <v>0.08</v>
      </c>
      <c r="L1799" s="81">
        <f t="shared" si="126"/>
        <v>1</v>
      </c>
      <c r="M1799" s="83">
        <f t="shared" si="128"/>
        <v>0.08</v>
      </c>
      <c r="N1799" s="17" t="s">
        <v>616</v>
      </c>
      <c r="AA1799" s="154">
        <f>AB1799/COUNTIFS($B:$B,$B1799,$C:$C,$C1799,$H:$H,$H1799,$I:$I,$I1799)</f>
        <v>0.08</v>
      </c>
      <c r="AB1799" s="155">
        <f>VLOOKUP(I1799,'Weights and Confidence'!$D$16:$AC$26,11,FALSE)</f>
        <v>0.08</v>
      </c>
      <c r="AC1799" s="156">
        <f>VLOOKUP(I1799,'Weights and Confidence'!$D$16:$AC$26,12,FALSE)</f>
        <v>1</v>
      </c>
    </row>
    <row r="1800" spans="1:29" x14ac:dyDescent="0.2">
      <c r="A1800" s="76" t="s">
        <v>566</v>
      </c>
      <c r="B1800" s="76" t="s">
        <v>87</v>
      </c>
      <c r="C1800" s="76" t="s">
        <v>613</v>
      </c>
      <c r="D1800" s="76" t="s">
        <v>5</v>
      </c>
      <c r="E1800" s="76" t="s">
        <v>103</v>
      </c>
      <c r="F1800" s="91" t="s">
        <v>614</v>
      </c>
      <c r="G1800" s="76">
        <v>6</v>
      </c>
      <c r="H1800" s="76" t="s">
        <v>17</v>
      </c>
      <c r="I1800" s="76" t="s">
        <v>23</v>
      </c>
      <c r="J1800" s="76">
        <v>0</v>
      </c>
      <c r="K1800" s="78">
        <f>AB1800/COUNTIFS($B:$B,$B1800,$C:$C,$C1800,$H:$H,$H1800,$I:$I,$I1800)</f>
        <v>7.0000000000000007E-2</v>
      </c>
      <c r="L1800" s="80">
        <f t="shared" si="126"/>
        <v>1</v>
      </c>
      <c r="M1800" s="82">
        <f t="shared" si="128"/>
        <v>0</v>
      </c>
      <c r="N1800" s="59"/>
      <c r="AA1800" s="154">
        <f>AB1800/COUNTIFS($B:$B,$B1800,$C:$C,$C1800,$H:$H,$H1800,$I:$I,$I1800)</f>
        <v>7.0000000000000007E-2</v>
      </c>
      <c r="AB1800" s="155">
        <f>VLOOKUP(I1800,'Weights and Confidence'!$D$16:$AC$26,11,FALSE)</f>
        <v>7.0000000000000007E-2</v>
      </c>
      <c r="AC1800" s="156">
        <f>VLOOKUP(I1800,'Weights and Confidence'!$D$16:$AC$26,12,FALSE)</f>
        <v>1</v>
      </c>
    </row>
    <row r="1801" spans="1:29" x14ac:dyDescent="0.2">
      <c r="A1801" s="77" t="s">
        <v>566</v>
      </c>
      <c r="B1801" s="77" t="s">
        <v>87</v>
      </c>
      <c r="C1801" s="77" t="s">
        <v>613</v>
      </c>
      <c r="D1801" s="77" t="s">
        <v>5</v>
      </c>
      <c r="E1801" s="77" t="s">
        <v>103</v>
      </c>
      <c r="F1801" s="91" t="s">
        <v>614</v>
      </c>
      <c r="G1801" s="77">
        <v>6</v>
      </c>
      <c r="H1801" s="77" t="s">
        <v>18</v>
      </c>
      <c r="I1801" s="77" t="s">
        <v>23</v>
      </c>
      <c r="J1801" s="77">
        <v>1</v>
      </c>
      <c r="K1801" s="79">
        <f>AB1801/COUNTIFS($B:$B,$B1801,$C:$C,$C1801,$H:$H,$H1801,$I:$I,$I1801)</f>
        <v>7.0000000000000007E-2</v>
      </c>
      <c r="L1801" s="81">
        <f t="shared" si="126"/>
        <v>1</v>
      </c>
      <c r="M1801" s="83">
        <f t="shared" si="128"/>
        <v>7.0000000000000007E-2</v>
      </c>
      <c r="N1801" s="17" t="s">
        <v>617</v>
      </c>
      <c r="AA1801" s="154">
        <f>AB1801/COUNTIFS($B:$B,$B1801,$C:$C,$C1801,$H:$H,$H1801,$I:$I,$I1801)</f>
        <v>7.0000000000000007E-2</v>
      </c>
      <c r="AB1801" s="155">
        <f>VLOOKUP(I1801,'Weights and Confidence'!$D$16:$AC$26,11,FALSE)</f>
        <v>7.0000000000000007E-2</v>
      </c>
      <c r="AC1801" s="156">
        <f>VLOOKUP(I1801,'Weights and Confidence'!$D$16:$AC$26,12,FALSE)</f>
        <v>1</v>
      </c>
    </row>
    <row r="1802" spans="1:29" x14ac:dyDescent="0.2">
      <c r="A1802" s="76" t="s">
        <v>566</v>
      </c>
      <c r="B1802" s="76" t="s">
        <v>87</v>
      </c>
      <c r="C1802" s="76" t="s">
        <v>613</v>
      </c>
      <c r="D1802" s="76" t="s">
        <v>5</v>
      </c>
      <c r="E1802" s="76" t="s">
        <v>103</v>
      </c>
      <c r="F1802" s="91" t="s">
        <v>614</v>
      </c>
      <c r="G1802" s="76">
        <v>7</v>
      </c>
      <c r="H1802" s="76" t="s">
        <v>17</v>
      </c>
      <c r="I1802" s="76" t="s">
        <v>24</v>
      </c>
      <c r="J1802" s="76">
        <v>0</v>
      </c>
      <c r="K1802" s="78">
        <f>AB1802/COUNTIFS($B:$B,$B1802,$C:$C,$C1802,$H:$H,$H1802,$I:$I,$I1802)</f>
        <v>0.15</v>
      </c>
      <c r="L1802" s="80">
        <f t="shared" si="126"/>
        <v>1</v>
      </c>
      <c r="M1802" s="82">
        <f t="shared" si="128"/>
        <v>0</v>
      </c>
      <c r="N1802" s="59"/>
      <c r="AA1802" s="154">
        <f>AB1802/COUNTIFS($B:$B,$B1802,$C:$C,$C1802,$H:$H,$H1802,$I:$I,$I1802)</f>
        <v>0.15</v>
      </c>
      <c r="AB1802" s="155">
        <f>VLOOKUP(I1802,'Weights and Confidence'!$D$16:$AC$26,11,FALSE)</f>
        <v>0.15</v>
      </c>
      <c r="AC1802" s="156">
        <f>VLOOKUP(I1802,'Weights and Confidence'!$D$16:$AC$26,12,FALSE)</f>
        <v>1</v>
      </c>
    </row>
    <row r="1803" spans="1:29" x14ac:dyDescent="0.2">
      <c r="A1803" s="77" t="s">
        <v>566</v>
      </c>
      <c r="B1803" s="77" t="s">
        <v>87</v>
      </c>
      <c r="C1803" s="77" t="s">
        <v>613</v>
      </c>
      <c r="D1803" s="77" t="s">
        <v>5</v>
      </c>
      <c r="E1803" s="77" t="s">
        <v>103</v>
      </c>
      <c r="F1803" s="91" t="s">
        <v>614</v>
      </c>
      <c r="G1803" s="77">
        <v>7</v>
      </c>
      <c r="H1803" s="77" t="s">
        <v>18</v>
      </c>
      <c r="I1803" s="77" t="s">
        <v>24</v>
      </c>
      <c r="J1803" s="77">
        <v>1</v>
      </c>
      <c r="K1803" s="79">
        <f>AB1803/COUNTIFS($B:$B,$B1803,$C:$C,$C1803,$H:$H,$H1803,$I:$I,$I1803)</f>
        <v>0.15</v>
      </c>
      <c r="L1803" s="81">
        <f t="shared" si="126"/>
        <v>1</v>
      </c>
      <c r="M1803" s="83">
        <f t="shared" si="128"/>
        <v>0.15</v>
      </c>
      <c r="N1803" s="84"/>
      <c r="AA1803" s="154">
        <f>AB1803/COUNTIFS($B:$B,$B1803,$C:$C,$C1803,$H:$H,$H1803,$I:$I,$I1803)</f>
        <v>0.15</v>
      </c>
      <c r="AB1803" s="155">
        <f>VLOOKUP(I1803,'Weights and Confidence'!$D$16:$AC$26,11,FALSE)</f>
        <v>0.15</v>
      </c>
      <c r="AC1803" s="156">
        <f>VLOOKUP(I1803,'Weights and Confidence'!$D$16:$AC$26,12,FALSE)</f>
        <v>1</v>
      </c>
    </row>
    <row r="1804" spans="1:29" x14ac:dyDescent="0.2">
      <c r="A1804" s="76" t="s">
        <v>566</v>
      </c>
      <c r="B1804" s="76" t="s">
        <v>87</v>
      </c>
      <c r="C1804" s="76" t="s">
        <v>613</v>
      </c>
      <c r="D1804" s="76" t="s">
        <v>5</v>
      </c>
      <c r="E1804" s="76" t="s">
        <v>103</v>
      </c>
      <c r="F1804" s="91" t="s">
        <v>614</v>
      </c>
      <c r="G1804" s="76">
        <v>8</v>
      </c>
      <c r="H1804" s="76" t="s">
        <v>17</v>
      </c>
      <c r="I1804" s="76" t="s">
        <v>25</v>
      </c>
      <c r="J1804" s="76">
        <v>0</v>
      </c>
      <c r="K1804" s="78">
        <f>AB1804/COUNTIFS($B:$B,$B1804,$C:$C,$C1804,$H:$H,$H1804,$I:$I,$I1804)</f>
        <v>0.1</v>
      </c>
      <c r="L1804" s="80">
        <f t="shared" si="126"/>
        <v>1</v>
      </c>
      <c r="M1804" s="82">
        <f t="shared" si="128"/>
        <v>0</v>
      </c>
      <c r="N1804" s="59"/>
      <c r="AA1804" s="154">
        <f>AB1804/COUNTIFS($B:$B,$B1804,$C:$C,$C1804,$H:$H,$H1804,$I:$I,$I1804)</f>
        <v>0.1</v>
      </c>
      <c r="AB1804" s="155">
        <f>VLOOKUP(I1804,'Weights and Confidence'!$D$16:$AC$26,11,FALSE)</f>
        <v>0.1</v>
      </c>
      <c r="AC1804" s="156">
        <f>VLOOKUP(I1804,'Weights and Confidence'!$D$16:$AC$26,12,FALSE)</f>
        <v>1</v>
      </c>
    </row>
    <row r="1805" spans="1:29" x14ac:dyDescent="0.2">
      <c r="A1805" s="77" t="s">
        <v>566</v>
      </c>
      <c r="B1805" s="77" t="s">
        <v>87</v>
      </c>
      <c r="C1805" s="77" t="s">
        <v>613</v>
      </c>
      <c r="D1805" s="77" t="s">
        <v>5</v>
      </c>
      <c r="E1805" s="77" t="s">
        <v>103</v>
      </c>
      <c r="F1805" s="91" t="s">
        <v>614</v>
      </c>
      <c r="G1805" s="77">
        <v>8</v>
      </c>
      <c r="H1805" s="77" t="s">
        <v>18</v>
      </c>
      <c r="I1805" s="77" t="s">
        <v>25</v>
      </c>
      <c r="J1805" s="77">
        <v>0</v>
      </c>
      <c r="K1805" s="79">
        <f>AB1805/COUNTIFS($B:$B,$B1805,$C:$C,$C1805,$H:$H,$H1805,$I:$I,$I1805)</f>
        <v>0.1</v>
      </c>
      <c r="L1805" s="81">
        <f t="shared" si="126"/>
        <v>1</v>
      </c>
      <c r="M1805" s="83">
        <f t="shared" si="128"/>
        <v>0</v>
      </c>
      <c r="N1805" s="17" t="s">
        <v>618</v>
      </c>
      <c r="AA1805" s="154">
        <f>AB1805/COUNTIFS($B:$B,$B1805,$C:$C,$C1805,$H:$H,$H1805,$I:$I,$I1805)</f>
        <v>0.1</v>
      </c>
      <c r="AB1805" s="155">
        <f>VLOOKUP(I1805,'Weights and Confidence'!$D$16:$AC$26,11,FALSE)</f>
        <v>0.1</v>
      </c>
      <c r="AC1805" s="156">
        <f>VLOOKUP(I1805,'Weights and Confidence'!$D$16:$AC$26,12,FALSE)</f>
        <v>1</v>
      </c>
    </row>
    <row r="1806" spans="1:29" x14ac:dyDescent="0.2">
      <c r="A1806" s="76" t="s">
        <v>566</v>
      </c>
      <c r="B1806" s="76" t="s">
        <v>87</v>
      </c>
      <c r="C1806" s="76" t="s">
        <v>613</v>
      </c>
      <c r="D1806" s="76" t="s">
        <v>5</v>
      </c>
      <c r="E1806" s="76" t="s">
        <v>103</v>
      </c>
      <c r="F1806" s="91" t="s">
        <v>614</v>
      </c>
      <c r="G1806" s="76">
        <v>9</v>
      </c>
      <c r="H1806" s="76" t="s">
        <v>17</v>
      </c>
      <c r="I1806" s="76" t="s">
        <v>26</v>
      </c>
      <c r="J1806" s="76">
        <v>0</v>
      </c>
      <c r="K1806" s="78">
        <f>AB1806/COUNTIFS($B:$B,$B1806,$C:$C,$C1806,$H:$H,$H1806,$I:$I,$I1806)</f>
        <v>0.1</v>
      </c>
      <c r="L1806" s="80">
        <f t="shared" si="126"/>
        <v>1</v>
      </c>
      <c r="M1806" s="82">
        <f t="shared" si="128"/>
        <v>0</v>
      </c>
      <c r="N1806" s="59"/>
      <c r="AA1806" s="154">
        <f>AB1806/COUNTIFS($B:$B,$B1806,$C:$C,$C1806,$H:$H,$H1806,$I:$I,$I1806)</f>
        <v>0.1</v>
      </c>
      <c r="AB1806" s="155">
        <f>VLOOKUP(I1806,'Weights and Confidence'!$D$16:$AC$26,11,FALSE)</f>
        <v>0.1</v>
      </c>
      <c r="AC1806" s="156">
        <f>VLOOKUP(I1806,'Weights and Confidence'!$D$16:$AC$26,12,FALSE)</f>
        <v>1</v>
      </c>
    </row>
    <row r="1807" spans="1:29" x14ac:dyDescent="0.2">
      <c r="A1807" s="77" t="s">
        <v>566</v>
      </c>
      <c r="B1807" s="77" t="s">
        <v>87</v>
      </c>
      <c r="C1807" s="77" t="s">
        <v>613</v>
      </c>
      <c r="D1807" s="77" t="s">
        <v>5</v>
      </c>
      <c r="E1807" s="77" t="s">
        <v>103</v>
      </c>
      <c r="F1807" s="91" t="s">
        <v>614</v>
      </c>
      <c r="G1807" s="77">
        <v>9</v>
      </c>
      <c r="H1807" s="77" t="s">
        <v>18</v>
      </c>
      <c r="I1807" s="77" t="s">
        <v>26</v>
      </c>
      <c r="J1807" s="77">
        <v>1</v>
      </c>
      <c r="K1807" s="79">
        <f>AB1807/COUNTIFS($B:$B,$B1807,$C:$C,$C1807,$H:$H,$H1807,$I:$I,$I1807)</f>
        <v>0.1</v>
      </c>
      <c r="L1807" s="81">
        <f t="shared" si="126"/>
        <v>1</v>
      </c>
      <c r="M1807" s="83">
        <f t="shared" si="128"/>
        <v>0.1</v>
      </c>
      <c r="N1807" s="84"/>
      <c r="AA1807" s="154">
        <f>AB1807/COUNTIFS($B:$B,$B1807,$C:$C,$C1807,$H:$H,$H1807,$I:$I,$I1807)</f>
        <v>0.1</v>
      </c>
      <c r="AB1807" s="155">
        <f>VLOOKUP(I1807,'Weights and Confidence'!$D$16:$AC$26,11,FALSE)</f>
        <v>0.1</v>
      </c>
      <c r="AC1807" s="156">
        <f>VLOOKUP(I1807,'Weights and Confidence'!$D$16:$AC$26,12,FALSE)</f>
        <v>1</v>
      </c>
    </row>
    <row r="1808" spans="1:29" x14ac:dyDescent="0.2">
      <c r="A1808" s="76" t="s">
        <v>566</v>
      </c>
      <c r="B1808" s="76" t="s">
        <v>87</v>
      </c>
      <c r="C1808" s="76" t="s">
        <v>613</v>
      </c>
      <c r="D1808" s="76" t="s">
        <v>5</v>
      </c>
      <c r="E1808" s="76" t="s">
        <v>103</v>
      </c>
      <c r="F1808" s="91" t="s">
        <v>614</v>
      </c>
      <c r="G1808" s="76">
        <v>10</v>
      </c>
      <c r="H1808" s="76" t="s">
        <v>17</v>
      </c>
      <c r="I1808" s="76" t="s">
        <v>27</v>
      </c>
      <c r="J1808" s="76">
        <v>0</v>
      </c>
      <c r="K1808" s="78">
        <f>AB1808/COUNTIFS($B:$B,$B1808,$C:$C,$C1808,$H:$H,$H1808,$I:$I,$I1808)</f>
        <v>0.05</v>
      </c>
      <c r="L1808" s="80">
        <f t="shared" si="126"/>
        <v>0.9</v>
      </c>
      <c r="M1808" s="82">
        <f t="shared" si="128"/>
        <v>0</v>
      </c>
      <c r="N1808" s="59"/>
      <c r="AA1808" s="154">
        <f>AB1808/COUNTIFS($B:$B,$B1808,$C:$C,$C1808,$H:$H,$H1808,$I:$I,$I1808)</f>
        <v>0.05</v>
      </c>
      <c r="AB1808" s="155">
        <f>VLOOKUP(I1808,'Weights and Confidence'!$D$16:$AC$26,11,FALSE)</f>
        <v>0.1</v>
      </c>
      <c r="AC1808" s="156">
        <f>VLOOKUP(I1808,'Weights and Confidence'!$D$16:$AC$26,12,FALSE)</f>
        <v>0.9</v>
      </c>
    </row>
    <row r="1809" spans="1:29" x14ac:dyDescent="0.2">
      <c r="A1809" s="77" t="s">
        <v>566</v>
      </c>
      <c r="B1809" s="77" t="s">
        <v>87</v>
      </c>
      <c r="C1809" s="77" t="s">
        <v>613</v>
      </c>
      <c r="D1809" s="77" t="s">
        <v>5</v>
      </c>
      <c r="E1809" s="77" t="s">
        <v>103</v>
      </c>
      <c r="F1809" s="91" t="s">
        <v>614</v>
      </c>
      <c r="G1809" s="77">
        <v>10</v>
      </c>
      <c r="H1809" s="77" t="s">
        <v>18</v>
      </c>
      <c r="I1809" s="77" t="s">
        <v>27</v>
      </c>
      <c r="J1809" s="77">
        <v>1</v>
      </c>
      <c r="K1809" s="79">
        <f>AB1809/COUNTIFS($B:$B,$B1809,$C:$C,$C1809,$H:$H,$H1809,$I:$I,$I1809)</f>
        <v>0.05</v>
      </c>
      <c r="L1809" s="81">
        <f t="shared" si="126"/>
        <v>0.9</v>
      </c>
      <c r="M1809" s="83">
        <f t="shared" si="128"/>
        <v>4.5000000000000005E-2</v>
      </c>
      <c r="N1809" s="84"/>
      <c r="AA1809" s="154">
        <f>AB1809/COUNTIFS($B:$B,$B1809,$C:$C,$C1809,$H:$H,$H1809,$I:$I,$I1809)</f>
        <v>0.05</v>
      </c>
      <c r="AB1809" s="155">
        <f>VLOOKUP(I1809,'Weights and Confidence'!$D$16:$AC$26,11,FALSE)</f>
        <v>0.1</v>
      </c>
      <c r="AC1809" s="156">
        <f>VLOOKUP(I1809,'Weights and Confidence'!$D$16:$AC$26,12,FALSE)</f>
        <v>0.9</v>
      </c>
    </row>
    <row r="1810" spans="1:29" x14ac:dyDescent="0.2">
      <c r="A1810" s="76" t="s">
        <v>566</v>
      </c>
      <c r="B1810" s="76" t="s">
        <v>87</v>
      </c>
      <c r="C1810" s="76" t="s">
        <v>613</v>
      </c>
      <c r="D1810" s="76" t="s">
        <v>5</v>
      </c>
      <c r="E1810" s="76" t="s">
        <v>103</v>
      </c>
      <c r="F1810" s="91" t="s">
        <v>614</v>
      </c>
      <c r="G1810" s="76">
        <v>11</v>
      </c>
      <c r="H1810" s="76" t="s">
        <v>17</v>
      </c>
      <c r="I1810" s="76" t="s">
        <v>27</v>
      </c>
      <c r="J1810" s="76">
        <v>0</v>
      </c>
      <c r="K1810" s="78">
        <f>AB1810/COUNTIFS($B:$B,$B1810,$C:$C,$C1810,$H:$H,$H1810,$I:$I,$I1810)</f>
        <v>0.05</v>
      </c>
      <c r="L1810" s="80">
        <f t="shared" si="126"/>
        <v>0.9</v>
      </c>
      <c r="M1810" s="82">
        <f t="shared" si="128"/>
        <v>0</v>
      </c>
      <c r="N1810" s="59"/>
      <c r="AA1810" s="154">
        <f>AB1810/COUNTIFS($B:$B,$B1810,$C:$C,$C1810,$H:$H,$H1810,$I:$I,$I1810)</f>
        <v>0.05</v>
      </c>
      <c r="AB1810" s="155">
        <f>VLOOKUP(I1810,'Weights and Confidence'!$D$16:$AC$26,11,FALSE)</f>
        <v>0.1</v>
      </c>
      <c r="AC1810" s="156">
        <f>VLOOKUP(I1810,'Weights and Confidence'!$D$16:$AC$26,12,FALSE)</f>
        <v>0.9</v>
      </c>
    </row>
    <row r="1811" spans="1:29" x14ac:dyDescent="0.2">
      <c r="A1811" s="77" t="s">
        <v>566</v>
      </c>
      <c r="B1811" s="77" t="s">
        <v>87</v>
      </c>
      <c r="C1811" s="77" t="s">
        <v>613</v>
      </c>
      <c r="D1811" s="77" t="s">
        <v>5</v>
      </c>
      <c r="E1811" s="77" t="s">
        <v>103</v>
      </c>
      <c r="F1811" s="91" t="s">
        <v>614</v>
      </c>
      <c r="G1811" s="77">
        <v>11</v>
      </c>
      <c r="H1811" s="77" t="s">
        <v>18</v>
      </c>
      <c r="I1811" s="77" t="s">
        <v>27</v>
      </c>
      <c r="J1811" s="77">
        <v>1</v>
      </c>
      <c r="K1811" s="79">
        <f>AB1811/COUNTIFS($B:$B,$B1811,$C:$C,$C1811,$H:$H,$H1811,$I:$I,$I1811)</f>
        <v>0.05</v>
      </c>
      <c r="L1811" s="81">
        <f t="shared" si="126"/>
        <v>0.9</v>
      </c>
      <c r="M1811" s="83">
        <f t="shared" si="128"/>
        <v>4.5000000000000005E-2</v>
      </c>
      <c r="N1811" s="84"/>
      <c r="AA1811" s="154">
        <f>AB1811/COUNTIFS($B:$B,$B1811,$C:$C,$C1811,$H:$H,$H1811,$I:$I,$I1811)</f>
        <v>0.05</v>
      </c>
      <c r="AB1811" s="155">
        <f>VLOOKUP(I1811,'Weights and Confidence'!$D$16:$AC$26,11,FALSE)</f>
        <v>0.1</v>
      </c>
      <c r="AC1811" s="156">
        <f>VLOOKUP(I1811,'Weights and Confidence'!$D$16:$AC$26,12,FALSE)</f>
        <v>0.9</v>
      </c>
    </row>
    <row r="1812" spans="1:29" x14ac:dyDescent="0.2">
      <c r="A1812" s="77" t="s">
        <v>566</v>
      </c>
      <c r="B1812" s="77" t="s">
        <v>87</v>
      </c>
      <c r="C1812" s="77" t="s">
        <v>613</v>
      </c>
      <c r="D1812" s="77" t="s">
        <v>5</v>
      </c>
      <c r="E1812" s="77" t="s">
        <v>103</v>
      </c>
      <c r="F1812" s="91" t="s">
        <v>614</v>
      </c>
      <c r="G1812" s="77">
        <v>12</v>
      </c>
      <c r="H1812" s="77" t="s">
        <v>17</v>
      </c>
      <c r="I1812" s="77" t="s">
        <v>28</v>
      </c>
      <c r="J1812" s="77">
        <v>1</v>
      </c>
      <c r="K1812" s="79">
        <f>AB1812/COUNTIFS($B:$B,$B1812,$C:$C,$C1812,$H:$H,$H1812,$I:$I,$I1812)</f>
        <v>0.05</v>
      </c>
      <c r="L1812" s="81">
        <f t="shared" si="126"/>
        <v>1</v>
      </c>
      <c r="M1812" s="83">
        <f>J1812*K1812*L1812</f>
        <v>0.05</v>
      </c>
      <c r="N1812" s="58"/>
      <c r="AA1812" s="154">
        <f>AB1812/COUNTIFS($B:$B,$B1812,$C:$C,$C1812,$H:$H,$H1812,$I:$I,$I1812)</f>
        <v>0.05</v>
      </c>
      <c r="AB1812" s="155">
        <f>VLOOKUP(I1812,'Weights and Confidence'!$D$16:$AC$26,11,FALSE)</f>
        <v>0.05</v>
      </c>
      <c r="AC1812" s="156">
        <f>VLOOKUP(I1812,'Weights and Confidence'!$D$16:$AC$26,12,FALSE)</f>
        <v>1</v>
      </c>
    </row>
    <row r="1813" spans="1:29" ht="17" thickBot="1" x14ac:dyDescent="0.25">
      <c r="A1813" s="98" t="s">
        <v>566</v>
      </c>
      <c r="B1813" s="98" t="s">
        <v>87</v>
      </c>
      <c r="C1813" s="98" t="s">
        <v>613</v>
      </c>
      <c r="D1813" s="98" t="s">
        <v>5</v>
      </c>
      <c r="E1813" s="98" t="s">
        <v>103</v>
      </c>
      <c r="F1813" s="93" t="s">
        <v>614</v>
      </c>
      <c r="G1813" s="98">
        <v>12</v>
      </c>
      <c r="H1813" s="98" t="s">
        <v>18</v>
      </c>
      <c r="I1813" s="98" t="s">
        <v>28</v>
      </c>
      <c r="J1813" s="98">
        <v>-1</v>
      </c>
      <c r="K1813" s="99">
        <f>AB1813/COUNTIFS($B:$B,$B1813,$C:$C,$C1813,$H:$H,$H1813,$I:$I,$I1813)</f>
        <v>0.05</v>
      </c>
      <c r="L1813" s="100">
        <f t="shared" si="126"/>
        <v>1</v>
      </c>
      <c r="M1813" s="101">
        <f>J1813*K1813*L1813</f>
        <v>-0.05</v>
      </c>
      <c r="N1813" s="22" t="s">
        <v>619</v>
      </c>
      <c r="AA1813" s="157">
        <f>AB1813/COUNTIFS($B:$B,$B1813,$C:$C,$C1813,$H:$H,$H1813,$I:$I,$I1813)</f>
        <v>0.05</v>
      </c>
      <c r="AB1813" s="158">
        <f>VLOOKUP(I1813,'Weights and Confidence'!$D$16:$AC$26,11,FALSE)</f>
        <v>0.05</v>
      </c>
      <c r="AC1813" s="159">
        <f>VLOOKUP(I1813,'Weights and Confidence'!$D$16:$AC$26,12,FALSE)</f>
        <v>1</v>
      </c>
    </row>
    <row r="1814" spans="1:29" ht="17" thickTop="1" x14ac:dyDescent="0.2">
      <c r="A1814" s="86" t="s">
        <v>566</v>
      </c>
      <c r="B1814" s="86" t="s">
        <v>87</v>
      </c>
      <c r="C1814" s="86" t="s">
        <v>70</v>
      </c>
      <c r="D1814" s="86" t="s">
        <v>65</v>
      </c>
      <c r="E1814" s="86"/>
      <c r="F1814" s="18" t="s">
        <v>621</v>
      </c>
      <c r="G1814" s="86">
        <v>1</v>
      </c>
      <c r="H1814" s="86" t="s">
        <v>17</v>
      </c>
      <c r="I1814" s="86" t="s">
        <v>19</v>
      </c>
      <c r="J1814" s="97">
        <v>1</v>
      </c>
      <c r="K1814" s="87">
        <f>AB1814/COUNTIFS($B:$B,$B1814,$C:$C,$C1814,$H:$H,$H1814,$I:$I,$I1814)</f>
        <v>0.12</v>
      </c>
      <c r="L1814" s="88">
        <f t="shared" ref="L1814:L1837" si="129">AC1814</f>
        <v>1</v>
      </c>
      <c r="M1814" s="89">
        <f t="shared" ref="M1814" si="130">J1814*K1814*L1814</f>
        <v>0.12</v>
      </c>
      <c r="N1814" s="90"/>
      <c r="AA1814" s="154">
        <f>AB1814/COUNTIFS($B:$B,$B1814,$C:$C,$C1814,$H:$H,$H1814,$I:$I,$I1814)</f>
        <v>0.12</v>
      </c>
      <c r="AB1814" s="155">
        <f>VLOOKUP(I1814,'Weights and Confidence'!$D$16:$AC$26,11,FALSE)</f>
        <v>0.12</v>
      </c>
      <c r="AC1814" s="156">
        <f>VLOOKUP(I1814,'Weights and Confidence'!$D$16:$AC$26,12,FALSE)</f>
        <v>1</v>
      </c>
    </row>
    <row r="1815" spans="1:29" x14ac:dyDescent="0.2">
      <c r="A1815" s="77" t="s">
        <v>566</v>
      </c>
      <c r="B1815" s="77" t="s">
        <v>87</v>
      </c>
      <c r="C1815" s="77" t="s">
        <v>70</v>
      </c>
      <c r="D1815" s="77" t="s">
        <v>65</v>
      </c>
      <c r="E1815" s="77"/>
      <c r="F1815" s="91" t="s">
        <v>621</v>
      </c>
      <c r="G1815" s="77">
        <v>1</v>
      </c>
      <c r="H1815" s="77" t="s">
        <v>18</v>
      </c>
      <c r="I1815" s="77" t="s">
        <v>19</v>
      </c>
      <c r="J1815" s="77">
        <v>1</v>
      </c>
      <c r="K1815" s="79">
        <f>AB1815/COUNTIFS($B:$B,$B1815,$C:$C,$C1815,$H:$H,$H1815,$I:$I,$I1815)</f>
        <v>0.12</v>
      </c>
      <c r="L1815" s="81">
        <f t="shared" si="129"/>
        <v>1</v>
      </c>
      <c r="M1815" s="83">
        <f>J1814*K1815*L1815</f>
        <v>0.12</v>
      </c>
      <c r="N1815" s="84"/>
      <c r="AA1815" s="154">
        <f>AB1815/COUNTIFS($B:$B,$B1815,$C:$C,$C1815,$H:$H,$H1815,$I:$I,$I1815)</f>
        <v>0.12</v>
      </c>
      <c r="AB1815" s="155">
        <f>VLOOKUP(I1815,'Weights and Confidence'!$D$16:$AC$26,11,FALSE)</f>
        <v>0.12</v>
      </c>
      <c r="AC1815" s="156">
        <f>VLOOKUP(I1815,'Weights and Confidence'!$D$16:$AC$26,12,FALSE)</f>
        <v>1</v>
      </c>
    </row>
    <row r="1816" spans="1:29" x14ac:dyDescent="0.2">
      <c r="A1816" s="76" t="s">
        <v>566</v>
      </c>
      <c r="B1816" s="76" t="s">
        <v>87</v>
      </c>
      <c r="C1816" s="76" t="s">
        <v>70</v>
      </c>
      <c r="D1816" s="76" t="s">
        <v>65</v>
      </c>
      <c r="E1816" s="76"/>
      <c r="F1816" s="91" t="s">
        <v>621</v>
      </c>
      <c r="G1816" s="76">
        <v>2</v>
      </c>
      <c r="H1816" s="76" t="s">
        <v>17</v>
      </c>
      <c r="I1816" s="76" t="s">
        <v>20</v>
      </c>
      <c r="J1816" s="76">
        <v>0</v>
      </c>
      <c r="K1816" s="78">
        <f>AB1816/COUNTIFS($B:$B,$B1816,$C:$C,$C1816,$H:$H,$H1816,$I:$I,$I1816)</f>
        <v>0.08</v>
      </c>
      <c r="L1816" s="80">
        <f t="shared" si="129"/>
        <v>0.9</v>
      </c>
      <c r="M1816" s="82">
        <f t="shared" ref="M1816:M1835" si="131">J1816*K1816*L1816</f>
        <v>0</v>
      </c>
      <c r="N1816" s="59"/>
      <c r="AA1816" s="154">
        <f>AB1816/COUNTIFS($B:$B,$B1816,$C:$C,$C1816,$H:$H,$H1816,$I:$I,$I1816)</f>
        <v>0.08</v>
      </c>
      <c r="AB1816" s="155">
        <f>VLOOKUP(I1816,'Weights and Confidence'!$D$16:$AC$26,11,FALSE)</f>
        <v>0.08</v>
      </c>
      <c r="AC1816" s="156">
        <f>VLOOKUP(I1816,'Weights and Confidence'!$D$16:$AC$26,12,FALSE)</f>
        <v>0.9</v>
      </c>
    </row>
    <row r="1817" spans="1:29" x14ac:dyDescent="0.2">
      <c r="A1817" s="77" t="s">
        <v>566</v>
      </c>
      <c r="B1817" s="77" t="s">
        <v>87</v>
      </c>
      <c r="C1817" s="77" t="s">
        <v>70</v>
      </c>
      <c r="D1817" s="77" t="s">
        <v>65</v>
      </c>
      <c r="E1817" s="77"/>
      <c r="F1817" s="91" t="s">
        <v>621</v>
      </c>
      <c r="G1817" s="77">
        <v>2</v>
      </c>
      <c r="H1817" s="77" t="s">
        <v>18</v>
      </c>
      <c r="I1817" s="77" t="s">
        <v>20</v>
      </c>
      <c r="J1817" s="77">
        <v>1</v>
      </c>
      <c r="K1817" s="79">
        <f>AB1817/COUNTIFS($B:$B,$B1817,$C:$C,$C1817,$H:$H,$H1817,$I:$I,$I1817)</f>
        <v>0.08</v>
      </c>
      <c r="L1817" s="81">
        <f t="shared" si="129"/>
        <v>0.9</v>
      </c>
      <c r="M1817" s="83">
        <f t="shared" si="131"/>
        <v>7.2000000000000008E-2</v>
      </c>
      <c r="N1817" s="17" t="s">
        <v>622</v>
      </c>
      <c r="AA1817" s="154">
        <f>AB1817/COUNTIFS($B:$B,$B1817,$C:$C,$C1817,$H:$H,$H1817,$I:$I,$I1817)</f>
        <v>0.08</v>
      </c>
      <c r="AB1817" s="155">
        <f>VLOOKUP(I1817,'Weights and Confidence'!$D$16:$AC$26,11,FALSE)</f>
        <v>0.08</v>
      </c>
      <c r="AC1817" s="156">
        <f>VLOOKUP(I1817,'Weights and Confidence'!$D$16:$AC$26,12,FALSE)</f>
        <v>0.9</v>
      </c>
    </row>
    <row r="1818" spans="1:29" x14ac:dyDescent="0.2">
      <c r="A1818" s="76" t="s">
        <v>566</v>
      </c>
      <c r="B1818" s="76" t="s">
        <v>87</v>
      </c>
      <c r="C1818" s="76" t="s">
        <v>70</v>
      </c>
      <c r="D1818" s="76" t="s">
        <v>65</v>
      </c>
      <c r="E1818" s="76"/>
      <c r="F1818" s="91" t="s">
        <v>621</v>
      </c>
      <c r="G1818" s="76">
        <v>3</v>
      </c>
      <c r="H1818" s="76" t="s">
        <v>17</v>
      </c>
      <c r="I1818" s="76" t="s">
        <v>21</v>
      </c>
      <c r="J1818" s="76">
        <v>1</v>
      </c>
      <c r="K1818" s="78">
        <f>AB1818/COUNTIFS($B:$B,$B1818,$C:$C,$C1818,$H:$H,$H1818,$I:$I,$I1818)</f>
        <v>0.05</v>
      </c>
      <c r="L1818" s="80">
        <f t="shared" si="129"/>
        <v>1</v>
      </c>
      <c r="M1818" s="82">
        <f t="shared" si="131"/>
        <v>0.05</v>
      </c>
      <c r="N1818" s="59"/>
      <c r="AA1818" s="154">
        <f>AB1818/COUNTIFS($B:$B,$B1818,$C:$C,$C1818,$H:$H,$H1818,$I:$I,$I1818)</f>
        <v>0.05</v>
      </c>
      <c r="AB1818" s="155">
        <f>VLOOKUP(I1818,'Weights and Confidence'!$D$16:$AC$26,11,FALSE)</f>
        <v>0.05</v>
      </c>
      <c r="AC1818" s="156">
        <f>VLOOKUP(I1818,'Weights and Confidence'!$D$16:$AC$26,12,FALSE)</f>
        <v>1</v>
      </c>
    </row>
    <row r="1819" spans="1:29" x14ac:dyDescent="0.2">
      <c r="A1819" s="77" t="s">
        <v>566</v>
      </c>
      <c r="B1819" s="77" t="s">
        <v>87</v>
      </c>
      <c r="C1819" s="77" t="s">
        <v>70</v>
      </c>
      <c r="D1819" s="77" t="s">
        <v>65</v>
      </c>
      <c r="E1819" s="77"/>
      <c r="F1819" s="91" t="s">
        <v>621</v>
      </c>
      <c r="G1819" s="77">
        <v>3</v>
      </c>
      <c r="H1819" s="77" t="s">
        <v>18</v>
      </c>
      <c r="I1819" s="77" t="s">
        <v>21</v>
      </c>
      <c r="J1819" s="77">
        <v>-1</v>
      </c>
      <c r="K1819" s="79">
        <f>AB1819/COUNTIFS($B:$B,$B1819,$C:$C,$C1819,$H:$H,$H1819,$I:$I,$I1819)</f>
        <v>0.05</v>
      </c>
      <c r="L1819" s="81">
        <f t="shared" si="129"/>
        <v>1</v>
      </c>
      <c r="M1819" s="83">
        <f t="shared" si="131"/>
        <v>-0.05</v>
      </c>
      <c r="N1819" s="84"/>
      <c r="AA1819" s="154">
        <f>AB1819/COUNTIFS($B:$B,$B1819,$C:$C,$C1819,$H:$H,$H1819,$I:$I,$I1819)</f>
        <v>0.05</v>
      </c>
      <c r="AB1819" s="155">
        <f>VLOOKUP(I1819,'Weights and Confidence'!$D$16:$AC$26,11,FALSE)</f>
        <v>0.05</v>
      </c>
      <c r="AC1819" s="156">
        <f>VLOOKUP(I1819,'Weights and Confidence'!$D$16:$AC$26,12,FALSE)</f>
        <v>1</v>
      </c>
    </row>
    <row r="1820" spans="1:29" x14ac:dyDescent="0.2">
      <c r="A1820" s="76" t="s">
        <v>566</v>
      </c>
      <c r="B1820" s="76" t="s">
        <v>87</v>
      </c>
      <c r="C1820" s="76" t="s">
        <v>70</v>
      </c>
      <c r="D1820" s="76" t="s">
        <v>65</v>
      </c>
      <c r="E1820" s="76"/>
      <c r="F1820" s="91" t="s">
        <v>621</v>
      </c>
      <c r="G1820" s="76">
        <v>4</v>
      </c>
      <c r="H1820" s="76" t="s">
        <v>17</v>
      </c>
      <c r="I1820" s="76" t="s">
        <v>22</v>
      </c>
      <c r="J1820" s="76">
        <v>0</v>
      </c>
      <c r="K1820" s="78">
        <f>AB1820/COUNTIFS($B:$B,$B1820,$C:$C,$C1820,$H:$H,$H1820,$I:$I,$I1820)</f>
        <v>0.1</v>
      </c>
      <c r="L1820" s="80">
        <f t="shared" si="129"/>
        <v>1</v>
      </c>
      <c r="M1820" s="82">
        <f t="shared" si="131"/>
        <v>0</v>
      </c>
      <c r="N1820" s="59"/>
      <c r="AA1820" s="154">
        <f>AB1820/COUNTIFS($B:$B,$B1820,$C:$C,$C1820,$H:$H,$H1820,$I:$I,$I1820)</f>
        <v>0.1</v>
      </c>
      <c r="AB1820" s="155">
        <f>VLOOKUP(I1820,'Weights and Confidence'!$D$16:$AC$26,11,FALSE)</f>
        <v>0.1</v>
      </c>
      <c r="AC1820" s="156">
        <f>VLOOKUP(I1820,'Weights and Confidence'!$D$16:$AC$26,12,FALSE)</f>
        <v>1</v>
      </c>
    </row>
    <row r="1821" spans="1:29" x14ac:dyDescent="0.2">
      <c r="A1821" s="77" t="s">
        <v>566</v>
      </c>
      <c r="B1821" s="77" t="s">
        <v>87</v>
      </c>
      <c r="C1821" s="77" t="s">
        <v>70</v>
      </c>
      <c r="D1821" s="77" t="s">
        <v>65</v>
      </c>
      <c r="E1821" s="77"/>
      <c r="F1821" s="91" t="s">
        <v>621</v>
      </c>
      <c r="G1821" s="77">
        <v>4</v>
      </c>
      <c r="H1821" s="77" t="s">
        <v>18</v>
      </c>
      <c r="I1821" s="77" t="s">
        <v>22</v>
      </c>
      <c r="J1821" s="77">
        <v>-1</v>
      </c>
      <c r="K1821" s="79">
        <f>AB1821/COUNTIFS($B:$B,$B1821,$C:$C,$C1821,$H:$H,$H1821,$I:$I,$I1821)</f>
        <v>0.1</v>
      </c>
      <c r="L1821" s="81">
        <f t="shared" si="129"/>
        <v>1</v>
      </c>
      <c r="M1821" s="83">
        <f t="shared" si="131"/>
        <v>-0.1</v>
      </c>
      <c r="N1821" s="17"/>
      <c r="AA1821" s="154">
        <f>AB1821/COUNTIFS($B:$B,$B1821,$C:$C,$C1821,$H:$H,$H1821,$I:$I,$I1821)</f>
        <v>0.1</v>
      </c>
      <c r="AB1821" s="155">
        <f>VLOOKUP(I1821,'Weights and Confidence'!$D$16:$AC$26,11,FALSE)</f>
        <v>0.1</v>
      </c>
      <c r="AC1821" s="156">
        <f>VLOOKUP(I1821,'Weights and Confidence'!$D$16:$AC$26,12,FALSE)</f>
        <v>1</v>
      </c>
    </row>
    <row r="1822" spans="1:29" x14ac:dyDescent="0.2">
      <c r="A1822" s="76" t="s">
        <v>566</v>
      </c>
      <c r="B1822" s="76" t="s">
        <v>87</v>
      </c>
      <c r="C1822" s="76" t="s">
        <v>70</v>
      </c>
      <c r="D1822" s="76" t="s">
        <v>65</v>
      </c>
      <c r="E1822" s="76"/>
      <c r="F1822" s="91" t="s">
        <v>621</v>
      </c>
      <c r="G1822" s="76">
        <v>5</v>
      </c>
      <c r="H1822" s="76" t="s">
        <v>17</v>
      </c>
      <c r="I1822" s="76" t="s">
        <v>34</v>
      </c>
      <c r="J1822" s="76">
        <v>0</v>
      </c>
      <c r="K1822" s="78">
        <f>AB1822/COUNTIFS($B:$B,$B1822,$C:$C,$C1822,$H:$H,$H1822,$I:$I,$I1822)</f>
        <v>0.08</v>
      </c>
      <c r="L1822" s="80">
        <f t="shared" si="129"/>
        <v>1</v>
      </c>
      <c r="M1822" s="82">
        <f t="shared" si="131"/>
        <v>0</v>
      </c>
      <c r="N1822" s="84"/>
      <c r="AA1822" s="154">
        <f>AB1822/COUNTIFS($B:$B,$B1822,$C:$C,$C1822,$H:$H,$H1822,$I:$I,$I1822)</f>
        <v>0.08</v>
      </c>
      <c r="AB1822" s="155">
        <f>VLOOKUP(I1822,'Weights and Confidence'!$D$16:$AC$26,11,FALSE)</f>
        <v>0.08</v>
      </c>
      <c r="AC1822" s="156">
        <f>VLOOKUP(I1822,'Weights and Confidence'!$D$16:$AC$26,12,FALSE)</f>
        <v>1</v>
      </c>
    </row>
    <row r="1823" spans="1:29" x14ac:dyDescent="0.2">
      <c r="A1823" s="77" t="s">
        <v>566</v>
      </c>
      <c r="B1823" s="77" t="s">
        <v>87</v>
      </c>
      <c r="C1823" s="77" t="s">
        <v>70</v>
      </c>
      <c r="D1823" s="77" t="s">
        <v>65</v>
      </c>
      <c r="E1823" s="77"/>
      <c r="F1823" s="91" t="s">
        <v>621</v>
      </c>
      <c r="G1823" s="77">
        <v>5</v>
      </c>
      <c r="H1823" s="77" t="s">
        <v>18</v>
      </c>
      <c r="I1823" s="77" t="s">
        <v>34</v>
      </c>
      <c r="J1823" s="77">
        <v>-1</v>
      </c>
      <c r="K1823" s="79">
        <f>AB1823/COUNTIFS($B:$B,$B1823,$C:$C,$C1823,$H:$H,$H1823,$I:$I,$I1823)</f>
        <v>0.08</v>
      </c>
      <c r="L1823" s="81">
        <f t="shared" si="129"/>
        <v>1</v>
      </c>
      <c r="M1823" s="83">
        <f t="shared" si="131"/>
        <v>-0.08</v>
      </c>
      <c r="N1823" s="17"/>
      <c r="AA1823" s="154">
        <f>AB1823/COUNTIFS($B:$B,$B1823,$C:$C,$C1823,$H:$H,$H1823,$I:$I,$I1823)</f>
        <v>0.08</v>
      </c>
      <c r="AB1823" s="155">
        <f>VLOOKUP(I1823,'Weights and Confidence'!$D$16:$AC$26,11,FALSE)</f>
        <v>0.08</v>
      </c>
      <c r="AC1823" s="156">
        <f>VLOOKUP(I1823,'Weights and Confidence'!$D$16:$AC$26,12,FALSE)</f>
        <v>1</v>
      </c>
    </row>
    <row r="1824" spans="1:29" x14ac:dyDescent="0.2">
      <c r="A1824" s="76" t="s">
        <v>566</v>
      </c>
      <c r="B1824" s="76" t="s">
        <v>87</v>
      </c>
      <c r="C1824" s="76" t="s">
        <v>70</v>
      </c>
      <c r="D1824" s="76" t="s">
        <v>65</v>
      </c>
      <c r="E1824" s="76"/>
      <c r="F1824" s="91" t="s">
        <v>621</v>
      </c>
      <c r="G1824" s="76">
        <v>6</v>
      </c>
      <c r="H1824" s="76" t="s">
        <v>17</v>
      </c>
      <c r="I1824" s="76" t="s">
        <v>23</v>
      </c>
      <c r="J1824" s="76">
        <v>0</v>
      </c>
      <c r="K1824" s="78">
        <f>AB1824/COUNTIFS($B:$B,$B1824,$C:$C,$C1824,$H:$H,$H1824,$I:$I,$I1824)</f>
        <v>7.0000000000000007E-2</v>
      </c>
      <c r="L1824" s="80">
        <f t="shared" si="129"/>
        <v>1</v>
      </c>
      <c r="M1824" s="82">
        <f t="shared" si="131"/>
        <v>0</v>
      </c>
      <c r="N1824" s="59"/>
      <c r="AA1824" s="154">
        <f>AB1824/COUNTIFS($B:$B,$B1824,$C:$C,$C1824,$H:$H,$H1824,$I:$I,$I1824)</f>
        <v>7.0000000000000007E-2</v>
      </c>
      <c r="AB1824" s="155">
        <f>VLOOKUP(I1824,'Weights and Confidence'!$D$16:$AC$26,11,FALSE)</f>
        <v>7.0000000000000007E-2</v>
      </c>
      <c r="AC1824" s="156">
        <f>VLOOKUP(I1824,'Weights and Confidence'!$D$16:$AC$26,12,FALSE)</f>
        <v>1</v>
      </c>
    </row>
    <row r="1825" spans="1:29" x14ac:dyDescent="0.2">
      <c r="A1825" s="77" t="s">
        <v>566</v>
      </c>
      <c r="B1825" s="77" t="s">
        <v>87</v>
      </c>
      <c r="C1825" s="77" t="s">
        <v>70</v>
      </c>
      <c r="D1825" s="77" t="s">
        <v>65</v>
      </c>
      <c r="E1825" s="77"/>
      <c r="F1825" s="91" t="s">
        <v>621</v>
      </c>
      <c r="G1825" s="77">
        <v>6</v>
      </c>
      <c r="H1825" s="77" t="s">
        <v>18</v>
      </c>
      <c r="I1825" s="77" t="s">
        <v>23</v>
      </c>
      <c r="J1825" s="77">
        <v>-1</v>
      </c>
      <c r="K1825" s="79">
        <f>AB1825/COUNTIFS($B:$B,$B1825,$C:$C,$C1825,$H:$H,$H1825,$I:$I,$I1825)</f>
        <v>7.0000000000000007E-2</v>
      </c>
      <c r="L1825" s="81">
        <f t="shared" si="129"/>
        <v>1</v>
      </c>
      <c r="M1825" s="83">
        <f t="shared" si="131"/>
        <v>-7.0000000000000007E-2</v>
      </c>
      <c r="N1825" s="17"/>
      <c r="AA1825" s="154">
        <f>AB1825/COUNTIFS($B:$B,$B1825,$C:$C,$C1825,$H:$H,$H1825,$I:$I,$I1825)</f>
        <v>7.0000000000000007E-2</v>
      </c>
      <c r="AB1825" s="155">
        <f>VLOOKUP(I1825,'Weights and Confidence'!$D$16:$AC$26,11,FALSE)</f>
        <v>7.0000000000000007E-2</v>
      </c>
      <c r="AC1825" s="156">
        <f>VLOOKUP(I1825,'Weights and Confidence'!$D$16:$AC$26,12,FALSE)</f>
        <v>1</v>
      </c>
    </row>
    <row r="1826" spans="1:29" x14ac:dyDescent="0.2">
      <c r="A1826" s="76" t="s">
        <v>566</v>
      </c>
      <c r="B1826" s="76" t="s">
        <v>87</v>
      </c>
      <c r="C1826" s="76" t="s">
        <v>70</v>
      </c>
      <c r="D1826" s="76" t="s">
        <v>65</v>
      </c>
      <c r="E1826" s="76"/>
      <c r="F1826" s="91" t="s">
        <v>621</v>
      </c>
      <c r="G1826" s="76">
        <v>7</v>
      </c>
      <c r="H1826" s="76" t="s">
        <v>17</v>
      </c>
      <c r="I1826" s="76" t="s">
        <v>24</v>
      </c>
      <c r="J1826" s="76">
        <v>0</v>
      </c>
      <c r="K1826" s="78">
        <f>AB1826/COUNTIFS($B:$B,$B1826,$C:$C,$C1826,$H:$H,$H1826,$I:$I,$I1826)</f>
        <v>0.15</v>
      </c>
      <c r="L1826" s="80">
        <f t="shared" si="129"/>
        <v>1</v>
      </c>
      <c r="M1826" s="82">
        <f t="shared" si="131"/>
        <v>0</v>
      </c>
      <c r="N1826" s="59"/>
      <c r="AA1826" s="154">
        <f>AB1826/COUNTIFS($B:$B,$B1826,$C:$C,$C1826,$H:$H,$H1826,$I:$I,$I1826)</f>
        <v>0.15</v>
      </c>
      <c r="AB1826" s="155">
        <f>VLOOKUP(I1826,'Weights and Confidence'!$D$16:$AC$26,11,FALSE)</f>
        <v>0.15</v>
      </c>
      <c r="AC1826" s="156">
        <f>VLOOKUP(I1826,'Weights and Confidence'!$D$16:$AC$26,12,FALSE)</f>
        <v>1</v>
      </c>
    </row>
    <row r="1827" spans="1:29" x14ac:dyDescent="0.2">
      <c r="A1827" s="77" t="s">
        <v>566</v>
      </c>
      <c r="B1827" s="77" t="s">
        <v>87</v>
      </c>
      <c r="C1827" s="77" t="s">
        <v>70</v>
      </c>
      <c r="D1827" s="77" t="s">
        <v>65</v>
      </c>
      <c r="E1827" s="77"/>
      <c r="F1827" s="91" t="s">
        <v>621</v>
      </c>
      <c r="G1827" s="77">
        <v>7</v>
      </c>
      <c r="H1827" s="77" t="s">
        <v>18</v>
      </c>
      <c r="I1827" s="77" t="s">
        <v>24</v>
      </c>
      <c r="J1827" s="77">
        <v>-1</v>
      </c>
      <c r="K1827" s="79">
        <f>AB1827/COUNTIFS($B:$B,$B1827,$C:$C,$C1827,$H:$H,$H1827,$I:$I,$I1827)</f>
        <v>0.15</v>
      </c>
      <c r="L1827" s="81">
        <f t="shared" si="129"/>
        <v>1</v>
      </c>
      <c r="M1827" s="83">
        <f t="shared" si="131"/>
        <v>-0.15</v>
      </c>
      <c r="N1827" s="84"/>
      <c r="AA1827" s="154">
        <f>AB1827/COUNTIFS($B:$B,$B1827,$C:$C,$C1827,$H:$H,$H1827,$I:$I,$I1827)</f>
        <v>0.15</v>
      </c>
      <c r="AB1827" s="155">
        <f>VLOOKUP(I1827,'Weights and Confidence'!$D$16:$AC$26,11,FALSE)</f>
        <v>0.15</v>
      </c>
      <c r="AC1827" s="156">
        <f>VLOOKUP(I1827,'Weights and Confidence'!$D$16:$AC$26,12,FALSE)</f>
        <v>1</v>
      </c>
    </row>
    <row r="1828" spans="1:29" x14ac:dyDescent="0.2">
      <c r="A1828" s="76" t="s">
        <v>566</v>
      </c>
      <c r="B1828" s="76" t="s">
        <v>87</v>
      </c>
      <c r="C1828" s="76" t="s">
        <v>70</v>
      </c>
      <c r="D1828" s="76" t="s">
        <v>65</v>
      </c>
      <c r="E1828" s="76"/>
      <c r="F1828" s="91" t="s">
        <v>621</v>
      </c>
      <c r="G1828" s="76">
        <v>8</v>
      </c>
      <c r="H1828" s="76" t="s">
        <v>17</v>
      </c>
      <c r="I1828" s="76" t="s">
        <v>25</v>
      </c>
      <c r="J1828" s="76">
        <v>0</v>
      </c>
      <c r="K1828" s="78">
        <f>AB1828/COUNTIFS($B:$B,$B1828,$C:$C,$C1828,$H:$H,$H1828,$I:$I,$I1828)</f>
        <v>0.1</v>
      </c>
      <c r="L1828" s="80">
        <f t="shared" si="129"/>
        <v>1</v>
      </c>
      <c r="M1828" s="82">
        <f t="shared" si="131"/>
        <v>0</v>
      </c>
      <c r="N1828" s="59"/>
      <c r="AA1828" s="154">
        <f>AB1828/COUNTIFS($B:$B,$B1828,$C:$C,$C1828,$H:$H,$H1828,$I:$I,$I1828)</f>
        <v>0.1</v>
      </c>
      <c r="AB1828" s="155">
        <f>VLOOKUP(I1828,'Weights and Confidence'!$D$16:$AC$26,11,FALSE)</f>
        <v>0.1</v>
      </c>
      <c r="AC1828" s="156">
        <f>VLOOKUP(I1828,'Weights and Confidence'!$D$16:$AC$26,12,FALSE)</f>
        <v>1</v>
      </c>
    </row>
    <row r="1829" spans="1:29" x14ac:dyDescent="0.2">
      <c r="A1829" s="77" t="s">
        <v>566</v>
      </c>
      <c r="B1829" s="77" t="s">
        <v>87</v>
      </c>
      <c r="C1829" s="77" t="s">
        <v>70</v>
      </c>
      <c r="D1829" s="77" t="s">
        <v>65</v>
      </c>
      <c r="E1829" s="77"/>
      <c r="F1829" s="91" t="s">
        <v>621</v>
      </c>
      <c r="G1829" s="77">
        <v>8</v>
      </c>
      <c r="H1829" s="77" t="s">
        <v>18</v>
      </c>
      <c r="I1829" s="77" t="s">
        <v>25</v>
      </c>
      <c r="J1829" s="77">
        <v>0</v>
      </c>
      <c r="K1829" s="79">
        <f>AB1829/COUNTIFS($B:$B,$B1829,$C:$C,$C1829,$H:$H,$H1829,$I:$I,$I1829)</f>
        <v>0.1</v>
      </c>
      <c r="L1829" s="81">
        <f t="shared" si="129"/>
        <v>1</v>
      </c>
      <c r="M1829" s="83">
        <f t="shared" si="131"/>
        <v>0</v>
      </c>
      <c r="N1829" s="17"/>
      <c r="AA1829" s="154">
        <f>AB1829/COUNTIFS($B:$B,$B1829,$C:$C,$C1829,$H:$H,$H1829,$I:$I,$I1829)</f>
        <v>0.1</v>
      </c>
      <c r="AB1829" s="155">
        <f>VLOOKUP(I1829,'Weights and Confidence'!$D$16:$AC$26,11,FALSE)</f>
        <v>0.1</v>
      </c>
      <c r="AC1829" s="156">
        <f>VLOOKUP(I1829,'Weights and Confidence'!$D$16:$AC$26,12,FALSE)</f>
        <v>1</v>
      </c>
    </row>
    <row r="1830" spans="1:29" x14ac:dyDescent="0.2">
      <c r="A1830" s="76" t="s">
        <v>566</v>
      </c>
      <c r="B1830" s="76" t="s">
        <v>87</v>
      </c>
      <c r="C1830" s="76" t="s">
        <v>70</v>
      </c>
      <c r="D1830" s="76" t="s">
        <v>65</v>
      </c>
      <c r="E1830" s="76"/>
      <c r="F1830" s="91" t="s">
        <v>621</v>
      </c>
      <c r="G1830" s="76">
        <v>9</v>
      </c>
      <c r="H1830" s="76" t="s">
        <v>17</v>
      </c>
      <c r="I1830" s="76" t="s">
        <v>26</v>
      </c>
      <c r="J1830" s="76">
        <v>0</v>
      </c>
      <c r="K1830" s="78">
        <f>AB1830/COUNTIFS($B:$B,$B1830,$C:$C,$C1830,$H:$H,$H1830,$I:$I,$I1830)</f>
        <v>0.1</v>
      </c>
      <c r="L1830" s="80">
        <f t="shared" si="129"/>
        <v>1</v>
      </c>
      <c r="M1830" s="82">
        <f t="shared" si="131"/>
        <v>0</v>
      </c>
      <c r="N1830" s="59"/>
      <c r="AA1830" s="154">
        <f>AB1830/COUNTIFS($B:$B,$B1830,$C:$C,$C1830,$H:$H,$H1830,$I:$I,$I1830)</f>
        <v>0.1</v>
      </c>
      <c r="AB1830" s="155">
        <f>VLOOKUP(I1830,'Weights and Confidence'!$D$16:$AC$26,11,FALSE)</f>
        <v>0.1</v>
      </c>
      <c r="AC1830" s="156">
        <f>VLOOKUP(I1830,'Weights and Confidence'!$D$16:$AC$26,12,FALSE)</f>
        <v>1</v>
      </c>
    </row>
    <row r="1831" spans="1:29" x14ac:dyDescent="0.2">
      <c r="A1831" s="77" t="s">
        <v>566</v>
      </c>
      <c r="B1831" s="77" t="s">
        <v>87</v>
      </c>
      <c r="C1831" s="77" t="s">
        <v>70</v>
      </c>
      <c r="D1831" s="77" t="s">
        <v>65</v>
      </c>
      <c r="E1831" s="77"/>
      <c r="F1831" s="91" t="s">
        <v>621</v>
      </c>
      <c r="G1831" s="77">
        <v>9</v>
      </c>
      <c r="H1831" s="77" t="s">
        <v>18</v>
      </c>
      <c r="I1831" s="77" t="s">
        <v>26</v>
      </c>
      <c r="J1831" s="77">
        <v>0</v>
      </c>
      <c r="K1831" s="79">
        <f>AB1831/COUNTIFS($B:$B,$B1831,$C:$C,$C1831,$H:$H,$H1831,$I:$I,$I1831)</f>
        <v>0.1</v>
      </c>
      <c r="L1831" s="81">
        <f t="shared" si="129"/>
        <v>1</v>
      </c>
      <c r="M1831" s="83">
        <f t="shared" si="131"/>
        <v>0</v>
      </c>
      <c r="N1831" s="84"/>
      <c r="AA1831" s="154">
        <f>AB1831/COUNTIFS($B:$B,$B1831,$C:$C,$C1831,$H:$H,$H1831,$I:$I,$I1831)</f>
        <v>0.1</v>
      </c>
      <c r="AB1831" s="155">
        <f>VLOOKUP(I1831,'Weights and Confidence'!$D$16:$AC$26,11,FALSE)</f>
        <v>0.1</v>
      </c>
      <c r="AC1831" s="156">
        <f>VLOOKUP(I1831,'Weights and Confidence'!$D$16:$AC$26,12,FALSE)</f>
        <v>1</v>
      </c>
    </row>
    <row r="1832" spans="1:29" x14ac:dyDescent="0.2">
      <c r="A1832" s="76" t="s">
        <v>566</v>
      </c>
      <c r="B1832" s="76" t="s">
        <v>87</v>
      </c>
      <c r="C1832" s="76" t="s">
        <v>70</v>
      </c>
      <c r="D1832" s="76" t="s">
        <v>65</v>
      </c>
      <c r="E1832" s="76"/>
      <c r="F1832" s="91" t="s">
        <v>621</v>
      </c>
      <c r="G1832" s="76">
        <v>10</v>
      </c>
      <c r="H1832" s="76" t="s">
        <v>17</v>
      </c>
      <c r="I1832" s="76" t="s">
        <v>27</v>
      </c>
      <c r="J1832" s="76">
        <v>0</v>
      </c>
      <c r="K1832" s="78">
        <f>AB1832/COUNTIFS($B:$B,$B1832,$C:$C,$C1832,$H:$H,$H1832,$I:$I,$I1832)</f>
        <v>0.05</v>
      </c>
      <c r="L1832" s="80">
        <f t="shared" si="129"/>
        <v>0.9</v>
      </c>
      <c r="M1832" s="82">
        <f t="shared" si="131"/>
        <v>0</v>
      </c>
      <c r="N1832" s="59"/>
      <c r="AA1832" s="154">
        <f>AB1832/COUNTIFS($B:$B,$B1832,$C:$C,$C1832,$H:$H,$H1832,$I:$I,$I1832)</f>
        <v>0.05</v>
      </c>
      <c r="AB1832" s="155">
        <f>VLOOKUP(I1832,'Weights and Confidence'!$D$16:$AC$26,11,FALSE)</f>
        <v>0.1</v>
      </c>
      <c r="AC1832" s="156">
        <f>VLOOKUP(I1832,'Weights and Confidence'!$D$16:$AC$26,12,FALSE)</f>
        <v>0.9</v>
      </c>
    </row>
    <row r="1833" spans="1:29" x14ac:dyDescent="0.2">
      <c r="A1833" s="77" t="s">
        <v>566</v>
      </c>
      <c r="B1833" s="77" t="s">
        <v>87</v>
      </c>
      <c r="C1833" s="77" t="s">
        <v>70</v>
      </c>
      <c r="D1833" s="77" t="s">
        <v>65</v>
      </c>
      <c r="E1833" s="77"/>
      <c r="F1833" s="91" t="s">
        <v>621</v>
      </c>
      <c r="G1833" s="77">
        <v>10</v>
      </c>
      <c r="H1833" s="77" t="s">
        <v>18</v>
      </c>
      <c r="I1833" s="77" t="s">
        <v>27</v>
      </c>
      <c r="J1833" s="77">
        <v>0</v>
      </c>
      <c r="K1833" s="79">
        <f>AB1833/COUNTIFS($B:$B,$B1833,$C:$C,$C1833,$H:$H,$H1833,$I:$I,$I1833)</f>
        <v>0.05</v>
      </c>
      <c r="L1833" s="81">
        <f t="shared" si="129"/>
        <v>0.9</v>
      </c>
      <c r="M1833" s="83">
        <f t="shared" si="131"/>
        <v>0</v>
      </c>
      <c r="N1833" s="84"/>
      <c r="AA1833" s="154">
        <f>AB1833/COUNTIFS($B:$B,$B1833,$C:$C,$C1833,$H:$H,$H1833,$I:$I,$I1833)</f>
        <v>0.05</v>
      </c>
      <c r="AB1833" s="155">
        <f>VLOOKUP(I1833,'Weights and Confidence'!$D$16:$AC$26,11,FALSE)</f>
        <v>0.1</v>
      </c>
      <c r="AC1833" s="156">
        <f>VLOOKUP(I1833,'Weights and Confidence'!$D$16:$AC$26,12,FALSE)</f>
        <v>0.9</v>
      </c>
    </row>
    <row r="1834" spans="1:29" x14ac:dyDescent="0.2">
      <c r="A1834" s="76" t="s">
        <v>566</v>
      </c>
      <c r="B1834" s="76" t="s">
        <v>87</v>
      </c>
      <c r="C1834" s="76" t="s">
        <v>70</v>
      </c>
      <c r="D1834" s="76" t="s">
        <v>65</v>
      </c>
      <c r="E1834" s="76"/>
      <c r="F1834" s="91" t="s">
        <v>621</v>
      </c>
      <c r="G1834" s="76">
        <v>11</v>
      </c>
      <c r="H1834" s="76" t="s">
        <v>17</v>
      </c>
      <c r="I1834" s="76" t="s">
        <v>27</v>
      </c>
      <c r="J1834" s="76">
        <v>0</v>
      </c>
      <c r="K1834" s="78">
        <f>AB1834/COUNTIFS($B:$B,$B1834,$C:$C,$C1834,$H:$H,$H1834,$I:$I,$I1834)</f>
        <v>0.05</v>
      </c>
      <c r="L1834" s="80">
        <f t="shared" si="129"/>
        <v>0.9</v>
      </c>
      <c r="M1834" s="82">
        <f t="shared" si="131"/>
        <v>0</v>
      </c>
      <c r="N1834" s="59"/>
      <c r="AA1834" s="154">
        <f>AB1834/COUNTIFS($B:$B,$B1834,$C:$C,$C1834,$H:$H,$H1834,$I:$I,$I1834)</f>
        <v>0.05</v>
      </c>
      <c r="AB1834" s="155">
        <f>VLOOKUP(I1834,'Weights and Confidence'!$D$16:$AC$26,11,FALSE)</f>
        <v>0.1</v>
      </c>
      <c r="AC1834" s="156">
        <f>VLOOKUP(I1834,'Weights and Confidence'!$D$16:$AC$26,12,FALSE)</f>
        <v>0.9</v>
      </c>
    </row>
    <row r="1835" spans="1:29" x14ac:dyDescent="0.2">
      <c r="A1835" s="77" t="s">
        <v>566</v>
      </c>
      <c r="B1835" s="77" t="s">
        <v>87</v>
      </c>
      <c r="C1835" s="77" t="s">
        <v>70</v>
      </c>
      <c r="D1835" s="77" t="s">
        <v>65</v>
      </c>
      <c r="E1835" s="77"/>
      <c r="F1835" s="91" t="s">
        <v>621</v>
      </c>
      <c r="G1835" s="77">
        <v>11</v>
      </c>
      <c r="H1835" s="77" t="s">
        <v>18</v>
      </c>
      <c r="I1835" s="77" t="s">
        <v>27</v>
      </c>
      <c r="J1835" s="77">
        <v>0</v>
      </c>
      <c r="K1835" s="79">
        <f>AB1835/COUNTIFS($B:$B,$B1835,$C:$C,$C1835,$H:$H,$H1835,$I:$I,$I1835)</f>
        <v>0.05</v>
      </c>
      <c r="L1835" s="81">
        <f t="shared" si="129"/>
        <v>0.9</v>
      </c>
      <c r="M1835" s="83">
        <f t="shared" si="131"/>
        <v>0</v>
      </c>
      <c r="N1835" s="84"/>
      <c r="AA1835" s="154">
        <f>AB1835/COUNTIFS($B:$B,$B1835,$C:$C,$C1835,$H:$H,$H1835,$I:$I,$I1835)</f>
        <v>0.05</v>
      </c>
      <c r="AB1835" s="155">
        <f>VLOOKUP(I1835,'Weights and Confidence'!$D$16:$AC$26,11,FALSE)</f>
        <v>0.1</v>
      </c>
      <c r="AC1835" s="156">
        <f>VLOOKUP(I1835,'Weights and Confidence'!$D$16:$AC$26,12,FALSE)</f>
        <v>0.9</v>
      </c>
    </row>
    <row r="1836" spans="1:29" x14ac:dyDescent="0.2">
      <c r="A1836" s="77" t="s">
        <v>566</v>
      </c>
      <c r="B1836" s="77" t="s">
        <v>87</v>
      </c>
      <c r="C1836" s="77" t="s">
        <v>70</v>
      </c>
      <c r="D1836" s="77" t="s">
        <v>65</v>
      </c>
      <c r="E1836" s="77"/>
      <c r="F1836" s="91" t="s">
        <v>621</v>
      </c>
      <c r="G1836" s="77">
        <v>12</v>
      </c>
      <c r="H1836" s="77" t="s">
        <v>17</v>
      </c>
      <c r="I1836" s="77" t="s">
        <v>28</v>
      </c>
      <c r="J1836" s="77">
        <v>0</v>
      </c>
      <c r="K1836" s="79">
        <f>AB1836/COUNTIFS($B:$B,$B1836,$C:$C,$C1836,$H:$H,$H1836,$I:$I,$I1836)</f>
        <v>0.05</v>
      </c>
      <c r="L1836" s="81">
        <f t="shared" si="129"/>
        <v>1</v>
      </c>
      <c r="M1836" s="83">
        <f>J1836*K1836*L1836</f>
        <v>0</v>
      </c>
      <c r="N1836" s="58"/>
      <c r="AA1836" s="154">
        <f>AB1836/COUNTIFS($B:$B,$B1836,$C:$C,$C1836,$H:$H,$H1836,$I:$I,$I1836)</f>
        <v>0.05</v>
      </c>
      <c r="AB1836" s="155">
        <f>VLOOKUP(I1836,'Weights and Confidence'!$D$16:$AC$26,11,FALSE)</f>
        <v>0.05</v>
      </c>
      <c r="AC1836" s="156">
        <f>VLOOKUP(I1836,'Weights and Confidence'!$D$16:$AC$26,12,FALSE)</f>
        <v>1</v>
      </c>
    </row>
    <row r="1837" spans="1:29" ht="17" thickBot="1" x14ac:dyDescent="0.25">
      <c r="A1837" s="98" t="s">
        <v>566</v>
      </c>
      <c r="B1837" s="98" t="s">
        <v>87</v>
      </c>
      <c r="C1837" s="98" t="s">
        <v>70</v>
      </c>
      <c r="D1837" s="98" t="s">
        <v>65</v>
      </c>
      <c r="E1837" s="98"/>
      <c r="F1837" s="93" t="s">
        <v>621</v>
      </c>
      <c r="G1837" s="98">
        <v>12</v>
      </c>
      <c r="H1837" s="98" t="s">
        <v>18</v>
      </c>
      <c r="I1837" s="98" t="s">
        <v>28</v>
      </c>
      <c r="J1837" s="98">
        <v>-1</v>
      </c>
      <c r="K1837" s="99">
        <f>AB1837/COUNTIFS($B:$B,$B1837,$C:$C,$C1837,$H:$H,$H1837,$I:$I,$I1837)</f>
        <v>0.05</v>
      </c>
      <c r="L1837" s="100">
        <f t="shared" si="129"/>
        <v>1</v>
      </c>
      <c r="M1837" s="101">
        <f>J1837*K1837*L1837</f>
        <v>-0.05</v>
      </c>
      <c r="N1837" s="22" t="s">
        <v>623</v>
      </c>
      <c r="AA1837" s="157">
        <f>AB1837/COUNTIFS($B:$B,$B1837,$C:$C,$C1837,$H:$H,$H1837,$I:$I,$I1837)</f>
        <v>0.05</v>
      </c>
      <c r="AB1837" s="158">
        <f>VLOOKUP(I1837,'Weights and Confidence'!$D$16:$AC$26,11,FALSE)</f>
        <v>0.05</v>
      </c>
      <c r="AC1837" s="159">
        <f>VLOOKUP(I1837,'Weights and Confidence'!$D$16:$AC$26,12,FALSE)</f>
        <v>1</v>
      </c>
    </row>
    <row r="1838" spans="1:29" ht="17" thickTop="1" x14ac:dyDescent="0.2">
      <c r="A1838" s="86" t="s">
        <v>566</v>
      </c>
      <c r="B1838" s="86" t="s">
        <v>87</v>
      </c>
      <c r="C1838" s="86" t="s">
        <v>339</v>
      </c>
      <c r="D1838" s="86" t="s">
        <v>65</v>
      </c>
      <c r="E1838" s="86"/>
      <c r="F1838" s="18" t="s">
        <v>340</v>
      </c>
      <c r="G1838" s="86">
        <v>1</v>
      </c>
      <c r="H1838" s="86" t="s">
        <v>17</v>
      </c>
      <c r="I1838" s="86" t="s">
        <v>19</v>
      </c>
      <c r="J1838" s="97">
        <v>0</v>
      </c>
      <c r="K1838" s="87">
        <f>AB1838/COUNTIFS($B:$B,$B1838,$C:$C,$C1838,$H:$H,$H1838,$I:$I,$I1838)</f>
        <v>0.12</v>
      </c>
      <c r="L1838" s="88">
        <f t="shared" ref="L1838:L1861" si="132">AC1838</f>
        <v>1</v>
      </c>
      <c r="M1838" s="89">
        <f t="shared" ref="M1838" si="133">J1838*K1838*L1838</f>
        <v>0</v>
      </c>
      <c r="N1838" s="90"/>
      <c r="AA1838" s="154">
        <f>AB1838/COUNTIFS($B:$B,$B1838,$C:$C,$C1838,$H:$H,$H1838,$I:$I,$I1838)</f>
        <v>0.12</v>
      </c>
      <c r="AB1838" s="155">
        <f>VLOOKUP(I1838,'Weights and Confidence'!$D$16:$AC$26,11,FALSE)</f>
        <v>0.12</v>
      </c>
      <c r="AC1838" s="156">
        <f>VLOOKUP(I1838,'Weights and Confidence'!$D$16:$AC$26,12,FALSE)</f>
        <v>1</v>
      </c>
    </row>
    <row r="1839" spans="1:29" x14ac:dyDescent="0.2">
      <c r="A1839" s="77" t="s">
        <v>566</v>
      </c>
      <c r="B1839" s="77" t="s">
        <v>87</v>
      </c>
      <c r="C1839" s="77" t="s">
        <v>339</v>
      </c>
      <c r="D1839" s="77" t="s">
        <v>65</v>
      </c>
      <c r="E1839" s="77"/>
      <c r="F1839" s="91" t="s">
        <v>340</v>
      </c>
      <c r="G1839" s="77">
        <v>1</v>
      </c>
      <c r="H1839" s="77" t="s">
        <v>18</v>
      </c>
      <c r="I1839" s="77" t="s">
        <v>19</v>
      </c>
      <c r="J1839" s="77">
        <v>1</v>
      </c>
      <c r="K1839" s="79">
        <f>AB1839/COUNTIFS($B:$B,$B1839,$C:$C,$C1839,$H:$H,$H1839,$I:$I,$I1839)</f>
        <v>0.12</v>
      </c>
      <c r="L1839" s="81">
        <f t="shared" si="132"/>
        <v>1</v>
      </c>
      <c r="M1839" s="83">
        <f>J1838*K1839*L1839</f>
        <v>0</v>
      </c>
      <c r="N1839" s="84"/>
      <c r="AA1839" s="154">
        <f>AB1839/COUNTIFS($B:$B,$B1839,$C:$C,$C1839,$H:$H,$H1839,$I:$I,$I1839)</f>
        <v>0.12</v>
      </c>
      <c r="AB1839" s="155">
        <f>VLOOKUP(I1839,'Weights and Confidence'!$D$16:$AC$26,11,FALSE)</f>
        <v>0.12</v>
      </c>
      <c r="AC1839" s="156">
        <f>VLOOKUP(I1839,'Weights and Confidence'!$D$16:$AC$26,12,FALSE)</f>
        <v>1</v>
      </c>
    </row>
    <row r="1840" spans="1:29" x14ac:dyDescent="0.2">
      <c r="A1840" s="76" t="s">
        <v>566</v>
      </c>
      <c r="B1840" s="76" t="s">
        <v>87</v>
      </c>
      <c r="C1840" s="76" t="s">
        <v>339</v>
      </c>
      <c r="D1840" s="76" t="s">
        <v>65</v>
      </c>
      <c r="E1840" s="76"/>
      <c r="F1840" s="91" t="s">
        <v>340</v>
      </c>
      <c r="G1840" s="76">
        <v>2</v>
      </c>
      <c r="H1840" s="76" t="s">
        <v>17</v>
      </c>
      <c r="I1840" s="76" t="s">
        <v>20</v>
      </c>
      <c r="J1840" s="76">
        <v>0</v>
      </c>
      <c r="K1840" s="78">
        <f>AB1840/COUNTIFS($B:$B,$B1840,$C:$C,$C1840,$H:$H,$H1840,$I:$I,$I1840)</f>
        <v>0.08</v>
      </c>
      <c r="L1840" s="80">
        <f t="shared" si="132"/>
        <v>0.9</v>
      </c>
      <c r="M1840" s="82">
        <f t="shared" ref="M1840:M1859" si="134">J1840*K1840*L1840</f>
        <v>0</v>
      </c>
      <c r="N1840" s="59"/>
      <c r="AA1840" s="154">
        <f>AB1840/COUNTIFS($B:$B,$B1840,$C:$C,$C1840,$H:$H,$H1840,$I:$I,$I1840)</f>
        <v>0.08</v>
      </c>
      <c r="AB1840" s="155">
        <f>VLOOKUP(I1840,'Weights and Confidence'!$D$16:$AC$26,11,FALSE)</f>
        <v>0.08</v>
      </c>
      <c r="AC1840" s="156">
        <f>VLOOKUP(I1840,'Weights and Confidence'!$D$16:$AC$26,12,FALSE)</f>
        <v>0.9</v>
      </c>
    </row>
    <row r="1841" spans="1:29" x14ac:dyDescent="0.2">
      <c r="A1841" s="77" t="s">
        <v>566</v>
      </c>
      <c r="B1841" s="77" t="s">
        <v>87</v>
      </c>
      <c r="C1841" s="77" t="s">
        <v>339</v>
      </c>
      <c r="D1841" s="77" t="s">
        <v>65</v>
      </c>
      <c r="E1841" s="77"/>
      <c r="F1841" s="91" t="s">
        <v>340</v>
      </c>
      <c r="G1841" s="77">
        <v>2</v>
      </c>
      <c r="H1841" s="77" t="s">
        <v>18</v>
      </c>
      <c r="I1841" s="77" t="s">
        <v>20</v>
      </c>
      <c r="J1841" s="77">
        <v>1</v>
      </c>
      <c r="K1841" s="79">
        <f>AB1841/COUNTIFS($B:$B,$B1841,$C:$C,$C1841,$H:$H,$H1841,$I:$I,$I1841)</f>
        <v>0.08</v>
      </c>
      <c r="L1841" s="81">
        <f t="shared" si="132"/>
        <v>0.9</v>
      </c>
      <c r="M1841" s="83">
        <f t="shared" si="134"/>
        <v>7.2000000000000008E-2</v>
      </c>
      <c r="N1841" s="17"/>
      <c r="AA1841" s="154">
        <f>AB1841/COUNTIFS($B:$B,$B1841,$C:$C,$C1841,$H:$H,$H1841,$I:$I,$I1841)</f>
        <v>0.08</v>
      </c>
      <c r="AB1841" s="155">
        <f>VLOOKUP(I1841,'Weights and Confidence'!$D$16:$AC$26,11,FALSE)</f>
        <v>0.08</v>
      </c>
      <c r="AC1841" s="156">
        <f>VLOOKUP(I1841,'Weights and Confidence'!$D$16:$AC$26,12,FALSE)</f>
        <v>0.9</v>
      </c>
    </row>
    <row r="1842" spans="1:29" x14ac:dyDescent="0.2">
      <c r="A1842" s="76" t="s">
        <v>566</v>
      </c>
      <c r="B1842" s="76" t="s">
        <v>87</v>
      </c>
      <c r="C1842" s="76" t="s">
        <v>339</v>
      </c>
      <c r="D1842" s="76" t="s">
        <v>65</v>
      </c>
      <c r="E1842" s="76"/>
      <c r="F1842" s="91" t="s">
        <v>340</v>
      </c>
      <c r="G1842" s="76">
        <v>3</v>
      </c>
      <c r="H1842" s="76" t="s">
        <v>17</v>
      </c>
      <c r="I1842" s="76" t="s">
        <v>21</v>
      </c>
      <c r="J1842" s="76">
        <v>0</v>
      </c>
      <c r="K1842" s="78">
        <f>AB1842/COUNTIFS($B:$B,$B1842,$C:$C,$C1842,$H:$H,$H1842,$I:$I,$I1842)</f>
        <v>0.05</v>
      </c>
      <c r="L1842" s="80">
        <f t="shared" si="132"/>
        <v>1</v>
      </c>
      <c r="M1842" s="82">
        <f t="shared" si="134"/>
        <v>0</v>
      </c>
      <c r="N1842" s="59"/>
      <c r="AA1842" s="154">
        <f>AB1842/COUNTIFS($B:$B,$B1842,$C:$C,$C1842,$H:$H,$H1842,$I:$I,$I1842)</f>
        <v>0.05</v>
      </c>
      <c r="AB1842" s="155">
        <f>VLOOKUP(I1842,'Weights and Confidence'!$D$16:$AC$26,11,FALSE)</f>
        <v>0.05</v>
      </c>
      <c r="AC1842" s="156">
        <f>VLOOKUP(I1842,'Weights and Confidence'!$D$16:$AC$26,12,FALSE)</f>
        <v>1</v>
      </c>
    </row>
    <row r="1843" spans="1:29" x14ac:dyDescent="0.2">
      <c r="A1843" s="77" t="s">
        <v>566</v>
      </c>
      <c r="B1843" s="77" t="s">
        <v>87</v>
      </c>
      <c r="C1843" s="77" t="s">
        <v>339</v>
      </c>
      <c r="D1843" s="77" t="s">
        <v>65</v>
      </c>
      <c r="E1843" s="77"/>
      <c r="F1843" s="91" t="s">
        <v>340</v>
      </c>
      <c r="G1843" s="77">
        <v>3</v>
      </c>
      <c r="H1843" s="77" t="s">
        <v>18</v>
      </c>
      <c r="I1843" s="77" t="s">
        <v>21</v>
      </c>
      <c r="J1843" s="77">
        <v>1</v>
      </c>
      <c r="K1843" s="79">
        <f>AB1843/COUNTIFS($B:$B,$B1843,$C:$C,$C1843,$H:$H,$H1843,$I:$I,$I1843)</f>
        <v>0.05</v>
      </c>
      <c r="L1843" s="81">
        <f t="shared" si="132"/>
        <v>1</v>
      </c>
      <c r="M1843" s="83">
        <f t="shared" si="134"/>
        <v>0.05</v>
      </c>
      <c r="N1843" s="84"/>
      <c r="AA1843" s="154">
        <f>AB1843/COUNTIFS($B:$B,$B1843,$C:$C,$C1843,$H:$H,$H1843,$I:$I,$I1843)</f>
        <v>0.05</v>
      </c>
      <c r="AB1843" s="155">
        <f>VLOOKUP(I1843,'Weights and Confidence'!$D$16:$AC$26,11,FALSE)</f>
        <v>0.05</v>
      </c>
      <c r="AC1843" s="156">
        <f>VLOOKUP(I1843,'Weights and Confidence'!$D$16:$AC$26,12,FALSE)</f>
        <v>1</v>
      </c>
    </row>
    <row r="1844" spans="1:29" x14ac:dyDescent="0.2">
      <c r="A1844" s="76" t="s">
        <v>566</v>
      </c>
      <c r="B1844" s="76" t="s">
        <v>87</v>
      </c>
      <c r="C1844" s="76" t="s">
        <v>339</v>
      </c>
      <c r="D1844" s="76" t="s">
        <v>65</v>
      </c>
      <c r="E1844" s="76"/>
      <c r="F1844" s="91" t="s">
        <v>340</v>
      </c>
      <c r="G1844" s="76">
        <v>4</v>
      </c>
      <c r="H1844" s="76" t="s">
        <v>17</v>
      </c>
      <c r="I1844" s="76" t="s">
        <v>22</v>
      </c>
      <c r="J1844" s="76">
        <v>1</v>
      </c>
      <c r="K1844" s="78">
        <f>AB1844/COUNTIFS($B:$B,$B1844,$C:$C,$C1844,$H:$H,$H1844,$I:$I,$I1844)</f>
        <v>0.1</v>
      </c>
      <c r="L1844" s="80">
        <f t="shared" si="132"/>
        <v>1</v>
      </c>
      <c r="M1844" s="82">
        <f t="shared" si="134"/>
        <v>0.1</v>
      </c>
      <c r="N1844" s="59"/>
      <c r="AA1844" s="154">
        <f>AB1844/COUNTIFS($B:$B,$B1844,$C:$C,$C1844,$H:$H,$H1844,$I:$I,$I1844)</f>
        <v>0.1</v>
      </c>
      <c r="AB1844" s="155">
        <f>VLOOKUP(I1844,'Weights and Confidence'!$D$16:$AC$26,11,FALSE)</f>
        <v>0.1</v>
      </c>
      <c r="AC1844" s="156">
        <f>VLOOKUP(I1844,'Weights and Confidence'!$D$16:$AC$26,12,FALSE)</f>
        <v>1</v>
      </c>
    </row>
    <row r="1845" spans="1:29" x14ac:dyDescent="0.2">
      <c r="A1845" s="77" t="s">
        <v>566</v>
      </c>
      <c r="B1845" s="77" t="s">
        <v>87</v>
      </c>
      <c r="C1845" s="77" t="s">
        <v>339</v>
      </c>
      <c r="D1845" s="77" t="s">
        <v>65</v>
      </c>
      <c r="E1845" s="77"/>
      <c r="F1845" s="91" t="s">
        <v>340</v>
      </c>
      <c r="G1845" s="77">
        <v>4</v>
      </c>
      <c r="H1845" s="77" t="s">
        <v>18</v>
      </c>
      <c r="I1845" s="77" t="s">
        <v>22</v>
      </c>
      <c r="J1845" s="77">
        <v>0</v>
      </c>
      <c r="K1845" s="79">
        <f>AB1845/COUNTIFS($B:$B,$B1845,$C:$C,$C1845,$H:$H,$H1845,$I:$I,$I1845)</f>
        <v>0.1</v>
      </c>
      <c r="L1845" s="81">
        <f t="shared" si="132"/>
        <v>1</v>
      </c>
      <c r="M1845" s="83">
        <f t="shared" si="134"/>
        <v>0</v>
      </c>
      <c r="N1845" s="17"/>
      <c r="AA1845" s="154">
        <f>AB1845/COUNTIFS($B:$B,$B1845,$C:$C,$C1845,$H:$H,$H1845,$I:$I,$I1845)</f>
        <v>0.1</v>
      </c>
      <c r="AB1845" s="155">
        <f>VLOOKUP(I1845,'Weights and Confidence'!$D$16:$AC$26,11,FALSE)</f>
        <v>0.1</v>
      </c>
      <c r="AC1845" s="156">
        <f>VLOOKUP(I1845,'Weights and Confidence'!$D$16:$AC$26,12,FALSE)</f>
        <v>1</v>
      </c>
    </row>
    <row r="1846" spans="1:29" x14ac:dyDescent="0.2">
      <c r="A1846" s="76" t="s">
        <v>566</v>
      </c>
      <c r="B1846" s="76" t="s">
        <v>87</v>
      </c>
      <c r="C1846" s="76" t="s">
        <v>339</v>
      </c>
      <c r="D1846" s="76" t="s">
        <v>65</v>
      </c>
      <c r="E1846" s="76"/>
      <c r="F1846" s="91" t="s">
        <v>340</v>
      </c>
      <c r="G1846" s="76">
        <v>5</v>
      </c>
      <c r="H1846" s="76" t="s">
        <v>17</v>
      </c>
      <c r="I1846" s="76" t="s">
        <v>34</v>
      </c>
      <c r="J1846" s="76">
        <v>0</v>
      </c>
      <c r="K1846" s="78">
        <f>AB1846/COUNTIFS($B:$B,$B1846,$C:$C,$C1846,$H:$H,$H1846,$I:$I,$I1846)</f>
        <v>0.08</v>
      </c>
      <c r="L1846" s="80">
        <f t="shared" si="132"/>
        <v>1</v>
      </c>
      <c r="M1846" s="82">
        <f t="shared" si="134"/>
        <v>0</v>
      </c>
      <c r="N1846" s="84"/>
      <c r="AA1846" s="154">
        <f>AB1846/COUNTIFS($B:$B,$B1846,$C:$C,$C1846,$H:$H,$H1846,$I:$I,$I1846)</f>
        <v>0.08</v>
      </c>
      <c r="AB1846" s="155">
        <f>VLOOKUP(I1846,'Weights and Confidence'!$D$16:$AC$26,11,FALSE)</f>
        <v>0.08</v>
      </c>
      <c r="AC1846" s="156">
        <f>VLOOKUP(I1846,'Weights and Confidence'!$D$16:$AC$26,12,FALSE)</f>
        <v>1</v>
      </c>
    </row>
    <row r="1847" spans="1:29" x14ac:dyDescent="0.2">
      <c r="A1847" s="77" t="s">
        <v>566</v>
      </c>
      <c r="B1847" s="77" t="s">
        <v>87</v>
      </c>
      <c r="C1847" s="77" t="s">
        <v>339</v>
      </c>
      <c r="D1847" s="77" t="s">
        <v>65</v>
      </c>
      <c r="E1847" s="77"/>
      <c r="F1847" s="91" t="s">
        <v>340</v>
      </c>
      <c r="G1847" s="77">
        <v>5</v>
      </c>
      <c r="H1847" s="77" t="s">
        <v>18</v>
      </c>
      <c r="I1847" s="77" t="s">
        <v>34</v>
      </c>
      <c r="J1847" s="77">
        <v>0</v>
      </c>
      <c r="K1847" s="79">
        <f>AB1847/COUNTIFS($B:$B,$B1847,$C:$C,$C1847,$H:$H,$H1847,$I:$I,$I1847)</f>
        <v>0.08</v>
      </c>
      <c r="L1847" s="81">
        <f t="shared" si="132"/>
        <v>1</v>
      </c>
      <c r="M1847" s="83">
        <f t="shared" si="134"/>
        <v>0</v>
      </c>
      <c r="N1847" s="17"/>
      <c r="AA1847" s="154">
        <f>AB1847/COUNTIFS($B:$B,$B1847,$C:$C,$C1847,$H:$H,$H1847,$I:$I,$I1847)</f>
        <v>0.08</v>
      </c>
      <c r="AB1847" s="155">
        <f>VLOOKUP(I1847,'Weights and Confidence'!$D$16:$AC$26,11,FALSE)</f>
        <v>0.08</v>
      </c>
      <c r="AC1847" s="156">
        <f>VLOOKUP(I1847,'Weights and Confidence'!$D$16:$AC$26,12,FALSE)</f>
        <v>1</v>
      </c>
    </row>
    <row r="1848" spans="1:29" x14ac:dyDescent="0.2">
      <c r="A1848" s="76" t="s">
        <v>566</v>
      </c>
      <c r="B1848" s="76" t="s">
        <v>87</v>
      </c>
      <c r="C1848" s="76" t="s">
        <v>339</v>
      </c>
      <c r="D1848" s="76" t="s">
        <v>65</v>
      </c>
      <c r="E1848" s="76"/>
      <c r="F1848" s="91" t="s">
        <v>340</v>
      </c>
      <c r="G1848" s="76">
        <v>6</v>
      </c>
      <c r="H1848" s="76" t="s">
        <v>17</v>
      </c>
      <c r="I1848" s="76" t="s">
        <v>23</v>
      </c>
      <c r="J1848" s="76">
        <v>1</v>
      </c>
      <c r="K1848" s="78">
        <f>AB1848/COUNTIFS($B:$B,$B1848,$C:$C,$C1848,$H:$H,$H1848,$I:$I,$I1848)</f>
        <v>7.0000000000000007E-2</v>
      </c>
      <c r="L1848" s="80">
        <f t="shared" si="132"/>
        <v>1</v>
      </c>
      <c r="M1848" s="82">
        <f t="shared" si="134"/>
        <v>7.0000000000000007E-2</v>
      </c>
      <c r="N1848" s="59"/>
      <c r="AA1848" s="154">
        <f>AB1848/COUNTIFS($B:$B,$B1848,$C:$C,$C1848,$H:$H,$H1848,$I:$I,$I1848)</f>
        <v>7.0000000000000007E-2</v>
      </c>
      <c r="AB1848" s="155">
        <f>VLOOKUP(I1848,'Weights and Confidence'!$D$16:$AC$26,11,FALSE)</f>
        <v>7.0000000000000007E-2</v>
      </c>
      <c r="AC1848" s="156">
        <f>VLOOKUP(I1848,'Weights and Confidence'!$D$16:$AC$26,12,FALSE)</f>
        <v>1</v>
      </c>
    </row>
    <row r="1849" spans="1:29" x14ac:dyDescent="0.2">
      <c r="A1849" s="77" t="s">
        <v>566</v>
      </c>
      <c r="B1849" s="77" t="s">
        <v>87</v>
      </c>
      <c r="C1849" s="77" t="s">
        <v>339</v>
      </c>
      <c r="D1849" s="77" t="s">
        <v>65</v>
      </c>
      <c r="E1849" s="77"/>
      <c r="F1849" s="91" t="s">
        <v>340</v>
      </c>
      <c r="G1849" s="77">
        <v>6</v>
      </c>
      <c r="H1849" s="77" t="s">
        <v>18</v>
      </c>
      <c r="I1849" s="77" t="s">
        <v>23</v>
      </c>
      <c r="J1849" s="77">
        <v>-1</v>
      </c>
      <c r="K1849" s="79">
        <f>AB1849/COUNTIFS($B:$B,$B1849,$C:$C,$C1849,$H:$H,$H1849,$I:$I,$I1849)</f>
        <v>7.0000000000000007E-2</v>
      </c>
      <c r="L1849" s="81">
        <f t="shared" si="132"/>
        <v>1</v>
      </c>
      <c r="M1849" s="83">
        <f t="shared" si="134"/>
        <v>-7.0000000000000007E-2</v>
      </c>
      <c r="N1849" s="17"/>
      <c r="AA1849" s="154">
        <f>AB1849/COUNTIFS($B:$B,$B1849,$C:$C,$C1849,$H:$H,$H1849,$I:$I,$I1849)</f>
        <v>7.0000000000000007E-2</v>
      </c>
      <c r="AB1849" s="155">
        <f>VLOOKUP(I1849,'Weights and Confidence'!$D$16:$AC$26,11,FALSE)</f>
        <v>7.0000000000000007E-2</v>
      </c>
      <c r="AC1849" s="156">
        <f>VLOOKUP(I1849,'Weights and Confidence'!$D$16:$AC$26,12,FALSE)</f>
        <v>1</v>
      </c>
    </row>
    <row r="1850" spans="1:29" x14ac:dyDescent="0.2">
      <c r="A1850" s="76" t="s">
        <v>566</v>
      </c>
      <c r="B1850" s="76" t="s">
        <v>87</v>
      </c>
      <c r="C1850" s="76" t="s">
        <v>339</v>
      </c>
      <c r="D1850" s="76" t="s">
        <v>65</v>
      </c>
      <c r="E1850" s="76"/>
      <c r="F1850" s="91" t="s">
        <v>340</v>
      </c>
      <c r="G1850" s="76">
        <v>7</v>
      </c>
      <c r="H1850" s="76" t="s">
        <v>17</v>
      </c>
      <c r="I1850" s="76" t="s">
        <v>24</v>
      </c>
      <c r="J1850" s="76">
        <v>1</v>
      </c>
      <c r="K1850" s="78">
        <f>AB1850/COUNTIFS($B:$B,$B1850,$C:$C,$C1850,$H:$H,$H1850,$I:$I,$I1850)</f>
        <v>0.15</v>
      </c>
      <c r="L1850" s="80">
        <f t="shared" si="132"/>
        <v>1</v>
      </c>
      <c r="M1850" s="82">
        <f t="shared" si="134"/>
        <v>0.15</v>
      </c>
      <c r="N1850" s="59"/>
      <c r="AA1850" s="154">
        <f>AB1850/COUNTIFS($B:$B,$B1850,$C:$C,$C1850,$H:$H,$H1850,$I:$I,$I1850)</f>
        <v>0.15</v>
      </c>
      <c r="AB1850" s="155">
        <f>VLOOKUP(I1850,'Weights and Confidence'!$D$16:$AC$26,11,FALSE)</f>
        <v>0.15</v>
      </c>
      <c r="AC1850" s="156">
        <f>VLOOKUP(I1850,'Weights and Confidence'!$D$16:$AC$26,12,FALSE)</f>
        <v>1</v>
      </c>
    </row>
    <row r="1851" spans="1:29" x14ac:dyDescent="0.2">
      <c r="A1851" s="77" t="s">
        <v>566</v>
      </c>
      <c r="B1851" s="77" t="s">
        <v>87</v>
      </c>
      <c r="C1851" s="77" t="s">
        <v>339</v>
      </c>
      <c r="D1851" s="77" t="s">
        <v>65</v>
      </c>
      <c r="E1851" s="77"/>
      <c r="F1851" s="91" t="s">
        <v>340</v>
      </c>
      <c r="G1851" s="77">
        <v>7</v>
      </c>
      <c r="H1851" s="77" t="s">
        <v>18</v>
      </c>
      <c r="I1851" s="77" t="s">
        <v>24</v>
      </c>
      <c r="J1851" s="77">
        <v>0</v>
      </c>
      <c r="K1851" s="79">
        <f>AB1851/COUNTIFS($B:$B,$B1851,$C:$C,$C1851,$H:$H,$H1851,$I:$I,$I1851)</f>
        <v>0.15</v>
      </c>
      <c r="L1851" s="81">
        <f t="shared" si="132"/>
        <v>1</v>
      </c>
      <c r="M1851" s="83">
        <f t="shared" si="134"/>
        <v>0</v>
      </c>
      <c r="N1851" s="84"/>
      <c r="AA1851" s="154">
        <f>AB1851/COUNTIFS($B:$B,$B1851,$C:$C,$C1851,$H:$H,$H1851,$I:$I,$I1851)</f>
        <v>0.15</v>
      </c>
      <c r="AB1851" s="155">
        <f>VLOOKUP(I1851,'Weights and Confidence'!$D$16:$AC$26,11,FALSE)</f>
        <v>0.15</v>
      </c>
      <c r="AC1851" s="156">
        <f>VLOOKUP(I1851,'Weights and Confidence'!$D$16:$AC$26,12,FALSE)</f>
        <v>1</v>
      </c>
    </row>
    <row r="1852" spans="1:29" x14ac:dyDescent="0.2">
      <c r="A1852" s="76" t="s">
        <v>566</v>
      </c>
      <c r="B1852" s="76" t="s">
        <v>87</v>
      </c>
      <c r="C1852" s="76" t="s">
        <v>339</v>
      </c>
      <c r="D1852" s="76" t="s">
        <v>65</v>
      </c>
      <c r="E1852" s="76"/>
      <c r="F1852" s="91" t="s">
        <v>340</v>
      </c>
      <c r="G1852" s="76">
        <v>8</v>
      </c>
      <c r="H1852" s="76" t="s">
        <v>17</v>
      </c>
      <c r="I1852" s="76" t="s">
        <v>25</v>
      </c>
      <c r="J1852" s="76">
        <v>0</v>
      </c>
      <c r="K1852" s="78">
        <f>AB1852/COUNTIFS($B:$B,$B1852,$C:$C,$C1852,$H:$H,$H1852,$I:$I,$I1852)</f>
        <v>0.1</v>
      </c>
      <c r="L1852" s="80">
        <f t="shared" si="132"/>
        <v>1</v>
      </c>
      <c r="M1852" s="82">
        <f t="shared" si="134"/>
        <v>0</v>
      </c>
      <c r="N1852" s="59"/>
      <c r="AA1852" s="154">
        <f>AB1852/COUNTIFS($B:$B,$B1852,$C:$C,$C1852,$H:$H,$H1852,$I:$I,$I1852)</f>
        <v>0.1</v>
      </c>
      <c r="AB1852" s="155">
        <f>VLOOKUP(I1852,'Weights and Confidence'!$D$16:$AC$26,11,FALSE)</f>
        <v>0.1</v>
      </c>
      <c r="AC1852" s="156">
        <f>VLOOKUP(I1852,'Weights and Confidence'!$D$16:$AC$26,12,FALSE)</f>
        <v>1</v>
      </c>
    </row>
    <row r="1853" spans="1:29" x14ac:dyDescent="0.2">
      <c r="A1853" s="77" t="s">
        <v>566</v>
      </c>
      <c r="B1853" s="77" t="s">
        <v>87</v>
      </c>
      <c r="C1853" s="77" t="s">
        <v>339</v>
      </c>
      <c r="D1853" s="77" t="s">
        <v>65</v>
      </c>
      <c r="E1853" s="77"/>
      <c r="F1853" s="91" t="s">
        <v>340</v>
      </c>
      <c r="G1853" s="77">
        <v>8</v>
      </c>
      <c r="H1853" s="77" t="s">
        <v>18</v>
      </c>
      <c r="I1853" s="77" t="s">
        <v>25</v>
      </c>
      <c r="J1853" s="77">
        <v>1</v>
      </c>
      <c r="K1853" s="79">
        <f>AB1853/COUNTIFS($B:$B,$B1853,$C:$C,$C1853,$H:$H,$H1853,$I:$I,$I1853)</f>
        <v>0.1</v>
      </c>
      <c r="L1853" s="81">
        <f t="shared" si="132"/>
        <v>1</v>
      </c>
      <c r="M1853" s="83">
        <f t="shared" si="134"/>
        <v>0.1</v>
      </c>
      <c r="N1853" s="17"/>
      <c r="AA1853" s="154">
        <f>AB1853/COUNTIFS($B:$B,$B1853,$C:$C,$C1853,$H:$H,$H1853,$I:$I,$I1853)</f>
        <v>0.1</v>
      </c>
      <c r="AB1853" s="155">
        <f>VLOOKUP(I1853,'Weights and Confidence'!$D$16:$AC$26,11,FALSE)</f>
        <v>0.1</v>
      </c>
      <c r="AC1853" s="156">
        <f>VLOOKUP(I1853,'Weights and Confidence'!$D$16:$AC$26,12,FALSE)</f>
        <v>1</v>
      </c>
    </row>
    <row r="1854" spans="1:29" x14ac:dyDescent="0.2">
      <c r="A1854" s="76" t="s">
        <v>566</v>
      </c>
      <c r="B1854" s="76" t="s">
        <v>87</v>
      </c>
      <c r="C1854" s="76" t="s">
        <v>339</v>
      </c>
      <c r="D1854" s="76" t="s">
        <v>65</v>
      </c>
      <c r="E1854" s="76"/>
      <c r="F1854" s="91" t="s">
        <v>340</v>
      </c>
      <c r="G1854" s="76">
        <v>9</v>
      </c>
      <c r="H1854" s="76" t="s">
        <v>17</v>
      </c>
      <c r="I1854" s="76" t="s">
        <v>26</v>
      </c>
      <c r="J1854" s="76">
        <v>0</v>
      </c>
      <c r="K1854" s="78">
        <f>AB1854/COUNTIFS($B:$B,$B1854,$C:$C,$C1854,$H:$H,$H1854,$I:$I,$I1854)</f>
        <v>0.1</v>
      </c>
      <c r="L1854" s="80">
        <f t="shared" si="132"/>
        <v>1</v>
      </c>
      <c r="M1854" s="82">
        <f t="shared" si="134"/>
        <v>0</v>
      </c>
      <c r="N1854" s="59"/>
      <c r="AA1854" s="154">
        <f>AB1854/COUNTIFS($B:$B,$B1854,$C:$C,$C1854,$H:$H,$H1854,$I:$I,$I1854)</f>
        <v>0.1</v>
      </c>
      <c r="AB1854" s="155">
        <f>VLOOKUP(I1854,'Weights and Confidence'!$D$16:$AC$26,11,FALSE)</f>
        <v>0.1</v>
      </c>
      <c r="AC1854" s="156">
        <f>VLOOKUP(I1854,'Weights and Confidence'!$D$16:$AC$26,12,FALSE)</f>
        <v>1</v>
      </c>
    </row>
    <row r="1855" spans="1:29" x14ac:dyDescent="0.2">
      <c r="A1855" s="77" t="s">
        <v>566</v>
      </c>
      <c r="B1855" s="77" t="s">
        <v>87</v>
      </c>
      <c r="C1855" s="77" t="s">
        <v>339</v>
      </c>
      <c r="D1855" s="77" t="s">
        <v>65</v>
      </c>
      <c r="E1855" s="77"/>
      <c r="F1855" s="91" t="s">
        <v>340</v>
      </c>
      <c r="G1855" s="77">
        <v>9</v>
      </c>
      <c r="H1855" s="77" t="s">
        <v>18</v>
      </c>
      <c r="I1855" s="77" t="s">
        <v>26</v>
      </c>
      <c r="J1855" s="77">
        <v>1</v>
      </c>
      <c r="K1855" s="79">
        <f>AB1855/COUNTIFS($B:$B,$B1855,$C:$C,$C1855,$H:$H,$H1855,$I:$I,$I1855)</f>
        <v>0.1</v>
      </c>
      <c r="L1855" s="81">
        <f t="shared" si="132"/>
        <v>1</v>
      </c>
      <c r="M1855" s="83">
        <f t="shared" si="134"/>
        <v>0.1</v>
      </c>
      <c r="N1855" s="84"/>
      <c r="AA1855" s="154">
        <f>AB1855/COUNTIFS($B:$B,$B1855,$C:$C,$C1855,$H:$H,$H1855,$I:$I,$I1855)</f>
        <v>0.1</v>
      </c>
      <c r="AB1855" s="155">
        <f>VLOOKUP(I1855,'Weights and Confidence'!$D$16:$AC$26,11,FALSE)</f>
        <v>0.1</v>
      </c>
      <c r="AC1855" s="156">
        <f>VLOOKUP(I1855,'Weights and Confidence'!$D$16:$AC$26,12,FALSE)</f>
        <v>1</v>
      </c>
    </row>
    <row r="1856" spans="1:29" x14ac:dyDescent="0.2">
      <c r="A1856" s="76" t="s">
        <v>566</v>
      </c>
      <c r="B1856" s="76" t="s">
        <v>87</v>
      </c>
      <c r="C1856" s="76" t="s">
        <v>339</v>
      </c>
      <c r="D1856" s="76" t="s">
        <v>65</v>
      </c>
      <c r="E1856" s="76"/>
      <c r="F1856" s="91" t="s">
        <v>340</v>
      </c>
      <c r="G1856" s="76">
        <v>10</v>
      </c>
      <c r="H1856" s="76" t="s">
        <v>17</v>
      </c>
      <c r="I1856" s="76" t="s">
        <v>27</v>
      </c>
      <c r="J1856" s="76">
        <v>0</v>
      </c>
      <c r="K1856" s="78">
        <f>AB1856/COUNTIFS($B:$B,$B1856,$C:$C,$C1856,$H:$H,$H1856,$I:$I,$I1856)</f>
        <v>0.05</v>
      </c>
      <c r="L1856" s="80">
        <f t="shared" si="132"/>
        <v>0.9</v>
      </c>
      <c r="M1856" s="82">
        <f t="shared" si="134"/>
        <v>0</v>
      </c>
      <c r="N1856" s="59"/>
      <c r="AA1856" s="154">
        <f>AB1856/COUNTIFS($B:$B,$B1856,$C:$C,$C1856,$H:$H,$H1856,$I:$I,$I1856)</f>
        <v>0.05</v>
      </c>
      <c r="AB1856" s="155">
        <f>VLOOKUP(I1856,'Weights and Confidence'!$D$16:$AC$26,11,FALSE)</f>
        <v>0.1</v>
      </c>
      <c r="AC1856" s="156">
        <f>VLOOKUP(I1856,'Weights and Confidence'!$D$16:$AC$26,12,FALSE)</f>
        <v>0.9</v>
      </c>
    </row>
    <row r="1857" spans="1:29" x14ac:dyDescent="0.2">
      <c r="A1857" s="77" t="s">
        <v>566</v>
      </c>
      <c r="B1857" s="77" t="s">
        <v>87</v>
      </c>
      <c r="C1857" s="77" t="s">
        <v>339</v>
      </c>
      <c r="D1857" s="77" t="s">
        <v>65</v>
      </c>
      <c r="E1857" s="77"/>
      <c r="F1857" s="91" t="s">
        <v>340</v>
      </c>
      <c r="G1857" s="77">
        <v>10</v>
      </c>
      <c r="H1857" s="77" t="s">
        <v>18</v>
      </c>
      <c r="I1857" s="77" t="s">
        <v>27</v>
      </c>
      <c r="J1857" s="77">
        <v>1</v>
      </c>
      <c r="K1857" s="79">
        <f>AB1857/COUNTIFS($B:$B,$B1857,$C:$C,$C1857,$H:$H,$H1857,$I:$I,$I1857)</f>
        <v>0.05</v>
      </c>
      <c r="L1857" s="81">
        <f t="shared" si="132"/>
        <v>0.9</v>
      </c>
      <c r="M1857" s="83">
        <f t="shared" si="134"/>
        <v>4.5000000000000005E-2</v>
      </c>
      <c r="N1857" s="84"/>
      <c r="AA1857" s="154">
        <f>AB1857/COUNTIFS($B:$B,$B1857,$C:$C,$C1857,$H:$H,$H1857,$I:$I,$I1857)</f>
        <v>0.05</v>
      </c>
      <c r="AB1857" s="155">
        <f>VLOOKUP(I1857,'Weights and Confidence'!$D$16:$AC$26,11,FALSE)</f>
        <v>0.1</v>
      </c>
      <c r="AC1857" s="156">
        <f>VLOOKUP(I1857,'Weights and Confidence'!$D$16:$AC$26,12,FALSE)</f>
        <v>0.9</v>
      </c>
    </row>
    <row r="1858" spans="1:29" x14ac:dyDescent="0.2">
      <c r="A1858" s="76" t="s">
        <v>566</v>
      </c>
      <c r="B1858" s="76" t="s">
        <v>87</v>
      </c>
      <c r="C1858" s="76" t="s">
        <v>339</v>
      </c>
      <c r="D1858" s="76" t="s">
        <v>65</v>
      </c>
      <c r="E1858" s="76"/>
      <c r="F1858" s="91" t="s">
        <v>340</v>
      </c>
      <c r="G1858" s="76">
        <v>11</v>
      </c>
      <c r="H1858" s="76" t="s">
        <v>17</v>
      </c>
      <c r="I1858" s="76" t="s">
        <v>27</v>
      </c>
      <c r="J1858" s="76">
        <v>1</v>
      </c>
      <c r="K1858" s="78">
        <f>AB1858/COUNTIFS($B:$B,$B1858,$C:$C,$C1858,$H:$H,$H1858,$I:$I,$I1858)</f>
        <v>0.05</v>
      </c>
      <c r="L1858" s="80">
        <f t="shared" si="132"/>
        <v>0.9</v>
      </c>
      <c r="M1858" s="82">
        <f t="shared" si="134"/>
        <v>4.5000000000000005E-2</v>
      </c>
      <c r="N1858" s="59"/>
      <c r="AA1858" s="154">
        <f>AB1858/COUNTIFS($B:$B,$B1858,$C:$C,$C1858,$H:$H,$H1858,$I:$I,$I1858)</f>
        <v>0.05</v>
      </c>
      <c r="AB1858" s="155">
        <f>VLOOKUP(I1858,'Weights and Confidence'!$D$16:$AC$26,11,FALSE)</f>
        <v>0.1</v>
      </c>
      <c r="AC1858" s="156">
        <f>VLOOKUP(I1858,'Weights and Confidence'!$D$16:$AC$26,12,FALSE)</f>
        <v>0.9</v>
      </c>
    </row>
    <row r="1859" spans="1:29" x14ac:dyDescent="0.2">
      <c r="A1859" s="77" t="s">
        <v>566</v>
      </c>
      <c r="B1859" s="77" t="s">
        <v>87</v>
      </c>
      <c r="C1859" s="77" t="s">
        <v>339</v>
      </c>
      <c r="D1859" s="77" t="s">
        <v>65</v>
      </c>
      <c r="E1859" s="77"/>
      <c r="F1859" s="91" t="s">
        <v>340</v>
      </c>
      <c r="G1859" s="77">
        <v>11</v>
      </c>
      <c r="H1859" s="77" t="s">
        <v>18</v>
      </c>
      <c r="I1859" s="77" t="s">
        <v>27</v>
      </c>
      <c r="J1859" s="77">
        <v>0</v>
      </c>
      <c r="K1859" s="79">
        <f>AB1859/COUNTIFS($B:$B,$B1859,$C:$C,$C1859,$H:$H,$H1859,$I:$I,$I1859)</f>
        <v>0.05</v>
      </c>
      <c r="L1859" s="81">
        <f t="shared" si="132"/>
        <v>0.9</v>
      </c>
      <c r="M1859" s="83">
        <f t="shared" si="134"/>
        <v>0</v>
      </c>
      <c r="N1859" s="17" t="s">
        <v>625</v>
      </c>
      <c r="AA1859" s="154">
        <f>AB1859/COUNTIFS($B:$B,$B1859,$C:$C,$C1859,$H:$H,$H1859,$I:$I,$I1859)</f>
        <v>0.05</v>
      </c>
      <c r="AB1859" s="155">
        <f>VLOOKUP(I1859,'Weights and Confidence'!$D$16:$AC$26,11,FALSE)</f>
        <v>0.1</v>
      </c>
      <c r="AC1859" s="156">
        <f>VLOOKUP(I1859,'Weights and Confidence'!$D$16:$AC$26,12,FALSE)</f>
        <v>0.9</v>
      </c>
    </row>
    <row r="1860" spans="1:29" ht="17" thickBot="1" x14ac:dyDescent="0.25">
      <c r="A1860" s="77" t="s">
        <v>566</v>
      </c>
      <c r="B1860" s="77" t="s">
        <v>87</v>
      </c>
      <c r="C1860" s="77" t="s">
        <v>339</v>
      </c>
      <c r="D1860" s="77" t="s">
        <v>65</v>
      </c>
      <c r="E1860" s="77"/>
      <c r="F1860" s="91" t="s">
        <v>340</v>
      </c>
      <c r="G1860" s="77">
        <v>12</v>
      </c>
      <c r="H1860" s="77" t="s">
        <v>17</v>
      </c>
      <c r="I1860" s="77" t="s">
        <v>28</v>
      </c>
      <c r="J1860" s="77">
        <v>1</v>
      </c>
      <c r="K1860" s="79">
        <f>AB1860/COUNTIFS($B:$B,$B1860,$C:$C,$C1860,$H:$H,$H1860,$I:$I,$I1860)</f>
        <v>0.05</v>
      </c>
      <c r="L1860" s="81">
        <f t="shared" si="132"/>
        <v>1</v>
      </c>
      <c r="M1860" s="83">
        <f>J1860*K1860*L1860</f>
        <v>0.05</v>
      </c>
      <c r="N1860" s="58"/>
      <c r="AA1860" s="154">
        <f>AB1860/COUNTIFS($B:$B,$B1860,$C:$C,$C1860,$H:$H,$H1860,$I:$I,$I1860)</f>
        <v>0.05</v>
      </c>
      <c r="AB1860" s="155">
        <f>VLOOKUP(I1860,'Weights and Confidence'!$D$16:$AC$26,11,FALSE)</f>
        <v>0.05</v>
      </c>
      <c r="AC1860" s="156">
        <f>VLOOKUP(I1860,'Weights and Confidence'!$D$16:$AC$26,12,FALSE)</f>
        <v>1</v>
      </c>
    </row>
    <row r="1861" spans="1:29" ht="17" thickBot="1" x14ac:dyDescent="0.25">
      <c r="A1861" s="98" t="s">
        <v>566</v>
      </c>
      <c r="B1861" s="98" t="s">
        <v>87</v>
      </c>
      <c r="C1861" s="98" t="s">
        <v>339</v>
      </c>
      <c r="D1861" s="98" t="s">
        <v>65</v>
      </c>
      <c r="E1861" s="98"/>
      <c r="F1861" s="93" t="s">
        <v>340</v>
      </c>
      <c r="G1861" s="98">
        <v>12</v>
      </c>
      <c r="H1861" s="98" t="s">
        <v>18</v>
      </c>
      <c r="I1861" s="98" t="s">
        <v>28</v>
      </c>
      <c r="J1861" s="98">
        <v>-1</v>
      </c>
      <c r="K1861" s="99">
        <f>AB1861/COUNTIFS($B:$B,$B1861,$C:$C,$C1861,$H:$H,$H1861,$I:$I,$I1861)</f>
        <v>0.05</v>
      </c>
      <c r="L1861" s="100">
        <f t="shared" si="132"/>
        <v>1</v>
      </c>
      <c r="M1861" s="101">
        <f>J1861*K1861*L1861</f>
        <v>-0.05</v>
      </c>
      <c r="N1861" s="162" t="s">
        <v>624</v>
      </c>
      <c r="AA1861" s="157">
        <f>AB1861/COUNTIFS($B:$B,$B1861,$C:$C,$C1861,$H:$H,$H1861,$I:$I,$I1861)</f>
        <v>0.05</v>
      </c>
      <c r="AB1861" s="158">
        <f>VLOOKUP(I1861,'Weights and Confidence'!$D$16:$AC$26,11,FALSE)</f>
        <v>0.05</v>
      </c>
      <c r="AC1861" s="159">
        <f>VLOOKUP(I1861,'Weights and Confidence'!$D$16:$AC$26,12,FALSE)</f>
        <v>1</v>
      </c>
    </row>
    <row r="1862" spans="1:29" ht="17" thickTop="1" x14ac:dyDescent="0.2">
      <c r="A1862" s="86" t="s">
        <v>566</v>
      </c>
      <c r="B1862" s="86" t="s">
        <v>87</v>
      </c>
      <c r="C1862" s="86" t="s">
        <v>502</v>
      </c>
      <c r="D1862" s="86" t="s">
        <v>65</v>
      </c>
      <c r="E1862" s="86"/>
      <c r="F1862" s="18" t="s">
        <v>503</v>
      </c>
      <c r="G1862" s="86">
        <v>1</v>
      </c>
      <c r="H1862" s="86" t="s">
        <v>17</v>
      </c>
      <c r="I1862" s="86" t="s">
        <v>19</v>
      </c>
      <c r="J1862" s="97">
        <v>1</v>
      </c>
      <c r="K1862" s="87">
        <f>AB1862/COUNTIFS($B:$B,$B1862,$C:$C,$C1862,$H:$H,$H1862,$I:$I,$I1862)</f>
        <v>0.12</v>
      </c>
      <c r="L1862" s="88">
        <f t="shared" ref="L1862:L1885" si="135">AC1862</f>
        <v>1</v>
      </c>
      <c r="M1862" s="89">
        <f t="shared" ref="M1862" si="136">J1862*K1862*L1862</f>
        <v>0.12</v>
      </c>
      <c r="N1862" s="90"/>
      <c r="AA1862" s="154">
        <f>AB1862/COUNTIFS($B:$B,$B1862,$C:$C,$C1862,$H:$H,$H1862,$I:$I,$I1862)</f>
        <v>0.12</v>
      </c>
      <c r="AB1862" s="155">
        <f>VLOOKUP(I1862,'Weights and Confidence'!$D$16:$AC$26,11,FALSE)</f>
        <v>0.12</v>
      </c>
      <c r="AC1862" s="156">
        <f>VLOOKUP(I1862,'Weights and Confidence'!$D$16:$AC$26,12,FALSE)</f>
        <v>1</v>
      </c>
    </row>
    <row r="1863" spans="1:29" x14ac:dyDescent="0.2">
      <c r="A1863" s="77" t="s">
        <v>566</v>
      </c>
      <c r="B1863" s="77" t="s">
        <v>87</v>
      </c>
      <c r="C1863" s="77" t="s">
        <v>502</v>
      </c>
      <c r="D1863" s="77" t="s">
        <v>65</v>
      </c>
      <c r="E1863" s="77"/>
      <c r="F1863" s="91" t="s">
        <v>503</v>
      </c>
      <c r="G1863" s="77">
        <v>1</v>
      </c>
      <c r="H1863" s="77" t="s">
        <v>18</v>
      </c>
      <c r="I1863" s="77" t="s">
        <v>19</v>
      </c>
      <c r="J1863" s="77">
        <v>1</v>
      </c>
      <c r="K1863" s="79">
        <f>AB1863/COUNTIFS($B:$B,$B1863,$C:$C,$C1863,$H:$H,$H1863,$I:$I,$I1863)</f>
        <v>0.12</v>
      </c>
      <c r="L1863" s="81">
        <f t="shared" si="135"/>
        <v>1</v>
      </c>
      <c r="M1863" s="83">
        <f>J1862*K1863*L1863</f>
        <v>0.12</v>
      </c>
      <c r="N1863" s="84"/>
      <c r="AA1863" s="154">
        <f>AB1863/COUNTIFS($B:$B,$B1863,$C:$C,$C1863,$H:$H,$H1863,$I:$I,$I1863)</f>
        <v>0.12</v>
      </c>
      <c r="AB1863" s="155">
        <f>VLOOKUP(I1863,'Weights and Confidence'!$D$16:$AC$26,11,FALSE)</f>
        <v>0.12</v>
      </c>
      <c r="AC1863" s="156">
        <f>VLOOKUP(I1863,'Weights and Confidence'!$D$16:$AC$26,12,FALSE)</f>
        <v>1</v>
      </c>
    </row>
    <row r="1864" spans="1:29" x14ac:dyDescent="0.2">
      <c r="A1864" s="76" t="s">
        <v>566</v>
      </c>
      <c r="B1864" s="76" t="s">
        <v>87</v>
      </c>
      <c r="C1864" s="76" t="s">
        <v>502</v>
      </c>
      <c r="D1864" s="76" t="s">
        <v>65</v>
      </c>
      <c r="E1864" s="76"/>
      <c r="F1864" s="91" t="s">
        <v>503</v>
      </c>
      <c r="G1864" s="76">
        <v>2</v>
      </c>
      <c r="H1864" s="76" t="s">
        <v>17</v>
      </c>
      <c r="I1864" s="76" t="s">
        <v>20</v>
      </c>
      <c r="J1864" s="76">
        <v>1</v>
      </c>
      <c r="K1864" s="78">
        <f>AB1864/COUNTIFS($B:$B,$B1864,$C:$C,$C1864,$H:$H,$H1864,$I:$I,$I1864)</f>
        <v>0.08</v>
      </c>
      <c r="L1864" s="80">
        <f t="shared" si="135"/>
        <v>0.9</v>
      </c>
      <c r="M1864" s="82">
        <f t="shared" ref="M1864:M1883" si="137">J1864*K1864*L1864</f>
        <v>7.2000000000000008E-2</v>
      </c>
      <c r="N1864" s="59"/>
      <c r="AA1864" s="154">
        <f>AB1864/COUNTIFS($B:$B,$B1864,$C:$C,$C1864,$H:$H,$H1864,$I:$I,$I1864)</f>
        <v>0.08</v>
      </c>
      <c r="AB1864" s="155">
        <f>VLOOKUP(I1864,'Weights and Confidence'!$D$16:$AC$26,11,FALSE)</f>
        <v>0.08</v>
      </c>
      <c r="AC1864" s="156">
        <f>VLOOKUP(I1864,'Weights and Confidence'!$D$16:$AC$26,12,FALSE)</f>
        <v>0.9</v>
      </c>
    </row>
    <row r="1865" spans="1:29" x14ac:dyDescent="0.2">
      <c r="A1865" s="77" t="s">
        <v>566</v>
      </c>
      <c r="B1865" s="77" t="s">
        <v>87</v>
      </c>
      <c r="C1865" s="77" t="s">
        <v>502</v>
      </c>
      <c r="D1865" s="77" t="s">
        <v>65</v>
      </c>
      <c r="E1865" s="77"/>
      <c r="F1865" s="91" t="s">
        <v>503</v>
      </c>
      <c r="G1865" s="77">
        <v>2</v>
      </c>
      <c r="H1865" s="77" t="s">
        <v>18</v>
      </c>
      <c r="I1865" s="77" t="s">
        <v>20</v>
      </c>
      <c r="J1865" s="77">
        <v>1</v>
      </c>
      <c r="K1865" s="79">
        <f>AB1865/COUNTIFS($B:$B,$B1865,$C:$C,$C1865,$H:$H,$H1865,$I:$I,$I1865)</f>
        <v>0.08</v>
      </c>
      <c r="L1865" s="81">
        <f t="shared" si="135"/>
        <v>0.9</v>
      </c>
      <c r="M1865" s="83">
        <f t="shared" si="137"/>
        <v>7.2000000000000008E-2</v>
      </c>
      <c r="N1865" s="17" t="s">
        <v>626</v>
      </c>
      <c r="AA1865" s="154">
        <f>AB1865/COUNTIFS($B:$B,$B1865,$C:$C,$C1865,$H:$H,$H1865,$I:$I,$I1865)</f>
        <v>0.08</v>
      </c>
      <c r="AB1865" s="155">
        <f>VLOOKUP(I1865,'Weights and Confidence'!$D$16:$AC$26,11,FALSE)</f>
        <v>0.08</v>
      </c>
      <c r="AC1865" s="156">
        <f>VLOOKUP(I1865,'Weights and Confidence'!$D$16:$AC$26,12,FALSE)</f>
        <v>0.9</v>
      </c>
    </row>
    <row r="1866" spans="1:29" x14ac:dyDescent="0.2">
      <c r="A1866" s="76" t="s">
        <v>566</v>
      </c>
      <c r="B1866" s="76" t="s">
        <v>87</v>
      </c>
      <c r="C1866" s="76" t="s">
        <v>502</v>
      </c>
      <c r="D1866" s="76" t="s">
        <v>65</v>
      </c>
      <c r="E1866" s="76"/>
      <c r="F1866" s="91" t="s">
        <v>503</v>
      </c>
      <c r="G1866" s="76">
        <v>3</v>
      </c>
      <c r="H1866" s="76" t="s">
        <v>17</v>
      </c>
      <c r="I1866" s="76" t="s">
        <v>21</v>
      </c>
      <c r="J1866" s="76">
        <v>1</v>
      </c>
      <c r="K1866" s="78">
        <f>AB1866/COUNTIFS($B:$B,$B1866,$C:$C,$C1866,$H:$H,$H1866,$I:$I,$I1866)</f>
        <v>0.05</v>
      </c>
      <c r="L1866" s="80">
        <f t="shared" si="135"/>
        <v>1</v>
      </c>
      <c r="M1866" s="82">
        <f t="shared" si="137"/>
        <v>0.05</v>
      </c>
      <c r="N1866" s="59"/>
      <c r="AA1866" s="154">
        <f>AB1866/COUNTIFS($B:$B,$B1866,$C:$C,$C1866,$H:$H,$H1866,$I:$I,$I1866)</f>
        <v>0.05</v>
      </c>
      <c r="AB1866" s="155">
        <f>VLOOKUP(I1866,'Weights and Confidence'!$D$16:$AC$26,11,FALSE)</f>
        <v>0.05</v>
      </c>
      <c r="AC1866" s="156">
        <f>VLOOKUP(I1866,'Weights and Confidence'!$D$16:$AC$26,12,FALSE)</f>
        <v>1</v>
      </c>
    </row>
    <row r="1867" spans="1:29" x14ac:dyDescent="0.2">
      <c r="A1867" s="77" t="s">
        <v>566</v>
      </c>
      <c r="B1867" s="77" t="s">
        <v>87</v>
      </c>
      <c r="C1867" s="77" t="s">
        <v>502</v>
      </c>
      <c r="D1867" s="77" t="s">
        <v>65</v>
      </c>
      <c r="E1867" s="77"/>
      <c r="F1867" s="91" t="s">
        <v>503</v>
      </c>
      <c r="G1867" s="77">
        <v>3</v>
      </c>
      <c r="H1867" s="77" t="s">
        <v>18</v>
      </c>
      <c r="I1867" s="77" t="s">
        <v>21</v>
      </c>
      <c r="J1867" s="77">
        <v>1</v>
      </c>
      <c r="K1867" s="79">
        <f>AB1867/COUNTIFS($B:$B,$B1867,$C:$C,$C1867,$H:$H,$H1867,$I:$I,$I1867)</f>
        <v>0.05</v>
      </c>
      <c r="L1867" s="81">
        <f t="shared" si="135"/>
        <v>1</v>
      </c>
      <c r="M1867" s="83">
        <f t="shared" si="137"/>
        <v>0.05</v>
      </c>
      <c r="N1867" s="17"/>
      <c r="AA1867" s="154">
        <f>AB1867/COUNTIFS($B:$B,$B1867,$C:$C,$C1867,$H:$H,$H1867,$I:$I,$I1867)</f>
        <v>0.05</v>
      </c>
      <c r="AB1867" s="155">
        <f>VLOOKUP(I1867,'Weights and Confidence'!$D$16:$AC$26,11,FALSE)</f>
        <v>0.05</v>
      </c>
      <c r="AC1867" s="156">
        <f>VLOOKUP(I1867,'Weights and Confidence'!$D$16:$AC$26,12,FALSE)</f>
        <v>1</v>
      </c>
    </row>
    <row r="1868" spans="1:29" x14ac:dyDescent="0.2">
      <c r="A1868" s="76" t="s">
        <v>566</v>
      </c>
      <c r="B1868" s="76" t="s">
        <v>87</v>
      </c>
      <c r="C1868" s="76" t="s">
        <v>502</v>
      </c>
      <c r="D1868" s="76" t="s">
        <v>65</v>
      </c>
      <c r="E1868" s="76"/>
      <c r="F1868" s="91" t="s">
        <v>503</v>
      </c>
      <c r="G1868" s="76">
        <v>4</v>
      </c>
      <c r="H1868" s="76" t="s">
        <v>17</v>
      </c>
      <c r="I1868" s="76" t="s">
        <v>22</v>
      </c>
      <c r="J1868" s="76">
        <v>1</v>
      </c>
      <c r="K1868" s="78">
        <f>AB1868/COUNTIFS($B:$B,$B1868,$C:$C,$C1868,$H:$H,$H1868,$I:$I,$I1868)</f>
        <v>0.1</v>
      </c>
      <c r="L1868" s="80">
        <f t="shared" si="135"/>
        <v>1</v>
      </c>
      <c r="M1868" s="82">
        <f t="shared" si="137"/>
        <v>0.1</v>
      </c>
      <c r="N1868" s="59"/>
      <c r="AA1868" s="154">
        <f>AB1868/COUNTIFS($B:$B,$B1868,$C:$C,$C1868,$H:$H,$H1868,$I:$I,$I1868)</f>
        <v>0.1</v>
      </c>
      <c r="AB1868" s="155">
        <f>VLOOKUP(I1868,'Weights and Confidence'!$D$16:$AC$26,11,FALSE)</f>
        <v>0.1</v>
      </c>
      <c r="AC1868" s="156">
        <f>VLOOKUP(I1868,'Weights and Confidence'!$D$16:$AC$26,12,FALSE)</f>
        <v>1</v>
      </c>
    </row>
    <row r="1869" spans="1:29" x14ac:dyDescent="0.2">
      <c r="A1869" s="77" t="s">
        <v>566</v>
      </c>
      <c r="B1869" s="77" t="s">
        <v>87</v>
      </c>
      <c r="C1869" s="77" t="s">
        <v>502</v>
      </c>
      <c r="D1869" s="77" t="s">
        <v>65</v>
      </c>
      <c r="E1869" s="77"/>
      <c r="F1869" s="91" t="s">
        <v>503</v>
      </c>
      <c r="G1869" s="77">
        <v>4</v>
      </c>
      <c r="H1869" s="77" t="s">
        <v>18</v>
      </c>
      <c r="I1869" s="77" t="s">
        <v>22</v>
      </c>
      <c r="J1869" s="77">
        <v>0</v>
      </c>
      <c r="K1869" s="79">
        <f>AB1869/COUNTIFS($B:$B,$B1869,$C:$C,$C1869,$H:$H,$H1869,$I:$I,$I1869)</f>
        <v>0.1</v>
      </c>
      <c r="L1869" s="81">
        <f t="shared" si="135"/>
        <v>1</v>
      </c>
      <c r="M1869" s="83">
        <f t="shared" si="137"/>
        <v>0</v>
      </c>
      <c r="N1869" s="17" t="s">
        <v>593</v>
      </c>
      <c r="AA1869" s="154">
        <f>AB1869/COUNTIFS($B:$B,$B1869,$C:$C,$C1869,$H:$H,$H1869,$I:$I,$I1869)</f>
        <v>0.1</v>
      </c>
      <c r="AB1869" s="155">
        <f>VLOOKUP(I1869,'Weights and Confidence'!$D$16:$AC$26,11,FALSE)</f>
        <v>0.1</v>
      </c>
      <c r="AC1869" s="156">
        <f>VLOOKUP(I1869,'Weights and Confidence'!$D$16:$AC$26,12,FALSE)</f>
        <v>1</v>
      </c>
    </row>
    <row r="1870" spans="1:29" x14ac:dyDescent="0.2">
      <c r="A1870" s="76" t="s">
        <v>566</v>
      </c>
      <c r="B1870" s="76" t="s">
        <v>87</v>
      </c>
      <c r="C1870" s="76" t="s">
        <v>502</v>
      </c>
      <c r="D1870" s="76" t="s">
        <v>65</v>
      </c>
      <c r="E1870" s="76"/>
      <c r="F1870" s="91" t="s">
        <v>503</v>
      </c>
      <c r="G1870" s="76">
        <v>5</v>
      </c>
      <c r="H1870" s="76" t="s">
        <v>17</v>
      </c>
      <c r="I1870" s="76" t="s">
        <v>34</v>
      </c>
      <c r="J1870" s="76">
        <v>1</v>
      </c>
      <c r="K1870" s="78">
        <f>AB1870/COUNTIFS($B:$B,$B1870,$C:$C,$C1870,$H:$H,$H1870,$I:$I,$I1870)</f>
        <v>0.08</v>
      </c>
      <c r="L1870" s="80">
        <f t="shared" si="135"/>
        <v>1</v>
      </c>
      <c r="M1870" s="82">
        <f t="shared" si="137"/>
        <v>0.08</v>
      </c>
      <c r="N1870" s="84"/>
      <c r="AA1870" s="154">
        <f>AB1870/COUNTIFS($B:$B,$B1870,$C:$C,$C1870,$H:$H,$H1870,$I:$I,$I1870)</f>
        <v>0.08</v>
      </c>
      <c r="AB1870" s="155">
        <f>VLOOKUP(I1870,'Weights and Confidence'!$D$16:$AC$26,11,FALSE)</f>
        <v>0.08</v>
      </c>
      <c r="AC1870" s="156">
        <f>VLOOKUP(I1870,'Weights and Confidence'!$D$16:$AC$26,12,FALSE)</f>
        <v>1</v>
      </c>
    </row>
    <row r="1871" spans="1:29" x14ac:dyDescent="0.2">
      <c r="A1871" s="77" t="s">
        <v>566</v>
      </c>
      <c r="B1871" s="77" t="s">
        <v>87</v>
      </c>
      <c r="C1871" s="77" t="s">
        <v>502</v>
      </c>
      <c r="D1871" s="77" t="s">
        <v>65</v>
      </c>
      <c r="E1871" s="77"/>
      <c r="F1871" s="91" t="s">
        <v>503</v>
      </c>
      <c r="G1871" s="77">
        <v>5</v>
      </c>
      <c r="H1871" s="77" t="s">
        <v>18</v>
      </c>
      <c r="I1871" s="77" t="s">
        <v>34</v>
      </c>
      <c r="J1871" s="77">
        <v>0</v>
      </c>
      <c r="K1871" s="79">
        <f>AB1871/COUNTIFS($B:$B,$B1871,$C:$C,$C1871,$H:$H,$H1871,$I:$I,$I1871)</f>
        <v>0.08</v>
      </c>
      <c r="L1871" s="81">
        <f t="shared" si="135"/>
        <v>1</v>
      </c>
      <c r="M1871" s="83">
        <f t="shared" si="137"/>
        <v>0</v>
      </c>
      <c r="N1871" s="17"/>
      <c r="AA1871" s="154">
        <f>AB1871/COUNTIFS($B:$B,$B1871,$C:$C,$C1871,$H:$H,$H1871,$I:$I,$I1871)</f>
        <v>0.08</v>
      </c>
      <c r="AB1871" s="155">
        <f>VLOOKUP(I1871,'Weights and Confidence'!$D$16:$AC$26,11,FALSE)</f>
        <v>0.08</v>
      </c>
      <c r="AC1871" s="156">
        <f>VLOOKUP(I1871,'Weights and Confidence'!$D$16:$AC$26,12,FALSE)</f>
        <v>1</v>
      </c>
    </row>
    <row r="1872" spans="1:29" x14ac:dyDescent="0.2">
      <c r="A1872" s="76" t="s">
        <v>566</v>
      </c>
      <c r="B1872" s="76" t="s">
        <v>87</v>
      </c>
      <c r="C1872" s="76" t="s">
        <v>502</v>
      </c>
      <c r="D1872" s="76" t="s">
        <v>65</v>
      </c>
      <c r="E1872" s="76"/>
      <c r="F1872" s="91" t="s">
        <v>503</v>
      </c>
      <c r="G1872" s="76">
        <v>6</v>
      </c>
      <c r="H1872" s="76" t="s">
        <v>17</v>
      </c>
      <c r="I1872" s="76" t="s">
        <v>23</v>
      </c>
      <c r="J1872" s="76">
        <v>1</v>
      </c>
      <c r="K1872" s="78">
        <f>AB1872/COUNTIFS($B:$B,$B1872,$C:$C,$C1872,$H:$H,$H1872,$I:$I,$I1872)</f>
        <v>7.0000000000000007E-2</v>
      </c>
      <c r="L1872" s="80">
        <f t="shared" si="135"/>
        <v>1</v>
      </c>
      <c r="M1872" s="82">
        <f t="shared" si="137"/>
        <v>7.0000000000000007E-2</v>
      </c>
      <c r="N1872" s="59"/>
      <c r="AA1872" s="154">
        <f>AB1872/COUNTIFS($B:$B,$B1872,$C:$C,$C1872,$H:$H,$H1872,$I:$I,$I1872)</f>
        <v>7.0000000000000007E-2</v>
      </c>
      <c r="AB1872" s="155">
        <f>VLOOKUP(I1872,'Weights and Confidence'!$D$16:$AC$26,11,FALSE)</f>
        <v>7.0000000000000007E-2</v>
      </c>
      <c r="AC1872" s="156">
        <f>VLOOKUP(I1872,'Weights and Confidence'!$D$16:$AC$26,12,FALSE)</f>
        <v>1</v>
      </c>
    </row>
    <row r="1873" spans="1:29" x14ac:dyDescent="0.2">
      <c r="A1873" s="77" t="s">
        <v>566</v>
      </c>
      <c r="B1873" s="77" t="s">
        <v>87</v>
      </c>
      <c r="C1873" s="77" t="s">
        <v>502</v>
      </c>
      <c r="D1873" s="77" t="s">
        <v>65</v>
      </c>
      <c r="E1873" s="77"/>
      <c r="F1873" s="91" t="s">
        <v>503</v>
      </c>
      <c r="G1873" s="77">
        <v>6</v>
      </c>
      <c r="H1873" s="77" t="s">
        <v>18</v>
      </c>
      <c r="I1873" s="77" t="s">
        <v>23</v>
      </c>
      <c r="J1873" s="77">
        <v>0</v>
      </c>
      <c r="K1873" s="79">
        <f>AB1873/COUNTIFS($B:$B,$B1873,$C:$C,$C1873,$H:$H,$H1873,$I:$I,$I1873)</f>
        <v>7.0000000000000007E-2</v>
      </c>
      <c r="L1873" s="81">
        <f t="shared" si="135"/>
        <v>1</v>
      </c>
      <c r="M1873" s="83">
        <f t="shared" si="137"/>
        <v>0</v>
      </c>
      <c r="N1873" s="17"/>
      <c r="AA1873" s="154">
        <f>AB1873/COUNTIFS($B:$B,$B1873,$C:$C,$C1873,$H:$H,$H1873,$I:$I,$I1873)</f>
        <v>7.0000000000000007E-2</v>
      </c>
      <c r="AB1873" s="155">
        <f>VLOOKUP(I1873,'Weights and Confidence'!$D$16:$AC$26,11,FALSE)</f>
        <v>7.0000000000000007E-2</v>
      </c>
      <c r="AC1873" s="156">
        <f>VLOOKUP(I1873,'Weights and Confidence'!$D$16:$AC$26,12,FALSE)</f>
        <v>1</v>
      </c>
    </row>
    <row r="1874" spans="1:29" x14ac:dyDescent="0.2">
      <c r="A1874" s="76" t="s">
        <v>566</v>
      </c>
      <c r="B1874" s="76" t="s">
        <v>87</v>
      </c>
      <c r="C1874" s="76" t="s">
        <v>502</v>
      </c>
      <c r="D1874" s="76" t="s">
        <v>65</v>
      </c>
      <c r="E1874" s="76"/>
      <c r="F1874" s="91" t="s">
        <v>503</v>
      </c>
      <c r="G1874" s="76">
        <v>7</v>
      </c>
      <c r="H1874" s="76" t="s">
        <v>17</v>
      </c>
      <c r="I1874" s="76" t="s">
        <v>24</v>
      </c>
      <c r="J1874" s="76">
        <v>1</v>
      </c>
      <c r="K1874" s="78">
        <f>AB1874/COUNTIFS($B:$B,$B1874,$C:$C,$C1874,$H:$H,$H1874,$I:$I,$I1874)</f>
        <v>0.15</v>
      </c>
      <c r="L1874" s="80">
        <f t="shared" si="135"/>
        <v>1</v>
      </c>
      <c r="M1874" s="82">
        <f t="shared" si="137"/>
        <v>0.15</v>
      </c>
      <c r="N1874" s="59"/>
      <c r="AA1874" s="154">
        <f>AB1874/COUNTIFS($B:$B,$B1874,$C:$C,$C1874,$H:$H,$H1874,$I:$I,$I1874)</f>
        <v>0.15</v>
      </c>
      <c r="AB1874" s="155">
        <f>VLOOKUP(I1874,'Weights and Confidence'!$D$16:$AC$26,11,FALSE)</f>
        <v>0.15</v>
      </c>
      <c r="AC1874" s="156">
        <f>VLOOKUP(I1874,'Weights and Confidence'!$D$16:$AC$26,12,FALSE)</f>
        <v>1</v>
      </c>
    </row>
    <row r="1875" spans="1:29" x14ac:dyDescent="0.2">
      <c r="A1875" s="77" t="s">
        <v>566</v>
      </c>
      <c r="B1875" s="77" t="s">
        <v>87</v>
      </c>
      <c r="C1875" s="77" t="s">
        <v>502</v>
      </c>
      <c r="D1875" s="77" t="s">
        <v>65</v>
      </c>
      <c r="E1875" s="77"/>
      <c r="F1875" s="91" t="s">
        <v>503</v>
      </c>
      <c r="G1875" s="77">
        <v>7</v>
      </c>
      <c r="H1875" s="77" t="s">
        <v>18</v>
      </c>
      <c r="I1875" s="77" t="s">
        <v>24</v>
      </c>
      <c r="J1875" s="77">
        <v>0</v>
      </c>
      <c r="K1875" s="79">
        <f>AB1875/COUNTIFS($B:$B,$B1875,$C:$C,$C1875,$H:$H,$H1875,$I:$I,$I1875)</f>
        <v>0.15</v>
      </c>
      <c r="L1875" s="81">
        <f t="shared" si="135"/>
        <v>1</v>
      </c>
      <c r="M1875" s="83">
        <f t="shared" si="137"/>
        <v>0</v>
      </c>
      <c r="N1875" s="84"/>
      <c r="AA1875" s="154">
        <f>AB1875/COUNTIFS($B:$B,$B1875,$C:$C,$C1875,$H:$H,$H1875,$I:$I,$I1875)</f>
        <v>0.15</v>
      </c>
      <c r="AB1875" s="155">
        <f>VLOOKUP(I1875,'Weights and Confidence'!$D$16:$AC$26,11,FALSE)</f>
        <v>0.15</v>
      </c>
      <c r="AC1875" s="156">
        <f>VLOOKUP(I1875,'Weights and Confidence'!$D$16:$AC$26,12,FALSE)</f>
        <v>1</v>
      </c>
    </row>
    <row r="1876" spans="1:29" x14ac:dyDescent="0.2">
      <c r="A1876" s="76" t="s">
        <v>566</v>
      </c>
      <c r="B1876" s="76" t="s">
        <v>87</v>
      </c>
      <c r="C1876" s="76" t="s">
        <v>502</v>
      </c>
      <c r="D1876" s="76" t="s">
        <v>65</v>
      </c>
      <c r="E1876" s="76"/>
      <c r="F1876" s="91" t="s">
        <v>503</v>
      </c>
      <c r="G1876" s="76">
        <v>8</v>
      </c>
      <c r="H1876" s="76" t="s">
        <v>17</v>
      </c>
      <c r="I1876" s="76" t="s">
        <v>25</v>
      </c>
      <c r="J1876" s="76">
        <v>1</v>
      </c>
      <c r="K1876" s="78">
        <f>AB1876/COUNTIFS($B:$B,$B1876,$C:$C,$C1876,$H:$H,$H1876,$I:$I,$I1876)</f>
        <v>0.1</v>
      </c>
      <c r="L1876" s="80">
        <f t="shared" si="135"/>
        <v>1</v>
      </c>
      <c r="M1876" s="82">
        <f t="shared" si="137"/>
        <v>0.1</v>
      </c>
      <c r="N1876" s="59"/>
      <c r="AA1876" s="154">
        <f>AB1876/COUNTIFS($B:$B,$B1876,$C:$C,$C1876,$H:$H,$H1876,$I:$I,$I1876)</f>
        <v>0.1</v>
      </c>
      <c r="AB1876" s="155">
        <f>VLOOKUP(I1876,'Weights and Confidence'!$D$16:$AC$26,11,FALSE)</f>
        <v>0.1</v>
      </c>
      <c r="AC1876" s="156">
        <f>VLOOKUP(I1876,'Weights and Confidence'!$D$16:$AC$26,12,FALSE)</f>
        <v>1</v>
      </c>
    </row>
    <row r="1877" spans="1:29" x14ac:dyDescent="0.2">
      <c r="A1877" s="77" t="s">
        <v>566</v>
      </c>
      <c r="B1877" s="77" t="s">
        <v>87</v>
      </c>
      <c r="C1877" s="77" t="s">
        <v>502</v>
      </c>
      <c r="D1877" s="77" t="s">
        <v>65</v>
      </c>
      <c r="E1877" s="77"/>
      <c r="F1877" s="91" t="s">
        <v>503</v>
      </c>
      <c r="G1877" s="77">
        <v>8</v>
      </c>
      <c r="H1877" s="77" t="s">
        <v>18</v>
      </c>
      <c r="I1877" s="77" t="s">
        <v>25</v>
      </c>
      <c r="J1877" s="77">
        <v>0</v>
      </c>
      <c r="K1877" s="79">
        <f>AB1877/COUNTIFS($B:$B,$B1877,$C:$C,$C1877,$H:$H,$H1877,$I:$I,$I1877)</f>
        <v>0.1</v>
      </c>
      <c r="L1877" s="81">
        <f t="shared" si="135"/>
        <v>1</v>
      </c>
      <c r="M1877" s="83">
        <f t="shared" si="137"/>
        <v>0</v>
      </c>
      <c r="N1877" s="17"/>
      <c r="AA1877" s="154">
        <f>AB1877/COUNTIFS($B:$B,$B1877,$C:$C,$C1877,$H:$H,$H1877,$I:$I,$I1877)</f>
        <v>0.1</v>
      </c>
      <c r="AB1877" s="155">
        <f>VLOOKUP(I1877,'Weights and Confidence'!$D$16:$AC$26,11,FALSE)</f>
        <v>0.1</v>
      </c>
      <c r="AC1877" s="156">
        <f>VLOOKUP(I1877,'Weights and Confidence'!$D$16:$AC$26,12,FALSE)</f>
        <v>1</v>
      </c>
    </row>
    <row r="1878" spans="1:29" x14ac:dyDescent="0.2">
      <c r="A1878" s="76" t="s">
        <v>566</v>
      </c>
      <c r="B1878" s="76" t="s">
        <v>87</v>
      </c>
      <c r="C1878" s="76" t="s">
        <v>502</v>
      </c>
      <c r="D1878" s="76" t="s">
        <v>65</v>
      </c>
      <c r="E1878" s="76"/>
      <c r="F1878" s="91" t="s">
        <v>503</v>
      </c>
      <c r="G1878" s="76">
        <v>9</v>
      </c>
      <c r="H1878" s="76" t="s">
        <v>17</v>
      </c>
      <c r="I1878" s="76" t="s">
        <v>26</v>
      </c>
      <c r="J1878" s="76">
        <v>1</v>
      </c>
      <c r="K1878" s="78">
        <f>AB1878/COUNTIFS($B:$B,$B1878,$C:$C,$C1878,$H:$H,$H1878,$I:$I,$I1878)</f>
        <v>0.1</v>
      </c>
      <c r="L1878" s="80">
        <f t="shared" si="135"/>
        <v>1</v>
      </c>
      <c r="M1878" s="82">
        <f t="shared" si="137"/>
        <v>0.1</v>
      </c>
      <c r="N1878" s="59"/>
      <c r="AA1878" s="154">
        <f>AB1878/COUNTIFS($B:$B,$B1878,$C:$C,$C1878,$H:$H,$H1878,$I:$I,$I1878)</f>
        <v>0.1</v>
      </c>
      <c r="AB1878" s="155">
        <f>VLOOKUP(I1878,'Weights and Confidence'!$D$16:$AC$26,11,FALSE)</f>
        <v>0.1</v>
      </c>
      <c r="AC1878" s="156">
        <f>VLOOKUP(I1878,'Weights and Confidence'!$D$16:$AC$26,12,FALSE)</f>
        <v>1</v>
      </c>
    </row>
    <row r="1879" spans="1:29" x14ac:dyDescent="0.2">
      <c r="A1879" s="77" t="s">
        <v>566</v>
      </c>
      <c r="B1879" s="77" t="s">
        <v>87</v>
      </c>
      <c r="C1879" s="77" t="s">
        <v>502</v>
      </c>
      <c r="D1879" s="77" t="s">
        <v>65</v>
      </c>
      <c r="E1879" s="77"/>
      <c r="F1879" s="91" t="s">
        <v>503</v>
      </c>
      <c r="G1879" s="77">
        <v>9</v>
      </c>
      <c r="H1879" s="77" t="s">
        <v>18</v>
      </c>
      <c r="I1879" s="77" t="s">
        <v>26</v>
      </c>
      <c r="J1879" s="77">
        <v>0</v>
      </c>
      <c r="K1879" s="79">
        <f>AB1879/COUNTIFS($B:$B,$B1879,$C:$C,$C1879,$H:$H,$H1879,$I:$I,$I1879)</f>
        <v>0.1</v>
      </c>
      <c r="L1879" s="81">
        <f t="shared" si="135"/>
        <v>1</v>
      </c>
      <c r="M1879" s="83">
        <f t="shared" si="137"/>
        <v>0</v>
      </c>
      <c r="N1879" s="17" t="s">
        <v>593</v>
      </c>
      <c r="AA1879" s="154">
        <f>AB1879/COUNTIFS($B:$B,$B1879,$C:$C,$C1879,$H:$H,$H1879,$I:$I,$I1879)</f>
        <v>0.1</v>
      </c>
      <c r="AB1879" s="155">
        <f>VLOOKUP(I1879,'Weights and Confidence'!$D$16:$AC$26,11,FALSE)</f>
        <v>0.1</v>
      </c>
      <c r="AC1879" s="156">
        <f>VLOOKUP(I1879,'Weights and Confidence'!$D$16:$AC$26,12,FALSE)</f>
        <v>1</v>
      </c>
    </row>
    <row r="1880" spans="1:29" x14ac:dyDescent="0.2">
      <c r="A1880" s="76" t="s">
        <v>566</v>
      </c>
      <c r="B1880" s="76" t="s">
        <v>87</v>
      </c>
      <c r="C1880" s="76" t="s">
        <v>502</v>
      </c>
      <c r="D1880" s="76" t="s">
        <v>65</v>
      </c>
      <c r="E1880" s="76"/>
      <c r="F1880" s="91" t="s">
        <v>503</v>
      </c>
      <c r="G1880" s="76">
        <v>10</v>
      </c>
      <c r="H1880" s="76" t="s">
        <v>17</v>
      </c>
      <c r="I1880" s="76" t="s">
        <v>27</v>
      </c>
      <c r="J1880" s="76">
        <v>1</v>
      </c>
      <c r="K1880" s="78">
        <f>AB1880/COUNTIFS($B:$B,$B1880,$C:$C,$C1880,$H:$H,$H1880,$I:$I,$I1880)</f>
        <v>0.05</v>
      </c>
      <c r="L1880" s="80">
        <f t="shared" si="135"/>
        <v>0.9</v>
      </c>
      <c r="M1880" s="82">
        <f t="shared" si="137"/>
        <v>4.5000000000000005E-2</v>
      </c>
      <c r="N1880" s="59"/>
      <c r="AA1880" s="154">
        <f>AB1880/COUNTIFS($B:$B,$B1880,$C:$C,$C1880,$H:$H,$H1880,$I:$I,$I1880)</f>
        <v>0.05</v>
      </c>
      <c r="AB1880" s="155">
        <f>VLOOKUP(I1880,'Weights and Confidence'!$D$16:$AC$26,11,FALSE)</f>
        <v>0.1</v>
      </c>
      <c r="AC1880" s="156">
        <f>VLOOKUP(I1880,'Weights and Confidence'!$D$16:$AC$26,12,FALSE)</f>
        <v>0.9</v>
      </c>
    </row>
    <row r="1881" spans="1:29" x14ac:dyDescent="0.2">
      <c r="A1881" s="77" t="s">
        <v>566</v>
      </c>
      <c r="B1881" s="77" t="s">
        <v>87</v>
      </c>
      <c r="C1881" s="77" t="s">
        <v>502</v>
      </c>
      <c r="D1881" s="77" t="s">
        <v>65</v>
      </c>
      <c r="E1881" s="77"/>
      <c r="F1881" s="91" t="s">
        <v>503</v>
      </c>
      <c r="G1881" s="77">
        <v>10</v>
      </c>
      <c r="H1881" s="77" t="s">
        <v>18</v>
      </c>
      <c r="I1881" s="77" t="s">
        <v>27</v>
      </c>
      <c r="J1881" s="77">
        <v>0</v>
      </c>
      <c r="K1881" s="79">
        <f>AB1881/COUNTIFS($B:$B,$B1881,$C:$C,$C1881,$H:$H,$H1881,$I:$I,$I1881)</f>
        <v>0.05</v>
      </c>
      <c r="L1881" s="81">
        <f t="shared" si="135"/>
        <v>0.9</v>
      </c>
      <c r="M1881" s="83">
        <f t="shared" si="137"/>
        <v>0</v>
      </c>
      <c r="N1881" s="84"/>
      <c r="AA1881" s="154">
        <f>AB1881/COUNTIFS($B:$B,$B1881,$C:$C,$C1881,$H:$H,$H1881,$I:$I,$I1881)</f>
        <v>0.05</v>
      </c>
      <c r="AB1881" s="155">
        <f>VLOOKUP(I1881,'Weights and Confidence'!$D$16:$AC$26,11,FALSE)</f>
        <v>0.1</v>
      </c>
      <c r="AC1881" s="156">
        <f>VLOOKUP(I1881,'Weights and Confidence'!$D$16:$AC$26,12,FALSE)</f>
        <v>0.9</v>
      </c>
    </row>
    <row r="1882" spans="1:29" x14ac:dyDescent="0.2">
      <c r="A1882" s="76" t="s">
        <v>566</v>
      </c>
      <c r="B1882" s="76" t="s">
        <v>87</v>
      </c>
      <c r="C1882" s="76" t="s">
        <v>502</v>
      </c>
      <c r="D1882" s="76" t="s">
        <v>65</v>
      </c>
      <c r="E1882" s="76"/>
      <c r="F1882" s="91" t="s">
        <v>503</v>
      </c>
      <c r="G1882" s="76">
        <v>11</v>
      </c>
      <c r="H1882" s="76" t="s">
        <v>17</v>
      </c>
      <c r="I1882" s="76" t="s">
        <v>27</v>
      </c>
      <c r="J1882" s="76">
        <v>1</v>
      </c>
      <c r="K1882" s="78">
        <f>AB1882/COUNTIFS($B:$B,$B1882,$C:$C,$C1882,$H:$H,$H1882,$I:$I,$I1882)</f>
        <v>0.05</v>
      </c>
      <c r="L1882" s="80">
        <f t="shared" si="135"/>
        <v>0.9</v>
      </c>
      <c r="M1882" s="82">
        <f t="shared" si="137"/>
        <v>4.5000000000000005E-2</v>
      </c>
      <c r="N1882" s="59"/>
      <c r="AA1882" s="154">
        <f>AB1882/COUNTIFS($B:$B,$B1882,$C:$C,$C1882,$H:$H,$H1882,$I:$I,$I1882)</f>
        <v>0.05</v>
      </c>
      <c r="AB1882" s="155">
        <f>VLOOKUP(I1882,'Weights and Confidence'!$D$16:$AC$26,11,FALSE)</f>
        <v>0.1</v>
      </c>
      <c r="AC1882" s="156">
        <f>VLOOKUP(I1882,'Weights and Confidence'!$D$16:$AC$26,12,FALSE)</f>
        <v>0.9</v>
      </c>
    </row>
    <row r="1883" spans="1:29" x14ac:dyDescent="0.2">
      <c r="A1883" s="77" t="s">
        <v>566</v>
      </c>
      <c r="B1883" s="77" t="s">
        <v>87</v>
      </c>
      <c r="C1883" s="77" t="s">
        <v>502</v>
      </c>
      <c r="D1883" s="77" t="s">
        <v>65</v>
      </c>
      <c r="E1883" s="77"/>
      <c r="F1883" s="91" t="s">
        <v>503</v>
      </c>
      <c r="G1883" s="77">
        <v>11</v>
      </c>
      <c r="H1883" s="77" t="s">
        <v>18</v>
      </c>
      <c r="I1883" s="77" t="s">
        <v>27</v>
      </c>
      <c r="J1883" s="77">
        <v>1</v>
      </c>
      <c r="K1883" s="79">
        <f>AB1883/COUNTIFS($B:$B,$B1883,$C:$C,$C1883,$H:$H,$H1883,$I:$I,$I1883)</f>
        <v>0.05</v>
      </c>
      <c r="L1883" s="81">
        <f t="shared" si="135"/>
        <v>0.9</v>
      </c>
      <c r="M1883" s="83">
        <f t="shared" si="137"/>
        <v>4.5000000000000005E-2</v>
      </c>
      <c r="N1883" s="17"/>
      <c r="AA1883" s="154">
        <f>AB1883/COUNTIFS($B:$B,$B1883,$C:$C,$C1883,$H:$H,$H1883,$I:$I,$I1883)</f>
        <v>0.05</v>
      </c>
      <c r="AB1883" s="155">
        <f>VLOOKUP(I1883,'Weights and Confidence'!$D$16:$AC$26,11,FALSE)</f>
        <v>0.1</v>
      </c>
      <c r="AC1883" s="156">
        <f>VLOOKUP(I1883,'Weights and Confidence'!$D$16:$AC$26,12,FALSE)</f>
        <v>0.9</v>
      </c>
    </row>
    <row r="1884" spans="1:29" x14ac:dyDescent="0.2">
      <c r="A1884" s="77" t="s">
        <v>566</v>
      </c>
      <c r="B1884" s="77" t="s">
        <v>87</v>
      </c>
      <c r="C1884" s="77" t="s">
        <v>502</v>
      </c>
      <c r="D1884" s="77" t="s">
        <v>65</v>
      </c>
      <c r="E1884" s="77"/>
      <c r="F1884" s="91" t="s">
        <v>503</v>
      </c>
      <c r="G1884" s="77">
        <v>12</v>
      </c>
      <c r="H1884" s="77" t="s">
        <v>17</v>
      </c>
      <c r="I1884" s="77" t="s">
        <v>28</v>
      </c>
      <c r="J1884" s="77">
        <v>1</v>
      </c>
      <c r="K1884" s="79">
        <f>AB1884/COUNTIFS($B:$B,$B1884,$C:$C,$C1884,$H:$H,$H1884,$I:$I,$I1884)</f>
        <v>0.05</v>
      </c>
      <c r="L1884" s="81">
        <f t="shared" si="135"/>
        <v>1</v>
      </c>
      <c r="M1884" s="83">
        <f>J1884*K1884*L1884</f>
        <v>0.05</v>
      </c>
      <c r="N1884" s="58"/>
      <c r="AA1884" s="154">
        <f>AB1884/COUNTIFS($B:$B,$B1884,$C:$C,$C1884,$H:$H,$H1884,$I:$I,$I1884)</f>
        <v>0.05</v>
      </c>
      <c r="AB1884" s="155">
        <f>VLOOKUP(I1884,'Weights and Confidence'!$D$16:$AC$26,11,FALSE)</f>
        <v>0.05</v>
      </c>
      <c r="AC1884" s="156">
        <f>VLOOKUP(I1884,'Weights and Confidence'!$D$16:$AC$26,12,FALSE)</f>
        <v>1</v>
      </c>
    </row>
    <row r="1885" spans="1:29" ht="17" thickBot="1" x14ac:dyDescent="0.25">
      <c r="A1885" s="98" t="s">
        <v>566</v>
      </c>
      <c r="B1885" s="98" t="s">
        <v>87</v>
      </c>
      <c r="C1885" s="98" t="s">
        <v>502</v>
      </c>
      <c r="D1885" s="98" t="s">
        <v>65</v>
      </c>
      <c r="E1885" s="98"/>
      <c r="F1885" s="93" t="s">
        <v>503</v>
      </c>
      <c r="G1885" s="98">
        <v>12</v>
      </c>
      <c r="H1885" s="98" t="s">
        <v>18</v>
      </c>
      <c r="I1885" s="98" t="s">
        <v>28</v>
      </c>
      <c r="J1885" s="98">
        <v>0</v>
      </c>
      <c r="K1885" s="99">
        <f>AB1885/COUNTIFS($B:$B,$B1885,$C:$C,$C1885,$H:$H,$H1885,$I:$I,$I1885)</f>
        <v>0.05</v>
      </c>
      <c r="L1885" s="100">
        <f t="shared" si="135"/>
        <v>1</v>
      </c>
      <c r="M1885" s="101">
        <f>J1885*K1885*L1885</f>
        <v>0</v>
      </c>
      <c r="N1885" s="163" t="s">
        <v>627</v>
      </c>
      <c r="AA1885" s="157">
        <f>AB1885/COUNTIFS($B:$B,$B1885,$C:$C,$C1885,$H:$H,$H1885,$I:$I,$I1885)</f>
        <v>0.05</v>
      </c>
      <c r="AB1885" s="158">
        <f>VLOOKUP(I1885,'Weights and Confidence'!$D$16:$AC$26,11,FALSE)</f>
        <v>0.05</v>
      </c>
      <c r="AC1885" s="159">
        <f>VLOOKUP(I1885,'Weights and Confidence'!$D$16:$AC$26,12,FALSE)</f>
        <v>1</v>
      </c>
    </row>
    <row r="1886" spans="1:29" ht="17" thickTop="1" x14ac:dyDescent="0.2">
      <c r="A1886" s="86" t="s">
        <v>566</v>
      </c>
      <c r="B1886" s="86" t="s">
        <v>87</v>
      </c>
      <c r="C1886" s="86" t="s">
        <v>517</v>
      </c>
      <c r="D1886" s="86" t="s">
        <v>65</v>
      </c>
      <c r="E1886" s="86"/>
      <c r="F1886" s="18" t="s">
        <v>518</v>
      </c>
      <c r="G1886" s="86">
        <v>1</v>
      </c>
      <c r="H1886" s="86" t="s">
        <v>17</v>
      </c>
      <c r="I1886" s="86" t="s">
        <v>19</v>
      </c>
      <c r="J1886" s="97">
        <v>1</v>
      </c>
      <c r="K1886" s="87">
        <f>AB1886/COUNTIFS($B:$B,$B1886,$C:$C,$C1886,$H:$H,$H1886,$I:$I,$I1886)</f>
        <v>0.12</v>
      </c>
      <c r="L1886" s="88">
        <f t="shared" ref="L1886:L1909" si="138">AC1886</f>
        <v>1</v>
      </c>
      <c r="M1886" s="89">
        <f t="shared" ref="M1886" si="139">J1886*K1886*L1886</f>
        <v>0.12</v>
      </c>
      <c r="N1886" s="90"/>
      <c r="AA1886" s="154">
        <f>AB1886/COUNTIFS($B:$B,$B1886,$C:$C,$C1886,$H:$H,$H1886,$I:$I,$I1886)</f>
        <v>0.12</v>
      </c>
      <c r="AB1886" s="155">
        <f>VLOOKUP(I1886,'Weights and Confidence'!$D$16:$AC$26,11,FALSE)</f>
        <v>0.12</v>
      </c>
      <c r="AC1886" s="156">
        <f>VLOOKUP(I1886,'Weights and Confidence'!$D$16:$AC$26,12,FALSE)</f>
        <v>1</v>
      </c>
    </row>
    <row r="1887" spans="1:29" x14ac:dyDescent="0.2">
      <c r="A1887" s="77" t="s">
        <v>566</v>
      </c>
      <c r="B1887" s="77" t="s">
        <v>87</v>
      </c>
      <c r="C1887" s="77" t="s">
        <v>517</v>
      </c>
      <c r="D1887" s="77" t="s">
        <v>65</v>
      </c>
      <c r="E1887" s="77"/>
      <c r="F1887" s="91" t="s">
        <v>518</v>
      </c>
      <c r="G1887" s="77">
        <v>1</v>
      </c>
      <c r="H1887" s="77" t="s">
        <v>18</v>
      </c>
      <c r="I1887" s="77" t="s">
        <v>19</v>
      </c>
      <c r="J1887" s="77">
        <v>0</v>
      </c>
      <c r="K1887" s="79">
        <f>AB1887/COUNTIFS($B:$B,$B1887,$C:$C,$C1887,$H:$H,$H1887,$I:$I,$I1887)</f>
        <v>0.12</v>
      </c>
      <c r="L1887" s="81">
        <f t="shared" si="138"/>
        <v>1</v>
      </c>
      <c r="M1887" s="83">
        <f>J1886*K1887*L1887</f>
        <v>0.12</v>
      </c>
      <c r="N1887" s="84"/>
      <c r="AA1887" s="154">
        <f>AB1887/COUNTIFS($B:$B,$B1887,$C:$C,$C1887,$H:$H,$H1887,$I:$I,$I1887)</f>
        <v>0.12</v>
      </c>
      <c r="AB1887" s="155">
        <f>VLOOKUP(I1887,'Weights and Confidence'!$D$16:$AC$26,11,FALSE)</f>
        <v>0.12</v>
      </c>
      <c r="AC1887" s="156">
        <f>VLOOKUP(I1887,'Weights and Confidence'!$D$16:$AC$26,12,FALSE)</f>
        <v>1</v>
      </c>
    </row>
    <row r="1888" spans="1:29" x14ac:dyDescent="0.2">
      <c r="A1888" s="76" t="s">
        <v>566</v>
      </c>
      <c r="B1888" s="76" t="s">
        <v>87</v>
      </c>
      <c r="C1888" s="76" t="s">
        <v>517</v>
      </c>
      <c r="D1888" s="76" t="s">
        <v>65</v>
      </c>
      <c r="E1888" s="76"/>
      <c r="F1888" s="91" t="s">
        <v>518</v>
      </c>
      <c r="G1888" s="76">
        <v>2</v>
      </c>
      <c r="H1888" s="76" t="s">
        <v>17</v>
      </c>
      <c r="I1888" s="76" t="s">
        <v>20</v>
      </c>
      <c r="J1888" s="76">
        <v>1</v>
      </c>
      <c r="K1888" s="78">
        <f>AB1888/COUNTIFS($B:$B,$B1888,$C:$C,$C1888,$H:$H,$H1888,$I:$I,$I1888)</f>
        <v>0.08</v>
      </c>
      <c r="L1888" s="80">
        <f t="shared" si="138"/>
        <v>0.9</v>
      </c>
      <c r="M1888" s="82">
        <f t="shared" ref="M1888:M1907" si="140">J1888*K1888*L1888</f>
        <v>7.2000000000000008E-2</v>
      </c>
      <c r="N1888" s="59"/>
      <c r="AA1888" s="154">
        <f>AB1888/COUNTIFS($B:$B,$B1888,$C:$C,$C1888,$H:$H,$H1888,$I:$I,$I1888)</f>
        <v>0.08</v>
      </c>
      <c r="AB1888" s="155">
        <f>VLOOKUP(I1888,'Weights and Confidence'!$D$16:$AC$26,11,FALSE)</f>
        <v>0.08</v>
      </c>
      <c r="AC1888" s="156">
        <f>VLOOKUP(I1888,'Weights and Confidence'!$D$16:$AC$26,12,FALSE)</f>
        <v>0.9</v>
      </c>
    </row>
    <row r="1889" spans="1:29" x14ac:dyDescent="0.2">
      <c r="A1889" s="77" t="s">
        <v>566</v>
      </c>
      <c r="B1889" s="77" t="s">
        <v>87</v>
      </c>
      <c r="C1889" s="77" t="s">
        <v>517</v>
      </c>
      <c r="D1889" s="77" t="s">
        <v>65</v>
      </c>
      <c r="E1889" s="77"/>
      <c r="F1889" s="91" t="s">
        <v>518</v>
      </c>
      <c r="G1889" s="77">
        <v>2</v>
      </c>
      <c r="H1889" s="77" t="s">
        <v>18</v>
      </c>
      <c r="I1889" s="77" t="s">
        <v>20</v>
      </c>
      <c r="J1889" s="77">
        <v>0</v>
      </c>
      <c r="K1889" s="79">
        <f>AB1889/COUNTIFS($B:$B,$B1889,$C:$C,$C1889,$H:$H,$H1889,$I:$I,$I1889)</f>
        <v>0.08</v>
      </c>
      <c r="L1889" s="81">
        <f t="shared" si="138"/>
        <v>0.9</v>
      </c>
      <c r="M1889" s="83">
        <f t="shared" si="140"/>
        <v>0</v>
      </c>
      <c r="N1889" s="17" t="s">
        <v>628</v>
      </c>
      <c r="AA1889" s="154">
        <f>AB1889/COUNTIFS($B:$B,$B1889,$C:$C,$C1889,$H:$H,$H1889,$I:$I,$I1889)</f>
        <v>0.08</v>
      </c>
      <c r="AB1889" s="155">
        <f>VLOOKUP(I1889,'Weights and Confidence'!$D$16:$AC$26,11,FALSE)</f>
        <v>0.08</v>
      </c>
      <c r="AC1889" s="156">
        <f>VLOOKUP(I1889,'Weights and Confidence'!$D$16:$AC$26,12,FALSE)</f>
        <v>0.9</v>
      </c>
    </row>
    <row r="1890" spans="1:29" x14ac:dyDescent="0.2">
      <c r="A1890" s="76" t="s">
        <v>566</v>
      </c>
      <c r="B1890" s="76" t="s">
        <v>87</v>
      </c>
      <c r="C1890" s="76" t="s">
        <v>517</v>
      </c>
      <c r="D1890" s="76" t="s">
        <v>65</v>
      </c>
      <c r="E1890" s="76"/>
      <c r="F1890" s="91" t="s">
        <v>518</v>
      </c>
      <c r="G1890" s="76">
        <v>3</v>
      </c>
      <c r="H1890" s="76" t="s">
        <v>17</v>
      </c>
      <c r="I1890" s="76" t="s">
        <v>21</v>
      </c>
      <c r="J1890" s="76">
        <v>1</v>
      </c>
      <c r="K1890" s="78">
        <f>AB1890/COUNTIFS($B:$B,$B1890,$C:$C,$C1890,$H:$H,$H1890,$I:$I,$I1890)</f>
        <v>0.05</v>
      </c>
      <c r="L1890" s="80">
        <f t="shared" si="138"/>
        <v>1</v>
      </c>
      <c r="M1890" s="82">
        <f t="shared" si="140"/>
        <v>0.05</v>
      </c>
      <c r="N1890" s="59"/>
      <c r="AA1890" s="154">
        <f>AB1890/COUNTIFS($B:$B,$B1890,$C:$C,$C1890,$H:$H,$H1890,$I:$I,$I1890)</f>
        <v>0.05</v>
      </c>
      <c r="AB1890" s="155">
        <f>VLOOKUP(I1890,'Weights and Confidence'!$D$16:$AC$26,11,FALSE)</f>
        <v>0.05</v>
      </c>
      <c r="AC1890" s="156">
        <f>VLOOKUP(I1890,'Weights and Confidence'!$D$16:$AC$26,12,FALSE)</f>
        <v>1</v>
      </c>
    </row>
    <row r="1891" spans="1:29" x14ac:dyDescent="0.2">
      <c r="A1891" s="77" t="s">
        <v>566</v>
      </c>
      <c r="B1891" s="77" t="s">
        <v>87</v>
      </c>
      <c r="C1891" s="77" t="s">
        <v>517</v>
      </c>
      <c r="D1891" s="77" t="s">
        <v>65</v>
      </c>
      <c r="E1891" s="77"/>
      <c r="F1891" s="91" t="s">
        <v>518</v>
      </c>
      <c r="G1891" s="77">
        <v>3</v>
      </c>
      <c r="H1891" s="77" t="s">
        <v>18</v>
      </c>
      <c r="I1891" s="77" t="s">
        <v>21</v>
      </c>
      <c r="J1891" s="77">
        <v>0</v>
      </c>
      <c r="K1891" s="79">
        <f>AB1891/COUNTIFS($B:$B,$B1891,$C:$C,$C1891,$H:$H,$H1891,$I:$I,$I1891)</f>
        <v>0.05</v>
      </c>
      <c r="L1891" s="81">
        <f t="shared" si="138"/>
        <v>1</v>
      </c>
      <c r="M1891" s="83">
        <f t="shared" si="140"/>
        <v>0</v>
      </c>
      <c r="N1891" s="17"/>
      <c r="AA1891" s="154">
        <f>AB1891/COUNTIFS($B:$B,$B1891,$C:$C,$C1891,$H:$H,$H1891,$I:$I,$I1891)</f>
        <v>0.05</v>
      </c>
      <c r="AB1891" s="155">
        <f>VLOOKUP(I1891,'Weights and Confidence'!$D$16:$AC$26,11,FALSE)</f>
        <v>0.05</v>
      </c>
      <c r="AC1891" s="156">
        <f>VLOOKUP(I1891,'Weights and Confidence'!$D$16:$AC$26,12,FALSE)</f>
        <v>1</v>
      </c>
    </row>
    <row r="1892" spans="1:29" x14ac:dyDescent="0.2">
      <c r="A1892" s="76" t="s">
        <v>566</v>
      </c>
      <c r="B1892" s="76" t="s">
        <v>87</v>
      </c>
      <c r="C1892" s="76" t="s">
        <v>517</v>
      </c>
      <c r="D1892" s="76" t="s">
        <v>65</v>
      </c>
      <c r="E1892" s="76"/>
      <c r="F1892" s="91" t="s">
        <v>518</v>
      </c>
      <c r="G1892" s="76">
        <v>4</v>
      </c>
      <c r="H1892" s="76" t="s">
        <v>17</v>
      </c>
      <c r="I1892" s="76" t="s">
        <v>22</v>
      </c>
      <c r="J1892" s="76">
        <v>1</v>
      </c>
      <c r="K1892" s="78">
        <f>AB1892/COUNTIFS($B:$B,$B1892,$C:$C,$C1892,$H:$H,$H1892,$I:$I,$I1892)</f>
        <v>0.1</v>
      </c>
      <c r="L1892" s="80">
        <f t="shared" si="138"/>
        <v>1</v>
      </c>
      <c r="M1892" s="82">
        <f t="shared" si="140"/>
        <v>0.1</v>
      </c>
      <c r="N1892" s="59"/>
      <c r="AA1892" s="154">
        <f>AB1892/COUNTIFS($B:$B,$B1892,$C:$C,$C1892,$H:$H,$H1892,$I:$I,$I1892)</f>
        <v>0.1</v>
      </c>
      <c r="AB1892" s="155">
        <f>VLOOKUP(I1892,'Weights and Confidence'!$D$16:$AC$26,11,FALSE)</f>
        <v>0.1</v>
      </c>
      <c r="AC1892" s="156">
        <f>VLOOKUP(I1892,'Weights and Confidence'!$D$16:$AC$26,12,FALSE)</f>
        <v>1</v>
      </c>
    </row>
    <row r="1893" spans="1:29" x14ac:dyDescent="0.2">
      <c r="A1893" s="77" t="s">
        <v>566</v>
      </c>
      <c r="B1893" s="77" t="s">
        <v>87</v>
      </c>
      <c r="C1893" s="77" t="s">
        <v>517</v>
      </c>
      <c r="D1893" s="77" t="s">
        <v>65</v>
      </c>
      <c r="E1893" s="77"/>
      <c r="F1893" s="91" t="s">
        <v>518</v>
      </c>
      <c r="G1893" s="77">
        <v>4</v>
      </c>
      <c r="H1893" s="77" t="s">
        <v>18</v>
      </c>
      <c r="I1893" s="77" t="s">
        <v>22</v>
      </c>
      <c r="J1893" s="77">
        <v>-1</v>
      </c>
      <c r="K1893" s="79">
        <f>AB1893/COUNTIFS($B:$B,$B1893,$C:$C,$C1893,$H:$H,$H1893,$I:$I,$I1893)</f>
        <v>0.1</v>
      </c>
      <c r="L1893" s="81">
        <f t="shared" si="138"/>
        <v>1</v>
      </c>
      <c r="M1893" s="83">
        <f t="shared" si="140"/>
        <v>-0.1</v>
      </c>
      <c r="N1893" s="17"/>
      <c r="AA1893" s="154">
        <f>AB1893/COUNTIFS($B:$B,$B1893,$C:$C,$C1893,$H:$H,$H1893,$I:$I,$I1893)</f>
        <v>0.1</v>
      </c>
      <c r="AB1893" s="155">
        <f>VLOOKUP(I1893,'Weights and Confidence'!$D$16:$AC$26,11,FALSE)</f>
        <v>0.1</v>
      </c>
      <c r="AC1893" s="156">
        <f>VLOOKUP(I1893,'Weights and Confidence'!$D$16:$AC$26,12,FALSE)</f>
        <v>1</v>
      </c>
    </row>
    <row r="1894" spans="1:29" x14ac:dyDescent="0.2">
      <c r="A1894" s="76" t="s">
        <v>566</v>
      </c>
      <c r="B1894" s="76" t="s">
        <v>87</v>
      </c>
      <c r="C1894" s="76" t="s">
        <v>517</v>
      </c>
      <c r="D1894" s="76" t="s">
        <v>65</v>
      </c>
      <c r="E1894" s="76"/>
      <c r="F1894" s="91" t="s">
        <v>518</v>
      </c>
      <c r="G1894" s="76">
        <v>5</v>
      </c>
      <c r="H1894" s="76" t="s">
        <v>17</v>
      </c>
      <c r="I1894" s="76" t="s">
        <v>34</v>
      </c>
      <c r="J1894" s="76">
        <v>1</v>
      </c>
      <c r="K1894" s="78">
        <f>AB1894/COUNTIFS($B:$B,$B1894,$C:$C,$C1894,$H:$H,$H1894,$I:$I,$I1894)</f>
        <v>0.08</v>
      </c>
      <c r="L1894" s="80">
        <f t="shared" si="138"/>
        <v>1</v>
      </c>
      <c r="M1894" s="82">
        <f t="shared" si="140"/>
        <v>0.08</v>
      </c>
      <c r="N1894" s="84"/>
      <c r="AA1894" s="154">
        <f>AB1894/COUNTIFS($B:$B,$B1894,$C:$C,$C1894,$H:$H,$H1894,$I:$I,$I1894)</f>
        <v>0.08</v>
      </c>
      <c r="AB1894" s="155">
        <f>VLOOKUP(I1894,'Weights and Confidence'!$D$16:$AC$26,11,FALSE)</f>
        <v>0.08</v>
      </c>
      <c r="AC1894" s="156">
        <f>VLOOKUP(I1894,'Weights and Confidence'!$D$16:$AC$26,12,FALSE)</f>
        <v>1</v>
      </c>
    </row>
    <row r="1895" spans="1:29" x14ac:dyDescent="0.2">
      <c r="A1895" s="77" t="s">
        <v>566</v>
      </c>
      <c r="B1895" s="77" t="s">
        <v>87</v>
      </c>
      <c r="C1895" s="77" t="s">
        <v>517</v>
      </c>
      <c r="D1895" s="77" t="s">
        <v>65</v>
      </c>
      <c r="E1895" s="77"/>
      <c r="F1895" s="91" t="s">
        <v>518</v>
      </c>
      <c r="G1895" s="77">
        <v>5</v>
      </c>
      <c r="H1895" s="77" t="s">
        <v>18</v>
      </c>
      <c r="I1895" s="77" t="s">
        <v>34</v>
      </c>
      <c r="J1895" s="77">
        <v>-1</v>
      </c>
      <c r="K1895" s="79">
        <f>AB1895/COUNTIFS($B:$B,$B1895,$C:$C,$C1895,$H:$H,$H1895,$I:$I,$I1895)</f>
        <v>0.08</v>
      </c>
      <c r="L1895" s="81">
        <f t="shared" si="138"/>
        <v>1</v>
      </c>
      <c r="M1895" s="83">
        <f t="shared" si="140"/>
        <v>-0.08</v>
      </c>
      <c r="N1895" s="17" t="s">
        <v>629</v>
      </c>
      <c r="AA1895" s="154">
        <f>AB1895/COUNTIFS($B:$B,$B1895,$C:$C,$C1895,$H:$H,$H1895,$I:$I,$I1895)</f>
        <v>0.08</v>
      </c>
      <c r="AB1895" s="155">
        <f>VLOOKUP(I1895,'Weights and Confidence'!$D$16:$AC$26,11,FALSE)</f>
        <v>0.08</v>
      </c>
      <c r="AC1895" s="156">
        <f>VLOOKUP(I1895,'Weights and Confidence'!$D$16:$AC$26,12,FALSE)</f>
        <v>1</v>
      </c>
    </row>
    <row r="1896" spans="1:29" x14ac:dyDescent="0.2">
      <c r="A1896" s="76" t="s">
        <v>566</v>
      </c>
      <c r="B1896" s="76" t="s">
        <v>87</v>
      </c>
      <c r="C1896" s="76" t="s">
        <v>517</v>
      </c>
      <c r="D1896" s="76" t="s">
        <v>65</v>
      </c>
      <c r="E1896" s="76"/>
      <c r="F1896" s="91" t="s">
        <v>518</v>
      </c>
      <c r="G1896" s="76">
        <v>6</v>
      </c>
      <c r="H1896" s="76" t="s">
        <v>17</v>
      </c>
      <c r="I1896" s="76" t="s">
        <v>23</v>
      </c>
      <c r="J1896" s="76">
        <v>1</v>
      </c>
      <c r="K1896" s="78">
        <f>AB1896/COUNTIFS($B:$B,$B1896,$C:$C,$C1896,$H:$H,$H1896,$I:$I,$I1896)</f>
        <v>7.0000000000000007E-2</v>
      </c>
      <c r="L1896" s="80">
        <f t="shared" si="138"/>
        <v>1</v>
      </c>
      <c r="M1896" s="82">
        <f t="shared" si="140"/>
        <v>7.0000000000000007E-2</v>
      </c>
      <c r="N1896" s="59"/>
      <c r="AA1896" s="154">
        <f>AB1896/COUNTIFS($B:$B,$B1896,$C:$C,$C1896,$H:$H,$H1896,$I:$I,$I1896)</f>
        <v>7.0000000000000007E-2</v>
      </c>
      <c r="AB1896" s="155">
        <f>VLOOKUP(I1896,'Weights and Confidence'!$D$16:$AC$26,11,FALSE)</f>
        <v>7.0000000000000007E-2</v>
      </c>
      <c r="AC1896" s="156">
        <f>VLOOKUP(I1896,'Weights and Confidence'!$D$16:$AC$26,12,FALSE)</f>
        <v>1</v>
      </c>
    </row>
    <row r="1897" spans="1:29" x14ac:dyDescent="0.2">
      <c r="A1897" s="77" t="s">
        <v>566</v>
      </c>
      <c r="B1897" s="77" t="s">
        <v>87</v>
      </c>
      <c r="C1897" s="77" t="s">
        <v>517</v>
      </c>
      <c r="D1897" s="77" t="s">
        <v>65</v>
      </c>
      <c r="E1897" s="77"/>
      <c r="F1897" s="91" t="s">
        <v>518</v>
      </c>
      <c r="G1897" s="77">
        <v>6</v>
      </c>
      <c r="H1897" s="77" t="s">
        <v>18</v>
      </c>
      <c r="I1897" s="77" t="s">
        <v>23</v>
      </c>
      <c r="J1897" s="77">
        <v>-1</v>
      </c>
      <c r="K1897" s="79">
        <f>AB1897/COUNTIFS($B:$B,$B1897,$C:$C,$C1897,$H:$H,$H1897,$I:$I,$I1897)</f>
        <v>7.0000000000000007E-2</v>
      </c>
      <c r="L1897" s="81">
        <f t="shared" si="138"/>
        <v>1</v>
      </c>
      <c r="M1897" s="83">
        <f t="shared" si="140"/>
        <v>-7.0000000000000007E-2</v>
      </c>
      <c r="N1897" s="17"/>
      <c r="AA1897" s="154">
        <f>AB1897/COUNTIFS($B:$B,$B1897,$C:$C,$C1897,$H:$H,$H1897,$I:$I,$I1897)</f>
        <v>7.0000000000000007E-2</v>
      </c>
      <c r="AB1897" s="155">
        <f>VLOOKUP(I1897,'Weights and Confidence'!$D$16:$AC$26,11,FALSE)</f>
        <v>7.0000000000000007E-2</v>
      </c>
      <c r="AC1897" s="156">
        <f>VLOOKUP(I1897,'Weights and Confidence'!$D$16:$AC$26,12,FALSE)</f>
        <v>1</v>
      </c>
    </row>
    <row r="1898" spans="1:29" x14ac:dyDescent="0.2">
      <c r="A1898" s="76" t="s">
        <v>566</v>
      </c>
      <c r="B1898" s="76" t="s">
        <v>87</v>
      </c>
      <c r="C1898" s="76" t="s">
        <v>517</v>
      </c>
      <c r="D1898" s="76" t="s">
        <v>65</v>
      </c>
      <c r="E1898" s="76"/>
      <c r="F1898" s="91" t="s">
        <v>518</v>
      </c>
      <c r="G1898" s="76">
        <v>7</v>
      </c>
      <c r="H1898" s="76" t="s">
        <v>17</v>
      </c>
      <c r="I1898" s="76" t="s">
        <v>24</v>
      </c>
      <c r="J1898" s="76">
        <v>1</v>
      </c>
      <c r="K1898" s="78">
        <f>AB1898/COUNTIFS($B:$B,$B1898,$C:$C,$C1898,$H:$H,$H1898,$I:$I,$I1898)</f>
        <v>0.15</v>
      </c>
      <c r="L1898" s="80">
        <f t="shared" si="138"/>
        <v>1</v>
      </c>
      <c r="M1898" s="82">
        <f t="shared" si="140"/>
        <v>0.15</v>
      </c>
      <c r="N1898" s="59"/>
      <c r="AA1898" s="154">
        <f>AB1898/COUNTIFS($B:$B,$B1898,$C:$C,$C1898,$H:$H,$H1898,$I:$I,$I1898)</f>
        <v>0.15</v>
      </c>
      <c r="AB1898" s="155">
        <f>VLOOKUP(I1898,'Weights and Confidence'!$D$16:$AC$26,11,FALSE)</f>
        <v>0.15</v>
      </c>
      <c r="AC1898" s="156">
        <f>VLOOKUP(I1898,'Weights and Confidence'!$D$16:$AC$26,12,FALSE)</f>
        <v>1</v>
      </c>
    </row>
    <row r="1899" spans="1:29" x14ac:dyDescent="0.2">
      <c r="A1899" s="77" t="s">
        <v>566</v>
      </c>
      <c r="B1899" s="77" t="s">
        <v>87</v>
      </c>
      <c r="C1899" s="77" t="s">
        <v>517</v>
      </c>
      <c r="D1899" s="77" t="s">
        <v>65</v>
      </c>
      <c r="E1899" s="77"/>
      <c r="F1899" s="91" t="s">
        <v>518</v>
      </c>
      <c r="G1899" s="77">
        <v>7</v>
      </c>
      <c r="H1899" s="77" t="s">
        <v>18</v>
      </c>
      <c r="I1899" s="77" t="s">
        <v>24</v>
      </c>
      <c r="J1899" s="77">
        <v>-1</v>
      </c>
      <c r="K1899" s="79">
        <f>AB1899/COUNTIFS($B:$B,$B1899,$C:$C,$C1899,$H:$H,$H1899,$I:$I,$I1899)</f>
        <v>0.15</v>
      </c>
      <c r="L1899" s="81">
        <f t="shared" si="138"/>
        <v>1</v>
      </c>
      <c r="M1899" s="83">
        <f t="shared" si="140"/>
        <v>-0.15</v>
      </c>
      <c r="N1899" s="84"/>
      <c r="AA1899" s="154">
        <f>AB1899/COUNTIFS($B:$B,$B1899,$C:$C,$C1899,$H:$H,$H1899,$I:$I,$I1899)</f>
        <v>0.15</v>
      </c>
      <c r="AB1899" s="155">
        <f>VLOOKUP(I1899,'Weights and Confidence'!$D$16:$AC$26,11,FALSE)</f>
        <v>0.15</v>
      </c>
      <c r="AC1899" s="156">
        <f>VLOOKUP(I1899,'Weights and Confidence'!$D$16:$AC$26,12,FALSE)</f>
        <v>1</v>
      </c>
    </row>
    <row r="1900" spans="1:29" x14ac:dyDescent="0.2">
      <c r="A1900" s="76" t="s">
        <v>566</v>
      </c>
      <c r="B1900" s="76" t="s">
        <v>87</v>
      </c>
      <c r="C1900" s="76" t="s">
        <v>517</v>
      </c>
      <c r="D1900" s="76" t="s">
        <v>65</v>
      </c>
      <c r="E1900" s="76"/>
      <c r="F1900" s="91" t="s">
        <v>518</v>
      </c>
      <c r="G1900" s="76">
        <v>8</v>
      </c>
      <c r="H1900" s="76" t="s">
        <v>17</v>
      </c>
      <c r="I1900" s="76" t="s">
        <v>25</v>
      </c>
      <c r="J1900" s="76">
        <v>0</v>
      </c>
      <c r="K1900" s="78">
        <f>AB1900/COUNTIFS($B:$B,$B1900,$C:$C,$C1900,$H:$H,$H1900,$I:$I,$I1900)</f>
        <v>0.1</v>
      </c>
      <c r="L1900" s="80">
        <f t="shared" si="138"/>
        <v>1</v>
      </c>
      <c r="M1900" s="82">
        <f t="shared" si="140"/>
        <v>0</v>
      </c>
      <c r="N1900" s="59"/>
      <c r="AA1900" s="154">
        <f>AB1900/COUNTIFS($B:$B,$B1900,$C:$C,$C1900,$H:$H,$H1900,$I:$I,$I1900)</f>
        <v>0.1</v>
      </c>
      <c r="AB1900" s="155">
        <f>VLOOKUP(I1900,'Weights and Confidence'!$D$16:$AC$26,11,FALSE)</f>
        <v>0.1</v>
      </c>
      <c r="AC1900" s="156">
        <f>VLOOKUP(I1900,'Weights and Confidence'!$D$16:$AC$26,12,FALSE)</f>
        <v>1</v>
      </c>
    </row>
    <row r="1901" spans="1:29" x14ac:dyDescent="0.2">
      <c r="A1901" s="77" t="s">
        <v>566</v>
      </c>
      <c r="B1901" s="77" t="s">
        <v>87</v>
      </c>
      <c r="C1901" s="77" t="s">
        <v>517</v>
      </c>
      <c r="D1901" s="77" t="s">
        <v>65</v>
      </c>
      <c r="E1901" s="77"/>
      <c r="F1901" s="91" t="s">
        <v>518</v>
      </c>
      <c r="G1901" s="77">
        <v>8</v>
      </c>
      <c r="H1901" s="77" t="s">
        <v>18</v>
      </c>
      <c r="I1901" s="77" t="s">
        <v>25</v>
      </c>
      <c r="J1901" s="77">
        <v>-1</v>
      </c>
      <c r="K1901" s="79">
        <f>AB1901/COUNTIFS($B:$B,$B1901,$C:$C,$C1901,$H:$H,$H1901,$I:$I,$I1901)</f>
        <v>0.1</v>
      </c>
      <c r="L1901" s="81">
        <f t="shared" si="138"/>
        <v>1</v>
      </c>
      <c r="M1901" s="83">
        <f t="shared" si="140"/>
        <v>-0.1</v>
      </c>
      <c r="N1901" s="17"/>
      <c r="AA1901" s="154">
        <f>AB1901/COUNTIFS($B:$B,$B1901,$C:$C,$C1901,$H:$H,$H1901,$I:$I,$I1901)</f>
        <v>0.1</v>
      </c>
      <c r="AB1901" s="155">
        <f>VLOOKUP(I1901,'Weights and Confidence'!$D$16:$AC$26,11,FALSE)</f>
        <v>0.1</v>
      </c>
      <c r="AC1901" s="156">
        <f>VLOOKUP(I1901,'Weights and Confidence'!$D$16:$AC$26,12,FALSE)</f>
        <v>1</v>
      </c>
    </row>
    <row r="1902" spans="1:29" x14ac:dyDescent="0.2">
      <c r="A1902" s="76" t="s">
        <v>566</v>
      </c>
      <c r="B1902" s="76" t="s">
        <v>87</v>
      </c>
      <c r="C1902" s="76" t="s">
        <v>517</v>
      </c>
      <c r="D1902" s="76" t="s">
        <v>65</v>
      </c>
      <c r="E1902" s="76"/>
      <c r="F1902" s="91" t="s">
        <v>518</v>
      </c>
      <c r="G1902" s="76">
        <v>9</v>
      </c>
      <c r="H1902" s="76" t="s">
        <v>17</v>
      </c>
      <c r="I1902" s="76" t="s">
        <v>26</v>
      </c>
      <c r="J1902" s="76">
        <v>1</v>
      </c>
      <c r="K1902" s="78">
        <f>AB1902/COUNTIFS($B:$B,$B1902,$C:$C,$C1902,$H:$H,$H1902,$I:$I,$I1902)</f>
        <v>0.1</v>
      </c>
      <c r="L1902" s="80">
        <f t="shared" si="138"/>
        <v>1</v>
      </c>
      <c r="M1902" s="82">
        <f t="shared" si="140"/>
        <v>0.1</v>
      </c>
      <c r="N1902" s="59"/>
      <c r="AA1902" s="154">
        <f>AB1902/COUNTIFS($B:$B,$B1902,$C:$C,$C1902,$H:$H,$H1902,$I:$I,$I1902)</f>
        <v>0.1</v>
      </c>
      <c r="AB1902" s="155">
        <f>VLOOKUP(I1902,'Weights and Confidence'!$D$16:$AC$26,11,FALSE)</f>
        <v>0.1</v>
      </c>
      <c r="AC1902" s="156">
        <f>VLOOKUP(I1902,'Weights and Confidence'!$D$16:$AC$26,12,FALSE)</f>
        <v>1</v>
      </c>
    </row>
    <row r="1903" spans="1:29" x14ac:dyDescent="0.2">
      <c r="A1903" s="77" t="s">
        <v>566</v>
      </c>
      <c r="B1903" s="77" t="s">
        <v>87</v>
      </c>
      <c r="C1903" s="77" t="s">
        <v>517</v>
      </c>
      <c r="D1903" s="77" t="s">
        <v>65</v>
      </c>
      <c r="E1903" s="77"/>
      <c r="F1903" s="91" t="s">
        <v>518</v>
      </c>
      <c r="G1903" s="77">
        <v>9</v>
      </c>
      <c r="H1903" s="77" t="s">
        <v>18</v>
      </c>
      <c r="I1903" s="77" t="s">
        <v>26</v>
      </c>
      <c r="J1903" s="77">
        <v>-1</v>
      </c>
      <c r="K1903" s="79">
        <f>AB1903/COUNTIFS($B:$B,$B1903,$C:$C,$C1903,$H:$H,$H1903,$I:$I,$I1903)</f>
        <v>0.1</v>
      </c>
      <c r="L1903" s="81">
        <f t="shared" si="138"/>
        <v>1</v>
      </c>
      <c r="M1903" s="83">
        <f t="shared" si="140"/>
        <v>-0.1</v>
      </c>
      <c r="N1903" s="17"/>
      <c r="AA1903" s="154">
        <f>AB1903/COUNTIFS($B:$B,$B1903,$C:$C,$C1903,$H:$H,$H1903,$I:$I,$I1903)</f>
        <v>0.1</v>
      </c>
      <c r="AB1903" s="155">
        <f>VLOOKUP(I1903,'Weights and Confidence'!$D$16:$AC$26,11,FALSE)</f>
        <v>0.1</v>
      </c>
      <c r="AC1903" s="156">
        <f>VLOOKUP(I1903,'Weights and Confidence'!$D$16:$AC$26,12,FALSE)</f>
        <v>1</v>
      </c>
    </row>
    <row r="1904" spans="1:29" x14ac:dyDescent="0.2">
      <c r="A1904" s="76" t="s">
        <v>566</v>
      </c>
      <c r="B1904" s="76" t="s">
        <v>87</v>
      </c>
      <c r="C1904" s="76" t="s">
        <v>517</v>
      </c>
      <c r="D1904" s="76" t="s">
        <v>65</v>
      </c>
      <c r="E1904" s="76"/>
      <c r="F1904" s="91" t="s">
        <v>518</v>
      </c>
      <c r="G1904" s="76">
        <v>10</v>
      </c>
      <c r="H1904" s="76" t="s">
        <v>17</v>
      </c>
      <c r="I1904" s="76" t="s">
        <v>27</v>
      </c>
      <c r="J1904" s="76">
        <v>1</v>
      </c>
      <c r="K1904" s="78">
        <f>AB1904/COUNTIFS($B:$B,$B1904,$C:$C,$C1904,$H:$H,$H1904,$I:$I,$I1904)</f>
        <v>0.05</v>
      </c>
      <c r="L1904" s="80">
        <f t="shared" si="138"/>
        <v>0.9</v>
      </c>
      <c r="M1904" s="82">
        <f t="shared" si="140"/>
        <v>4.5000000000000005E-2</v>
      </c>
      <c r="N1904" s="59"/>
      <c r="AA1904" s="154">
        <f>AB1904/COUNTIFS($B:$B,$B1904,$C:$C,$C1904,$H:$H,$H1904,$I:$I,$I1904)</f>
        <v>0.05</v>
      </c>
      <c r="AB1904" s="155">
        <f>VLOOKUP(I1904,'Weights and Confidence'!$D$16:$AC$26,11,FALSE)</f>
        <v>0.1</v>
      </c>
      <c r="AC1904" s="156">
        <f>VLOOKUP(I1904,'Weights and Confidence'!$D$16:$AC$26,12,FALSE)</f>
        <v>0.9</v>
      </c>
    </row>
    <row r="1905" spans="1:29" x14ac:dyDescent="0.2">
      <c r="A1905" s="77" t="s">
        <v>566</v>
      </c>
      <c r="B1905" s="77" t="s">
        <v>87</v>
      </c>
      <c r="C1905" s="77" t="s">
        <v>517</v>
      </c>
      <c r="D1905" s="77" t="s">
        <v>65</v>
      </c>
      <c r="E1905" s="77"/>
      <c r="F1905" s="91" t="s">
        <v>518</v>
      </c>
      <c r="G1905" s="77">
        <v>10</v>
      </c>
      <c r="H1905" s="77" t="s">
        <v>18</v>
      </c>
      <c r="I1905" s="77" t="s">
        <v>27</v>
      </c>
      <c r="J1905" s="77">
        <v>0</v>
      </c>
      <c r="K1905" s="79">
        <f>AB1905/COUNTIFS($B:$B,$B1905,$C:$C,$C1905,$H:$H,$H1905,$I:$I,$I1905)</f>
        <v>0.05</v>
      </c>
      <c r="L1905" s="81">
        <f t="shared" si="138"/>
        <v>0.9</v>
      </c>
      <c r="M1905" s="83">
        <f t="shared" si="140"/>
        <v>0</v>
      </c>
      <c r="N1905" s="84"/>
      <c r="AA1905" s="154">
        <f>AB1905/COUNTIFS($B:$B,$B1905,$C:$C,$C1905,$H:$H,$H1905,$I:$I,$I1905)</f>
        <v>0.05</v>
      </c>
      <c r="AB1905" s="155">
        <f>VLOOKUP(I1905,'Weights and Confidence'!$D$16:$AC$26,11,FALSE)</f>
        <v>0.1</v>
      </c>
      <c r="AC1905" s="156">
        <f>VLOOKUP(I1905,'Weights and Confidence'!$D$16:$AC$26,12,FALSE)</f>
        <v>0.9</v>
      </c>
    </row>
    <row r="1906" spans="1:29" x14ac:dyDescent="0.2">
      <c r="A1906" s="76" t="s">
        <v>566</v>
      </c>
      <c r="B1906" s="76" t="s">
        <v>87</v>
      </c>
      <c r="C1906" s="76" t="s">
        <v>517</v>
      </c>
      <c r="D1906" s="76" t="s">
        <v>65</v>
      </c>
      <c r="E1906" s="76"/>
      <c r="F1906" s="91" t="s">
        <v>518</v>
      </c>
      <c r="G1906" s="76">
        <v>11</v>
      </c>
      <c r="H1906" s="76" t="s">
        <v>17</v>
      </c>
      <c r="I1906" s="76" t="s">
        <v>27</v>
      </c>
      <c r="J1906" s="76">
        <v>0</v>
      </c>
      <c r="K1906" s="78">
        <f>AB1906/COUNTIFS($B:$B,$B1906,$C:$C,$C1906,$H:$H,$H1906,$I:$I,$I1906)</f>
        <v>0.05</v>
      </c>
      <c r="L1906" s="80">
        <f t="shared" si="138"/>
        <v>0.9</v>
      </c>
      <c r="M1906" s="82">
        <f t="shared" si="140"/>
        <v>0</v>
      </c>
      <c r="N1906" s="59"/>
      <c r="AA1906" s="154">
        <f>AB1906/COUNTIFS($B:$B,$B1906,$C:$C,$C1906,$H:$H,$H1906,$I:$I,$I1906)</f>
        <v>0.05</v>
      </c>
      <c r="AB1906" s="155">
        <f>VLOOKUP(I1906,'Weights and Confidence'!$D$16:$AC$26,11,FALSE)</f>
        <v>0.1</v>
      </c>
      <c r="AC1906" s="156">
        <f>VLOOKUP(I1906,'Weights and Confidence'!$D$16:$AC$26,12,FALSE)</f>
        <v>0.9</v>
      </c>
    </row>
    <row r="1907" spans="1:29" x14ac:dyDescent="0.2">
      <c r="A1907" s="77" t="s">
        <v>566</v>
      </c>
      <c r="B1907" s="77" t="s">
        <v>87</v>
      </c>
      <c r="C1907" s="77" t="s">
        <v>517</v>
      </c>
      <c r="D1907" s="77" t="s">
        <v>65</v>
      </c>
      <c r="E1907" s="77"/>
      <c r="F1907" s="91" t="s">
        <v>518</v>
      </c>
      <c r="G1907" s="77">
        <v>11</v>
      </c>
      <c r="H1907" s="77" t="s">
        <v>18</v>
      </c>
      <c r="I1907" s="77" t="s">
        <v>27</v>
      </c>
      <c r="J1907" s="77">
        <v>1</v>
      </c>
      <c r="K1907" s="79">
        <f>AB1907/COUNTIFS($B:$B,$B1907,$C:$C,$C1907,$H:$H,$H1907,$I:$I,$I1907)</f>
        <v>0.05</v>
      </c>
      <c r="L1907" s="81">
        <f t="shared" si="138"/>
        <v>0.9</v>
      </c>
      <c r="M1907" s="83">
        <f t="shared" si="140"/>
        <v>4.5000000000000005E-2</v>
      </c>
      <c r="N1907" s="17"/>
      <c r="AA1907" s="154">
        <f>AB1907/COUNTIFS($B:$B,$B1907,$C:$C,$C1907,$H:$H,$H1907,$I:$I,$I1907)</f>
        <v>0.05</v>
      </c>
      <c r="AB1907" s="155">
        <f>VLOOKUP(I1907,'Weights and Confidence'!$D$16:$AC$26,11,FALSE)</f>
        <v>0.1</v>
      </c>
      <c r="AC1907" s="156">
        <f>VLOOKUP(I1907,'Weights and Confidence'!$D$16:$AC$26,12,FALSE)</f>
        <v>0.9</v>
      </c>
    </row>
    <row r="1908" spans="1:29" x14ac:dyDescent="0.2">
      <c r="A1908" s="77" t="s">
        <v>566</v>
      </c>
      <c r="B1908" s="77" t="s">
        <v>87</v>
      </c>
      <c r="C1908" s="77" t="s">
        <v>517</v>
      </c>
      <c r="D1908" s="77" t="s">
        <v>65</v>
      </c>
      <c r="E1908" s="77"/>
      <c r="F1908" s="91" t="s">
        <v>518</v>
      </c>
      <c r="G1908" s="77">
        <v>12</v>
      </c>
      <c r="H1908" s="77" t="s">
        <v>17</v>
      </c>
      <c r="I1908" s="77" t="s">
        <v>28</v>
      </c>
      <c r="J1908" s="77">
        <v>1</v>
      </c>
      <c r="K1908" s="79">
        <f>AB1908/COUNTIFS($B:$B,$B1908,$C:$C,$C1908,$H:$H,$H1908,$I:$I,$I1908)</f>
        <v>0.05</v>
      </c>
      <c r="L1908" s="81">
        <f t="shared" si="138"/>
        <v>1</v>
      </c>
      <c r="M1908" s="83">
        <f>J1908*K1908*L1908</f>
        <v>0.05</v>
      </c>
      <c r="N1908" s="58"/>
      <c r="AA1908" s="154">
        <f>AB1908/COUNTIFS($B:$B,$B1908,$C:$C,$C1908,$H:$H,$H1908,$I:$I,$I1908)</f>
        <v>0.05</v>
      </c>
      <c r="AB1908" s="155">
        <f>VLOOKUP(I1908,'Weights and Confidence'!$D$16:$AC$26,11,FALSE)</f>
        <v>0.05</v>
      </c>
      <c r="AC1908" s="156">
        <f>VLOOKUP(I1908,'Weights and Confidence'!$D$16:$AC$26,12,FALSE)</f>
        <v>1</v>
      </c>
    </row>
    <row r="1909" spans="1:29" ht="17" thickBot="1" x14ac:dyDescent="0.25">
      <c r="A1909" s="98" t="s">
        <v>566</v>
      </c>
      <c r="B1909" s="98" t="s">
        <v>87</v>
      </c>
      <c r="C1909" s="98" t="s">
        <v>517</v>
      </c>
      <c r="D1909" s="98" t="s">
        <v>65</v>
      </c>
      <c r="E1909" s="98"/>
      <c r="F1909" s="93" t="s">
        <v>518</v>
      </c>
      <c r="G1909" s="98">
        <v>12</v>
      </c>
      <c r="H1909" s="98" t="s">
        <v>18</v>
      </c>
      <c r="I1909" s="98" t="s">
        <v>28</v>
      </c>
      <c r="J1909" s="98">
        <v>-1</v>
      </c>
      <c r="K1909" s="99">
        <f>AB1909/COUNTIFS($B:$B,$B1909,$C:$C,$C1909,$H:$H,$H1909,$I:$I,$I1909)</f>
        <v>0.05</v>
      </c>
      <c r="L1909" s="100">
        <f t="shared" si="138"/>
        <v>1</v>
      </c>
      <c r="M1909" s="101">
        <f>J1909*K1909*L1909</f>
        <v>-0.05</v>
      </c>
      <c r="N1909" s="163"/>
      <c r="AA1909" s="157">
        <f>AB1909/COUNTIFS($B:$B,$B1909,$C:$C,$C1909,$H:$H,$H1909,$I:$I,$I1909)</f>
        <v>0.05</v>
      </c>
      <c r="AB1909" s="158">
        <f>VLOOKUP(I1909,'Weights and Confidence'!$D$16:$AC$26,11,FALSE)</f>
        <v>0.05</v>
      </c>
      <c r="AC1909" s="159">
        <f>VLOOKUP(I1909,'Weights and Confidence'!$D$16:$AC$26,12,FALSE)</f>
        <v>1</v>
      </c>
    </row>
    <row r="1910" spans="1:29" ht="17" thickTop="1" x14ac:dyDescent="0.2">
      <c r="A1910" s="86" t="s">
        <v>566</v>
      </c>
      <c r="B1910" s="86" t="s">
        <v>87</v>
      </c>
      <c r="C1910" s="86" t="s">
        <v>550</v>
      </c>
      <c r="D1910" s="86" t="s">
        <v>65</v>
      </c>
      <c r="E1910" s="86"/>
      <c r="F1910" s="18" t="s">
        <v>551</v>
      </c>
      <c r="G1910" s="86">
        <v>1</v>
      </c>
      <c r="H1910" s="86" t="s">
        <v>17</v>
      </c>
      <c r="I1910" s="86" t="s">
        <v>19</v>
      </c>
      <c r="J1910" s="97">
        <v>0</v>
      </c>
      <c r="K1910" s="87">
        <f>AB1910/COUNTIFS($B:$B,$B1910,$C:$C,$C1910,$H:$H,$H1910,$I:$I,$I1910)</f>
        <v>0.12</v>
      </c>
      <c r="L1910" s="88">
        <f t="shared" ref="L1910:L1933" si="141">AC1910</f>
        <v>1</v>
      </c>
      <c r="M1910" s="89">
        <f t="shared" ref="M1910" si="142">J1910*K1910*L1910</f>
        <v>0</v>
      </c>
      <c r="N1910" s="90"/>
      <c r="AA1910" s="154">
        <f>AB1910/COUNTIFS($B:$B,$B1910,$C:$C,$C1910,$H:$H,$H1910,$I:$I,$I1910)</f>
        <v>0.12</v>
      </c>
      <c r="AB1910" s="155">
        <f>VLOOKUP(I1910,'Weights and Confidence'!$D$16:$AC$26,11,FALSE)</f>
        <v>0.12</v>
      </c>
      <c r="AC1910" s="156">
        <f>VLOOKUP(I1910,'Weights and Confidence'!$D$16:$AC$26,12,FALSE)</f>
        <v>1</v>
      </c>
    </row>
    <row r="1911" spans="1:29" x14ac:dyDescent="0.2">
      <c r="A1911" s="77" t="s">
        <v>566</v>
      </c>
      <c r="B1911" s="77" t="s">
        <v>87</v>
      </c>
      <c r="C1911" s="77" t="s">
        <v>550</v>
      </c>
      <c r="D1911" s="77" t="s">
        <v>65</v>
      </c>
      <c r="E1911" s="77"/>
      <c r="F1911" s="91" t="s">
        <v>551</v>
      </c>
      <c r="G1911" s="77">
        <v>1</v>
      </c>
      <c r="H1911" s="77" t="s">
        <v>18</v>
      </c>
      <c r="I1911" s="77" t="s">
        <v>19</v>
      </c>
      <c r="J1911" s="77">
        <v>1</v>
      </c>
      <c r="K1911" s="79">
        <f>AB1911/COUNTIFS($B:$B,$B1911,$C:$C,$C1911,$H:$H,$H1911,$I:$I,$I1911)</f>
        <v>0.12</v>
      </c>
      <c r="L1911" s="81">
        <f t="shared" si="141"/>
        <v>1</v>
      </c>
      <c r="M1911" s="83">
        <f>J1910*K1911*L1911</f>
        <v>0</v>
      </c>
      <c r="N1911" s="84"/>
      <c r="AA1911" s="154">
        <f>AB1911/COUNTIFS($B:$B,$B1911,$C:$C,$C1911,$H:$H,$H1911,$I:$I,$I1911)</f>
        <v>0.12</v>
      </c>
      <c r="AB1911" s="155">
        <f>VLOOKUP(I1911,'Weights and Confidence'!$D$16:$AC$26,11,FALSE)</f>
        <v>0.12</v>
      </c>
      <c r="AC1911" s="156">
        <f>VLOOKUP(I1911,'Weights and Confidence'!$D$16:$AC$26,12,FALSE)</f>
        <v>1</v>
      </c>
    </row>
    <row r="1912" spans="1:29" x14ac:dyDescent="0.2">
      <c r="A1912" s="76" t="s">
        <v>566</v>
      </c>
      <c r="B1912" s="76" t="s">
        <v>87</v>
      </c>
      <c r="C1912" s="76" t="s">
        <v>550</v>
      </c>
      <c r="D1912" s="76" t="s">
        <v>65</v>
      </c>
      <c r="E1912" s="76"/>
      <c r="F1912" s="91" t="s">
        <v>551</v>
      </c>
      <c r="G1912" s="76">
        <v>2</v>
      </c>
      <c r="H1912" s="76" t="s">
        <v>17</v>
      </c>
      <c r="I1912" s="76" t="s">
        <v>20</v>
      </c>
      <c r="J1912" s="76">
        <v>0</v>
      </c>
      <c r="K1912" s="78">
        <f>AB1912/COUNTIFS($B:$B,$B1912,$C:$C,$C1912,$H:$H,$H1912,$I:$I,$I1912)</f>
        <v>0.08</v>
      </c>
      <c r="L1912" s="80">
        <f t="shared" si="141"/>
        <v>0.9</v>
      </c>
      <c r="M1912" s="82">
        <f t="shared" ref="M1912:M1931" si="143">J1912*K1912*L1912</f>
        <v>0</v>
      </c>
      <c r="N1912" s="59"/>
      <c r="AA1912" s="154">
        <f>AB1912/COUNTIFS($B:$B,$B1912,$C:$C,$C1912,$H:$H,$H1912,$I:$I,$I1912)</f>
        <v>0.08</v>
      </c>
      <c r="AB1912" s="155">
        <f>VLOOKUP(I1912,'Weights and Confidence'!$D$16:$AC$26,11,FALSE)</f>
        <v>0.08</v>
      </c>
      <c r="AC1912" s="156">
        <f>VLOOKUP(I1912,'Weights and Confidence'!$D$16:$AC$26,12,FALSE)</f>
        <v>0.9</v>
      </c>
    </row>
    <row r="1913" spans="1:29" x14ac:dyDescent="0.2">
      <c r="A1913" s="77" t="s">
        <v>566</v>
      </c>
      <c r="B1913" s="77" t="s">
        <v>87</v>
      </c>
      <c r="C1913" s="77" t="s">
        <v>550</v>
      </c>
      <c r="D1913" s="77" t="s">
        <v>65</v>
      </c>
      <c r="E1913" s="77"/>
      <c r="F1913" s="91" t="s">
        <v>551</v>
      </c>
      <c r="G1913" s="77">
        <v>2</v>
      </c>
      <c r="H1913" s="77" t="s">
        <v>18</v>
      </c>
      <c r="I1913" s="77" t="s">
        <v>20</v>
      </c>
      <c r="J1913" s="77">
        <v>1</v>
      </c>
      <c r="K1913" s="79">
        <f>AB1913/COUNTIFS($B:$B,$B1913,$C:$C,$C1913,$H:$H,$H1913,$I:$I,$I1913)</f>
        <v>0.08</v>
      </c>
      <c r="L1913" s="81">
        <f t="shared" si="141"/>
        <v>0.9</v>
      </c>
      <c r="M1913" s="83">
        <f t="shared" si="143"/>
        <v>7.2000000000000008E-2</v>
      </c>
      <c r="N1913" s="17"/>
      <c r="AA1913" s="154">
        <f>AB1913/COUNTIFS($B:$B,$B1913,$C:$C,$C1913,$H:$H,$H1913,$I:$I,$I1913)</f>
        <v>0.08</v>
      </c>
      <c r="AB1913" s="155">
        <f>VLOOKUP(I1913,'Weights and Confidence'!$D$16:$AC$26,11,FALSE)</f>
        <v>0.08</v>
      </c>
      <c r="AC1913" s="156">
        <f>VLOOKUP(I1913,'Weights and Confidence'!$D$16:$AC$26,12,FALSE)</f>
        <v>0.9</v>
      </c>
    </row>
    <row r="1914" spans="1:29" x14ac:dyDescent="0.2">
      <c r="A1914" s="76" t="s">
        <v>566</v>
      </c>
      <c r="B1914" s="76" t="s">
        <v>87</v>
      </c>
      <c r="C1914" s="76" t="s">
        <v>550</v>
      </c>
      <c r="D1914" s="76" t="s">
        <v>65</v>
      </c>
      <c r="E1914" s="76"/>
      <c r="F1914" s="91" t="s">
        <v>551</v>
      </c>
      <c r="G1914" s="76">
        <v>3</v>
      </c>
      <c r="H1914" s="76" t="s">
        <v>17</v>
      </c>
      <c r="I1914" s="76" t="s">
        <v>21</v>
      </c>
      <c r="J1914" s="76">
        <v>0</v>
      </c>
      <c r="K1914" s="78">
        <f>AB1914/COUNTIFS($B:$B,$B1914,$C:$C,$C1914,$H:$H,$H1914,$I:$I,$I1914)</f>
        <v>0.05</v>
      </c>
      <c r="L1914" s="80">
        <f t="shared" si="141"/>
        <v>1</v>
      </c>
      <c r="M1914" s="82">
        <f t="shared" si="143"/>
        <v>0</v>
      </c>
      <c r="N1914" s="59"/>
      <c r="AA1914" s="154">
        <f>AB1914/COUNTIFS($B:$B,$B1914,$C:$C,$C1914,$H:$H,$H1914,$I:$I,$I1914)</f>
        <v>0.05</v>
      </c>
      <c r="AB1914" s="155">
        <f>VLOOKUP(I1914,'Weights and Confidence'!$D$16:$AC$26,11,FALSE)</f>
        <v>0.05</v>
      </c>
      <c r="AC1914" s="156">
        <f>VLOOKUP(I1914,'Weights and Confidence'!$D$16:$AC$26,12,FALSE)</f>
        <v>1</v>
      </c>
    </row>
    <row r="1915" spans="1:29" x14ac:dyDescent="0.2">
      <c r="A1915" s="77" t="s">
        <v>566</v>
      </c>
      <c r="B1915" s="77" t="s">
        <v>87</v>
      </c>
      <c r="C1915" s="77" t="s">
        <v>550</v>
      </c>
      <c r="D1915" s="77" t="s">
        <v>65</v>
      </c>
      <c r="E1915" s="77"/>
      <c r="F1915" s="91" t="s">
        <v>551</v>
      </c>
      <c r="G1915" s="77">
        <v>3</v>
      </c>
      <c r="H1915" s="77" t="s">
        <v>18</v>
      </c>
      <c r="I1915" s="77" t="s">
        <v>21</v>
      </c>
      <c r="J1915" s="77">
        <v>-1</v>
      </c>
      <c r="K1915" s="79">
        <f>AB1915/COUNTIFS($B:$B,$B1915,$C:$C,$C1915,$H:$H,$H1915,$I:$I,$I1915)</f>
        <v>0.05</v>
      </c>
      <c r="L1915" s="81">
        <f t="shared" si="141"/>
        <v>1</v>
      </c>
      <c r="M1915" s="83">
        <f t="shared" si="143"/>
        <v>-0.05</v>
      </c>
      <c r="N1915" s="17"/>
      <c r="AA1915" s="154">
        <f>AB1915/COUNTIFS($B:$B,$B1915,$C:$C,$C1915,$H:$H,$H1915,$I:$I,$I1915)</f>
        <v>0.05</v>
      </c>
      <c r="AB1915" s="155">
        <f>VLOOKUP(I1915,'Weights and Confidence'!$D$16:$AC$26,11,FALSE)</f>
        <v>0.05</v>
      </c>
      <c r="AC1915" s="156">
        <f>VLOOKUP(I1915,'Weights and Confidence'!$D$16:$AC$26,12,FALSE)</f>
        <v>1</v>
      </c>
    </row>
    <row r="1916" spans="1:29" x14ac:dyDescent="0.2">
      <c r="A1916" s="76" t="s">
        <v>566</v>
      </c>
      <c r="B1916" s="76" t="s">
        <v>87</v>
      </c>
      <c r="C1916" s="76" t="s">
        <v>550</v>
      </c>
      <c r="D1916" s="76" t="s">
        <v>65</v>
      </c>
      <c r="E1916" s="76"/>
      <c r="F1916" s="91" t="s">
        <v>551</v>
      </c>
      <c r="G1916" s="76">
        <v>4</v>
      </c>
      <c r="H1916" s="76" t="s">
        <v>17</v>
      </c>
      <c r="I1916" s="76" t="s">
        <v>22</v>
      </c>
      <c r="J1916" s="76">
        <v>0</v>
      </c>
      <c r="K1916" s="78">
        <f>AB1916/COUNTIFS($B:$B,$B1916,$C:$C,$C1916,$H:$H,$H1916,$I:$I,$I1916)</f>
        <v>0.1</v>
      </c>
      <c r="L1916" s="80">
        <f t="shared" si="141"/>
        <v>1</v>
      </c>
      <c r="M1916" s="82">
        <f t="shared" si="143"/>
        <v>0</v>
      </c>
      <c r="N1916" s="59"/>
      <c r="AA1916" s="154">
        <f>AB1916/COUNTIFS($B:$B,$B1916,$C:$C,$C1916,$H:$H,$H1916,$I:$I,$I1916)</f>
        <v>0.1</v>
      </c>
      <c r="AB1916" s="155">
        <f>VLOOKUP(I1916,'Weights and Confidence'!$D$16:$AC$26,11,FALSE)</f>
        <v>0.1</v>
      </c>
      <c r="AC1916" s="156">
        <f>VLOOKUP(I1916,'Weights and Confidence'!$D$16:$AC$26,12,FALSE)</f>
        <v>1</v>
      </c>
    </row>
    <row r="1917" spans="1:29" x14ac:dyDescent="0.2">
      <c r="A1917" s="77" t="s">
        <v>566</v>
      </c>
      <c r="B1917" s="77" t="s">
        <v>87</v>
      </c>
      <c r="C1917" s="77" t="s">
        <v>550</v>
      </c>
      <c r="D1917" s="77" t="s">
        <v>65</v>
      </c>
      <c r="E1917" s="77"/>
      <c r="F1917" s="91" t="s">
        <v>551</v>
      </c>
      <c r="G1917" s="77">
        <v>4</v>
      </c>
      <c r="H1917" s="77" t="s">
        <v>18</v>
      </c>
      <c r="I1917" s="77" t="s">
        <v>22</v>
      </c>
      <c r="J1917" s="77">
        <v>-1</v>
      </c>
      <c r="K1917" s="79">
        <f>AB1917/COUNTIFS($B:$B,$B1917,$C:$C,$C1917,$H:$H,$H1917,$I:$I,$I1917)</f>
        <v>0.1</v>
      </c>
      <c r="L1917" s="81">
        <f t="shared" si="141"/>
        <v>1</v>
      </c>
      <c r="M1917" s="83">
        <f t="shared" si="143"/>
        <v>-0.1</v>
      </c>
      <c r="N1917" s="17"/>
      <c r="AA1917" s="154">
        <f>AB1917/COUNTIFS($B:$B,$B1917,$C:$C,$C1917,$H:$H,$H1917,$I:$I,$I1917)</f>
        <v>0.1</v>
      </c>
      <c r="AB1917" s="155">
        <f>VLOOKUP(I1917,'Weights and Confidence'!$D$16:$AC$26,11,FALSE)</f>
        <v>0.1</v>
      </c>
      <c r="AC1917" s="156">
        <f>VLOOKUP(I1917,'Weights and Confidence'!$D$16:$AC$26,12,FALSE)</f>
        <v>1</v>
      </c>
    </row>
    <row r="1918" spans="1:29" x14ac:dyDescent="0.2">
      <c r="A1918" s="76" t="s">
        <v>566</v>
      </c>
      <c r="B1918" s="76" t="s">
        <v>87</v>
      </c>
      <c r="C1918" s="76" t="s">
        <v>550</v>
      </c>
      <c r="D1918" s="76" t="s">
        <v>65</v>
      </c>
      <c r="E1918" s="76"/>
      <c r="F1918" s="91" t="s">
        <v>551</v>
      </c>
      <c r="G1918" s="76">
        <v>5</v>
      </c>
      <c r="H1918" s="76" t="s">
        <v>17</v>
      </c>
      <c r="I1918" s="76" t="s">
        <v>34</v>
      </c>
      <c r="J1918" s="76">
        <v>0</v>
      </c>
      <c r="K1918" s="78">
        <f>AB1918/COUNTIFS($B:$B,$B1918,$C:$C,$C1918,$H:$H,$H1918,$I:$I,$I1918)</f>
        <v>0.08</v>
      </c>
      <c r="L1918" s="80">
        <f t="shared" si="141"/>
        <v>1</v>
      </c>
      <c r="M1918" s="82">
        <f t="shared" si="143"/>
        <v>0</v>
      </c>
      <c r="N1918" s="84"/>
      <c r="AA1918" s="154">
        <f>AB1918/COUNTIFS($B:$B,$B1918,$C:$C,$C1918,$H:$H,$H1918,$I:$I,$I1918)</f>
        <v>0.08</v>
      </c>
      <c r="AB1918" s="155">
        <f>VLOOKUP(I1918,'Weights and Confidence'!$D$16:$AC$26,11,FALSE)</f>
        <v>0.08</v>
      </c>
      <c r="AC1918" s="156">
        <f>VLOOKUP(I1918,'Weights and Confidence'!$D$16:$AC$26,12,FALSE)</f>
        <v>1</v>
      </c>
    </row>
    <row r="1919" spans="1:29" x14ac:dyDescent="0.2">
      <c r="A1919" s="77" t="s">
        <v>566</v>
      </c>
      <c r="B1919" s="77" t="s">
        <v>87</v>
      </c>
      <c r="C1919" s="77" t="s">
        <v>550</v>
      </c>
      <c r="D1919" s="77" t="s">
        <v>65</v>
      </c>
      <c r="E1919" s="77"/>
      <c r="F1919" s="91" t="s">
        <v>551</v>
      </c>
      <c r="G1919" s="77">
        <v>5</v>
      </c>
      <c r="H1919" s="77" t="s">
        <v>18</v>
      </c>
      <c r="I1919" s="77" t="s">
        <v>34</v>
      </c>
      <c r="J1919" s="77">
        <v>-1</v>
      </c>
      <c r="K1919" s="79">
        <f>AB1919/COUNTIFS($B:$B,$B1919,$C:$C,$C1919,$H:$H,$H1919,$I:$I,$I1919)</f>
        <v>0.08</v>
      </c>
      <c r="L1919" s="81">
        <f t="shared" si="141"/>
        <v>1</v>
      </c>
      <c r="M1919" s="83">
        <f t="shared" si="143"/>
        <v>-0.08</v>
      </c>
      <c r="N1919" s="17"/>
      <c r="AA1919" s="154">
        <f>AB1919/COUNTIFS($B:$B,$B1919,$C:$C,$C1919,$H:$H,$H1919,$I:$I,$I1919)</f>
        <v>0.08</v>
      </c>
      <c r="AB1919" s="155">
        <f>VLOOKUP(I1919,'Weights and Confidence'!$D$16:$AC$26,11,FALSE)</f>
        <v>0.08</v>
      </c>
      <c r="AC1919" s="156">
        <f>VLOOKUP(I1919,'Weights and Confidence'!$D$16:$AC$26,12,FALSE)</f>
        <v>1</v>
      </c>
    </row>
    <row r="1920" spans="1:29" x14ac:dyDescent="0.2">
      <c r="A1920" s="76" t="s">
        <v>566</v>
      </c>
      <c r="B1920" s="76" t="s">
        <v>87</v>
      </c>
      <c r="C1920" s="76" t="s">
        <v>550</v>
      </c>
      <c r="D1920" s="76" t="s">
        <v>65</v>
      </c>
      <c r="E1920" s="76"/>
      <c r="F1920" s="91" t="s">
        <v>551</v>
      </c>
      <c r="G1920" s="76">
        <v>6</v>
      </c>
      <c r="H1920" s="76" t="s">
        <v>17</v>
      </c>
      <c r="I1920" s="76" t="s">
        <v>23</v>
      </c>
      <c r="J1920" s="76">
        <v>0</v>
      </c>
      <c r="K1920" s="78">
        <f>AB1920/COUNTIFS($B:$B,$B1920,$C:$C,$C1920,$H:$H,$H1920,$I:$I,$I1920)</f>
        <v>7.0000000000000007E-2</v>
      </c>
      <c r="L1920" s="80">
        <f t="shared" si="141"/>
        <v>1</v>
      </c>
      <c r="M1920" s="82">
        <f t="shared" si="143"/>
        <v>0</v>
      </c>
      <c r="N1920" s="59"/>
      <c r="AA1920" s="154">
        <f>AB1920/COUNTIFS($B:$B,$B1920,$C:$C,$C1920,$H:$H,$H1920,$I:$I,$I1920)</f>
        <v>7.0000000000000007E-2</v>
      </c>
      <c r="AB1920" s="155">
        <f>VLOOKUP(I1920,'Weights and Confidence'!$D$16:$AC$26,11,FALSE)</f>
        <v>7.0000000000000007E-2</v>
      </c>
      <c r="AC1920" s="156">
        <f>VLOOKUP(I1920,'Weights and Confidence'!$D$16:$AC$26,12,FALSE)</f>
        <v>1</v>
      </c>
    </row>
    <row r="1921" spans="1:29" x14ac:dyDescent="0.2">
      <c r="A1921" s="77" t="s">
        <v>566</v>
      </c>
      <c r="B1921" s="77" t="s">
        <v>87</v>
      </c>
      <c r="C1921" s="77" t="s">
        <v>550</v>
      </c>
      <c r="D1921" s="77" t="s">
        <v>65</v>
      </c>
      <c r="E1921" s="77"/>
      <c r="F1921" s="91" t="s">
        <v>551</v>
      </c>
      <c r="G1921" s="77">
        <v>6</v>
      </c>
      <c r="H1921" s="77" t="s">
        <v>18</v>
      </c>
      <c r="I1921" s="77" t="s">
        <v>23</v>
      </c>
      <c r="J1921" s="77">
        <v>-1</v>
      </c>
      <c r="K1921" s="79">
        <f>AB1921/COUNTIFS($B:$B,$B1921,$C:$C,$C1921,$H:$H,$H1921,$I:$I,$I1921)</f>
        <v>7.0000000000000007E-2</v>
      </c>
      <c r="L1921" s="81">
        <f t="shared" si="141"/>
        <v>1</v>
      </c>
      <c r="M1921" s="83">
        <f t="shared" si="143"/>
        <v>-7.0000000000000007E-2</v>
      </c>
      <c r="N1921" s="17"/>
      <c r="AA1921" s="154">
        <f>AB1921/COUNTIFS($B:$B,$B1921,$C:$C,$C1921,$H:$H,$H1921,$I:$I,$I1921)</f>
        <v>7.0000000000000007E-2</v>
      </c>
      <c r="AB1921" s="155">
        <f>VLOOKUP(I1921,'Weights and Confidence'!$D$16:$AC$26,11,FALSE)</f>
        <v>7.0000000000000007E-2</v>
      </c>
      <c r="AC1921" s="156">
        <f>VLOOKUP(I1921,'Weights and Confidence'!$D$16:$AC$26,12,FALSE)</f>
        <v>1</v>
      </c>
    </row>
    <row r="1922" spans="1:29" x14ac:dyDescent="0.2">
      <c r="A1922" s="76" t="s">
        <v>566</v>
      </c>
      <c r="B1922" s="76" t="s">
        <v>87</v>
      </c>
      <c r="C1922" s="76" t="s">
        <v>550</v>
      </c>
      <c r="D1922" s="76" t="s">
        <v>65</v>
      </c>
      <c r="E1922" s="76"/>
      <c r="F1922" s="91" t="s">
        <v>551</v>
      </c>
      <c r="G1922" s="76">
        <v>7</v>
      </c>
      <c r="H1922" s="76" t="s">
        <v>17</v>
      </c>
      <c r="I1922" s="76" t="s">
        <v>24</v>
      </c>
      <c r="J1922" s="76">
        <v>0</v>
      </c>
      <c r="K1922" s="78">
        <f>AB1922/COUNTIFS($B:$B,$B1922,$C:$C,$C1922,$H:$H,$H1922,$I:$I,$I1922)</f>
        <v>0.15</v>
      </c>
      <c r="L1922" s="80">
        <f t="shared" si="141"/>
        <v>1</v>
      </c>
      <c r="M1922" s="82">
        <f t="shared" si="143"/>
        <v>0</v>
      </c>
      <c r="N1922" s="59"/>
      <c r="AA1922" s="154">
        <f>AB1922/COUNTIFS($B:$B,$B1922,$C:$C,$C1922,$H:$H,$H1922,$I:$I,$I1922)</f>
        <v>0.15</v>
      </c>
      <c r="AB1922" s="155">
        <f>VLOOKUP(I1922,'Weights and Confidence'!$D$16:$AC$26,11,FALSE)</f>
        <v>0.15</v>
      </c>
      <c r="AC1922" s="156">
        <f>VLOOKUP(I1922,'Weights and Confidence'!$D$16:$AC$26,12,FALSE)</f>
        <v>1</v>
      </c>
    </row>
    <row r="1923" spans="1:29" x14ac:dyDescent="0.2">
      <c r="A1923" s="77" t="s">
        <v>566</v>
      </c>
      <c r="B1923" s="77" t="s">
        <v>87</v>
      </c>
      <c r="C1923" s="77" t="s">
        <v>550</v>
      </c>
      <c r="D1923" s="77" t="s">
        <v>65</v>
      </c>
      <c r="E1923" s="77"/>
      <c r="F1923" s="91" t="s">
        <v>551</v>
      </c>
      <c r="G1923" s="77">
        <v>7</v>
      </c>
      <c r="H1923" s="77" t="s">
        <v>18</v>
      </c>
      <c r="I1923" s="77" t="s">
        <v>24</v>
      </c>
      <c r="J1923" s="77">
        <v>-1</v>
      </c>
      <c r="K1923" s="79">
        <f>AB1923/COUNTIFS($B:$B,$B1923,$C:$C,$C1923,$H:$H,$H1923,$I:$I,$I1923)</f>
        <v>0.15</v>
      </c>
      <c r="L1923" s="81">
        <f t="shared" si="141"/>
        <v>1</v>
      </c>
      <c r="M1923" s="83">
        <f t="shared" si="143"/>
        <v>-0.15</v>
      </c>
      <c r="N1923" s="84"/>
      <c r="AA1923" s="154">
        <f>AB1923/COUNTIFS($B:$B,$B1923,$C:$C,$C1923,$H:$H,$H1923,$I:$I,$I1923)</f>
        <v>0.15</v>
      </c>
      <c r="AB1923" s="155">
        <f>VLOOKUP(I1923,'Weights and Confidence'!$D$16:$AC$26,11,FALSE)</f>
        <v>0.15</v>
      </c>
      <c r="AC1923" s="156">
        <f>VLOOKUP(I1923,'Weights and Confidence'!$D$16:$AC$26,12,FALSE)</f>
        <v>1</v>
      </c>
    </row>
    <row r="1924" spans="1:29" x14ac:dyDescent="0.2">
      <c r="A1924" s="76" t="s">
        <v>566</v>
      </c>
      <c r="B1924" s="76" t="s">
        <v>87</v>
      </c>
      <c r="C1924" s="76" t="s">
        <v>550</v>
      </c>
      <c r="D1924" s="76" t="s">
        <v>65</v>
      </c>
      <c r="E1924" s="76"/>
      <c r="F1924" s="91" t="s">
        <v>551</v>
      </c>
      <c r="G1924" s="76">
        <v>8</v>
      </c>
      <c r="H1924" s="76" t="s">
        <v>17</v>
      </c>
      <c r="I1924" s="76" t="s">
        <v>25</v>
      </c>
      <c r="J1924" s="76">
        <v>-1</v>
      </c>
      <c r="K1924" s="78">
        <f>AB1924/COUNTIFS($B:$B,$B1924,$C:$C,$C1924,$H:$H,$H1924,$I:$I,$I1924)</f>
        <v>0.1</v>
      </c>
      <c r="L1924" s="80">
        <f t="shared" si="141"/>
        <v>1</v>
      </c>
      <c r="M1924" s="82">
        <f t="shared" si="143"/>
        <v>-0.1</v>
      </c>
      <c r="N1924" s="59"/>
      <c r="AA1924" s="154">
        <f>AB1924/COUNTIFS($B:$B,$B1924,$C:$C,$C1924,$H:$H,$H1924,$I:$I,$I1924)</f>
        <v>0.1</v>
      </c>
      <c r="AB1924" s="155">
        <f>VLOOKUP(I1924,'Weights and Confidence'!$D$16:$AC$26,11,FALSE)</f>
        <v>0.1</v>
      </c>
      <c r="AC1924" s="156">
        <f>VLOOKUP(I1924,'Weights and Confidence'!$D$16:$AC$26,12,FALSE)</f>
        <v>1</v>
      </c>
    </row>
    <row r="1925" spans="1:29" x14ac:dyDescent="0.2">
      <c r="A1925" s="77" t="s">
        <v>566</v>
      </c>
      <c r="B1925" s="77" t="s">
        <v>87</v>
      </c>
      <c r="C1925" s="77" t="s">
        <v>550</v>
      </c>
      <c r="D1925" s="77" t="s">
        <v>65</v>
      </c>
      <c r="E1925" s="77"/>
      <c r="F1925" s="91" t="s">
        <v>551</v>
      </c>
      <c r="G1925" s="77">
        <v>8</v>
      </c>
      <c r="H1925" s="77" t="s">
        <v>18</v>
      </c>
      <c r="I1925" s="77" t="s">
        <v>25</v>
      </c>
      <c r="J1925" s="77">
        <v>1</v>
      </c>
      <c r="K1925" s="79">
        <f>AB1925/COUNTIFS($B:$B,$B1925,$C:$C,$C1925,$H:$H,$H1925,$I:$I,$I1925)</f>
        <v>0.1</v>
      </c>
      <c r="L1925" s="81">
        <f t="shared" si="141"/>
        <v>1</v>
      </c>
      <c r="M1925" s="83">
        <f t="shared" si="143"/>
        <v>0.1</v>
      </c>
      <c r="N1925" s="17" t="s">
        <v>640</v>
      </c>
      <c r="AA1925" s="154">
        <f>AB1925/COUNTIFS($B:$B,$B1925,$C:$C,$C1925,$H:$H,$H1925,$I:$I,$I1925)</f>
        <v>0.1</v>
      </c>
      <c r="AB1925" s="155">
        <f>VLOOKUP(I1925,'Weights and Confidence'!$D$16:$AC$26,11,FALSE)</f>
        <v>0.1</v>
      </c>
      <c r="AC1925" s="156">
        <f>VLOOKUP(I1925,'Weights and Confidence'!$D$16:$AC$26,12,FALSE)</f>
        <v>1</v>
      </c>
    </row>
    <row r="1926" spans="1:29" x14ac:dyDescent="0.2">
      <c r="A1926" s="76" t="s">
        <v>566</v>
      </c>
      <c r="B1926" s="76" t="s">
        <v>87</v>
      </c>
      <c r="C1926" s="76" t="s">
        <v>550</v>
      </c>
      <c r="D1926" s="76" t="s">
        <v>65</v>
      </c>
      <c r="E1926" s="76"/>
      <c r="F1926" s="91" t="s">
        <v>551</v>
      </c>
      <c r="G1926" s="76">
        <v>9</v>
      </c>
      <c r="H1926" s="76" t="s">
        <v>17</v>
      </c>
      <c r="I1926" s="76" t="s">
        <v>26</v>
      </c>
      <c r="J1926" s="76">
        <v>-1</v>
      </c>
      <c r="K1926" s="78">
        <f>AB1926/COUNTIFS($B:$B,$B1926,$C:$C,$C1926,$H:$H,$H1926,$I:$I,$I1926)</f>
        <v>0.1</v>
      </c>
      <c r="L1926" s="80">
        <f t="shared" si="141"/>
        <v>1</v>
      </c>
      <c r="M1926" s="82">
        <f t="shared" si="143"/>
        <v>-0.1</v>
      </c>
      <c r="N1926" s="59"/>
      <c r="AA1926" s="154">
        <f>AB1926/COUNTIFS($B:$B,$B1926,$C:$C,$C1926,$H:$H,$H1926,$I:$I,$I1926)</f>
        <v>0.1</v>
      </c>
      <c r="AB1926" s="155">
        <f>VLOOKUP(I1926,'Weights and Confidence'!$D$16:$AC$26,11,FALSE)</f>
        <v>0.1</v>
      </c>
      <c r="AC1926" s="156">
        <f>VLOOKUP(I1926,'Weights and Confidence'!$D$16:$AC$26,12,FALSE)</f>
        <v>1</v>
      </c>
    </row>
    <row r="1927" spans="1:29" x14ac:dyDescent="0.2">
      <c r="A1927" s="77" t="s">
        <v>566</v>
      </c>
      <c r="B1927" s="77" t="s">
        <v>87</v>
      </c>
      <c r="C1927" s="77" t="s">
        <v>550</v>
      </c>
      <c r="D1927" s="77" t="s">
        <v>65</v>
      </c>
      <c r="E1927" s="77"/>
      <c r="F1927" s="91" t="s">
        <v>551</v>
      </c>
      <c r="G1927" s="77">
        <v>9</v>
      </c>
      <c r="H1927" s="77" t="s">
        <v>18</v>
      </c>
      <c r="I1927" s="77" t="s">
        <v>26</v>
      </c>
      <c r="J1927" s="77">
        <v>1</v>
      </c>
      <c r="K1927" s="79">
        <f>AB1927/COUNTIFS($B:$B,$B1927,$C:$C,$C1927,$H:$H,$H1927,$I:$I,$I1927)</f>
        <v>0.1</v>
      </c>
      <c r="L1927" s="81">
        <f t="shared" si="141"/>
        <v>1</v>
      </c>
      <c r="M1927" s="83">
        <f t="shared" si="143"/>
        <v>0.1</v>
      </c>
      <c r="N1927" s="17"/>
      <c r="AA1927" s="154">
        <f>AB1927/COUNTIFS($B:$B,$B1927,$C:$C,$C1927,$H:$H,$H1927,$I:$I,$I1927)</f>
        <v>0.1</v>
      </c>
      <c r="AB1927" s="155">
        <f>VLOOKUP(I1927,'Weights and Confidence'!$D$16:$AC$26,11,FALSE)</f>
        <v>0.1</v>
      </c>
      <c r="AC1927" s="156">
        <f>VLOOKUP(I1927,'Weights and Confidence'!$D$16:$AC$26,12,FALSE)</f>
        <v>1</v>
      </c>
    </row>
    <row r="1928" spans="1:29" x14ac:dyDescent="0.2">
      <c r="A1928" s="76" t="s">
        <v>566</v>
      </c>
      <c r="B1928" s="76" t="s">
        <v>87</v>
      </c>
      <c r="C1928" s="76" t="s">
        <v>550</v>
      </c>
      <c r="D1928" s="76" t="s">
        <v>65</v>
      </c>
      <c r="E1928" s="76"/>
      <c r="F1928" s="91" t="s">
        <v>551</v>
      </c>
      <c r="G1928" s="76">
        <v>10</v>
      </c>
      <c r="H1928" s="76" t="s">
        <v>17</v>
      </c>
      <c r="I1928" s="76" t="s">
        <v>27</v>
      </c>
      <c r="J1928" s="76">
        <v>0</v>
      </c>
      <c r="K1928" s="78">
        <f>AB1928/COUNTIFS($B:$B,$B1928,$C:$C,$C1928,$H:$H,$H1928,$I:$I,$I1928)</f>
        <v>0.05</v>
      </c>
      <c r="L1928" s="80">
        <f t="shared" si="141"/>
        <v>0.9</v>
      </c>
      <c r="M1928" s="82">
        <f t="shared" si="143"/>
        <v>0</v>
      </c>
      <c r="N1928" s="59"/>
      <c r="AA1928" s="154">
        <f>AB1928/COUNTIFS($B:$B,$B1928,$C:$C,$C1928,$H:$H,$H1928,$I:$I,$I1928)</f>
        <v>0.05</v>
      </c>
      <c r="AB1928" s="155">
        <f>VLOOKUP(I1928,'Weights and Confidence'!$D$16:$AC$26,11,FALSE)</f>
        <v>0.1</v>
      </c>
      <c r="AC1928" s="156">
        <f>VLOOKUP(I1928,'Weights and Confidence'!$D$16:$AC$26,12,FALSE)</f>
        <v>0.9</v>
      </c>
    </row>
    <row r="1929" spans="1:29" x14ac:dyDescent="0.2">
      <c r="A1929" s="77" t="s">
        <v>566</v>
      </c>
      <c r="B1929" s="77" t="s">
        <v>87</v>
      </c>
      <c r="C1929" s="77" t="s">
        <v>550</v>
      </c>
      <c r="D1929" s="77" t="s">
        <v>65</v>
      </c>
      <c r="E1929" s="77"/>
      <c r="F1929" s="91" t="s">
        <v>551</v>
      </c>
      <c r="G1929" s="77">
        <v>10</v>
      </c>
      <c r="H1929" s="77" t="s">
        <v>18</v>
      </c>
      <c r="I1929" s="77" t="s">
        <v>27</v>
      </c>
      <c r="J1929" s="77">
        <v>1</v>
      </c>
      <c r="K1929" s="79">
        <f>AB1929/COUNTIFS($B:$B,$B1929,$C:$C,$C1929,$H:$H,$H1929,$I:$I,$I1929)</f>
        <v>0.05</v>
      </c>
      <c r="L1929" s="81">
        <f t="shared" si="141"/>
        <v>0.9</v>
      </c>
      <c r="M1929" s="83">
        <f t="shared" si="143"/>
        <v>4.5000000000000005E-2</v>
      </c>
      <c r="N1929" s="84"/>
      <c r="AA1929" s="154">
        <f>AB1929/COUNTIFS($B:$B,$B1929,$C:$C,$C1929,$H:$H,$H1929,$I:$I,$I1929)</f>
        <v>0.05</v>
      </c>
      <c r="AB1929" s="155">
        <f>VLOOKUP(I1929,'Weights and Confidence'!$D$16:$AC$26,11,FALSE)</f>
        <v>0.1</v>
      </c>
      <c r="AC1929" s="156">
        <f>VLOOKUP(I1929,'Weights and Confidence'!$D$16:$AC$26,12,FALSE)</f>
        <v>0.9</v>
      </c>
    </row>
    <row r="1930" spans="1:29" x14ac:dyDescent="0.2">
      <c r="A1930" s="76" t="s">
        <v>566</v>
      </c>
      <c r="B1930" s="76" t="s">
        <v>87</v>
      </c>
      <c r="C1930" s="76" t="s">
        <v>550</v>
      </c>
      <c r="D1930" s="76" t="s">
        <v>65</v>
      </c>
      <c r="E1930" s="76"/>
      <c r="F1930" s="91" t="s">
        <v>551</v>
      </c>
      <c r="G1930" s="76">
        <v>11</v>
      </c>
      <c r="H1930" s="76" t="s">
        <v>17</v>
      </c>
      <c r="I1930" s="76" t="s">
        <v>27</v>
      </c>
      <c r="J1930" s="76">
        <v>0</v>
      </c>
      <c r="K1930" s="78">
        <f>AB1930/COUNTIFS($B:$B,$B1930,$C:$C,$C1930,$H:$H,$H1930,$I:$I,$I1930)</f>
        <v>0.05</v>
      </c>
      <c r="L1930" s="80">
        <f t="shared" si="141"/>
        <v>0.9</v>
      </c>
      <c r="M1930" s="82">
        <f t="shared" si="143"/>
        <v>0</v>
      </c>
      <c r="N1930" s="59"/>
      <c r="AA1930" s="154">
        <f>AB1930/COUNTIFS($B:$B,$B1930,$C:$C,$C1930,$H:$H,$H1930,$I:$I,$I1930)</f>
        <v>0.05</v>
      </c>
      <c r="AB1930" s="155">
        <f>VLOOKUP(I1930,'Weights and Confidence'!$D$16:$AC$26,11,FALSE)</f>
        <v>0.1</v>
      </c>
      <c r="AC1930" s="156">
        <f>VLOOKUP(I1930,'Weights and Confidence'!$D$16:$AC$26,12,FALSE)</f>
        <v>0.9</v>
      </c>
    </row>
    <row r="1931" spans="1:29" x14ac:dyDescent="0.2">
      <c r="A1931" s="77" t="s">
        <v>566</v>
      </c>
      <c r="B1931" s="77" t="s">
        <v>87</v>
      </c>
      <c r="C1931" s="77" t="s">
        <v>550</v>
      </c>
      <c r="D1931" s="77" t="s">
        <v>65</v>
      </c>
      <c r="E1931" s="77"/>
      <c r="F1931" s="91" t="s">
        <v>551</v>
      </c>
      <c r="G1931" s="77">
        <v>11</v>
      </c>
      <c r="H1931" s="77" t="s">
        <v>18</v>
      </c>
      <c r="I1931" s="77" t="s">
        <v>27</v>
      </c>
      <c r="J1931" s="77">
        <v>1</v>
      </c>
      <c r="K1931" s="79">
        <f>AB1931/COUNTIFS($B:$B,$B1931,$C:$C,$C1931,$H:$H,$H1931,$I:$I,$I1931)</f>
        <v>0.05</v>
      </c>
      <c r="L1931" s="81">
        <f t="shared" si="141"/>
        <v>0.9</v>
      </c>
      <c r="M1931" s="83">
        <f t="shared" si="143"/>
        <v>4.5000000000000005E-2</v>
      </c>
      <c r="N1931" s="17"/>
      <c r="AA1931" s="154">
        <f>AB1931/COUNTIFS($B:$B,$B1931,$C:$C,$C1931,$H:$H,$H1931,$I:$I,$I1931)</f>
        <v>0.05</v>
      </c>
      <c r="AB1931" s="155">
        <f>VLOOKUP(I1931,'Weights and Confidence'!$D$16:$AC$26,11,FALSE)</f>
        <v>0.1</v>
      </c>
      <c r="AC1931" s="156">
        <f>VLOOKUP(I1931,'Weights and Confidence'!$D$16:$AC$26,12,FALSE)</f>
        <v>0.9</v>
      </c>
    </row>
    <row r="1932" spans="1:29" x14ac:dyDescent="0.2">
      <c r="A1932" s="77" t="s">
        <v>566</v>
      </c>
      <c r="B1932" s="77" t="s">
        <v>87</v>
      </c>
      <c r="C1932" s="77" t="s">
        <v>550</v>
      </c>
      <c r="D1932" s="77" t="s">
        <v>65</v>
      </c>
      <c r="E1932" s="77"/>
      <c r="F1932" s="91" t="s">
        <v>551</v>
      </c>
      <c r="G1932" s="77">
        <v>12</v>
      </c>
      <c r="H1932" s="77" t="s">
        <v>17</v>
      </c>
      <c r="I1932" s="77" t="s">
        <v>28</v>
      </c>
      <c r="J1932" s="77">
        <v>-1</v>
      </c>
      <c r="K1932" s="79">
        <f>AB1932/COUNTIFS($B:$B,$B1932,$C:$C,$C1932,$H:$H,$H1932,$I:$I,$I1932)</f>
        <v>0.05</v>
      </c>
      <c r="L1932" s="81">
        <f t="shared" si="141"/>
        <v>1</v>
      </c>
      <c r="M1932" s="83">
        <f>J1932*K1932*L1932</f>
        <v>-0.05</v>
      </c>
      <c r="N1932" s="58"/>
      <c r="AA1932" s="154">
        <f>AB1932/COUNTIFS($B:$B,$B1932,$C:$C,$C1932,$H:$H,$H1932,$I:$I,$I1932)</f>
        <v>0.05</v>
      </c>
      <c r="AB1932" s="155">
        <f>VLOOKUP(I1932,'Weights and Confidence'!$D$16:$AC$26,11,FALSE)</f>
        <v>0.05</v>
      </c>
      <c r="AC1932" s="156">
        <f>VLOOKUP(I1932,'Weights and Confidence'!$D$16:$AC$26,12,FALSE)</f>
        <v>1</v>
      </c>
    </row>
    <row r="1933" spans="1:29" ht="17" thickBot="1" x14ac:dyDescent="0.25">
      <c r="A1933" s="98" t="s">
        <v>566</v>
      </c>
      <c r="B1933" s="98" t="s">
        <v>87</v>
      </c>
      <c r="C1933" s="98" t="s">
        <v>550</v>
      </c>
      <c r="D1933" s="98" t="s">
        <v>65</v>
      </c>
      <c r="E1933" s="98"/>
      <c r="F1933" s="93" t="s">
        <v>551</v>
      </c>
      <c r="G1933" s="98">
        <v>12</v>
      </c>
      <c r="H1933" s="98" t="s">
        <v>18</v>
      </c>
      <c r="I1933" s="98" t="s">
        <v>28</v>
      </c>
      <c r="J1933" s="98">
        <v>1</v>
      </c>
      <c r="K1933" s="99">
        <f>AB1933/COUNTIFS($B:$B,$B1933,$C:$C,$C1933,$H:$H,$H1933,$I:$I,$I1933)</f>
        <v>0.05</v>
      </c>
      <c r="L1933" s="100">
        <f t="shared" si="141"/>
        <v>1</v>
      </c>
      <c r="M1933" s="101">
        <f>J1933*K1933*L1933</f>
        <v>0.05</v>
      </c>
      <c r="N1933" s="163" t="s">
        <v>641</v>
      </c>
      <c r="AA1933" s="157">
        <f>AB1933/COUNTIFS($B:$B,$B1933,$C:$C,$C1933,$H:$H,$H1933,$I:$I,$I1933)</f>
        <v>0.05</v>
      </c>
      <c r="AB1933" s="158">
        <f>VLOOKUP(I1933,'Weights and Confidence'!$D$16:$AC$26,11,FALSE)</f>
        <v>0.05</v>
      </c>
      <c r="AC1933" s="159">
        <f>VLOOKUP(I1933,'Weights and Confidence'!$D$16:$AC$26,12,FALSE)</f>
        <v>1</v>
      </c>
    </row>
    <row r="1934" spans="1:29" ht="17" thickTop="1" x14ac:dyDescent="0.2">
      <c r="A1934" s="86" t="s">
        <v>566</v>
      </c>
      <c r="B1934" s="86" t="s">
        <v>87</v>
      </c>
      <c r="C1934" s="86" t="s">
        <v>642</v>
      </c>
      <c r="D1934" s="86" t="s">
        <v>65</v>
      </c>
      <c r="E1934" s="86"/>
      <c r="F1934" s="18" t="s">
        <v>312</v>
      </c>
      <c r="G1934" s="86">
        <v>1</v>
      </c>
      <c r="H1934" s="86" t="s">
        <v>17</v>
      </c>
      <c r="I1934" s="86" t="s">
        <v>19</v>
      </c>
      <c r="J1934" s="97">
        <v>1</v>
      </c>
      <c r="K1934" s="87">
        <f>AB1934/COUNTIFS($B:$B,$B1934,$C:$C,$C1934,$H:$H,$H1934,$I:$I,$I1934)</f>
        <v>0.12</v>
      </c>
      <c r="L1934" s="88">
        <f t="shared" ref="L1934:L1957" si="144">AC1934</f>
        <v>1</v>
      </c>
      <c r="M1934" s="89">
        <f t="shared" ref="M1934" si="145">J1934*K1934*L1934</f>
        <v>0.12</v>
      </c>
      <c r="N1934" s="90"/>
      <c r="AA1934" s="154">
        <f>AB1934/COUNTIFS($B:$B,$B1934,$C:$C,$C1934,$H:$H,$H1934,$I:$I,$I1934)</f>
        <v>0.12</v>
      </c>
      <c r="AB1934" s="155">
        <f>VLOOKUP(I1934,'Weights and Confidence'!$D$16:$AC$26,11,FALSE)</f>
        <v>0.12</v>
      </c>
      <c r="AC1934" s="156">
        <f>VLOOKUP(I1934,'Weights and Confidence'!$D$16:$AC$26,12,FALSE)</f>
        <v>1</v>
      </c>
    </row>
    <row r="1935" spans="1:29" x14ac:dyDescent="0.2">
      <c r="A1935" s="77" t="s">
        <v>566</v>
      </c>
      <c r="B1935" s="77" t="s">
        <v>87</v>
      </c>
      <c r="C1935" s="77" t="s">
        <v>642</v>
      </c>
      <c r="D1935" s="77" t="s">
        <v>65</v>
      </c>
      <c r="E1935" s="77"/>
      <c r="F1935" s="91" t="s">
        <v>312</v>
      </c>
      <c r="G1935" s="77">
        <v>1</v>
      </c>
      <c r="H1935" s="77" t="s">
        <v>18</v>
      </c>
      <c r="I1935" s="77" t="s">
        <v>19</v>
      </c>
      <c r="J1935" s="77">
        <v>1</v>
      </c>
      <c r="K1935" s="79">
        <f>AB1935/COUNTIFS($B:$B,$B1935,$C:$C,$C1935,$H:$H,$H1935,$I:$I,$I1935)</f>
        <v>0.12</v>
      </c>
      <c r="L1935" s="81">
        <f t="shared" si="144"/>
        <v>1</v>
      </c>
      <c r="M1935" s="83">
        <f>J1934*K1935*L1935</f>
        <v>0.12</v>
      </c>
      <c r="N1935" s="84"/>
      <c r="AA1935" s="154">
        <f>AB1935/COUNTIFS($B:$B,$B1935,$C:$C,$C1935,$H:$H,$H1935,$I:$I,$I1935)</f>
        <v>0.12</v>
      </c>
      <c r="AB1935" s="155">
        <f>VLOOKUP(I1935,'Weights and Confidence'!$D$16:$AC$26,11,FALSE)</f>
        <v>0.12</v>
      </c>
      <c r="AC1935" s="156">
        <f>VLOOKUP(I1935,'Weights and Confidence'!$D$16:$AC$26,12,FALSE)</f>
        <v>1</v>
      </c>
    </row>
    <row r="1936" spans="1:29" x14ac:dyDescent="0.2">
      <c r="A1936" s="76" t="s">
        <v>566</v>
      </c>
      <c r="B1936" s="76" t="s">
        <v>87</v>
      </c>
      <c r="C1936" s="76" t="s">
        <v>642</v>
      </c>
      <c r="D1936" s="76" t="s">
        <v>65</v>
      </c>
      <c r="E1936" s="76"/>
      <c r="F1936" s="91" t="s">
        <v>312</v>
      </c>
      <c r="G1936" s="76">
        <v>2</v>
      </c>
      <c r="H1936" s="76" t="s">
        <v>17</v>
      </c>
      <c r="I1936" s="76" t="s">
        <v>20</v>
      </c>
      <c r="J1936" s="76">
        <v>1</v>
      </c>
      <c r="K1936" s="78">
        <f>AB1936/COUNTIFS($B:$B,$B1936,$C:$C,$C1936,$H:$H,$H1936,$I:$I,$I1936)</f>
        <v>0.08</v>
      </c>
      <c r="L1936" s="80">
        <f t="shared" si="144"/>
        <v>0.9</v>
      </c>
      <c r="M1936" s="82">
        <f t="shared" ref="M1936:M1955" si="146">J1936*K1936*L1936</f>
        <v>7.2000000000000008E-2</v>
      </c>
      <c r="N1936" s="59"/>
      <c r="AA1936" s="154">
        <f>AB1936/COUNTIFS($B:$B,$B1936,$C:$C,$C1936,$H:$H,$H1936,$I:$I,$I1936)</f>
        <v>0.08</v>
      </c>
      <c r="AB1936" s="155">
        <f>VLOOKUP(I1936,'Weights and Confidence'!$D$16:$AC$26,11,FALSE)</f>
        <v>0.08</v>
      </c>
      <c r="AC1936" s="156">
        <f>VLOOKUP(I1936,'Weights and Confidence'!$D$16:$AC$26,12,FALSE)</f>
        <v>0.9</v>
      </c>
    </row>
    <row r="1937" spans="1:29" x14ac:dyDescent="0.2">
      <c r="A1937" s="77" t="s">
        <v>566</v>
      </c>
      <c r="B1937" s="77" t="s">
        <v>87</v>
      </c>
      <c r="C1937" s="77" t="s">
        <v>642</v>
      </c>
      <c r="D1937" s="77" t="s">
        <v>65</v>
      </c>
      <c r="E1937" s="77"/>
      <c r="F1937" s="91" t="s">
        <v>312</v>
      </c>
      <c r="G1937" s="77">
        <v>2</v>
      </c>
      <c r="H1937" s="77" t="s">
        <v>18</v>
      </c>
      <c r="I1937" s="77" t="s">
        <v>20</v>
      </c>
      <c r="J1937" s="77">
        <v>1</v>
      </c>
      <c r="K1937" s="79">
        <f>AB1937/COUNTIFS($B:$B,$B1937,$C:$C,$C1937,$H:$H,$H1937,$I:$I,$I1937)</f>
        <v>0.08</v>
      </c>
      <c r="L1937" s="81">
        <f t="shared" si="144"/>
        <v>0.9</v>
      </c>
      <c r="M1937" s="83">
        <f t="shared" si="146"/>
        <v>7.2000000000000008E-2</v>
      </c>
      <c r="N1937" s="17"/>
      <c r="AA1937" s="154">
        <f>AB1937/COUNTIFS($B:$B,$B1937,$C:$C,$C1937,$H:$H,$H1937,$I:$I,$I1937)</f>
        <v>0.08</v>
      </c>
      <c r="AB1937" s="155">
        <f>VLOOKUP(I1937,'Weights and Confidence'!$D$16:$AC$26,11,FALSE)</f>
        <v>0.08</v>
      </c>
      <c r="AC1937" s="156">
        <f>VLOOKUP(I1937,'Weights and Confidence'!$D$16:$AC$26,12,FALSE)</f>
        <v>0.9</v>
      </c>
    </row>
    <row r="1938" spans="1:29" x14ac:dyDescent="0.2">
      <c r="A1938" s="76" t="s">
        <v>566</v>
      </c>
      <c r="B1938" s="76" t="s">
        <v>87</v>
      </c>
      <c r="C1938" s="76" t="s">
        <v>642</v>
      </c>
      <c r="D1938" s="76" t="s">
        <v>65</v>
      </c>
      <c r="E1938" s="76"/>
      <c r="F1938" s="91" t="s">
        <v>312</v>
      </c>
      <c r="G1938" s="76">
        <v>3</v>
      </c>
      <c r="H1938" s="76" t="s">
        <v>17</v>
      </c>
      <c r="I1938" s="76" t="s">
        <v>21</v>
      </c>
      <c r="J1938" s="76">
        <v>1</v>
      </c>
      <c r="K1938" s="78">
        <f>AB1938/COUNTIFS($B:$B,$B1938,$C:$C,$C1938,$H:$H,$H1938,$I:$I,$I1938)</f>
        <v>0.05</v>
      </c>
      <c r="L1938" s="80">
        <f t="shared" si="144"/>
        <v>1</v>
      </c>
      <c r="M1938" s="82">
        <f t="shared" si="146"/>
        <v>0.05</v>
      </c>
      <c r="N1938" s="59"/>
      <c r="AA1938" s="154">
        <f>AB1938/COUNTIFS($B:$B,$B1938,$C:$C,$C1938,$H:$H,$H1938,$I:$I,$I1938)</f>
        <v>0.05</v>
      </c>
      <c r="AB1938" s="155">
        <f>VLOOKUP(I1938,'Weights and Confidence'!$D$16:$AC$26,11,FALSE)</f>
        <v>0.05</v>
      </c>
      <c r="AC1938" s="156">
        <f>VLOOKUP(I1938,'Weights and Confidence'!$D$16:$AC$26,12,FALSE)</f>
        <v>1</v>
      </c>
    </row>
    <row r="1939" spans="1:29" x14ac:dyDescent="0.2">
      <c r="A1939" s="77" t="s">
        <v>566</v>
      </c>
      <c r="B1939" s="77" t="s">
        <v>87</v>
      </c>
      <c r="C1939" s="77" t="s">
        <v>642</v>
      </c>
      <c r="D1939" s="77" t="s">
        <v>65</v>
      </c>
      <c r="E1939" s="77"/>
      <c r="F1939" s="91" t="s">
        <v>312</v>
      </c>
      <c r="G1939" s="77">
        <v>3</v>
      </c>
      <c r="H1939" s="77" t="s">
        <v>18</v>
      </c>
      <c r="I1939" s="77" t="s">
        <v>21</v>
      </c>
      <c r="J1939" s="77">
        <v>0</v>
      </c>
      <c r="K1939" s="79">
        <f>AB1939/COUNTIFS($B:$B,$B1939,$C:$C,$C1939,$H:$H,$H1939,$I:$I,$I1939)</f>
        <v>0.05</v>
      </c>
      <c r="L1939" s="81">
        <f t="shared" si="144"/>
        <v>1</v>
      </c>
      <c r="M1939" s="83">
        <f t="shared" si="146"/>
        <v>0</v>
      </c>
      <c r="N1939" s="17"/>
      <c r="AA1939" s="154">
        <f>AB1939/COUNTIFS($B:$B,$B1939,$C:$C,$C1939,$H:$H,$H1939,$I:$I,$I1939)</f>
        <v>0.05</v>
      </c>
      <c r="AB1939" s="155">
        <f>VLOOKUP(I1939,'Weights and Confidence'!$D$16:$AC$26,11,FALSE)</f>
        <v>0.05</v>
      </c>
      <c r="AC1939" s="156">
        <f>VLOOKUP(I1939,'Weights and Confidence'!$D$16:$AC$26,12,FALSE)</f>
        <v>1</v>
      </c>
    </row>
    <row r="1940" spans="1:29" x14ac:dyDescent="0.2">
      <c r="A1940" s="76" t="s">
        <v>566</v>
      </c>
      <c r="B1940" s="76" t="s">
        <v>87</v>
      </c>
      <c r="C1940" s="76" t="s">
        <v>642</v>
      </c>
      <c r="D1940" s="76" t="s">
        <v>65</v>
      </c>
      <c r="E1940" s="76"/>
      <c r="F1940" s="91" t="s">
        <v>312</v>
      </c>
      <c r="G1940" s="76">
        <v>4</v>
      </c>
      <c r="H1940" s="76" t="s">
        <v>17</v>
      </c>
      <c r="I1940" s="76" t="s">
        <v>22</v>
      </c>
      <c r="J1940" s="76">
        <v>0</v>
      </c>
      <c r="K1940" s="78">
        <f>AB1940/COUNTIFS($B:$B,$B1940,$C:$C,$C1940,$H:$H,$H1940,$I:$I,$I1940)</f>
        <v>0.1</v>
      </c>
      <c r="L1940" s="80">
        <f t="shared" si="144"/>
        <v>1</v>
      </c>
      <c r="M1940" s="82">
        <f t="shared" si="146"/>
        <v>0</v>
      </c>
      <c r="N1940" s="59"/>
      <c r="AA1940" s="154">
        <f>AB1940/COUNTIFS($B:$B,$B1940,$C:$C,$C1940,$H:$H,$H1940,$I:$I,$I1940)</f>
        <v>0.1</v>
      </c>
      <c r="AB1940" s="155">
        <f>VLOOKUP(I1940,'Weights and Confidence'!$D$16:$AC$26,11,FALSE)</f>
        <v>0.1</v>
      </c>
      <c r="AC1940" s="156">
        <f>VLOOKUP(I1940,'Weights and Confidence'!$D$16:$AC$26,12,FALSE)</f>
        <v>1</v>
      </c>
    </row>
    <row r="1941" spans="1:29" x14ac:dyDescent="0.2">
      <c r="A1941" s="77" t="s">
        <v>566</v>
      </c>
      <c r="B1941" s="77" t="s">
        <v>87</v>
      </c>
      <c r="C1941" s="77" t="s">
        <v>642</v>
      </c>
      <c r="D1941" s="77" t="s">
        <v>65</v>
      </c>
      <c r="E1941" s="77"/>
      <c r="F1941" s="91" t="s">
        <v>312</v>
      </c>
      <c r="G1941" s="77">
        <v>4</v>
      </c>
      <c r="H1941" s="77" t="s">
        <v>18</v>
      </c>
      <c r="I1941" s="77" t="s">
        <v>22</v>
      </c>
      <c r="J1941" s="77">
        <v>0</v>
      </c>
      <c r="K1941" s="79">
        <f>AB1941/COUNTIFS($B:$B,$B1941,$C:$C,$C1941,$H:$H,$H1941,$I:$I,$I1941)</f>
        <v>0.1</v>
      </c>
      <c r="L1941" s="81">
        <f t="shared" si="144"/>
        <v>1</v>
      </c>
      <c r="M1941" s="83">
        <f t="shared" si="146"/>
        <v>0</v>
      </c>
      <c r="N1941" s="17"/>
      <c r="AA1941" s="154">
        <f>AB1941/COUNTIFS($B:$B,$B1941,$C:$C,$C1941,$H:$H,$H1941,$I:$I,$I1941)</f>
        <v>0.1</v>
      </c>
      <c r="AB1941" s="155">
        <f>VLOOKUP(I1941,'Weights and Confidence'!$D$16:$AC$26,11,FALSE)</f>
        <v>0.1</v>
      </c>
      <c r="AC1941" s="156">
        <f>VLOOKUP(I1941,'Weights and Confidence'!$D$16:$AC$26,12,FALSE)</f>
        <v>1</v>
      </c>
    </row>
    <row r="1942" spans="1:29" x14ac:dyDescent="0.2">
      <c r="A1942" s="76" t="s">
        <v>566</v>
      </c>
      <c r="B1942" s="76" t="s">
        <v>87</v>
      </c>
      <c r="C1942" s="76" t="s">
        <v>642</v>
      </c>
      <c r="D1942" s="76" t="s">
        <v>65</v>
      </c>
      <c r="E1942" s="76"/>
      <c r="F1942" s="91" t="s">
        <v>312</v>
      </c>
      <c r="G1942" s="76">
        <v>5</v>
      </c>
      <c r="H1942" s="76" t="s">
        <v>17</v>
      </c>
      <c r="I1942" s="76" t="s">
        <v>34</v>
      </c>
      <c r="J1942" s="76">
        <v>-1</v>
      </c>
      <c r="K1942" s="78">
        <f>AB1942/COUNTIFS($B:$B,$B1942,$C:$C,$C1942,$H:$H,$H1942,$I:$I,$I1942)</f>
        <v>0.08</v>
      </c>
      <c r="L1942" s="80">
        <f t="shared" si="144"/>
        <v>1</v>
      </c>
      <c r="M1942" s="82">
        <f t="shared" si="146"/>
        <v>-0.08</v>
      </c>
      <c r="N1942" s="84"/>
      <c r="AA1942" s="154">
        <f>AB1942/COUNTIFS($B:$B,$B1942,$C:$C,$C1942,$H:$H,$H1942,$I:$I,$I1942)</f>
        <v>0.08</v>
      </c>
      <c r="AB1942" s="155">
        <f>VLOOKUP(I1942,'Weights and Confidence'!$D$16:$AC$26,11,FALSE)</f>
        <v>0.08</v>
      </c>
      <c r="AC1942" s="156">
        <f>VLOOKUP(I1942,'Weights and Confidence'!$D$16:$AC$26,12,FALSE)</f>
        <v>1</v>
      </c>
    </row>
    <row r="1943" spans="1:29" x14ac:dyDescent="0.2">
      <c r="A1943" s="77" t="s">
        <v>566</v>
      </c>
      <c r="B1943" s="77" t="s">
        <v>87</v>
      </c>
      <c r="C1943" s="77" t="s">
        <v>642</v>
      </c>
      <c r="D1943" s="77" t="s">
        <v>65</v>
      </c>
      <c r="E1943" s="77"/>
      <c r="F1943" s="91" t="s">
        <v>312</v>
      </c>
      <c r="G1943" s="77">
        <v>5</v>
      </c>
      <c r="H1943" s="77" t="s">
        <v>18</v>
      </c>
      <c r="I1943" s="77" t="s">
        <v>34</v>
      </c>
      <c r="J1943" s="77">
        <v>0</v>
      </c>
      <c r="K1943" s="79">
        <f>AB1943/COUNTIFS($B:$B,$B1943,$C:$C,$C1943,$H:$H,$H1943,$I:$I,$I1943)</f>
        <v>0.08</v>
      </c>
      <c r="L1943" s="81">
        <f t="shared" si="144"/>
        <v>1</v>
      </c>
      <c r="M1943" s="83">
        <f t="shared" si="146"/>
        <v>0</v>
      </c>
      <c r="N1943" s="17"/>
      <c r="AA1943" s="154">
        <f>AB1943/COUNTIFS($B:$B,$B1943,$C:$C,$C1943,$H:$H,$H1943,$I:$I,$I1943)</f>
        <v>0.08</v>
      </c>
      <c r="AB1943" s="155">
        <f>VLOOKUP(I1943,'Weights and Confidence'!$D$16:$AC$26,11,FALSE)</f>
        <v>0.08</v>
      </c>
      <c r="AC1943" s="156">
        <f>VLOOKUP(I1943,'Weights and Confidence'!$D$16:$AC$26,12,FALSE)</f>
        <v>1</v>
      </c>
    </row>
    <row r="1944" spans="1:29" x14ac:dyDescent="0.2">
      <c r="A1944" s="76" t="s">
        <v>566</v>
      </c>
      <c r="B1944" s="76" t="s">
        <v>87</v>
      </c>
      <c r="C1944" s="76" t="s">
        <v>642</v>
      </c>
      <c r="D1944" s="76" t="s">
        <v>65</v>
      </c>
      <c r="E1944" s="76"/>
      <c r="F1944" s="91" t="s">
        <v>312</v>
      </c>
      <c r="G1944" s="76">
        <v>6</v>
      </c>
      <c r="H1944" s="76" t="s">
        <v>17</v>
      </c>
      <c r="I1944" s="76" t="s">
        <v>23</v>
      </c>
      <c r="J1944" s="76">
        <v>0</v>
      </c>
      <c r="K1944" s="78">
        <f>AB1944/COUNTIFS($B:$B,$B1944,$C:$C,$C1944,$H:$H,$H1944,$I:$I,$I1944)</f>
        <v>7.0000000000000007E-2</v>
      </c>
      <c r="L1944" s="80">
        <f t="shared" si="144"/>
        <v>1</v>
      </c>
      <c r="M1944" s="82">
        <f t="shared" si="146"/>
        <v>0</v>
      </c>
      <c r="N1944" s="59"/>
      <c r="AA1944" s="154">
        <f>AB1944/COUNTIFS($B:$B,$B1944,$C:$C,$C1944,$H:$H,$H1944,$I:$I,$I1944)</f>
        <v>7.0000000000000007E-2</v>
      </c>
      <c r="AB1944" s="155">
        <f>VLOOKUP(I1944,'Weights and Confidence'!$D$16:$AC$26,11,FALSE)</f>
        <v>7.0000000000000007E-2</v>
      </c>
      <c r="AC1944" s="156">
        <f>VLOOKUP(I1944,'Weights and Confidence'!$D$16:$AC$26,12,FALSE)</f>
        <v>1</v>
      </c>
    </row>
    <row r="1945" spans="1:29" x14ac:dyDescent="0.2">
      <c r="A1945" s="77" t="s">
        <v>566</v>
      </c>
      <c r="B1945" s="77" t="s">
        <v>87</v>
      </c>
      <c r="C1945" s="77" t="s">
        <v>642</v>
      </c>
      <c r="D1945" s="77" t="s">
        <v>65</v>
      </c>
      <c r="E1945" s="77"/>
      <c r="F1945" s="91" t="s">
        <v>312</v>
      </c>
      <c r="G1945" s="77">
        <v>6</v>
      </c>
      <c r="H1945" s="77" t="s">
        <v>18</v>
      </c>
      <c r="I1945" s="77" t="s">
        <v>23</v>
      </c>
      <c r="J1945" s="77">
        <v>0</v>
      </c>
      <c r="K1945" s="79">
        <f>AB1945/COUNTIFS($B:$B,$B1945,$C:$C,$C1945,$H:$H,$H1945,$I:$I,$I1945)</f>
        <v>7.0000000000000007E-2</v>
      </c>
      <c r="L1945" s="81">
        <f t="shared" si="144"/>
        <v>1</v>
      </c>
      <c r="M1945" s="83">
        <f t="shared" si="146"/>
        <v>0</v>
      </c>
      <c r="N1945" s="17"/>
      <c r="AA1945" s="154">
        <f>AB1945/COUNTIFS($B:$B,$B1945,$C:$C,$C1945,$H:$H,$H1945,$I:$I,$I1945)</f>
        <v>7.0000000000000007E-2</v>
      </c>
      <c r="AB1945" s="155">
        <f>VLOOKUP(I1945,'Weights and Confidence'!$D$16:$AC$26,11,FALSE)</f>
        <v>7.0000000000000007E-2</v>
      </c>
      <c r="AC1945" s="156">
        <f>VLOOKUP(I1945,'Weights and Confidence'!$D$16:$AC$26,12,FALSE)</f>
        <v>1</v>
      </c>
    </row>
    <row r="1946" spans="1:29" x14ac:dyDescent="0.2">
      <c r="A1946" s="76" t="s">
        <v>566</v>
      </c>
      <c r="B1946" s="76" t="s">
        <v>87</v>
      </c>
      <c r="C1946" s="76" t="s">
        <v>642</v>
      </c>
      <c r="D1946" s="76" t="s">
        <v>65</v>
      </c>
      <c r="E1946" s="76"/>
      <c r="F1946" s="91" t="s">
        <v>312</v>
      </c>
      <c r="G1946" s="76">
        <v>7</v>
      </c>
      <c r="H1946" s="76" t="s">
        <v>17</v>
      </c>
      <c r="I1946" s="76" t="s">
        <v>24</v>
      </c>
      <c r="J1946" s="76">
        <v>0</v>
      </c>
      <c r="K1946" s="78">
        <f>AB1946/COUNTIFS($B:$B,$B1946,$C:$C,$C1946,$H:$H,$H1946,$I:$I,$I1946)</f>
        <v>0.15</v>
      </c>
      <c r="L1946" s="80">
        <f t="shared" si="144"/>
        <v>1</v>
      </c>
      <c r="M1946" s="82">
        <f t="shared" si="146"/>
        <v>0</v>
      </c>
      <c r="N1946" s="59"/>
      <c r="AA1946" s="154">
        <f>AB1946/COUNTIFS($B:$B,$B1946,$C:$C,$C1946,$H:$H,$H1946,$I:$I,$I1946)</f>
        <v>0.15</v>
      </c>
      <c r="AB1946" s="155">
        <f>VLOOKUP(I1946,'Weights and Confidence'!$D$16:$AC$26,11,FALSE)</f>
        <v>0.15</v>
      </c>
      <c r="AC1946" s="156">
        <f>VLOOKUP(I1946,'Weights and Confidence'!$D$16:$AC$26,12,FALSE)</f>
        <v>1</v>
      </c>
    </row>
    <row r="1947" spans="1:29" x14ac:dyDescent="0.2">
      <c r="A1947" s="77" t="s">
        <v>566</v>
      </c>
      <c r="B1947" s="77" t="s">
        <v>87</v>
      </c>
      <c r="C1947" s="77" t="s">
        <v>642</v>
      </c>
      <c r="D1947" s="77" t="s">
        <v>65</v>
      </c>
      <c r="E1947" s="77"/>
      <c r="F1947" s="91" t="s">
        <v>312</v>
      </c>
      <c r="G1947" s="77">
        <v>7</v>
      </c>
      <c r="H1947" s="77" t="s">
        <v>18</v>
      </c>
      <c r="I1947" s="77" t="s">
        <v>24</v>
      </c>
      <c r="J1947" s="77">
        <v>-1</v>
      </c>
      <c r="K1947" s="79">
        <f>AB1947/COUNTIFS($B:$B,$B1947,$C:$C,$C1947,$H:$H,$H1947,$I:$I,$I1947)</f>
        <v>0.15</v>
      </c>
      <c r="L1947" s="81">
        <f t="shared" si="144"/>
        <v>1</v>
      </c>
      <c r="M1947" s="83">
        <f t="shared" si="146"/>
        <v>-0.15</v>
      </c>
      <c r="N1947" s="84" t="s">
        <v>643</v>
      </c>
      <c r="AA1947" s="154">
        <f>AB1947/COUNTIFS($B:$B,$B1947,$C:$C,$C1947,$H:$H,$H1947,$I:$I,$I1947)</f>
        <v>0.15</v>
      </c>
      <c r="AB1947" s="155">
        <f>VLOOKUP(I1947,'Weights and Confidence'!$D$16:$AC$26,11,FALSE)</f>
        <v>0.15</v>
      </c>
      <c r="AC1947" s="156">
        <f>VLOOKUP(I1947,'Weights and Confidence'!$D$16:$AC$26,12,FALSE)</f>
        <v>1</v>
      </c>
    </row>
    <row r="1948" spans="1:29" x14ac:dyDescent="0.2">
      <c r="A1948" s="76" t="s">
        <v>566</v>
      </c>
      <c r="B1948" s="76" t="s">
        <v>87</v>
      </c>
      <c r="C1948" s="76" t="s">
        <v>642</v>
      </c>
      <c r="D1948" s="76" t="s">
        <v>65</v>
      </c>
      <c r="E1948" s="76"/>
      <c r="F1948" s="91" t="s">
        <v>312</v>
      </c>
      <c r="G1948" s="76">
        <v>8</v>
      </c>
      <c r="H1948" s="76" t="s">
        <v>17</v>
      </c>
      <c r="I1948" s="76" t="s">
        <v>25</v>
      </c>
      <c r="J1948" s="76">
        <v>-1</v>
      </c>
      <c r="K1948" s="78">
        <f>AB1948/COUNTIFS($B:$B,$B1948,$C:$C,$C1948,$H:$H,$H1948,$I:$I,$I1948)</f>
        <v>0.1</v>
      </c>
      <c r="L1948" s="80">
        <f t="shared" si="144"/>
        <v>1</v>
      </c>
      <c r="M1948" s="82">
        <f t="shared" si="146"/>
        <v>-0.1</v>
      </c>
      <c r="N1948" s="59"/>
      <c r="AA1948" s="154">
        <f>AB1948/COUNTIFS($B:$B,$B1948,$C:$C,$C1948,$H:$H,$H1948,$I:$I,$I1948)</f>
        <v>0.1</v>
      </c>
      <c r="AB1948" s="155">
        <f>VLOOKUP(I1948,'Weights and Confidence'!$D$16:$AC$26,11,FALSE)</f>
        <v>0.1</v>
      </c>
      <c r="AC1948" s="156">
        <f>VLOOKUP(I1948,'Weights and Confidence'!$D$16:$AC$26,12,FALSE)</f>
        <v>1</v>
      </c>
    </row>
    <row r="1949" spans="1:29" x14ac:dyDescent="0.2">
      <c r="A1949" s="77" t="s">
        <v>566</v>
      </c>
      <c r="B1949" s="77" t="s">
        <v>87</v>
      </c>
      <c r="C1949" s="77" t="s">
        <v>642</v>
      </c>
      <c r="D1949" s="77" t="s">
        <v>65</v>
      </c>
      <c r="E1949" s="77"/>
      <c r="F1949" s="91" t="s">
        <v>312</v>
      </c>
      <c r="G1949" s="77">
        <v>8</v>
      </c>
      <c r="H1949" s="77" t="s">
        <v>18</v>
      </c>
      <c r="I1949" s="77" t="s">
        <v>25</v>
      </c>
      <c r="J1949" s="77">
        <v>0</v>
      </c>
      <c r="K1949" s="79">
        <f>AB1949/COUNTIFS($B:$B,$B1949,$C:$C,$C1949,$H:$H,$H1949,$I:$I,$I1949)</f>
        <v>0.1</v>
      </c>
      <c r="L1949" s="81">
        <f t="shared" si="144"/>
        <v>1</v>
      </c>
      <c r="M1949" s="83">
        <f t="shared" si="146"/>
        <v>0</v>
      </c>
      <c r="N1949" s="17"/>
      <c r="AA1949" s="154">
        <f>AB1949/COUNTIFS($B:$B,$B1949,$C:$C,$C1949,$H:$H,$H1949,$I:$I,$I1949)</f>
        <v>0.1</v>
      </c>
      <c r="AB1949" s="155">
        <f>VLOOKUP(I1949,'Weights and Confidence'!$D$16:$AC$26,11,FALSE)</f>
        <v>0.1</v>
      </c>
      <c r="AC1949" s="156">
        <f>VLOOKUP(I1949,'Weights and Confidence'!$D$16:$AC$26,12,FALSE)</f>
        <v>1</v>
      </c>
    </row>
    <row r="1950" spans="1:29" x14ac:dyDescent="0.2">
      <c r="A1950" s="76" t="s">
        <v>566</v>
      </c>
      <c r="B1950" s="76" t="s">
        <v>87</v>
      </c>
      <c r="C1950" s="76" t="s">
        <v>642</v>
      </c>
      <c r="D1950" s="76" t="s">
        <v>65</v>
      </c>
      <c r="E1950" s="76"/>
      <c r="F1950" s="91" t="s">
        <v>312</v>
      </c>
      <c r="G1950" s="76">
        <v>9</v>
      </c>
      <c r="H1950" s="76" t="s">
        <v>17</v>
      </c>
      <c r="I1950" s="76" t="s">
        <v>26</v>
      </c>
      <c r="J1950" s="76">
        <v>-1</v>
      </c>
      <c r="K1950" s="78">
        <f>AB1950/COUNTIFS($B:$B,$B1950,$C:$C,$C1950,$H:$H,$H1950,$I:$I,$I1950)</f>
        <v>0.1</v>
      </c>
      <c r="L1950" s="80">
        <f t="shared" si="144"/>
        <v>1</v>
      </c>
      <c r="M1950" s="82">
        <f t="shared" si="146"/>
        <v>-0.1</v>
      </c>
      <c r="N1950" s="59"/>
      <c r="AA1950" s="154">
        <f>AB1950/COUNTIFS($B:$B,$B1950,$C:$C,$C1950,$H:$H,$H1950,$I:$I,$I1950)</f>
        <v>0.1</v>
      </c>
      <c r="AB1950" s="155">
        <f>VLOOKUP(I1950,'Weights and Confidence'!$D$16:$AC$26,11,FALSE)</f>
        <v>0.1</v>
      </c>
      <c r="AC1950" s="156">
        <f>VLOOKUP(I1950,'Weights and Confidence'!$D$16:$AC$26,12,FALSE)</f>
        <v>1</v>
      </c>
    </row>
    <row r="1951" spans="1:29" x14ac:dyDescent="0.2">
      <c r="A1951" s="77" t="s">
        <v>566</v>
      </c>
      <c r="B1951" s="77" t="s">
        <v>87</v>
      </c>
      <c r="C1951" s="77" t="s">
        <v>642</v>
      </c>
      <c r="D1951" s="77" t="s">
        <v>65</v>
      </c>
      <c r="E1951" s="77"/>
      <c r="F1951" s="91" t="s">
        <v>312</v>
      </c>
      <c r="G1951" s="77">
        <v>9</v>
      </c>
      <c r="H1951" s="77" t="s">
        <v>18</v>
      </c>
      <c r="I1951" s="77" t="s">
        <v>26</v>
      </c>
      <c r="J1951" s="77">
        <v>0</v>
      </c>
      <c r="K1951" s="79">
        <f>AB1951/COUNTIFS($B:$B,$B1951,$C:$C,$C1951,$H:$H,$H1951,$I:$I,$I1951)</f>
        <v>0.1</v>
      </c>
      <c r="L1951" s="81">
        <f t="shared" si="144"/>
        <v>1</v>
      </c>
      <c r="M1951" s="83">
        <f t="shared" si="146"/>
        <v>0</v>
      </c>
      <c r="N1951" s="17"/>
      <c r="AA1951" s="154">
        <f>AB1951/COUNTIFS($B:$B,$B1951,$C:$C,$C1951,$H:$H,$H1951,$I:$I,$I1951)</f>
        <v>0.1</v>
      </c>
      <c r="AB1951" s="155">
        <f>VLOOKUP(I1951,'Weights and Confidence'!$D$16:$AC$26,11,FALSE)</f>
        <v>0.1</v>
      </c>
      <c r="AC1951" s="156">
        <f>VLOOKUP(I1951,'Weights and Confidence'!$D$16:$AC$26,12,FALSE)</f>
        <v>1</v>
      </c>
    </row>
    <row r="1952" spans="1:29" x14ac:dyDescent="0.2">
      <c r="A1952" s="76" t="s">
        <v>566</v>
      </c>
      <c r="B1952" s="76" t="s">
        <v>87</v>
      </c>
      <c r="C1952" s="76" t="s">
        <v>642</v>
      </c>
      <c r="D1952" s="76" t="s">
        <v>65</v>
      </c>
      <c r="E1952" s="76"/>
      <c r="F1952" s="91" t="s">
        <v>312</v>
      </c>
      <c r="G1952" s="76">
        <v>10</v>
      </c>
      <c r="H1952" s="76" t="s">
        <v>17</v>
      </c>
      <c r="I1952" s="76" t="s">
        <v>27</v>
      </c>
      <c r="J1952" s="76">
        <v>0</v>
      </c>
      <c r="K1952" s="78">
        <f>AB1952/COUNTIFS($B:$B,$B1952,$C:$C,$C1952,$H:$H,$H1952,$I:$I,$I1952)</f>
        <v>0.05</v>
      </c>
      <c r="L1952" s="80">
        <f t="shared" si="144"/>
        <v>0.9</v>
      </c>
      <c r="M1952" s="82">
        <f t="shared" si="146"/>
        <v>0</v>
      </c>
      <c r="N1952" s="59"/>
      <c r="AA1952" s="154">
        <f>AB1952/COUNTIFS($B:$B,$B1952,$C:$C,$C1952,$H:$H,$H1952,$I:$I,$I1952)</f>
        <v>0.05</v>
      </c>
      <c r="AB1952" s="155">
        <f>VLOOKUP(I1952,'Weights and Confidence'!$D$16:$AC$26,11,FALSE)</f>
        <v>0.1</v>
      </c>
      <c r="AC1952" s="156">
        <f>VLOOKUP(I1952,'Weights and Confidence'!$D$16:$AC$26,12,FALSE)</f>
        <v>0.9</v>
      </c>
    </row>
    <row r="1953" spans="1:29" x14ac:dyDescent="0.2">
      <c r="A1953" s="77" t="s">
        <v>566</v>
      </c>
      <c r="B1953" s="77" t="s">
        <v>87</v>
      </c>
      <c r="C1953" s="77" t="s">
        <v>642</v>
      </c>
      <c r="D1953" s="77" t="s">
        <v>65</v>
      </c>
      <c r="E1953" s="77"/>
      <c r="F1953" s="91" t="s">
        <v>312</v>
      </c>
      <c r="G1953" s="77">
        <v>10</v>
      </c>
      <c r="H1953" s="77" t="s">
        <v>18</v>
      </c>
      <c r="I1953" s="77" t="s">
        <v>27</v>
      </c>
      <c r="J1953" s="77">
        <v>0</v>
      </c>
      <c r="K1953" s="79">
        <f>AB1953/COUNTIFS($B:$B,$B1953,$C:$C,$C1953,$H:$H,$H1953,$I:$I,$I1953)</f>
        <v>0.05</v>
      </c>
      <c r="L1953" s="81">
        <f t="shared" si="144"/>
        <v>0.9</v>
      </c>
      <c r="M1953" s="83">
        <f t="shared" si="146"/>
        <v>0</v>
      </c>
      <c r="N1953" s="84"/>
      <c r="AA1953" s="154">
        <f>AB1953/COUNTIFS($B:$B,$B1953,$C:$C,$C1953,$H:$H,$H1953,$I:$I,$I1953)</f>
        <v>0.05</v>
      </c>
      <c r="AB1953" s="155">
        <f>VLOOKUP(I1953,'Weights and Confidence'!$D$16:$AC$26,11,FALSE)</f>
        <v>0.1</v>
      </c>
      <c r="AC1953" s="156">
        <f>VLOOKUP(I1953,'Weights and Confidence'!$D$16:$AC$26,12,FALSE)</f>
        <v>0.9</v>
      </c>
    </row>
    <row r="1954" spans="1:29" x14ac:dyDescent="0.2">
      <c r="A1954" s="76" t="s">
        <v>566</v>
      </c>
      <c r="B1954" s="76" t="s">
        <v>87</v>
      </c>
      <c r="C1954" s="76" t="s">
        <v>642</v>
      </c>
      <c r="D1954" s="76" t="s">
        <v>65</v>
      </c>
      <c r="E1954" s="76"/>
      <c r="F1954" s="91" t="s">
        <v>312</v>
      </c>
      <c r="G1954" s="76">
        <v>11</v>
      </c>
      <c r="H1954" s="76" t="s">
        <v>17</v>
      </c>
      <c r="I1954" s="76" t="s">
        <v>27</v>
      </c>
      <c r="J1954" s="76">
        <v>0</v>
      </c>
      <c r="K1954" s="78">
        <f>AB1954/COUNTIFS($B:$B,$B1954,$C:$C,$C1954,$H:$H,$H1954,$I:$I,$I1954)</f>
        <v>0.05</v>
      </c>
      <c r="L1954" s="80">
        <f t="shared" si="144"/>
        <v>0.9</v>
      </c>
      <c r="M1954" s="82">
        <f t="shared" si="146"/>
        <v>0</v>
      </c>
      <c r="N1954" s="59"/>
      <c r="AA1954" s="154">
        <f>AB1954/COUNTIFS($B:$B,$B1954,$C:$C,$C1954,$H:$H,$H1954,$I:$I,$I1954)</f>
        <v>0.05</v>
      </c>
      <c r="AB1954" s="155">
        <f>VLOOKUP(I1954,'Weights and Confidence'!$D$16:$AC$26,11,FALSE)</f>
        <v>0.1</v>
      </c>
      <c r="AC1954" s="156">
        <f>VLOOKUP(I1954,'Weights and Confidence'!$D$16:$AC$26,12,FALSE)</f>
        <v>0.9</v>
      </c>
    </row>
    <row r="1955" spans="1:29" x14ac:dyDescent="0.2">
      <c r="A1955" s="77" t="s">
        <v>566</v>
      </c>
      <c r="B1955" s="77" t="s">
        <v>87</v>
      </c>
      <c r="C1955" s="77" t="s">
        <v>642</v>
      </c>
      <c r="D1955" s="77" t="s">
        <v>65</v>
      </c>
      <c r="E1955" s="77"/>
      <c r="F1955" s="91" t="s">
        <v>312</v>
      </c>
      <c r="G1955" s="77">
        <v>11</v>
      </c>
      <c r="H1955" s="77" t="s">
        <v>18</v>
      </c>
      <c r="I1955" s="77" t="s">
        <v>27</v>
      </c>
      <c r="J1955" s="77">
        <v>0</v>
      </c>
      <c r="K1955" s="79">
        <f>AB1955/COUNTIFS($B:$B,$B1955,$C:$C,$C1955,$H:$H,$H1955,$I:$I,$I1955)</f>
        <v>0.05</v>
      </c>
      <c r="L1955" s="81">
        <f t="shared" si="144"/>
        <v>0.9</v>
      </c>
      <c r="M1955" s="83">
        <f t="shared" si="146"/>
        <v>0</v>
      </c>
      <c r="N1955" s="17" t="s">
        <v>644</v>
      </c>
      <c r="AA1955" s="154">
        <f>AB1955/COUNTIFS($B:$B,$B1955,$C:$C,$C1955,$H:$H,$H1955,$I:$I,$I1955)</f>
        <v>0.05</v>
      </c>
      <c r="AB1955" s="155">
        <f>VLOOKUP(I1955,'Weights and Confidence'!$D$16:$AC$26,11,FALSE)</f>
        <v>0.1</v>
      </c>
      <c r="AC1955" s="156">
        <f>VLOOKUP(I1955,'Weights and Confidence'!$D$16:$AC$26,12,FALSE)</f>
        <v>0.9</v>
      </c>
    </row>
    <row r="1956" spans="1:29" x14ac:dyDescent="0.2">
      <c r="A1956" s="77" t="s">
        <v>566</v>
      </c>
      <c r="B1956" s="77" t="s">
        <v>87</v>
      </c>
      <c r="C1956" s="77" t="s">
        <v>642</v>
      </c>
      <c r="D1956" s="77" t="s">
        <v>65</v>
      </c>
      <c r="E1956" s="77"/>
      <c r="F1956" s="91" t="s">
        <v>312</v>
      </c>
      <c r="G1956" s="77">
        <v>12</v>
      </c>
      <c r="H1956" s="77" t="s">
        <v>17</v>
      </c>
      <c r="I1956" s="77" t="s">
        <v>28</v>
      </c>
      <c r="J1956" s="77">
        <v>-1</v>
      </c>
      <c r="K1956" s="79">
        <f>AB1956/COUNTIFS($B:$B,$B1956,$C:$C,$C1956,$H:$H,$H1956,$I:$I,$I1956)</f>
        <v>0.05</v>
      </c>
      <c r="L1956" s="81">
        <f t="shared" si="144"/>
        <v>1</v>
      </c>
      <c r="M1956" s="83">
        <f>J1956*K1956*L1956</f>
        <v>-0.05</v>
      </c>
      <c r="N1956" s="58"/>
      <c r="AA1956" s="154">
        <f>AB1956/COUNTIFS($B:$B,$B1956,$C:$C,$C1956,$H:$H,$H1956,$I:$I,$I1956)</f>
        <v>0.05</v>
      </c>
      <c r="AB1956" s="155">
        <f>VLOOKUP(I1956,'Weights and Confidence'!$D$16:$AC$26,11,FALSE)</f>
        <v>0.05</v>
      </c>
      <c r="AC1956" s="156">
        <f>VLOOKUP(I1956,'Weights and Confidence'!$D$16:$AC$26,12,FALSE)</f>
        <v>1</v>
      </c>
    </row>
    <row r="1957" spans="1:29" ht="17" thickBot="1" x14ac:dyDescent="0.25">
      <c r="A1957" s="98" t="s">
        <v>566</v>
      </c>
      <c r="B1957" s="98" t="s">
        <v>87</v>
      </c>
      <c r="C1957" s="98" t="s">
        <v>642</v>
      </c>
      <c r="D1957" s="98" t="s">
        <v>65</v>
      </c>
      <c r="E1957" s="98"/>
      <c r="F1957" s="93" t="s">
        <v>312</v>
      </c>
      <c r="G1957" s="98">
        <v>12</v>
      </c>
      <c r="H1957" s="98" t="s">
        <v>18</v>
      </c>
      <c r="I1957" s="98" t="s">
        <v>28</v>
      </c>
      <c r="J1957" s="98">
        <v>0</v>
      </c>
      <c r="K1957" s="99">
        <f>AB1957/COUNTIFS($B:$B,$B1957,$C:$C,$C1957,$H:$H,$H1957,$I:$I,$I1957)</f>
        <v>0.05</v>
      </c>
      <c r="L1957" s="100">
        <f t="shared" si="144"/>
        <v>1</v>
      </c>
      <c r="M1957" s="101">
        <f>J1957*K1957*L1957</f>
        <v>0</v>
      </c>
      <c r="N1957" s="163"/>
      <c r="AA1957" s="157">
        <f>AB1957/COUNTIFS($B:$B,$B1957,$C:$C,$C1957,$H:$H,$H1957,$I:$I,$I1957)</f>
        <v>0.05</v>
      </c>
      <c r="AB1957" s="158">
        <f>VLOOKUP(I1957,'Weights and Confidence'!$D$16:$AC$26,11,FALSE)</f>
        <v>0.05</v>
      </c>
      <c r="AC1957" s="159">
        <f>VLOOKUP(I1957,'Weights and Confidence'!$D$16:$AC$26,12,FALSE)</f>
        <v>1</v>
      </c>
    </row>
    <row r="1958" spans="1:29" ht="17" thickTop="1" x14ac:dyDescent="0.2">
      <c r="A1958" s="86" t="s">
        <v>566</v>
      </c>
      <c r="B1958" s="86" t="s">
        <v>87</v>
      </c>
      <c r="C1958" s="86" t="s">
        <v>645</v>
      </c>
      <c r="D1958" s="86" t="s">
        <v>65</v>
      </c>
      <c r="E1958" s="86"/>
      <c r="F1958" s="18" t="s">
        <v>646</v>
      </c>
      <c r="G1958" s="86">
        <v>1</v>
      </c>
      <c r="H1958" s="86" t="s">
        <v>17</v>
      </c>
      <c r="I1958" s="86" t="s">
        <v>19</v>
      </c>
      <c r="J1958" s="97">
        <v>1</v>
      </c>
      <c r="K1958" s="87">
        <f>AB1958/COUNTIFS($B:$B,$B1958,$C:$C,$C1958,$H:$H,$H1958,$I:$I,$I1958)</f>
        <v>0.12</v>
      </c>
      <c r="L1958" s="88">
        <f t="shared" ref="L1958:L1981" si="147">AC1958</f>
        <v>1</v>
      </c>
      <c r="M1958" s="89">
        <f t="shared" ref="M1958" si="148">J1958*K1958*L1958</f>
        <v>0.12</v>
      </c>
      <c r="N1958" s="90"/>
      <c r="AA1958" s="154">
        <f>AB1958/COUNTIFS($B:$B,$B1958,$C:$C,$C1958,$H:$H,$H1958,$I:$I,$I1958)</f>
        <v>0.12</v>
      </c>
      <c r="AB1958" s="155">
        <f>VLOOKUP(I1958,'Weights and Confidence'!$D$16:$AC$26,11,FALSE)</f>
        <v>0.12</v>
      </c>
      <c r="AC1958" s="156">
        <f>VLOOKUP(I1958,'Weights and Confidence'!$D$16:$AC$26,12,FALSE)</f>
        <v>1</v>
      </c>
    </row>
    <row r="1959" spans="1:29" x14ac:dyDescent="0.2">
      <c r="A1959" s="77" t="s">
        <v>566</v>
      </c>
      <c r="B1959" s="77" t="s">
        <v>87</v>
      </c>
      <c r="C1959" s="77" t="s">
        <v>645</v>
      </c>
      <c r="D1959" s="77" t="s">
        <v>65</v>
      </c>
      <c r="E1959" s="77"/>
      <c r="F1959" s="91" t="s">
        <v>646</v>
      </c>
      <c r="G1959" s="77">
        <v>1</v>
      </c>
      <c r="H1959" s="77" t="s">
        <v>18</v>
      </c>
      <c r="I1959" s="77" t="s">
        <v>19</v>
      </c>
      <c r="J1959" s="77">
        <v>0</v>
      </c>
      <c r="K1959" s="79">
        <f>AB1959/COUNTIFS($B:$B,$B1959,$C:$C,$C1959,$H:$H,$H1959,$I:$I,$I1959)</f>
        <v>0.12</v>
      </c>
      <c r="L1959" s="81">
        <f t="shared" si="147"/>
        <v>1</v>
      </c>
      <c r="M1959" s="83">
        <f>J1958*K1959*L1959</f>
        <v>0.12</v>
      </c>
      <c r="N1959" s="84"/>
      <c r="AA1959" s="154">
        <f>AB1959/COUNTIFS($B:$B,$B1959,$C:$C,$C1959,$H:$H,$H1959,$I:$I,$I1959)</f>
        <v>0.12</v>
      </c>
      <c r="AB1959" s="155">
        <f>VLOOKUP(I1959,'Weights and Confidence'!$D$16:$AC$26,11,FALSE)</f>
        <v>0.12</v>
      </c>
      <c r="AC1959" s="156">
        <f>VLOOKUP(I1959,'Weights and Confidence'!$D$16:$AC$26,12,FALSE)</f>
        <v>1</v>
      </c>
    </row>
    <row r="1960" spans="1:29" x14ac:dyDescent="0.2">
      <c r="A1960" s="76" t="s">
        <v>566</v>
      </c>
      <c r="B1960" s="76" t="s">
        <v>87</v>
      </c>
      <c r="C1960" s="76" t="s">
        <v>645</v>
      </c>
      <c r="D1960" s="76" t="s">
        <v>65</v>
      </c>
      <c r="E1960" s="76"/>
      <c r="F1960" s="91" t="s">
        <v>646</v>
      </c>
      <c r="G1960" s="76">
        <v>2</v>
      </c>
      <c r="H1960" s="76" t="s">
        <v>17</v>
      </c>
      <c r="I1960" s="76" t="s">
        <v>20</v>
      </c>
      <c r="J1960" s="76">
        <v>1</v>
      </c>
      <c r="K1960" s="78">
        <f>AB1960/COUNTIFS($B:$B,$B1960,$C:$C,$C1960,$H:$H,$H1960,$I:$I,$I1960)</f>
        <v>0.08</v>
      </c>
      <c r="L1960" s="80">
        <f t="shared" si="147"/>
        <v>0.9</v>
      </c>
      <c r="M1960" s="82">
        <f t="shared" ref="M1960:M1979" si="149">J1960*K1960*L1960</f>
        <v>7.2000000000000008E-2</v>
      </c>
      <c r="N1960" s="59"/>
      <c r="AA1960" s="154">
        <f>AB1960/COUNTIFS($B:$B,$B1960,$C:$C,$C1960,$H:$H,$H1960,$I:$I,$I1960)</f>
        <v>0.08</v>
      </c>
      <c r="AB1960" s="155">
        <f>VLOOKUP(I1960,'Weights and Confidence'!$D$16:$AC$26,11,FALSE)</f>
        <v>0.08</v>
      </c>
      <c r="AC1960" s="156">
        <f>VLOOKUP(I1960,'Weights and Confidence'!$D$16:$AC$26,12,FALSE)</f>
        <v>0.9</v>
      </c>
    </row>
    <row r="1961" spans="1:29" x14ac:dyDescent="0.2">
      <c r="A1961" s="77" t="s">
        <v>566</v>
      </c>
      <c r="B1961" s="77" t="s">
        <v>87</v>
      </c>
      <c r="C1961" s="77" t="s">
        <v>645</v>
      </c>
      <c r="D1961" s="77" t="s">
        <v>65</v>
      </c>
      <c r="E1961" s="77"/>
      <c r="F1961" s="91" t="s">
        <v>646</v>
      </c>
      <c r="G1961" s="77">
        <v>2</v>
      </c>
      <c r="H1961" s="77" t="s">
        <v>18</v>
      </c>
      <c r="I1961" s="77" t="s">
        <v>20</v>
      </c>
      <c r="J1961" s="77">
        <v>0</v>
      </c>
      <c r="K1961" s="79">
        <f>AB1961/COUNTIFS($B:$B,$B1961,$C:$C,$C1961,$H:$H,$H1961,$I:$I,$I1961)</f>
        <v>0.08</v>
      </c>
      <c r="L1961" s="81">
        <f t="shared" si="147"/>
        <v>0.9</v>
      </c>
      <c r="M1961" s="83">
        <f t="shared" si="149"/>
        <v>0</v>
      </c>
      <c r="N1961" s="17" t="s">
        <v>647</v>
      </c>
      <c r="AA1961" s="154">
        <f>AB1961/COUNTIFS($B:$B,$B1961,$C:$C,$C1961,$H:$H,$H1961,$I:$I,$I1961)</f>
        <v>0.08</v>
      </c>
      <c r="AB1961" s="155">
        <f>VLOOKUP(I1961,'Weights and Confidence'!$D$16:$AC$26,11,FALSE)</f>
        <v>0.08</v>
      </c>
      <c r="AC1961" s="156">
        <f>VLOOKUP(I1961,'Weights and Confidence'!$D$16:$AC$26,12,FALSE)</f>
        <v>0.9</v>
      </c>
    </row>
    <row r="1962" spans="1:29" x14ac:dyDescent="0.2">
      <c r="A1962" s="76" t="s">
        <v>566</v>
      </c>
      <c r="B1962" s="76" t="s">
        <v>87</v>
      </c>
      <c r="C1962" s="76" t="s">
        <v>645</v>
      </c>
      <c r="D1962" s="76" t="s">
        <v>65</v>
      </c>
      <c r="E1962" s="76"/>
      <c r="F1962" s="91" t="s">
        <v>646</v>
      </c>
      <c r="G1962" s="76">
        <v>3</v>
      </c>
      <c r="H1962" s="76" t="s">
        <v>17</v>
      </c>
      <c r="I1962" s="76" t="s">
        <v>21</v>
      </c>
      <c r="J1962" s="76">
        <v>1</v>
      </c>
      <c r="K1962" s="78">
        <f>AB1962/COUNTIFS($B:$B,$B1962,$C:$C,$C1962,$H:$H,$H1962,$I:$I,$I1962)</f>
        <v>0.05</v>
      </c>
      <c r="L1962" s="80">
        <f t="shared" si="147"/>
        <v>1</v>
      </c>
      <c r="M1962" s="82">
        <f t="shared" si="149"/>
        <v>0.05</v>
      </c>
      <c r="N1962" s="59"/>
      <c r="AA1962" s="154">
        <f>AB1962/COUNTIFS($B:$B,$B1962,$C:$C,$C1962,$H:$H,$H1962,$I:$I,$I1962)</f>
        <v>0.05</v>
      </c>
      <c r="AB1962" s="155">
        <f>VLOOKUP(I1962,'Weights and Confidence'!$D$16:$AC$26,11,FALSE)</f>
        <v>0.05</v>
      </c>
      <c r="AC1962" s="156">
        <f>VLOOKUP(I1962,'Weights and Confidence'!$D$16:$AC$26,12,FALSE)</f>
        <v>1</v>
      </c>
    </row>
    <row r="1963" spans="1:29" x14ac:dyDescent="0.2">
      <c r="A1963" s="77" t="s">
        <v>566</v>
      </c>
      <c r="B1963" s="77" t="s">
        <v>87</v>
      </c>
      <c r="C1963" s="77" t="s">
        <v>645</v>
      </c>
      <c r="D1963" s="77" t="s">
        <v>65</v>
      </c>
      <c r="E1963" s="77"/>
      <c r="F1963" s="91" t="s">
        <v>646</v>
      </c>
      <c r="G1963" s="77">
        <v>3</v>
      </c>
      <c r="H1963" s="77" t="s">
        <v>18</v>
      </c>
      <c r="I1963" s="77" t="s">
        <v>21</v>
      </c>
      <c r="J1963" s="77">
        <v>0</v>
      </c>
      <c r="K1963" s="79">
        <f>AB1963/COUNTIFS($B:$B,$B1963,$C:$C,$C1963,$H:$H,$H1963,$I:$I,$I1963)</f>
        <v>0.05</v>
      </c>
      <c r="L1963" s="81">
        <f t="shared" si="147"/>
        <v>1</v>
      </c>
      <c r="M1963" s="83">
        <f t="shared" si="149"/>
        <v>0</v>
      </c>
      <c r="N1963" s="17"/>
      <c r="AA1963" s="154">
        <f>AB1963/COUNTIFS($B:$B,$B1963,$C:$C,$C1963,$H:$H,$H1963,$I:$I,$I1963)</f>
        <v>0.05</v>
      </c>
      <c r="AB1963" s="155">
        <f>VLOOKUP(I1963,'Weights and Confidence'!$D$16:$AC$26,11,FALSE)</f>
        <v>0.05</v>
      </c>
      <c r="AC1963" s="156">
        <f>VLOOKUP(I1963,'Weights and Confidence'!$D$16:$AC$26,12,FALSE)</f>
        <v>1</v>
      </c>
    </row>
    <row r="1964" spans="1:29" x14ac:dyDescent="0.2">
      <c r="A1964" s="76" t="s">
        <v>566</v>
      </c>
      <c r="B1964" s="76" t="s">
        <v>87</v>
      </c>
      <c r="C1964" s="76" t="s">
        <v>645</v>
      </c>
      <c r="D1964" s="76" t="s">
        <v>65</v>
      </c>
      <c r="E1964" s="76"/>
      <c r="F1964" s="91" t="s">
        <v>646</v>
      </c>
      <c r="G1964" s="76">
        <v>4</v>
      </c>
      <c r="H1964" s="76" t="s">
        <v>17</v>
      </c>
      <c r="I1964" s="76" t="s">
        <v>22</v>
      </c>
      <c r="J1964" s="76">
        <v>1</v>
      </c>
      <c r="K1964" s="78">
        <f>AB1964/COUNTIFS($B:$B,$B1964,$C:$C,$C1964,$H:$H,$H1964,$I:$I,$I1964)</f>
        <v>0.1</v>
      </c>
      <c r="L1964" s="80">
        <f t="shared" si="147"/>
        <v>1</v>
      </c>
      <c r="M1964" s="82">
        <f t="shared" si="149"/>
        <v>0.1</v>
      </c>
      <c r="N1964" s="59"/>
      <c r="AA1964" s="154">
        <f>AB1964/COUNTIFS($B:$B,$B1964,$C:$C,$C1964,$H:$H,$H1964,$I:$I,$I1964)</f>
        <v>0.1</v>
      </c>
      <c r="AB1964" s="155">
        <f>VLOOKUP(I1964,'Weights and Confidence'!$D$16:$AC$26,11,FALSE)</f>
        <v>0.1</v>
      </c>
      <c r="AC1964" s="156">
        <f>VLOOKUP(I1964,'Weights and Confidence'!$D$16:$AC$26,12,FALSE)</f>
        <v>1</v>
      </c>
    </row>
    <row r="1965" spans="1:29" x14ac:dyDescent="0.2">
      <c r="A1965" s="77" t="s">
        <v>566</v>
      </c>
      <c r="B1965" s="77" t="s">
        <v>87</v>
      </c>
      <c r="C1965" s="77" t="s">
        <v>645</v>
      </c>
      <c r="D1965" s="77" t="s">
        <v>65</v>
      </c>
      <c r="E1965" s="77"/>
      <c r="F1965" s="91" t="s">
        <v>646</v>
      </c>
      <c r="G1965" s="77">
        <v>4</v>
      </c>
      <c r="H1965" s="77" t="s">
        <v>18</v>
      </c>
      <c r="I1965" s="77" t="s">
        <v>22</v>
      </c>
      <c r="J1965" s="77">
        <v>-1</v>
      </c>
      <c r="K1965" s="79">
        <f>AB1965/COUNTIFS($B:$B,$B1965,$C:$C,$C1965,$H:$H,$H1965,$I:$I,$I1965)</f>
        <v>0.1</v>
      </c>
      <c r="L1965" s="81">
        <f t="shared" si="147"/>
        <v>1</v>
      </c>
      <c r="M1965" s="83">
        <f t="shared" si="149"/>
        <v>-0.1</v>
      </c>
      <c r="N1965" s="17" t="s">
        <v>648</v>
      </c>
      <c r="AA1965" s="154">
        <f>AB1965/COUNTIFS($B:$B,$B1965,$C:$C,$C1965,$H:$H,$H1965,$I:$I,$I1965)</f>
        <v>0.1</v>
      </c>
      <c r="AB1965" s="155">
        <f>VLOOKUP(I1965,'Weights and Confidence'!$D$16:$AC$26,11,FALSE)</f>
        <v>0.1</v>
      </c>
      <c r="AC1965" s="156">
        <f>VLOOKUP(I1965,'Weights and Confidence'!$D$16:$AC$26,12,FALSE)</f>
        <v>1</v>
      </c>
    </row>
    <row r="1966" spans="1:29" x14ac:dyDescent="0.2">
      <c r="A1966" s="76" t="s">
        <v>566</v>
      </c>
      <c r="B1966" s="76" t="s">
        <v>87</v>
      </c>
      <c r="C1966" s="76" t="s">
        <v>645</v>
      </c>
      <c r="D1966" s="76" t="s">
        <v>65</v>
      </c>
      <c r="E1966" s="76"/>
      <c r="F1966" s="91" t="s">
        <v>646</v>
      </c>
      <c r="G1966" s="76">
        <v>5</v>
      </c>
      <c r="H1966" s="76" t="s">
        <v>17</v>
      </c>
      <c r="I1966" s="76" t="s">
        <v>34</v>
      </c>
      <c r="J1966" s="76">
        <v>1</v>
      </c>
      <c r="K1966" s="78">
        <f>AB1966/COUNTIFS($B:$B,$B1966,$C:$C,$C1966,$H:$H,$H1966,$I:$I,$I1966)</f>
        <v>0.08</v>
      </c>
      <c r="L1966" s="80">
        <f t="shared" si="147"/>
        <v>1</v>
      </c>
      <c r="M1966" s="82">
        <f t="shared" si="149"/>
        <v>0.08</v>
      </c>
      <c r="N1966" s="84"/>
      <c r="AA1966" s="154">
        <f>AB1966/COUNTIFS($B:$B,$B1966,$C:$C,$C1966,$H:$H,$H1966,$I:$I,$I1966)</f>
        <v>0.08</v>
      </c>
      <c r="AB1966" s="155">
        <f>VLOOKUP(I1966,'Weights and Confidence'!$D$16:$AC$26,11,FALSE)</f>
        <v>0.08</v>
      </c>
      <c r="AC1966" s="156">
        <f>VLOOKUP(I1966,'Weights and Confidence'!$D$16:$AC$26,12,FALSE)</f>
        <v>1</v>
      </c>
    </row>
    <row r="1967" spans="1:29" x14ac:dyDescent="0.2">
      <c r="A1967" s="77" t="s">
        <v>566</v>
      </c>
      <c r="B1967" s="77" t="s">
        <v>87</v>
      </c>
      <c r="C1967" s="77" t="s">
        <v>645</v>
      </c>
      <c r="D1967" s="77" t="s">
        <v>65</v>
      </c>
      <c r="E1967" s="77"/>
      <c r="F1967" s="91" t="s">
        <v>646</v>
      </c>
      <c r="G1967" s="77">
        <v>5</v>
      </c>
      <c r="H1967" s="77" t="s">
        <v>18</v>
      </c>
      <c r="I1967" s="77" t="s">
        <v>34</v>
      </c>
      <c r="J1967" s="77">
        <v>-1</v>
      </c>
      <c r="K1967" s="79">
        <f>AB1967/COUNTIFS($B:$B,$B1967,$C:$C,$C1967,$H:$H,$H1967,$I:$I,$I1967)</f>
        <v>0.08</v>
      </c>
      <c r="L1967" s="81">
        <f t="shared" si="147"/>
        <v>1</v>
      </c>
      <c r="M1967" s="83">
        <f t="shared" si="149"/>
        <v>-0.08</v>
      </c>
      <c r="N1967" s="17"/>
      <c r="AA1967" s="154">
        <f>AB1967/COUNTIFS($B:$B,$B1967,$C:$C,$C1967,$H:$H,$H1967,$I:$I,$I1967)</f>
        <v>0.08</v>
      </c>
      <c r="AB1967" s="155">
        <f>VLOOKUP(I1967,'Weights and Confidence'!$D$16:$AC$26,11,FALSE)</f>
        <v>0.08</v>
      </c>
      <c r="AC1967" s="156">
        <f>VLOOKUP(I1967,'Weights and Confidence'!$D$16:$AC$26,12,FALSE)</f>
        <v>1</v>
      </c>
    </row>
    <row r="1968" spans="1:29" x14ac:dyDescent="0.2">
      <c r="A1968" s="76" t="s">
        <v>566</v>
      </c>
      <c r="B1968" s="76" t="s">
        <v>87</v>
      </c>
      <c r="C1968" s="76" t="s">
        <v>645</v>
      </c>
      <c r="D1968" s="76" t="s">
        <v>65</v>
      </c>
      <c r="E1968" s="76"/>
      <c r="F1968" s="91" t="s">
        <v>646</v>
      </c>
      <c r="G1968" s="76">
        <v>6</v>
      </c>
      <c r="H1968" s="76" t="s">
        <v>17</v>
      </c>
      <c r="I1968" s="76" t="s">
        <v>23</v>
      </c>
      <c r="J1968" s="76">
        <v>1</v>
      </c>
      <c r="K1968" s="78">
        <f>AB1968/COUNTIFS($B:$B,$B1968,$C:$C,$C1968,$H:$H,$H1968,$I:$I,$I1968)</f>
        <v>7.0000000000000007E-2</v>
      </c>
      <c r="L1968" s="80">
        <f t="shared" si="147"/>
        <v>1</v>
      </c>
      <c r="M1968" s="82">
        <f t="shared" si="149"/>
        <v>7.0000000000000007E-2</v>
      </c>
      <c r="N1968" s="59"/>
      <c r="AA1968" s="154">
        <f>AB1968/COUNTIFS($B:$B,$B1968,$C:$C,$C1968,$H:$H,$H1968,$I:$I,$I1968)</f>
        <v>7.0000000000000007E-2</v>
      </c>
      <c r="AB1968" s="155">
        <f>VLOOKUP(I1968,'Weights and Confidence'!$D$16:$AC$26,11,FALSE)</f>
        <v>7.0000000000000007E-2</v>
      </c>
      <c r="AC1968" s="156">
        <f>VLOOKUP(I1968,'Weights and Confidence'!$D$16:$AC$26,12,FALSE)</f>
        <v>1</v>
      </c>
    </row>
    <row r="1969" spans="1:29" x14ac:dyDescent="0.2">
      <c r="A1969" s="77" t="s">
        <v>566</v>
      </c>
      <c r="B1969" s="77" t="s">
        <v>87</v>
      </c>
      <c r="C1969" s="77" t="s">
        <v>645</v>
      </c>
      <c r="D1969" s="77" t="s">
        <v>65</v>
      </c>
      <c r="E1969" s="77"/>
      <c r="F1969" s="91" t="s">
        <v>646</v>
      </c>
      <c r="G1969" s="77">
        <v>6</v>
      </c>
      <c r="H1969" s="77" t="s">
        <v>18</v>
      </c>
      <c r="I1969" s="77" t="s">
        <v>23</v>
      </c>
      <c r="J1969" s="77">
        <v>-1</v>
      </c>
      <c r="K1969" s="79">
        <f>AB1969/COUNTIFS($B:$B,$B1969,$C:$C,$C1969,$H:$H,$H1969,$I:$I,$I1969)</f>
        <v>7.0000000000000007E-2</v>
      </c>
      <c r="L1969" s="81">
        <f t="shared" si="147"/>
        <v>1</v>
      </c>
      <c r="M1969" s="83">
        <f t="shared" si="149"/>
        <v>-7.0000000000000007E-2</v>
      </c>
      <c r="N1969" s="17"/>
      <c r="AA1969" s="154">
        <f>AB1969/COUNTIFS($B:$B,$B1969,$C:$C,$C1969,$H:$H,$H1969,$I:$I,$I1969)</f>
        <v>7.0000000000000007E-2</v>
      </c>
      <c r="AB1969" s="155">
        <f>VLOOKUP(I1969,'Weights and Confidence'!$D$16:$AC$26,11,FALSE)</f>
        <v>7.0000000000000007E-2</v>
      </c>
      <c r="AC1969" s="156">
        <f>VLOOKUP(I1969,'Weights and Confidence'!$D$16:$AC$26,12,FALSE)</f>
        <v>1</v>
      </c>
    </row>
    <row r="1970" spans="1:29" x14ac:dyDescent="0.2">
      <c r="A1970" s="76" t="s">
        <v>566</v>
      </c>
      <c r="B1970" s="76" t="s">
        <v>87</v>
      </c>
      <c r="C1970" s="76" t="s">
        <v>645</v>
      </c>
      <c r="D1970" s="76" t="s">
        <v>65</v>
      </c>
      <c r="E1970" s="76"/>
      <c r="F1970" s="91" t="s">
        <v>646</v>
      </c>
      <c r="G1970" s="76">
        <v>7</v>
      </c>
      <c r="H1970" s="76" t="s">
        <v>17</v>
      </c>
      <c r="I1970" s="76" t="s">
        <v>24</v>
      </c>
      <c r="J1970" s="76">
        <v>1</v>
      </c>
      <c r="K1970" s="78">
        <f>AB1970/COUNTIFS($B:$B,$B1970,$C:$C,$C1970,$H:$H,$H1970,$I:$I,$I1970)</f>
        <v>0.15</v>
      </c>
      <c r="L1970" s="80">
        <f t="shared" si="147"/>
        <v>1</v>
      </c>
      <c r="M1970" s="82">
        <f t="shared" si="149"/>
        <v>0.15</v>
      </c>
      <c r="N1970" s="59"/>
      <c r="AA1970" s="154">
        <f>AB1970/COUNTIFS($B:$B,$B1970,$C:$C,$C1970,$H:$H,$H1970,$I:$I,$I1970)</f>
        <v>0.15</v>
      </c>
      <c r="AB1970" s="155">
        <f>VLOOKUP(I1970,'Weights and Confidence'!$D$16:$AC$26,11,FALSE)</f>
        <v>0.15</v>
      </c>
      <c r="AC1970" s="156">
        <f>VLOOKUP(I1970,'Weights and Confidence'!$D$16:$AC$26,12,FALSE)</f>
        <v>1</v>
      </c>
    </row>
    <row r="1971" spans="1:29" x14ac:dyDescent="0.2">
      <c r="A1971" s="77" t="s">
        <v>566</v>
      </c>
      <c r="B1971" s="77" t="s">
        <v>87</v>
      </c>
      <c r="C1971" s="77" t="s">
        <v>645</v>
      </c>
      <c r="D1971" s="77" t="s">
        <v>65</v>
      </c>
      <c r="E1971" s="77"/>
      <c r="F1971" s="91" t="s">
        <v>646</v>
      </c>
      <c r="G1971" s="77">
        <v>7</v>
      </c>
      <c r="H1971" s="77" t="s">
        <v>18</v>
      </c>
      <c r="I1971" s="77" t="s">
        <v>24</v>
      </c>
      <c r="J1971" s="77">
        <v>-1</v>
      </c>
      <c r="K1971" s="79">
        <f>AB1971/COUNTIFS($B:$B,$B1971,$C:$C,$C1971,$H:$H,$H1971,$I:$I,$I1971)</f>
        <v>0.15</v>
      </c>
      <c r="L1971" s="81">
        <f t="shared" si="147"/>
        <v>1</v>
      </c>
      <c r="M1971" s="83">
        <f t="shared" si="149"/>
        <v>-0.15</v>
      </c>
      <c r="N1971" s="84" t="s">
        <v>643</v>
      </c>
      <c r="AA1971" s="154">
        <f>AB1971/COUNTIFS($B:$B,$B1971,$C:$C,$C1971,$H:$H,$H1971,$I:$I,$I1971)</f>
        <v>0.15</v>
      </c>
      <c r="AB1971" s="155">
        <f>VLOOKUP(I1971,'Weights and Confidence'!$D$16:$AC$26,11,FALSE)</f>
        <v>0.15</v>
      </c>
      <c r="AC1971" s="156">
        <f>VLOOKUP(I1971,'Weights and Confidence'!$D$16:$AC$26,12,FALSE)</f>
        <v>1</v>
      </c>
    </row>
    <row r="1972" spans="1:29" x14ac:dyDescent="0.2">
      <c r="A1972" s="76" t="s">
        <v>566</v>
      </c>
      <c r="B1972" s="76" t="s">
        <v>87</v>
      </c>
      <c r="C1972" s="76" t="s">
        <v>645</v>
      </c>
      <c r="D1972" s="76" t="s">
        <v>65</v>
      </c>
      <c r="E1972" s="76"/>
      <c r="F1972" s="91" t="s">
        <v>646</v>
      </c>
      <c r="G1972" s="76">
        <v>8</v>
      </c>
      <c r="H1972" s="76" t="s">
        <v>17</v>
      </c>
      <c r="I1972" s="76" t="s">
        <v>25</v>
      </c>
      <c r="J1972" s="76">
        <v>1</v>
      </c>
      <c r="K1972" s="78">
        <f>AB1972/COUNTIFS($B:$B,$B1972,$C:$C,$C1972,$H:$H,$H1972,$I:$I,$I1972)</f>
        <v>0.1</v>
      </c>
      <c r="L1972" s="80">
        <f t="shared" si="147"/>
        <v>1</v>
      </c>
      <c r="M1972" s="82">
        <f t="shared" si="149"/>
        <v>0.1</v>
      </c>
      <c r="N1972" s="59"/>
      <c r="AA1972" s="154">
        <f>AB1972/COUNTIFS($B:$B,$B1972,$C:$C,$C1972,$H:$H,$H1972,$I:$I,$I1972)</f>
        <v>0.1</v>
      </c>
      <c r="AB1972" s="155">
        <f>VLOOKUP(I1972,'Weights and Confidence'!$D$16:$AC$26,11,FALSE)</f>
        <v>0.1</v>
      </c>
      <c r="AC1972" s="156">
        <f>VLOOKUP(I1972,'Weights and Confidence'!$D$16:$AC$26,12,FALSE)</f>
        <v>1</v>
      </c>
    </row>
    <row r="1973" spans="1:29" x14ac:dyDescent="0.2">
      <c r="A1973" s="77" t="s">
        <v>566</v>
      </c>
      <c r="B1973" s="77" t="s">
        <v>87</v>
      </c>
      <c r="C1973" s="77" t="s">
        <v>645</v>
      </c>
      <c r="D1973" s="77" t="s">
        <v>65</v>
      </c>
      <c r="E1973" s="77"/>
      <c r="F1973" s="91" t="s">
        <v>646</v>
      </c>
      <c r="G1973" s="77">
        <v>8</v>
      </c>
      <c r="H1973" s="77" t="s">
        <v>18</v>
      </c>
      <c r="I1973" s="77" t="s">
        <v>25</v>
      </c>
      <c r="J1973" s="77">
        <v>-1</v>
      </c>
      <c r="K1973" s="79">
        <f>AB1973/COUNTIFS($B:$B,$B1973,$C:$C,$C1973,$H:$H,$H1973,$I:$I,$I1973)</f>
        <v>0.1</v>
      </c>
      <c r="L1973" s="81">
        <f t="shared" si="147"/>
        <v>1</v>
      </c>
      <c r="M1973" s="83">
        <f t="shared" si="149"/>
        <v>-0.1</v>
      </c>
      <c r="N1973" s="17"/>
      <c r="AA1973" s="154">
        <f>AB1973/COUNTIFS($B:$B,$B1973,$C:$C,$C1973,$H:$H,$H1973,$I:$I,$I1973)</f>
        <v>0.1</v>
      </c>
      <c r="AB1973" s="155">
        <f>VLOOKUP(I1973,'Weights and Confidence'!$D$16:$AC$26,11,FALSE)</f>
        <v>0.1</v>
      </c>
      <c r="AC1973" s="156">
        <f>VLOOKUP(I1973,'Weights and Confidence'!$D$16:$AC$26,12,FALSE)</f>
        <v>1</v>
      </c>
    </row>
    <row r="1974" spans="1:29" x14ac:dyDescent="0.2">
      <c r="A1974" s="76" t="s">
        <v>566</v>
      </c>
      <c r="B1974" s="76" t="s">
        <v>87</v>
      </c>
      <c r="C1974" s="76" t="s">
        <v>645</v>
      </c>
      <c r="D1974" s="76" t="s">
        <v>65</v>
      </c>
      <c r="E1974" s="76"/>
      <c r="F1974" s="91" t="s">
        <v>646</v>
      </c>
      <c r="G1974" s="76">
        <v>9</v>
      </c>
      <c r="H1974" s="76" t="s">
        <v>17</v>
      </c>
      <c r="I1974" s="76" t="s">
        <v>26</v>
      </c>
      <c r="J1974" s="76">
        <v>0</v>
      </c>
      <c r="K1974" s="78">
        <f>AB1974/COUNTIFS($B:$B,$B1974,$C:$C,$C1974,$H:$H,$H1974,$I:$I,$I1974)</f>
        <v>0.1</v>
      </c>
      <c r="L1974" s="80">
        <f t="shared" si="147"/>
        <v>1</v>
      </c>
      <c r="M1974" s="82">
        <f t="shared" si="149"/>
        <v>0</v>
      </c>
      <c r="N1974" s="59"/>
      <c r="AA1974" s="154">
        <f>AB1974/COUNTIFS($B:$B,$B1974,$C:$C,$C1974,$H:$H,$H1974,$I:$I,$I1974)</f>
        <v>0.1</v>
      </c>
      <c r="AB1974" s="155">
        <f>VLOOKUP(I1974,'Weights and Confidence'!$D$16:$AC$26,11,FALSE)</f>
        <v>0.1</v>
      </c>
      <c r="AC1974" s="156">
        <f>VLOOKUP(I1974,'Weights and Confidence'!$D$16:$AC$26,12,FALSE)</f>
        <v>1</v>
      </c>
    </row>
    <row r="1975" spans="1:29" x14ac:dyDescent="0.2">
      <c r="A1975" s="77" t="s">
        <v>566</v>
      </c>
      <c r="B1975" s="77" t="s">
        <v>87</v>
      </c>
      <c r="C1975" s="77" t="s">
        <v>645</v>
      </c>
      <c r="D1975" s="77" t="s">
        <v>65</v>
      </c>
      <c r="E1975" s="77"/>
      <c r="F1975" s="91" t="s">
        <v>646</v>
      </c>
      <c r="G1975" s="77">
        <v>9</v>
      </c>
      <c r="H1975" s="77" t="s">
        <v>18</v>
      </c>
      <c r="I1975" s="77" t="s">
        <v>26</v>
      </c>
      <c r="J1975" s="77">
        <v>-1</v>
      </c>
      <c r="K1975" s="79">
        <f>AB1975/COUNTIFS($B:$B,$B1975,$C:$C,$C1975,$H:$H,$H1975,$I:$I,$I1975)</f>
        <v>0.1</v>
      </c>
      <c r="L1975" s="81">
        <f t="shared" si="147"/>
        <v>1</v>
      </c>
      <c r="M1975" s="83">
        <f t="shared" si="149"/>
        <v>-0.1</v>
      </c>
      <c r="N1975" s="17"/>
      <c r="AA1975" s="154">
        <f>AB1975/COUNTIFS($B:$B,$B1975,$C:$C,$C1975,$H:$H,$H1975,$I:$I,$I1975)</f>
        <v>0.1</v>
      </c>
      <c r="AB1975" s="155">
        <f>VLOOKUP(I1975,'Weights and Confidence'!$D$16:$AC$26,11,FALSE)</f>
        <v>0.1</v>
      </c>
      <c r="AC1975" s="156">
        <f>VLOOKUP(I1975,'Weights and Confidence'!$D$16:$AC$26,12,FALSE)</f>
        <v>1</v>
      </c>
    </row>
    <row r="1976" spans="1:29" x14ac:dyDescent="0.2">
      <c r="A1976" s="76" t="s">
        <v>566</v>
      </c>
      <c r="B1976" s="76" t="s">
        <v>87</v>
      </c>
      <c r="C1976" s="76" t="s">
        <v>645</v>
      </c>
      <c r="D1976" s="76" t="s">
        <v>65</v>
      </c>
      <c r="E1976" s="76"/>
      <c r="F1976" s="91" t="s">
        <v>646</v>
      </c>
      <c r="G1976" s="76">
        <v>10</v>
      </c>
      <c r="H1976" s="76" t="s">
        <v>17</v>
      </c>
      <c r="I1976" s="76" t="s">
        <v>27</v>
      </c>
      <c r="J1976" s="76">
        <v>1</v>
      </c>
      <c r="K1976" s="78">
        <f>AB1976/COUNTIFS($B:$B,$B1976,$C:$C,$C1976,$H:$H,$H1976,$I:$I,$I1976)</f>
        <v>0.05</v>
      </c>
      <c r="L1976" s="80">
        <f t="shared" si="147"/>
        <v>0.9</v>
      </c>
      <c r="M1976" s="82">
        <f t="shared" si="149"/>
        <v>4.5000000000000005E-2</v>
      </c>
      <c r="N1976" s="59"/>
      <c r="AA1976" s="154">
        <f>AB1976/COUNTIFS($B:$B,$B1976,$C:$C,$C1976,$H:$H,$H1976,$I:$I,$I1976)</f>
        <v>0.05</v>
      </c>
      <c r="AB1976" s="155">
        <f>VLOOKUP(I1976,'Weights and Confidence'!$D$16:$AC$26,11,FALSE)</f>
        <v>0.1</v>
      </c>
      <c r="AC1976" s="156">
        <f>VLOOKUP(I1976,'Weights and Confidence'!$D$16:$AC$26,12,FALSE)</f>
        <v>0.9</v>
      </c>
    </row>
    <row r="1977" spans="1:29" x14ac:dyDescent="0.2">
      <c r="A1977" s="77" t="s">
        <v>566</v>
      </c>
      <c r="B1977" s="77" t="s">
        <v>87</v>
      </c>
      <c r="C1977" s="77" t="s">
        <v>645</v>
      </c>
      <c r="D1977" s="77" t="s">
        <v>65</v>
      </c>
      <c r="E1977" s="77"/>
      <c r="F1977" s="91" t="s">
        <v>646</v>
      </c>
      <c r="G1977" s="77">
        <v>10</v>
      </c>
      <c r="H1977" s="77" t="s">
        <v>18</v>
      </c>
      <c r="I1977" s="77" t="s">
        <v>27</v>
      </c>
      <c r="J1977" s="77">
        <v>0</v>
      </c>
      <c r="K1977" s="79">
        <f>AB1977/COUNTIFS($B:$B,$B1977,$C:$C,$C1977,$H:$H,$H1977,$I:$I,$I1977)</f>
        <v>0.05</v>
      </c>
      <c r="L1977" s="81">
        <f t="shared" si="147"/>
        <v>0.9</v>
      </c>
      <c r="M1977" s="83">
        <f t="shared" si="149"/>
        <v>0</v>
      </c>
      <c r="N1977" s="84"/>
      <c r="AA1977" s="154">
        <f>AB1977/COUNTIFS($B:$B,$B1977,$C:$C,$C1977,$H:$H,$H1977,$I:$I,$I1977)</f>
        <v>0.05</v>
      </c>
      <c r="AB1977" s="155">
        <f>VLOOKUP(I1977,'Weights and Confidence'!$D$16:$AC$26,11,FALSE)</f>
        <v>0.1</v>
      </c>
      <c r="AC1977" s="156">
        <f>VLOOKUP(I1977,'Weights and Confidence'!$D$16:$AC$26,12,FALSE)</f>
        <v>0.9</v>
      </c>
    </row>
    <row r="1978" spans="1:29" x14ac:dyDescent="0.2">
      <c r="A1978" s="76" t="s">
        <v>566</v>
      </c>
      <c r="B1978" s="76" t="s">
        <v>87</v>
      </c>
      <c r="C1978" s="76" t="s">
        <v>645</v>
      </c>
      <c r="D1978" s="76" t="s">
        <v>65</v>
      </c>
      <c r="E1978" s="76"/>
      <c r="F1978" s="91" t="s">
        <v>646</v>
      </c>
      <c r="G1978" s="76">
        <v>11</v>
      </c>
      <c r="H1978" s="76" t="s">
        <v>17</v>
      </c>
      <c r="I1978" s="76" t="s">
        <v>27</v>
      </c>
      <c r="J1978" s="76">
        <v>1</v>
      </c>
      <c r="K1978" s="78">
        <f>AB1978/COUNTIFS($B:$B,$B1978,$C:$C,$C1978,$H:$H,$H1978,$I:$I,$I1978)</f>
        <v>0.05</v>
      </c>
      <c r="L1978" s="80">
        <f t="shared" si="147"/>
        <v>0.9</v>
      </c>
      <c r="M1978" s="82">
        <f t="shared" si="149"/>
        <v>4.5000000000000005E-2</v>
      </c>
      <c r="N1978" s="59"/>
      <c r="AA1978" s="154">
        <f>AB1978/COUNTIFS($B:$B,$B1978,$C:$C,$C1978,$H:$H,$H1978,$I:$I,$I1978)</f>
        <v>0.05</v>
      </c>
      <c r="AB1978" s="155">
        <f>VLOOKUP(I1978,'Weights and Confidence'!$D$16:$AC$26,11,FALSE)</f>
        <v>0.1</v>
      </c>
      <c r="AC1978" s="156">
        <f>VLOOKUP(I1978,'Weights and Confidence'!$D$16:$AC$26,12,FALSE)</f>
        <v>0.9</v>
      </c>
    </row>
    <row r="1979" spans="1:29" x14ac:dyDescent="0.2">
      <c r="A1979" s="77" t="s">
        <v>566</v>
      </c>
      <c r="B1979" s="77" t="s">
        <v>87</v>
      </c>
      <c r="C1979" s="77" t="s">
        <v>645</v>
      </c>
      <c r="D1979" s="77" t="s">
        <v>65</v>
      </c>
      <c r="E1979" s="77"/>
      <c r="F1979" s="91" t="s">
        <v>646</v>
      </c>
      <c r="G1979" s="77">
        <v>11</v>
      </c>
      <c r="H1979" s="77" t="s">
        <v>18</v>
      </c>
      <c r="I1979" s="77" t="s">
        <v>27</v>
      </c>
      <c r="J1979" s="77">
        <v>0</v>
      </c>
      <c r="K1979" s="79">
        <f>AB1979/COUNTIFS($B:$B,$B1979,$C:$C,$C1979,$H:$H,$H1979,$I:$I,$I1979)</f>
        <v>0.05</v>
      </c>
      <c r="L1979" s="81">
        <f t="shared" si="147"/>
        <v>0.9</v>
      </c>
      <c r="M1979" s="83">
        <f t="shared" si="149"/>
        <v>0</v>
      </c>
      <c r="N1979" s="17" t="s">
        <v>644</v>
      </c>
      <c r="AA1979" s="154">
        <f>AB1979/COUNTIFS($B:$B,$B1979,$C:$C,$C1979,$H:$H,$H1979,$I:$I,$I1979)</f>
        <v>0.05</v>
      </c>
      <c r="AB1979" s="155">
        <f>VLOOKUP(I1979,'Weights and Confidence'!$D$16:$AC$26,11,FALSE)</f>
        <v>0.1</v>
      </c>
      <c r="AC1979" s="156">
        <f>VLOOKUP(I1979,'Weights and Confidence'!$D$16:$AC$26,12,FALSE)</f>
        <v>0.9</v>
      </c>
    </row>
    <row r="1980" spans="1:29" x14ac:dyDescent="0.2">
      <c r="A1980" s="77" t="s">
        <v>566</v>
      </c>
      <c r="B1980" s="77" t="s">
        <v>87</v>
      </c>
      <c r="C1980" s="77" t="s">
        <v>645</v>
      </c>
      <c r="D1980" s="77" t="s">
        <v>65</v>
      </c>
      <c r="E1980" s="77"/>
      <c r="F1980" s="91" t="s">
        <v>646</v>
      </c>
      <c r="G1980" s="77">
        <v>12</v>
      </c>
      <c r="H1980" s="77" t="s">
        <v>17</v>
      </c>
      <c r="I1980" s="77" t="s">
        <v>28</v>
      </c>
      <c r="J1980" s="77">
        <v>0</v>
      </c>
      <c r="K1980" s="79">
        <f>AB1980/COUNTIFS($B:$B,$B1980,$C:$C,$C1980,$H:$H,$H1980,$I:$I,$I1980)</f>
        <v>0.05</v>
      </c>
      <c r="L1980" s="81">
        <f t="shared" si="147"/>
        <v>1</v>
      </c>
      <c r="M1980" s="83">
        <f>J1980*K1980*L1980</f>
        <v>0</v>
      </c>
      <c r="N1980" s="58"/>
      <c r="AA1980" s="154">
        <f>AB1980/COUNTIFS($B:$B,$B1980,$C:$C,$C1980,$H:$H,$H1980,$I:$I,$I1980)</f>
        <v>0.05</v>
      </c>
      <c r="AB1980" s="155">
        <f>VLOOKUP(I1980,'Weights and Confidence'!$D$16:$AC$26,11,FALSE)</f>
        <v>0.05</v>
      </c>
      <c r="AC1980" s="156">
        <f>VLOOKUP(I1980,'Weights and Confidence'!$D$16:$AC$26,12,FALSE)</f>
        <v>1</v>
      </c>
    </row>
    <row r="1981" spans="1:29" ht="17" thickBot="1" x14ac:dyDescent="0.25">
      <c r="A1981" s="98" t="s">
        <v>566</v>
      </c>
      <c r="B1981" s="98" t="s">
        <v>87</v>
      </c>
      <c r="C1981" s="98" t="s">
        <v>645</v>
      </c>
      <c r="D1981" s="98" t="s">
        <v>65</v>
      </c>
      <c r="E1981" s="98"/>
      <c r="F1981" s="93" t="s">
        <v>646</v>
      </c>
      <c r="G1981" s="98">
        <v>12</v>
      </c>
      <c r="H1981" s="98" t="s">
        <v>18</v>
      </c>
      <c r="I1981" s="98" t="s">
        <v>28</v>
      </c>
      <c r="J1981" s="98">
        <v>-1</v>
      </c>
      <c r="K1981" s="99">
        <f>AB1981/COUNTIFS($B:$B,$B1981,$C:$C,$C1981,$H:$H,$H1981,$I:$I,$I1981)</f>
        <v>0.05</v>
      </c>
      <c r="L1981" s="100">
        <f t="shared" si="147"/>
        <v>1</v>
      </c>
      <c r="M1981" s="101">
        <f>J1981*K1981*L1981</f>
        <v>-0.05</v>
      </c>
      <c r="N1981" s="163"/>
      <c r="AA1981" s="157">
        <f>AB1981/COUNTIFS($B:$B,$B1981,$C:$C,$C1981,$H:$H,$H1981,$I:$I,$I1981)</f>
        <v>0.05</v>
      </c>
      <c r="AB1981" s="158">
        <f>VLOOKUP(I1981,'Weights and Confidence'!$D$16:$AC$26,11,FALSE)</f>
        <v>0.05</v>
      </c>
      <c r="AC1981" s="159">
        <f>VLOOKUP(I1981,'Weights and Confidence'!$D$16:$AC$26,12,FALSE)</f>
        <v>1</v>
      </c>
    </row>
    <row r="1982" spans="1:29" ht="17" thickTop="1" x14ac:dyDescent="0.2">
      <c r="A1982" s="86" t="s">
        <v>566</v>
      </c>
      <c r="B1982" s="86" t="s">
        <v>87</v>
      </c>
      <c r="C1982" s="86" t="s">
        <v>649</v>
      </c>
      <c r="D1982" s="86" t="s">
        <v>65</v>
      </c>
      <c r="E1982" s="86"/>
      <c r="F1982" s="18" t="s">
        <v>650</v>
      </c>
      <c r="G1982" s="86">
        <v>1</v>
      </c>
      <c r="H1982" s="86" t="s">
        <v>17</v>
      </c>
      <c r="I1982" s="86" t="s">
        <v>19</v>
      </c>
      <c r="J1982" s="97">
        <v>1</v>
      </c>
      <c r="K1982" s="87">
        <f>AB1982/COUNTIFS($B:$B,$B1982,$C:$C,$C1982,$H:$H,$H1982,$I:$I,$I1982)</f>
        <v>0.12</v>
      </c>
      <c r="L1982" s="88">
        <f t="shared" ref="L1982:L2005" si="150">AC1982</f>
        <v>1</v>
      </c>
      <c r="M1982" s="89">
        <f t="shared" ref="M1982" si="151">J1982*K1982*L1982</f>
        <v>0.12</v>
      </c>
      <c r="N1982" s="90"/>
      <c r="AA1982" s="154">
        <f>AB1982/COUNTIFS($B:$B,$B1982,$C:$C,$C1982,$H:$H,$H1982,$I:$I,$I1982)</f>
        <v>0.12</v>
      </c>
      <c r="AB1982" s="155">
        <f>VLOOKUP(I1982,'Weights and Confidence'!$D$16:$AC$26,11,FALSE)</f>
        <v>0.12</v>
      </c>
      <c r="AC1982" s="156">
        <f>VLOOKUP(I1982,'Weights and Confidence'!$D$16:$AC$26,12,FALSE)</f>
        <v>1</v>
      </c>
    </row>
    <row r="1983" spans="1:29" x14ac:dyDescent="0.2">
      <c r="A1983" s="77" t="s">
        <v>566</v>
      </c>
      <c r="B1983" s="77" t="s">
        <v>87</v>
      </c>
      <c r="C1983" s="77" t="s">
        <v>649</v>
      </c>
      <c r="D1983" s="77" t="s">
        <v>65</v>
      </c>
      <c r="E1983" s="77"/>
      <c r="F1983" s="91" t="s">
        <v>650</v>
      </c>
      <c r="G1983" s="77">
        <v>1</v>
      </c>
      <c r="H1983" s="77" t="s">
        <v>18</v>
      </c>
      <c r="I1983" s="77" t="s">
        <v>19</v>
      </c>
      <c r="J1983" s="77">
        <v>-1</v>
      </c>
      <c r="K1983" s="79">
        <f>AB1983/COUNTIFS($B:$B,$B1983,$C:$C,$C1983,$H:$H,$H1983,$I:$I,$I1983)</f>
        <v>0.12</v>
      </c>
      <c r="L1983" s="81">
        <f t="shared" si="150"/>
        <v>1</v>
      </c>
      <c r="M1983" s="83">
        <f>J1982*K1983*L1983</f>
        <v>0.12</v>
      </c>
      <c r="N1983" s="84" t="s">
        <v>651</v>
      </c>
      <c r="AA1983" s="154">
        <f>AB1983/COUNTIFS($B:$B,$B1983,$C:$C,$C1983,$H:$H,$H1983,$I:$I,$I1983)</f>
        <v>0.12</v>
      </c>
      <c r="AB1983" s="155">
        <f>VLOOKUP(I1983,'Weights and Confidence'!$D$16:$AC$26,11,FALSE)</f>
        <v>0.12</v>
      </c>
      <c r="AC1983" s="156">
        <f>VLOOKUP(I1983,'Weights and Confidence'!$D$16:$AC$26,12,FALSE)</f>
        <v>1</v>
      </c>
    </row>
    <row r="1984" spans="1:29" x14ac:dyDescent="0.2">
      <c r="A1984" s="76" t="s">
        <v>566</v>
      </c>
      <c r="B1984" s="76" t="s">
        <v>87</v>
      </c>
      <c r="C1984" s="76" t="s">
        <v>649</v>
      </c>
      <c r="D1984" s="76" t="s">
        <v>65</v>
      </c>
      <c r="E1984" s="76"/>
      <c r="F1984" s="91" t="s">
        <v>650</v>
      </c>
      <c r="G1984" s="76">
        <v>2</v>
      </c>
      <c r="H1984" s="76" t="s">
        <v>17</v>
      </c>
      <c r="I1984" s="76" t="s">
        <v>20</v>
      </c>
      <c r="J1984" s="76">
        <v>1</v>
      </c>
      <c r="K1984" s="78">
        <f>AB1984/COUNTIFS($B:$B,$B1984,$C:$C,$C1984,$H:$H,$H1984,$I:$I,$I1984)</f>
        <v>0.08</v>
      </c>
      <c r="L1984" s="80">
        <f t="shared" si="150"/>
        <v>0.9</v>
      </c>
      <c r="M1984" s="82">
        <f t="shared" ref="M1984:M2003" si="152">J1984*K1984*L1984</f>
        <v>7.2000000000000008E-2</v>
      </c>
      <c r="N1984" s="59"/>
      <c r="AA1984" s="154">
        <f>AB1984/COUNTIFS($B:$B,$B1984,$C:$C,$C1984,$H:$H,$H1984,$I:$I,$I1984)</f>
        <v>0.08</v>
      </c>
      <c r="AB1984" s="155">
        <f>VLOOKUP(I1984,'Weights and Confidence'!$D$16:$AC$26,11,FALSE)</f>
        <v>0.08</v>
      </c>
      <c r="AC1984" s="156">
        <f>VLOOKUP(I1984,'Weights and Confidence'!$D$16:$AC$26,12,FALSE)</f>
        <v>0.9</v>
      </c>
    </row>
    <row r="1985" spans="1:29" x14ac:dyDescent="0.2">
      <c r="A1985" s="77" t="s">
        <v>566</v>
      </c>
      <c r="B1985" s="77" t="s">
        <v>87</v>
      </c>
      <c r="C1985" s="77" t="s">
        <v>649</v>
      </c>
      <c r="D1985" s="77" t="s">
        <v>65</v>
      </c>
      <c r="E1985" s="77"/>
      <c r="F1985" s="91" t="s">
        <v>650</v>
      </c>
      <c r="G1985" s="77">
        <v>2</v>
      </c>
      <c r="H1985" s="77" t="s">
        <v>18</v>
      </c>
      <c r="I1985" s="77" t="s">
        <v>20</v>
      </c>
      <c r="J1985" s="77">
        <v>-1</v>
      </c>
      <c r="K1985" s="79">
        <f>AB1985/COUNTIFS($B:$B,$B1985,$C:$C,$C1985,$H:$H,$H1985,$I:$I,$I1985)</f>
        <v>0.08</v>
      </c>
      <c r="L1985" s="81">
        <f t="shared" si="150"/>
        <v>0.9</v>
      </c>
      <c r="M1985" s="83">
        <f t="shared" si="152"/>
        <v>-7.2000000000000008E-2</v>
      </c>
      <c r="N1985" s="17" t="s">
        <v>651</v>
      </c>
      <c r="AA1985" s="154">
        <f>AB1985/COUNTIFS($B:$B,$B1985,$C:$C,$C1985,$H:$H,$H1985,$I:$I,$I1985)</f>
        <v>0.08</v>
      </c>
      <c r="AB1985" s="155">
        <f>VLOOKUP(I1985,'Weights and Confidence'!$D$16:$AC$26,11,FALSE)</f>
        <v>0.08</v>
      </c>
      <c r="AC1985" s="156">
        <f>VLOOKUP(I1985,'Weights and Confidence'!$D$16:$AC$26,12,FALSE)</f>
        <v>0.9</v>
      </c>
    </row>
    <row r="1986" spans="1:29" x14ac:dyDescent="0.2">
      <c r="A1986" s="76" t="s">
        <v>566</v>
      </c>
      <c r="B1986" s="76" t="s">
        <v>87</v>
      </c>
      <c r="C1986" s="76" t="s">
        <v>649</v>
      </c>
      <c r="D1986" s="76" t="s">
        <v>65</v>
      </c>
      <c r="E1986" s="76"/>
      <c r="F1986" s="91" t="s">
        <v>650</v>
      </c>
      <c r="G1986" s="76">
        <v>3</v>
      </c>
      <c r="H1986" s="76" t="s">
        <v>17</v>
      </c>
      <c r="I1986" s="76" t="s">
        <v>21</v>
      </c>
      <c r="J1986" s="76">
        <v>1</v>
      </c>
      <c r="K1986" s="78">
        <f>AB1986/COUNTIFS($B:$B,$B1986,$C:$C,$C1986,$H:$H,$H1986,$I:$I,$I1986)</f>
        <v>0.05</v>
      </c>
      <c r="L1986" s="80">
        <f t="shared" si="150"/>
        <v>1</v>
      </c>
      <c r="M1986" s="82">
        <f t="shared" si="152"/>
        <v>0.05</v>
      </c>
      <c r="N1986" s="59"/>
      <c r="AA1986" s="154">
        <f>AB1986/COUNTIFS($B:$B,$B1986,$C:$C,$C1986,$H:$H,$H1986,$I:$I,$I1986)</f>
        <v>0.05</v>
      </c>
      <c r="AB1986" s="155">
        <f>VLOOKUP(I1986,'Weights and Confidence'!$D$16:$AC$26,11,FALSE)</f>
        <v>0.05</v>
      </c>
      <c r="AC1986" s="156">
        <f>VLOOKUP(I1986,'Weights and Confidence'!$D$16:$AC$26,12,FALSE)</f>
        <v>1</v>
      </c>
    </row>
    <row r="1987" spans="1:29" x14ac:dyDescent="0.2">
      <c r="A1987" s="77" t="s">
        <v>566</v>
      </c>
      <c r="B1987" s="77" t="s">
        <v>87</v>
      </c>
      <c r="C1987" s="77" t="s">
        <v>649</v>
      </c>
      <c r="D1987" s="77" t="s">
        <v>65</v>
      </c>
      <c r="E1987" s="77"/>
      <c r="F1987" s="91" t="s">
        <v>650</v>
      </c>
      <c r="G1987" s="77">
        <v>3</v>
      </c>
      <c r="H1987" s="77" t="s">
        <v>18</v>
      </c>
      <c r="I1987" s="77" t="s">
        <v>21</v>
      </c>
      <c r="J1987" s="77">
        <v>0</v>
      </c>
      <c r="K1987" s="79">
        <f>AB1987/COUNTIFS($B:$B,$B1987,$C:$C,$C1987,$H:$H,$H1987,$I:$I,$I1987)</f>
        <v>0.05</v>
      </c>
      <c r="L1987" s="81">
        <f t="shared" si="150"/>
        <v>1</v>
      </c>
      <c r="M1987" s="83">
        <f t="shared" si="152"/>
        <v>0</v>
      </c>
      <c r="N1987" s="17" t="s">
        <v>652</v>
      </c>
      <c r="AA1987" s="154">
        <f>AB1987/COUNTIFS($B:$B,$B1987,$C:$C,$C1987,$H:$H,$H1987,$I:$I,$I1987)</f>
        <v>0.05</v>
      </c>
      <c r="AB1987" s="155">
        <f>VLOOKUP(I1987,'Weights and Confidence'!$D$16:$AC$26,11,FALSE)</f>
        <v>0.05</v>
      </c>
      <c r="AC1987" s="156">
        <f>VLOOKUP(I1987,'Weights and Confidence'!$D$16:$AC$26,12,FALSE)</f>
        <v>1</v>
      </c>
    </row>
    <row r="1988" spans="1:29" x14ac:dyDescent="0.2">
      <c r="A1988" s="76" t="s">
        <v>566</v>
      </c>
      <c r="B1988" s="76" t="s">
        <v>87</v>
      </c>
      <c r="C1988" s="76" t="s">
        <v>649</v>
      </c>
      <c r="D1988" s="76" t="s">
        <v>65</v>
      </c>
      <c r="E1988" s="76"/>
      <c r="F1988" s="91" t="s">
        <v>650</v>
      </c>
      <c r="G1988" s="76">
        <v>4</v>
      </c>
      <c r="H1988" s="76" t="s">
        <v>17</v>
      </c>
      <c r="I1988" s="76" t="s">
        <v>22</v>
      </c>
      <c r="J1988" s="76">
        <v>1</v>
      </c>
      <c r="K1988" s="78">
        <f>AB1988/COUNTIFS($B:$B,$B1988,$C:$C,$C1988,$H:$H,$H1988,$I:$I,$I1988)</f>
        <v>0.1</v>
      </c>
      <c r="L1988" s="80">
        <f t="shared" si="150"/>
        <v>1</v>
      </c>
      <c r="M1988" s="82">
        <f t="shared" si="152"/>
        <v>0.1</v>
      </c>
      <c r="N1988" s="59"/>
      <c r="AA1988" s="154">
        <f>AB1988/COUNTIFS($B:$B,$B1988,$C:$C,$C1988,$H:$H,$H1988,$I:$I,$I1988)</f>
        <v>0.1</v>
      </c>
      <c r="AB1988" s="155">
        <f>VLOOKUP(I1988,'Weights and Confidence'!$D$16:$AC$26,11,FALSE)</f>
        <v>0.1</v>
      </c>
      <c r="AC1988" s="156">
        <f>VLOOKUP(I1988,'Weights and Confidence'!$D$16:$AC$26,12,FALSE)</f>
        <v>1</v>
      </c>
    </row>
    <row r="1989" spans="1:29" x14ac:dyDescent="0.2">
      <c r="A1989" s="77" t="s">
        <v>566</v>
      </c>
      <c r="B1989" s="77" t="s">
        <v>87</v>
      </c>
      <c r="C1989" s="77" t="s">
        <v>649</v>
      </c>
      <c r="D1989" s="77" t="s">
        <v>65</v>
      </c>
      <c r="E1989" s="77"/>
      <c r="F1989" s="91" t="s">
        <v>650</v>
      </c>
      <c r="G1989" s="77">
        <v>4</v>
      </c>
      <c r="H1989" s="77" t="s">
        <v>18</v>
      </c>
      <c r="I1989" s="77" t="s">
        <v>22</v>
      </c>
      <c r="J1989" s="77">
        <v>-1</v>
      </c>
      <c r="K1989" s="79">
        <f>AB1989/COUNTIFS($B:$B,$B1989,$C:$C,$C1989,$H:$H,$H1989,$I:$I,$I1989)</f>
        <v>0.1</v>
      </c>
      <c r="L1989" s="81">
        <f t="shared" si="150"/>
        <v>1</v>
      </c>
      <c r="M1989" s="83">
        <f t="shared" si="152"/>
        <v>-0.1</v>
      </c>
      <c r="N1989" s="17" t="s">
        <v>653</v>
      </c>
      <c r="AA1989" s="154">
        <f>AB1989/COUNTIFS($B:$B,$B1989,$C:$C,$C1989,$H:$H,$H1989,$I:$I,$I1989)</f>
        <v>0.1</v>
      </c>
      <c r="AB1989" s="155">
        <f>VLOOKUP(I1989,'Weights and Confidence'!$D$16:$AC$26,11,FALSE)</f>
        <v>0.1</v>
      </c>
      <c r="AC1989" s="156">
        <f>VLOOKUP(I1989,'Weights and Confidence'!$D$16:$AC$26,12,FALSE)</f>
        <v>1</v>
      </c>
    </row>
    <row r="1990" spans="1:29" x14ac:dyDescent="0.2">
      <c r="A1990" s="76" t="s">
        <v>566</v>
      </c>
      <c r="B1990" s="76" t="s">
        <v>87</v>
      </c>
      <c r="C1990" s="76" t="s">
        <v>649</v>
      </c>
      <c r="D1990" s="76" t="s">
        <v>65</v>
      </c>
      <c r="E1990" s="76"/>
      <c r="F1990" s="91" t="s">
        <v>650</v>
      </c>
      <c r="G1990" s="76">
        <v>5</v>
      </c>
      <c r="H1990" s="76" t="s">
        <v>17</v>
      </c>
      <c r="I1990" s="76" t="s">
        <v>34</v>
      </c>
      <c r="J1990" s="76">
        <v>1</v>
      </c>
      <c r="K1990" s="78">
        <f>AB1990/COUNTIFS($B:$B,$B1990,$C:$C,$C1990,$H:$H,$H1990,$I:$I,$I1990)</f>
        <v>0.08</v>
      </c>
      <c r="L1990" s="80">
        <f t="shared" si="150"/>
        <v>1</v>
      </c>
      <c r="M1990" s="82">
        <f t="shared" si="152"/>
        <v>0.08</v>
      </c>
      <c r="N1990" s="84"/>
      <c r="AA1990" s="154">
        <f>AB1990/COUNTIFS($B:$B,$B1990,$C:$C,$C1990,$H:$H,$H1990,$I:$I,$I1990)</f>
        <v>0.08</v>
      </c>
      <c r="AB1990" s="155">
        <f>VLOOKUP(I1990,'Weights and Confidence'!$D$16:$AC$26,11,FALSE)</f>
        <v>0.08</v>
      </c>
      <c r="AC1990" s="156">
        <f>VLOOKUP(I1990,'Weights and Confidence'!$D$16:$AC$26,12,FALSE)</f>
        <v>1</v>
      </c>
    </row>
    <row r="1991" spans="1:29" x14ac:dyDescent="0.2">
      <c r="A1991" s="77" t="s">
        <v>566</v>
      </c>
      <c r="B1991" s="77" t="s">
        <v>87</v>
      </c>
      <c r="C1991" s="77" t="s">
        <v>649</v>
      </c>
      <c r="D1991" s="77" t="s">
        <v>65</v>
      </c>
      <c r="E1991" s="77"/>
      <c r="F1991" s="91" t="s">
        <v>650</v>
      </c>
      <c r="G1991" s="77">
        <v>5</v>
      </c>
      <c r="H1991" s="77" t="s">
        <v>18</v>
      </c>
      <c r="I1991" s="77" t="s">
        <v>34</v>
      </c>
      <c r="J1991" s="77">
        <v>-1</v>
      </c>
      <c r="K1991" s="79">
        <f>AB1991/COUNTIFS($B:$B,$B1991,$C:$C,$C1991,$H:$H,$H1991,$I:$I,$I1991)</f>
        <v>0.08</v>
      </c>
      <c r="L1991" s="81">
        <f t="shared" si="150"/>
        <v>1</v>
      </c>
      <c r="M1991" s="83">
        <f t="shared" si="152"/>
        <v>-0.08</v>
      </c>
      <c r="N1991" s="17" t="s">
        <v>654</v>
      </c>
      <c r="AA1991" s="154">
        <f>AB1991/COUNTIFS($B:$B,$B1991,$C:$C,$C1991,$H:$H,$H1991,$I:$I,$I1991)</f>
        <v>0.08</v>
      </c>
      <c r="AB1991" s="155">
        <f>VLOOKUP(I1991,'Weights and Confidence'!$D$16:$AC$26,11,FALSE)</f>
        <v>0.08</v>
      </c>
      <c r="AC1991" s="156">
        <f>VLOOKUP(I1991,'Weights and Confidence'!$D$16:$AC$26,12,FALSE)</f>
        <v>1</v>
      </c>
    </row>
    <row r="1992" spans="1:29" x14ac:dyDescent="0.2">
      <c r="A1992" s="76" t="s">
        <v>566</v>
      </c>
      <c r="B1992" s="76" t="s">
        <v>87</v>
      </c>
      <c r="C1992" s="76" t="s">
        <v>649</v>
      </c>
      <c r="D1992" s="76" t="s">
        <v>65</v>
      </c>
      <c r="E1992" s="76"/>
      <c r="F1992" s="91" t="s">
        <v>650</v>
      </c>
      <c r="G1992" s="76">
        <v>6</v>
      </c>
      <c r="H1992" s="76" t="s">
        <v>17</v>
      </c>
      <c r="I1992" s="76" t="s">
        <v>23</v>
      </c>
      <c r="J1992" s="76">
        <v>1</v>
      </c>
      <c r="K1992" s="78">
        <f>AB1992/COUNTIFS($B:$B,$B1992,$C:$C,$C1992,$H:$H,$H1992,$I:$I,$I1992)</f>
        <v>7.0000000000000007E-2</v>
      </c>
      <c r="L1992" s="80">
        <f t="shared" si="150"/>
        <v>1</v>
      </c>
      <c r="M1992" s="82">
        <f t="shared" si="152"/>
        <v>7.0000000000000007E-2</v>
      </c>
      <c r="N1992" s="59"/>
      <c r="AA1992" s="154">
        <f>AB1992/COUNTIFS($B:$B,$B1992,$C:$C,$C1992,$H:$H,$H1992,$I:$I,$I1992)</f>
        <v>7.0000000000000007E-2</v>
      </c>
      <c r="AB1992" s="155">
        <f>VLOOKUP(I1992,'Weights and Confidence'!$D$16:$AC$26,11,FALSE)</f>
        <v>7.0000000000000007E-2</v>
      </c>
      <c r="AC1992" s="156">
        <f>VLOOKUP(I1992,'Weights and Confidence'!$D$16:$AC$26,12,FALSE)</f>
        <v>1</v>
      </c>
    </row>
    <row r="1993" spans="1:29" x14ac:dyDescent="0.2">
      <c r="A1993" s="77" t="s">
        <v>566</v>
      </c>
      <c r="B1993" s="77" t="s">
        <v>87</v>
      </c>
      <c r="C1993" s="77" t="s">
        <v>649</v>
      </c>
      <c r="D1993" s="77" t="s">
        <v>65</v>
      </c>
      <c r="E1993" s="77"/>
      <c r="F1993" s="91" t="s">
        <v>650</v>
      </c>
      <c r="G1993" s="77">
        <v>6</v>
      </c>
      <c r="H1993" s="77" t="s">
        <v>18</v>
      </c>
      <c r="I1993" s="77" t="s">
        <v>23</v>
      </c>
      <c r="J1993" s="77">
        <v>-1</v>
      </c>
      <c r="K1993" s="79">
        <f>AB1993/COUNTIFS($B:$B,$B1993,$C:$C,$C1993,$H:$H,$H1993,$I:$I,$I1993)</f>
        <v>7.0000000000000007E-2</v>
      </c>
      <c r="L1993" s="81">
        <f t="shared" si="150"/>
        <v>1</v>
      </c>
      <c r="M1993" s="83">
        <f t="shared" si="152"/>
        <v>-7.0000000000000007E-2</v>
      </c>
      <c r="N1993" s="17"/>
      <c r="AA1993" s="154">
        <f>AB1993/COUNTIFS($B:$B,$B1993,$C:$C,$C1993,$H:$H,$H1993,$I:$I,$I1993)</f>
        <v>7.0000000000000007E-2</v>
      </c>
      <c r="AB1993" s="155">
        <f>VLOOKUP(I1993,'Weights and Confidence'!$D$16:$AC$26,11,FALSE)</f>
        <v>7.0000000000000007E-2</v>
      </c>
      <c r="AC1993" s="156">
        <f>VLOOKUP(I1993,'Weights and Confidence'!$D$16:$AC$26,12,FALSE)</f>
        <v>1</v>
      </c>
    </row>
    <row r="1994" spans="1:29" x14ac:dyDescent="0.2">
      <c r="A1994" s="76" t="s">
        <v>566</v>
      </c>
      <c r="B1994" s="76" t="s">
        <v>87</v>
      </c>
      <c r="C1994" s="76" t="s">
        <v>649</v>
      </c>
      <c r="D1994" s="76" t="s">
        <v>65</v>
      </c>
      <c r="E1994" s="76"/>
      <c r="F1994" s="91" t="s">
        <v>650</v>
      </c>
      <c r="G1994" s="76">
        <v>7</v>
      </c>
      <c r="H1994" s="76" t="s">
        <v>17</v>
      </c>
      <c r="I1994" s="76" t="s">
        <v>24</v>
      </c>
      <c r="J1994" s="76">
        <v>1</v>
      </c>
      <c r="K1994" s="78">
        <f>AB1994/COUNTIFS($B:$B,$B1994,$C:$C,$C1994,$H:$H,$H1994,$I:$I,$I1994)</f>
        <v>0.15</v>
      </c>
      <c r="L1994" s="80">
        <f t="shared" si="150"/>
        <v>1</v>
      </c>
      <c r="M1994" s="82">
        <f t="shared" si="152"/>
        <v>0.15</v>
      </c>
      <c r="N1994" s="59"/>
      <c r="AA1994" s="154">
        <f>AB1994/COUNTIFS($B:$B,$B1994,$C:$C,$C1994,$H:$H,$H1994,$I:$I,$I1994)</f>
        <v>0.15</v>
      </c>
      <c r="AB1994" s="155">
        <f>VLOOKUP(I1994,'Weights and Confidence'!$D$16:$AC$26,11,FALSE)</f>
        <v>0.15</v>
      </c>
      <c r="AC1994" s="156">
        <f>VLOOKUP(I1994,'Weights and Confidence'!$D$16:$AC$26,12,FALSE)</f>
        <v>1</v>
      </c>
    </row>
    <row r="1995" spans="1:29" x14ac:dyDescent="0.2">
      <c r="A1995" s="77" t="s">
        <v>566</v>
      </c>
      <c r="B1995" s="77" t="s">
        <v>87</v>
      </c>
      <c r="C1995" s="77" t="s">
        <v>649</v>
      </c>
      <c r="D1995" s="77" t="s">
        <v>65</v>
      </c>
      <c r="E1995" s="77"/>
      <c r="F1995" s="91" t="s">
        <v>650</v>
      </c>
      <c r="G1995" s="77">
        <v>7</v>
      </c>
      <c r="H1995" s="77" t="s">
        <v>18</v>
      </c>
      <c r="I1995" s="77" t="s">
        <v>24</v>
      </c>
      <c r="J1995" s="77">
        <v>-1</v>
      </c>
      <c r="K1995" s="79">
        <f>AB1995/COUNTIFS($B:$B,$B1995,$C:$C,$C1995,$H:$H,$H1995,$I:$I,$I1995)</f>
        <v>0.15</v>
      </c>
      <c r="L1995" s="81">
        <f t="shared" si="150"/>
        <v>1</v>
      </c>
      <c r="M1995" s="83">
        <f t="shared" si="152"/>
        <v>-0.15</v>
      </c>
      <c r="N1995" s="84"/>
      <c r="AA1995" s="154">
        <f>AB1995/COUNTIFS($B:$B,$B1995,$C:$C,$C1995,$H:$H,$H1995,$I:$I,$I1995)</f>
        <v>0.15</v>
      </c>
      <c r="AB1995" s="155">
        <f>VLOOKUP(I1995,'Weights and Confidence'!$D$16:$AC$26,11,FALSE)</f>
        <v>0.15</v>
      </c>
      <c r="AC1995" s="156">
        <f>VLOOKUP(I1995,'Weights and Confidence'!$D$16:$AC$26,12,FALSE)</f>
        <v>1</v>
      </c>
    </row>
    <row r="1996" spans="1:29" x14ac:dyDescent="0.2">
      <c r="A1996" s="76" t="s">
        <v>566</v>
      </c>
      <c r="B1996" s="76" t="s">
        <v>87</v>
      </c>
      <c r="C1996" s="76" t="s">
        <v>649</v>
      </c>
      <c r="D1996" s="76" t="s">
        <v>65</v>
      </c>
      <c r="E1996" s="76"/>
      <c r="F1996" s="91" t="s">
        <v>650</v>
      </c>
      <c r="G1996" s="76">
        <v>8</v>
      </c>
      <c r="H1996" s="76" t="s">
        <v>17</v>
      </c>
      <c r="I1996" s="76" t="s">
        <v>25</v>
      </c>
      <c r="J1996" s="76">
        <v>1</v>
      </c>
      <c r="K1996" s="78">
        <f>AB1996/COUNTIFS($B:$B,$B1996,$C:$C,$C1996,$H:$H,$H1996,$I:$I,$I1996)</f>
        <v>0.1</v>
      </c>
      <c r="L1996" s="80">
        <f t="shared" si="150"/>
        <v>1</v>
      </c>
      <c r="M1996" s="82">
        <f t="shared" si="152"/>
        <v>0.1</v>
      </c>
      <c r="N1996" s="59"/>
      <c r="AA1996" s="154">
        <f>AB1996/COUNTIFS($B:$B,$B1996,$C:$C,$C1996,$H:$H,$H1996,$I:$I,$I1996)</f>
        <v>0.1</v>
      </c>
      <c r="AB1996" s="155">
        <f>VLOOKUP(I1996,'Weights and Confidence'!$D$16:$AC$26,11,FALSE)</f>
        <v>0.1</v>
      </c>
      <c r="AC1996" s="156">
        <f>VLOOKUP(I1996,'Weights and Confidence'!$D$16:$AC$26,12,FALSE)</f>
        <v>1</v>
      </c>
    </row>
    <row r="1997" spans="1:29" x14ac:dyDescent="0.2">
      <c r="A1997" s="77" t="s">
        <v>566</v>
      </c>
      <c r="B1997" s="77" t="s">
        <v>87</v>
      </c>
      <c r="C1997" s="77" t="s">
        <v>649</v>
      </c>
      <c r="D1997" s="77" t="s">
        <v>65</v>
      </c>
      <c r="E1997" s="77"/>
      <c r="F1997" s="91" t="s">
        <v>650</v>
      </c>
      <c r="G1997" s="77">
        <v>8</v>
      </c>
      <c r="H1997" s="77" t="s">
        <v>18</v>
      </c>
      <c r="I1997" s="77" t="s">
        <v>25</v>
      </c>
      <c r="J1997" s="77">
        <v>-1</v>
      </c>
      <c r="K1997" s="79">
        <f>AB1997/COUNTIFS($B:$B,$B1997,$C:$C,$C1997,$H:$H,$H1997,$I:$I,$I1997)</f>
        <v>0.1</v>
      </c>
      <c r="L1997" s="81">
        <f t="shared" si="150"/>
        <v>1</v>
      </c>
      <c r="M1997" s="83">
        <f t="shared" si="152"/>
        <v>-0.1</v>
      </c>
      <c r="N1997" s="17"/>
      <c r="AA1997" s="154">
        <f>AB1997/COUNTIFS($B:$B,$B1997,$C:$C,$C1997,$H:$H,$H1997,$I:$I,$I1997)</f>
        <v>0.1</v>
      </c>
      <c r="AB1997" s="155">
        <f>VLOOKUP(I1997,'Weights and Confidence'!$D$16:$AC$26,11,FALSE)</f>
        <v>0.1</v>
      </c>
      <c r="AC1997" s="156">
        <f>VLOOKUP(I1997,'Weights and Confidence'!$D$16:$AC$26,12,FALSE)</f>
        <v>1</v>
      </c>
    </row>
    <row r="1998" spans="1:29" x14ac:dyDescent="0.2">
      <c r="A1998" s="76" t="s">
        <v>566</v>
      </c>
      <c r="B1998" s="76" t="s">
        <v>87</v>
      </c>
      <c r="C1998" s="76" t="s">
        <v>649</v>
      </c>
      <c r="D1998" s="76" t="s">
        <v>65</v>
      </c>
      <c r="E1998" s="76"/>
      <c r="F1998" s="91" t="s">
        <v>650</v>
      </c>
      <c r="G1998" s="76">
        <v>9</v>
      </c>
      <c r="H1998" s="76" t="s">
        <v>17</v>
      </c>
      <c r="I1998" s="76" t="s">
        <v>26</v>
      </c>
      <c r="J1998" s="76">
        <v>1</v>
      </c>
      <c r="K1998" s="78">
        <f>AB1998/COUNTIFS($B:$B,$B1998,$C:$C,$C1998,$H:$H,$H1998,$I:$I,$I1998)</f>
        <v>0.1</v>
      </c>
      <c r="L1998" s="80">
        <f t="shared" si="150"/>
        <v>1</v>
      </c>
      <c r="M1998" s="82">
        <f t="shared" si="152"/>
        <v>0.1</v>
      </c>
      <c r="N1998" s="59"/>
      <c r="AA1998" s="154">
        <f>AB1998/COUNTIFS($B:$B,$B1998,$C:$C,$C1998,$H:$H,$H1998,$I:$I,$I1998)</f>
        <v>0.1</v>
      </c>
      <c r="AB1998" s="155">
        <f>VLOOKUP(I1998,'Weights and Confidence'!$D$16:$AC$26,11,FALSE)</f>
        <v>0.1</v>
      </c>
      <c r="AC1998" s="156">
        <f>VLOOKUP(I1998,'Weights and Confidence'!$D$16:$AC$26,12,FALSE)</f>
        <v>1</v>
      </c>
    </row>
    <row r="1999" spans="1:29" x14ac:dyDescent="0.2">
      <c r="A1999" s="77" t="s">
        <v>566</v>
      </c>
      <c r="B1999" s="77" t="s">
        <v>87</v>
      </c>
      <c r="C1999" s="77" t="s">
        <v>649</v>
      </c>
      <c r="D1999" s="77" t="s">
        <v>65</v>
      </c>
      <c r="E1999" s="77"/>
      <c r="F1999" s="91" t="s">
        <v>650</v>
      </c>
      <c r="G1999" s="77">
        <v>9</v>
      </c>
      <c r="H1999" s="77" t="s">
        <v>18</v>
      </c>
      <c r="I1999" s="77" t="s">
        <v>26</v>
      </c>
      <c r="J1999" s="77">
        <v>-1</v>
      </c>
      <c r="K1999" s="79">
        <f>AB1999/COUNTIFS($B:$B,$B1999,$C:$C,$C1999,$H:$H,$H1999,$I:$I,$I1999)</f>
        <v>0.1</v>
      </c>
      <c r="L1999" s="81">
        <f t="shared" si="150"/>
        <v>1</v>
      </c>
      <c r="M1999" s="83">
        <f t="shared" si="152"/>
        <v>-0.1</v>
      </c>
      <c r="N1999" s="17"/>
      <c r="AA1999" s="154">
        <f>AB1999/COUNTIFS($B:$B,$B1999,$C:$C,$C1999,$H:$H,$H1999,$I:$I,$I1999)</f>
        <v>0.1</v>
      </c>
      <c r="AB1999" s="155">
        <f>VLOOKUP(I1999,'Weights and Confidence'!$D$16:$AC$26,11,FALSE)</f>
        <v>0.1</v>
      </c>
      <c r="AC1999" s="156">
        <f>VLOOKUP(I1999,'Weights and Confidence'!$D$16:$AC$26,12,FALSE)</f>
        <v>1</v>
      </c>
    </row>
    <row r="2000" spans="1:29" x14ac:dyDescent="0.2">
      <c r="A2000" s="76" t="s">
        <v>566</v>
      </c>
      <c r="B2000" s="76" t="s">
        <v>87</v>
      </c>
      <c r="C2000" s="76" t="s">
        <v>649</v>
      </c>
      <c r="D2000" s="76" t="s">
        <v>65</v>
      </c>
      <c r="E2000" s="76"/>
      <c r="F2000" s="91" t="s">
        <v>650</v>
      </c>
      <c r="G2000" s="76">
        <v>10</v>
      </c>
      <c r="H2000" s="76" t="s">
        <v>17</v>
      </c>
      <c r="I2000" s="76" t="s">
        <v>27</v>
      </c>
      <c r="J2000" s="76">
        <v>1</v>
      </c>
      <c r="K2000" s="78">
        <f>AB2000/COUNTIFS($B:$B,$B2000,$C:$C,$C2000,$H:$H,$H2000,$I:$I,$I2000)</f>
        <v>0.05</v>
      </c>
      <c r="L2000" s="80">
        <f t="shared" si="150"/>
        <v>0.9</v>
      </c>
      <c r="M2000" s="82">
        <f t="shared" si="152"/>
        <v>4.5000000000000005E-2</v>
      </c>
      <c r="N2000" s="59"/>
      <c r="AA2000" s="154">
        <f>AB2000/COUNTIFS($B:$B,$B2000,$C:$C,$C2000,$H:$H,$H2000,$I:$I,$I2000)</f>
        <v>0.05</v>
      </c>
      <c r="AB2000" s="155">
        <f>VLOOKUP(I2000,'Weights and Confidence'!$D$16:$AC$26,11,FALSE)</f>
        <v>0.1</v>
      </c>
      <c r="AC2000" s="156">
        <f>VLOOKUP(I2000,'Weights and Confidence'!$D$16:$AC$26,12,FALSE)</f>
        <v>0.9</v>
      </c>
    </row>
    <row r="2001" spans="1:29" x14ac:dyDescent="0.2">
      <c r="A2001" s="77" t="s">
        <v>566</v>
      </c>
      <c r="B2001" s="77" t="s">
        <v>87</v>
      </c>
      <c r="C2001" s="77" t="s">
        <v>649</v>
      </c>
      <c r="D2001" s="77" t="s">
        <v>65</v>
      </c>
      <c r="E2001" s="77"/>
      <c r="F2001" s="91" t="s">
        <v>650</v>
      </c>
      <c r="G2001" s="77">
        <v>10</v>
      </c>
      <c r="H2001" s="77" t="s">
        <v>18</v>
      </c>
      <c r="I2001" s="77" t="s">
        <v>27</v>
      </c>
      <c r="J2001" s="77">
        <v>0</v>
      </c>
      <c r="K2001" s="79">
        <f>AB2001/COUNTIFS($B:$B,$B2001,$C:$C,$C2001,$H:$H,$H2001,$I:$I,$I2001)</f>
        <v>0.05</v>
      </c>
      <c r="L2001" s="81">
        <f t="shared" si="150"/>
        <v>0.9</v>
      </c>
      <c r="M2001" s="83">
        <f t="shared" si="152"/>
        <v>0</v>
      </c>
      <c r="N2001" s="84"/>
      <c r="AA2001" s="154">
        <f>AB2001/COUNTIFS($B:$B,$B2001,$C:$C,$C2001,$H:$H,$H2001,$I:$I,$I2001)</f>
        <v>0.05</v>
      </c>
      <c r="AB2001" s="155">
        <f>VLOOKUP(I2001,'Weights and Confidence'!$D$16:$AC$26,11,FALSE)</f>
        <v>0.1</v>
      </c>
      <c r="AC2001" s="156">
        <f>VLOOKUP(I2001,'Weights and Confidence'!$D$16:$AC$26,12,FALSE)</f>
        <v>0.9</v>
      </c>
    </row>
    <row r="2002" spans="1:29" x14ac:dyDescent="0.2">
      <c r="A2002" s="76" t="s">
        <v>566</v>
      </c>
      <c r="B2002" s="76" t="s">
        <v>87</v>
      </c>
      <c r="C2002" s="76" t="s">
        <v>649</v>
      </c>
      <c r="D2002" s="76" t="s">
        <v>65</v>
      </c>
      <c r="E2002" s="76"/>
      <c r="F2002" s="91" t="s">
        <v>650</v>
      </c>
      <c r="G2002" s="76">
        <v>11</v>
      </c>
      <c r="H2002" s="76" t="s">
        <v>17</v>
      </c>
      <c r="I2002" s="76" t="s">
        <v>27</v>
      </c>
      <c r="J2002" s="76">
        <v>1</v>
      </c>
      <c r="K2002" s="78">
        <f>AB2002/COUNTIFS($B:$B,$B2002,$C:$C,$C2002,$H:$H,$H2002,$I:$I,$I2002)</f>
        <v>0.05</v>
      </c>
      <c r="L2002" s="80">
        <f t="shared" si="150"/>
        <v>0.9</v>
      </c>
      <c r="M2002" s="82">
        <f t="shared" si="152"/>
        <v>4.5000000000000005E-2</v>
      </c>
      <c r="N2002" s="59"/>
      <c r="AA2002" s="154">
        <f>AB2002/COUNTIFS($B:$B,$B2002,$C:$C,$C2002,$H:$H,$H2002,$I:$I,$I2002)</f>
        <v>0.05</v>
      </c>
      <c r="AB2002" s="155">
        <f>VLOOKUP(I2002,'Weights and Confidence'!$D$16:$AC$26,11,FALSE)</f>
        <v>0.1</v>
      </c>
      <c r="AC2002" s="156">
        <f>VLOOKUP(I2002,'Weights and Confidence'!$D$16:$AC$26,12,FALSE)</f>
        <v>0.9</v>
      </c>
    </row>
    <row r="2003" spans="1:29" x14ac:dyDescent="0.2">
      <c r="A2003" s="77" t="s">
        <v>566</v>
      </c>
      <c r="B2003" s="77" t="s">
        <v>87</v>
      </c>
      <c r="C2003" s="77" t="s">
        <v>649</v>
      </c>
      <c r="D2003" s="77" t="s">
        <v>65</v>
      </c>
      <c r="E2003" s="77"/>
      <c r="F2003" s="91" t="s">
        <v>650</v>
      </c>
      <c r="G2003" s="77">
        <v>11</v>
      </c>
      <c r="H2003" s="77" t="s">
        <v>18</v>
      </c>
      <c r="I2003" s="77" t="s">
        <v>27</v>
      </c>
      <c r="J2003" s="77">
        <v>0</v>
      </c>
      <c r="K2003" s="79">
        <f>AB2003/COUNTIFS($B:$B,$B2003,$C:$C,$C2003,$H:$H,$H2003,$I:$I,$I2003)</f>
        <v>0.05</v>
      </c>
      <c r="L2003" s="81">
        <f t="shared" si="150"/>
        <v>0.9</v>
      </c>
      <c r="M2003" s="83">
        <f t="shared" si="152"/>
        <v>0</v>
      </c>
      <c r="N2003" s="17"/>
      <c r="AA2003" s="154">
        <f>AB2003/COUNTIFS($B:$B,$B2003,$C:$C,$C2003,$H:$H,$H2003,$I:$I,$I2003)</f>
        <v>0.05</v>
      </c>
      <c r="AB2003" s="155">
        <f>VLOOKUP(I2003,'Weights and Confidence'!$D$16:$AC$26,11,FALSE)</f>
        <v>0.1</v>
      </c>
      <c r="AC2003" s="156">
        <f>VLOOKUP(I2003,'Weights and Confidence'!$D$16:$AC$26,12,FALSE)</f>
        <v>0.9</v>
      </c>
    </row>
    <row r="2004" spans="1:29" x14ac:dyDescent="0.2">
      <c r="A2004" s="77" t="s">
        <v>566</v>
      </c>
      <c r="B2004" s="77" t="s">
        <v>87</v>
      </c>
      <c r="C2004" s="77" t="s">
        <v>649</v>
      </c>
      <c r="D2004" s="77" t="s">
        <v>65</v>
      </c>
      <c r="E2004" s="77"/>
      <c r="F2004" s="91" t="s">
        <v>650</v>
      </c>
      <c r="G2004" s="77">
        <v>12</v>
      </c>
      <c r="H2004" s="77" t="s">
        <v>17</v>
      </c>
      <c r="I2004" s="77" t="s">
        <v>28</v>
      </c>
      <c r="J2004" s="77">
        <v>1</v>
      </c>
      <c r="K2004" s="79">
        <f>AB2004/COUNTIFS($B:$B,$B2004,$C:$C,$C2004,$H:$H,$H2004,$I:$I,$I2004)</f>
        <v>0.05</v>
      </c>
      <c r="L2004" s="81">
        <f t="shared" si="150"/>
        <v>1</v>
      </c>
      <c r="M2004" s="83">
        <f>J2004*K2004*L2004</f>
        <v>0.05</v>
      </c>
      <c r="N2004" s="58"/>
      <c r="AA2004" s="154">
        <f>AB2004/COUNTIFS($B:$B,$B2004,$C:$C,$C2004,$H:$H,$H2004,$I:$I,$I2004)</f>
        <v>0.05</v>
      </c>
      <c r="AB2004" s="155">
        <f>VLOOKUP(I2004,'Weights and Confidence'!$D$16:$AC$26,11,FALSE)</f>
        <v>0.05</v>
      </c>
      <c r="AC2004" s="156">
        <f>VLOOKUP(I2004,'Weights and Confidence'!$D$16:$AC$26,12,FALSE)</f>
        <v>1</v>
      </c>
    </row>
    <row r="2005" spans="1:29" ht="17" thickBot="1" x14ac:dyDescent="0.25">
      <c r="A2005" s="98" t="s">
        <v>566</v>
      </c>
      <c r="B2005" s="98" t="s">
        <v>87</v>
      </c>
      <c r="C2005" s="98" t="s">
        <v>649</v>
      </c>
      <c r="D2005" s="98" t="s">
        <v>65</v>
      </c>
      <c r="E2005" s="98"/>
      <c r="F2005" s="93" t="s">
        <v>650</v>
      </c>
      <c r="G2005" s="98">
        <v>12</v>
      </c>
      <c r="H2005" s="98" t="s">
        <v>18</v>
      </c>
      <c r="I2005" s="98" t="s">
        <v>28</v>
      </c>
      <c r="J2005" s="98">
        <v>-1</v>
      </c>
      <c r="K2005" s="99">
        <f>AB2005/COUNTIFS($B:$B,$B2005,$C:$C,$C2005,$H:$H,$H2005,$I:$I,$I2005)</f>
        <v>0.05</v>
      </c>
      <c r="L2005" s="100">
        <f t="shared" si="150"/>
        <v>1</v>
      </c>
      <c r="M2005" s="101">
        <f>J2005*K2005*L2005</f>
        <v>-0.05</v>
      </c>
      <c r="N2005" s="163"/>
      <c r="AA2005" s="157">
        <f>AB2005/COUNTIFS($B:$B,$B2005,$C:$C,$C2005,$H:$H,$H2005,$I:$I,$I2005)</f>
        <v>0.05</v>
      </c>
      <c r="AB2005" s="158">
        <f>VLOOKUP(I2005,'Weights and Confidence'!$D$16:$AC$26,11,FALSE)</f>
        <v>0.05</v>
      </c>
      <c r="AC2005" s="159">
        <f>VLOOKUP(I2005,'Weights and Confidence'!$D$16:$AC$26,12,FALSE)</f>
        <v>1</v>
      </c>
    </row>
    <row r="2006" spans="1:29" ht="17" thickTop="1" x14ac:dyDescent="0.2">
      <c r="A2006" s="86" t="s">
        <v>566</v>
      </c>
      <c r="B2006" s="86" t="s">
        <v>87</v>
      </c>
      <c r="C2006" s="86" t="s">
        <v>655</v>
      </c>
      <c r="D2006" s="86" t="s">
        <v>65</v>
      </c>
      <c r="E2006" s="86"/>
      <c r="F2006" s="18" t="s">
        <v>656</v>
      </c>
      <c r="G2006" s="86">
        <v>1</v>
      </c>
      <c r="H2006" s="86" t="s">
        <v>17</v>
      </c>
      <c r="I2006" s="86" t="s">
        <v>19</v>
      </c>
      <c r="J2006" s="97">
        <v>1</v>
      </c>
      <c r="K2006" s="87">
        <f>AB2006/COUNTIFS($B:$B,$B2006,$C:$C,$C2006,$H:$H,$H2006,$I:$I,$I2006)</f>
        <v>0.12</v>
      </c>
      <c r="L2006" s="88">
        <f t="shared" ref="L2006:L2029" si="153">AC2006</f>
        <v>1</v>
      </c>
      <c r="M2006" s="89">
        <f t="shared" ref="M2006" si="154">J2006*K2006*L2006</f>
        <v>0.12</v>
      </c>
      <c r="N2006" s="90"/>
      <c r="AA2006" s="154">
        <f>AB2006/COUNTIFS($B:$B,$B2006,$C:$C,$C2006,$H:$H,$H2006,$I:$I,$I2006)</f>
        <v>0.12</v>
      </c>
      <c r="AB2006" s="155">
        <f>VLOOKUP(I2006,'Weights and Confidence'!$D$16:$AC$26,11,FALSE)</f>
        <v>0.12</v>
      </c>
      <c r="AC2006" s="156">
        <f>VLOOKUP(I2006,'Weights and Confidence'!$D$16:$AC$26,12,FALSE)</f>
        <v>1</v>
      </c>
    </row>
    <row r="2007" spans="1:29" x14ac:dyDescent="0.2">
      <c r="A2007" s="77" t="s">
        <v>566</v>
      </c>
      <c r="B2007" s="77" t="s">
        <v>87</v>
      </c>
      <c r="C2007" s="77" t="s">
        <v>655</v>
      </c>
      <c r="D2007" s="77" t="s">
        <v>65</v>
      </c>
      <c r="E2007" s="77"/>
      <c r="F2007" s="91" t="s">
        <v>656</v>
      </c>
      <c r="G2007" s="77">
        <v>1</v>
      </c>
      <c r="H2007" s="77" t="s">
        <v>18</v>
      </c>
      <c r="I2007" s="77" t="s">
        <v>19</v>
      </c>
      <c r="J2007" s="77">
        <v>-1</v>
      </c>
      <c r="K2007" s="79">
        <f>AB2007/COUNTIFS($B:$B,$B2007,$C:$C,$C2007,$H:$H,$H2007,$I:$I,$I2007)</f>
        <v>0.12</v>
      </c>
      <c r="L2007" s="81">
        <f t="shared" si="153"/>
        <v>1</v>
      </c>
      <c r="M2007" s="83">
        <f>J2006*K2007*L2007</f>
        <v>0.12</v>
      </c>
      <c r="N2007" s="84"/>
      <c r="AA2007" s="154">
        <f>AB2007/COUNTIFS($B:$B,$B2007,$C:$C,$C2007,$H:$H,$H2007,$I:$I,$I2007)</f>
        <v>0.12</v>
      </c>
      <c r="AB2007" s="155">
        <f>VLOOKUP(I2007,'Weights and Confidence'!$D$16:$AC$26,11,FALSE)</f>
        <v>0.12</v>
      </c>
      <c r="AC2007" s="156">
        <f>VLOOKUP(I2007,'Weights and Confidence'!$D$16:$AC$26,12,FALSE)</f>
        <v>1</v>
      </c>
    </row>
    <row r="2008" spans="1:29" x14ac:dyDescent="0.2">
      <c r="A2008" s="76" t="s">
        <v>566</v>
      </c>
      <c r="B2008" s="76" t="s">
        <v>87</v>
      </c>
      <c r="C2008" s="76" t="s">
        <v>655</v>
      </c>
      <c r="D2008" s="76" t="s">
        <v>65</v>
      </c>
      <c r="E2008" s="76"/>
      <c r="F2008" s="91" t="s">
        <v>656</v>
      </c>
      <c r="G2008" s="76">
        <v>2</v>
      </c>
      <c r="H2008" s="76" t="s">
        <v>17</v>
      </c>
      <c r="I2008" s="76" t="s">
        <v>20</v>
      </c>
      <c r="J2008" s="76">
        <v>1</v>
      </c>
      <c r="K2008" s="78">
        <f>AB2008/COUNTIFS($B:$B,$B2008,$C:$C,$C2008,$H:$H,$H2008,$I:$I,$I2008)</f>
        <v>0.08</v>
      </c>
      <c r="L2008" s="80">
        <f t="shared" si="153"/>
        <v>0.9</v>
      </c>
      <c r="M2008" s="82">
        <f t="shared" ref="M2008:M2027" si="155">J2008*K2008*L2008</f>
        <v>7.2000000000000008E-2</v>
      </c>
      <c r="N2008" s="59"/>
      <c r="AA2008" s="154">
        <f>AB2008/COUNTIFS($B:$B,$B2008,$C:$C,$C2008,$H:$H,$H2008,$I:$I,$I2008)</f>
        <v>0.08</v>
      </c>
      <c r="AB2008" s="155">
        <f>VLOOKUP(I2008,'Weights and Confidence'!$D$16:$AC$26,11,FALSE)</f>
        <v>0.08</v>
      </c>
      <c r="AC2008" s="156">
        <f>VLOOKUP(I2008,'Weights and Confidence'!$D$16:$AC$26,12,FALSE)</f>
        <v>0.9</v>
      </c>
    </row>
    <row r="2009" spans="1:29" x14ac:dyDescent="0.2">
      <c r="A2009" s="77" t="s">
        <v>566</v>
      </c>
      <c r="B2009" s="77" t="s">
        <v>87</v>
      </c>
      <c r="C2009" s="77" t="s">
        <v>655</v>
      </c>
      <c r="D2009" s="77" t="s">
        <v>65</v>
      </c>
      <c r="E2009" s="77"/>
      <c r="F2009" s="91" t="s">
        <v>656</v>
      </c>
      <c r="G2009" s="77">
        <v>2</v>
      </c>
      <c r="H2009" s="77" t="s">
        <v>18</v>
      </c>
      <c r="I2009" s="77" t="s">
        <v>20</v>
      </c>
      <c r="J2009" s="77">
        <v>-1</v>
      </c>
      <c r="K2009" s="79">
        <f>AB2009/COUNTIFS($B:$B,$B2009,$C:$C,$C2009,$H:$H,$H2009,$I:$I,$I2009)</f>
        <v>0.08</v>
      </c>
      <c r="L2009" s="81">
        <f t="shared" si="153"/>
        <v>0.9</v>
      </c>
      <c r="M2009" s="83">
        <f t="shared" si="155"/>
        <v>-7.2000000000000008E-2</v>
      </c>
      <c r="N2009" s="17" t="s">
        <v>657</v>
      </c>
      <c r="AA2009" s="154">
        <f>AB2009/COUNTIFS($B:$B,$B2009,$C:$C,$C2009,$H:$H,$H2009,$I:$I,$I2009)</f>
        <v>0.08</v>
      </c>
      <c r="AB2009" s="155">
        <f>VLOOKUP(I2009,'Weights and Confidence'!$D$16:$AC$26,11,FALSE)</f>
        <v>0.08</v>
      </c>
      <c r="AC2009" s="156">
        <f>VLOOKUP(I2009,'Weights and Confidence'!$D$16:$AC$26,12,FALSE)</f>
        <v>0.9</v>
      </c>
    </row>
    <row r="2010" spans="1:29" x14ac:dyDescent="0.2">
      <c r="A2010" s="76" t="s">
        <v>566</v>
      </c>
      <c r="B2010" s="76" t="s">
        <v>87</v>
      </c>
      <c r="C2010" s="76" t="s">
        <v>655</v>
      </c>
      <c r="D2010" s="76" t="s">
        <v>65</v>
      </c>
      <c r="E2010" s="76"/>
      <c r="F2010" s="91" t="s">
        <v>656</v>
      </c>
      <c r="G2010" s="76">
        <v>3</v>
      </c>
      <c r="H2010" s="76" t="s">
        <v>17</v>
      </c>
      <c r="I2010" s="76" t="s">
        <v>21</v>
      </c>
      <c r="J2010" s="76">
        <v>1</v>
      </c>
      <c r="K2010" s="78">
        <f>AB2010/COUNTIFS($B:$B,$B2010,$C:$C,$C2010,$H:$H,$H2010,$I:$I,$I2010)</f>
        <v>0.05</v>
      </c>
      <c r="L2010" s="80">
        <f t="shared" si="153"/>
        <v>1</v>
      </c>
      <c r="M2010" s="82">
        <f t="shared" si="155"/>
        <v>0.05</v>
      </c>
      <c r="N2010" s="59"/>
      <c r="AA2010" s="154">
        <f>AB2010/COUNTIFS($B:$B,$B2010,$C:$C,$C2010,$H:$H,$H2010,$I:$I,$I2010)</f>
        <v>0.05</v>
      </c>
      <c r="AB2010" s="155">
        <f>VLOOKUP(I2010,'Weights and Confidence'!$D$16:$AC$26,11,FALSE)</f>
        <v>0.05</v>
      </c>
      <c r="AC2010" s="156">
        <f>VLOOKUP(I2010,'Weights and Confidence'!$D$16:$AC$26,12,FALSE)</f>
        <v>1</v>
      </c>
    </row>
    <row r="2011" spans="1:29" x14ac:dyDescent="0.2">
      <c r="A2011" s="77" t="s">
        <v>566</v>
      </c>
      <c r="B2011" s="77" t="s">
        <v>87</v>
      </c>
      <c r="C2011" s="77" t="s">
        <v>655</v>
      </c>
      <c r="D2011" s="77" t="s">
        <v>65</v>
      </c>
      <c r="E2011" s="77"/>
      <c r="F2011" s="91" t="s">
        <v>656</v>
      </c>
      <c r="G2011" s="77">
        <v>3</v>
      </c>
      <c r="H2011" s="77" t="s">
        <v>18</v>
      </c>
      <c r="I2011" s="77" t="s">
        <v>21</v>
      </c>
      <c r="J2011" s="77">
        <v>0</v>
      </c>
      <c r="K2011" s="79">
        <f>AB2011/COUNTIFS($B:$B,$B2011,$C:$C,$C2011,$H:$H,$H2011,$I:$I,$I2011)</f>
        <v>0.05</v>
      </c>
      <c r="L2011" s="81">
        <f t="shared" si="153"/>
        <v>1</v>
      </c>
      <c r="M2011" s="83">
        <f t="shared" si="155"/>
        <v>0</v>
      </c>
      <c r="N2011" s="17"/>
      <c r="AA2011" s="154">
        <f>AB2011/COUNTIFS($B:$B,$B2011,$C:$C,$C2011,$H:$H,$H2011,$I:$I,$I2011)</f>
        <v>0.05</v>
      </c>
      <c r="AB2011" s="155">
        <f>VLOOKUP(I2011,'Weights and Confidence'!$D$16:$AC$26,11,FALSE)</f>
        <v>0.05</v>
      </c>
      <c r="AC2011" s="156">
        <f>VLOOKUP(I2011,'Weights and Confidence'!$D$16:$AC$26,12,FALSE)</f>
        <v>1</v>
      </c>
    </row>
    <row r="2012" spans="1:29" x14ac:dyDescent="0.2">
      <c r="A2012" s="76" t="s">
        <v>566</v>
      </c>
      <c r="B2012" s="76" t="s">
        <v>87</v>
      </c>
      <c r="C2012" s="76" t="s">
        <v>655</v>
      </c>
      <c r="D2012" s="76" t="s">
        <v>65</v>
      </c>
      <c r="E2012" s="76"/>
      <c r="F2012" s="91" t="s">
        <v>656</v>
      </c>
      <c r="G2012" s="76">
        <v>4</v>
      </c>
      <c r="H2012" s="76" t="s">
        <v>17</v>
      </c>
      <c r="I2012" s="76" t="s">
        <v>22</v>
      </c>
      <c r="J2012" s="76">
        <v>1</v>
      </c>
      <c r="K2012" s="78">
        <f>AB2012/COUNTIFS($B:$B,$B2012,$C:$C,$C2012,$H:$H,$H2012,$I:$I,$I2012)</f>
        <v>0.1</v>
      </c>
      <c r="L2012" s="80">
        <f t="shared" si="153"/>
        <v>1</v>
      </c>
      <c r="M2012" s="82">
        <f t="shared" si="155"/>
        <v>0.1</v>
      </c>
      <c r="N2012" s="59"/>
      <c r="AA2012" s="154">
        <f>AB2012/COUNTIFS($B:$B,$B2012,$C:$C,$C2012,$H:$H,$H2012,$I:$I,$I2012)</f>
        <v>0.1</v>
      </c>
      <c r="AB2012" s="155">
        <f>VLOOKUP(I2012,'Weights and Confidence'!$D$16:$AC$26,11,FALSE)</f>
        <v>0.1</v>
      </c>
      <c r="AC2012" s="156">
        <f>VLOOKUP(I2012,'Weights and Confidence'!$D$16:$AC$26,12,FALSE)</f>
        <v>1</v>
      </c>
    </row>
    <row r="2013" spans="1:29" x14ac:dyDescent="0.2">
      <c r="A2013" s="77" t="s">
        <v>566</v>
      </c>
      <c r="B2013" s="77" t="s">
        <v>87</v>
      </c>
      <c r="C2013" s="77" t="s">
        <v>655</v>
      </c>
      <c r="D2013" s="77" t="s">
        <v>65</v>
      </c>
      <c r="E2013" s="77"/>
      <c r="F2013" s="91" t="s">
        <v>656</v>
      </c>
      <c r="G2013" s="77">
        <v>4</v>
      </c>
      <c r="H2013" s="77" t="s">
        <v>18</v>
      </c>
      <c r="I2013" s="77" t="s">
        <v>22</v>
      </c>
      <c r="J2013" s="77">
        <v>0</v>
      </c>
      <c r="K2013" s="79">
        <f>AB2013/COUNTIFS($B:$B,$B2013,$C:$C,$C2013,$H:$H,$H2013,$I:$I,$I2013)</f>
        <v>0.1</v>
      </c>
      <c r="L2013" s="81">
        <f t="shared" si="153"/>
        <v>1</v>
      </c>
      <c r="M2013" s="83">
        <f t="shared" si="155"/>
        <v>0</v>
      </c>
      <c r="N2013" s="17" t="s">
        <v>660</v>
      </c>
      <c r="AA2013" s="154">
        <f>AB2013/COUNTIFS($B:$B,$B2013,$C:$C,$C2013,$H:$H,$H2013,$I:$I,$I2013)</f>
        <v>0.1</v>
      </c>
      <c r="AB2013" s="155">
        <f>VLOOKUP(I2013,'Weights and Confidence'!$D$16:$AC$26,11,FALSE)</f>
        <v>0.1</v>
      </c>
      <c r="AC2013" s="156">
        <f>VLOOKUP(I2013,'Weights and Confidence'!$D$16:$AC$26,12,FALSE)</f>
        <v>1</v>
      </c>
    </row>
    <row r="2014" spans="1:29" x14ac:dyDescent="0.2">
      <c r="A2014" s="76" t="s">
        <v>566</v>
      </c>
      <c r="B2014" s="76" t="s">
        <v>87</v>
      </c>
      <c r="C2014" s="76" t="s">
        <v>655</v>
      </c>
      <c r="D2014" s="76" t="s">
        <v>65</v>
      </c>
      <c r="E2014" s="76"/>
      <c r="F2014" s="91" t="s">
        <v>656</v>
      </c>
      <c r="G2014" s="76">
        <v>5</v>
      </c>
      <c r="H2014" s="76" t="s">
        <v>17</v>
      </c>
      <c r="I2014" s="76" t="s">
        <v>34</v>
      </c>
      <c r="J2014" s="76">
        <v>1</v>
      </c>
      <c r="K2014" s="78">
        <f>AB2014/COUNTIFS($B:$B,$B2014,$C:$C,$C2014,$H:$H,$H2014,$I:$I,$I2014)</f>
        <v>0.08</v>
      </c>
      <c r="L2014" s="80">
        <f t="shared" si="153"/>
        <v>1</v>
      </c>
      <c r="M2014" s="82">
        <f t="shared" si="155"/>
        <v>0.08</v>
      </c>
      <c r="N2014" s="84"/>
      <c r="AA2014" s="154">
        <f>AB2014/COUNTIFS($B:$B,$B2014,$C:$C,$C2014,$H:$H,$H2014,$I:$I,$I2014)</f>
        <v>0.08</v>
      </c>
      <c r="AB2014" s="155">
        <f>VLOOKUP(I2014,'Weights and Confidence'!$D$16:$AC$26,11,FALSE)</f>
        <v>0.08</v>
      </c>
      <c r="AC2014" s="156">
        <f>VLOOKUP(I2014,'Weights and Confidence'!$D$16:$AC$26,12,FALSE)</f>
        <v>1</v>
      </c>
    </row>
    <row r="2015" spans="1:29" x14ac:dyDescent="0.2">
      <c r="A2015" s="77" t="s">
        <v>566</v>
      </c>
      <c r="B2015" s="77" t="s">
        <v>87</v>
      </c>
      <c r="C2015" s="77" t="s">
        <v>655</v>
      </c>
      <c r="D2015" s="77" t="s">
        <v>65</v>
      </c>
      <c r="E2015" s="77"/>
      <c r="F2015" s="91" t="s">
        <v>656</v>
      </c>
      <c r="G2015" s="77">
        <v>5</v>
      </c>
      <c r="H2015" s="77" t="s">
        <v>18</v>
      </c>
      <c r="I2015" s="77" t="s">
        <v>34</v>
      </c>
      <c r="J2015" s="77">
        <v>-1</v>
      </c>
      <c r="K2015" s="79">
        <f>AB2015/COUNTIFS($B:$B,$B2015,$C:$C,$C2015,$H:$H,$H2015,$I:$I,$I2015)</f>
        <v>0.08</v>
      </c>
      <c r="L2015" s="81">
        <f t="shared" si="153"/>
        <v>1</v>
      </c>
      <c r="M2015" s="83">
        <f t="shared" si="155"/>
        <v>-0.08</v>
      </c>
      <c r="N2015" s="17" t="s">
        <v>658</v>
      </c>
      <c r="AA2015" s="154">
        <f>AB2015/COUNTIFS($B:$B,$B2015,$C:$C,$C2015,$H:$H,$H2015,$I:$I,$I2015)</f>
        <v>0.08</v>
      </c>
      <c r="AB2015" s="155">
        <f>VLOOKUP(I2015,'Weights and Confidence'!$D$16:$AC$26,11,FALSE)</f>
        <v>0.08</v>
      </c>
      <c r="AC2015" s="156">
        <f>VLOOKUP(I2015,'Weights and Confidence'!$D$16:$AC$26,12,FALSE)</f>
        <v>1</v>
      </c>
    </row>
    <row r="2016" spans="1:29" x14ac:dyDescent="0.2">
      <c r="A2016" s="76" t="s">
        <v>566</v>
      </c>
      <c r="B2016" s="76" t="s">
        <v>87</v>
      </c>
      <c r="C2016" s="76" t="s">
        <v>655</v>
      </c>
      <c r="D2016" s="76" t="s">
        <v>65</v>
      </c>
      <c r="E2016" s="76"/>
      <c r="F2016" s="91" t="s">
        <v>656</v>
      </c>
      <c r="G2016" s="76">
        <v>6</v>
      </c>
      <c r="H2016" s="76" t="s">
        <v>17</v>
      </c>
      <c r="I2016" s="76" t="s">
        <v>23</v>
      </c>
      <c r="J2016" s="76">
        <v>0</v>
      </c>
      <c r="K2016" s="78">
        <f>AB2016/COUNTIFS($B:$B,$B2016,$C:$C,$C2016,$H:$H,$H2016,$I:$I,$I2016)</f>
        <v>7.0000000000000007E-2</v>
      </c>
      <c r="L2016" s="80">
        <f t="shared" si="153"/>
        <v>1</v>
      </c>
      <c r="M2016" s="82">
        <f t="shared" si="155"/>
        <v>0</v>
      </c>
      <c r="N2016" s="59"/>
      <c r="AA2016" s="154">
        <f>AB2016/COUNTIFS($B:$B,$B2016,$C:$C,$C2016,$H:$H,$H2016,$I:$I,$I2016)</f>
        <v>7.0000000000000007E-2</v>
      </c>
      <c r="AB2016" s="155">
        <f>VLOOKUP(I2016,'Weights and Confidence'!$D$16:$AC$26,11,FALSE)</f>
        <v>7.0000000000000007E-2</v>
      </c>
      <c r="AC2016" s="156">
        <f>VLOOKUP(I2016,'Weights and Confidence'!$D$16:$AC$26,12,FALSE)</f>
        <v>1</v>
      </c>
    </row>
    <row r="2017" spans="1:29" x14ac:dyDescent="0.2">
      <c r="A2017" s="77" t="s">
        <v>566</v>
      </c>
      <c r="B2017" s="77" t="s">
        <v>87</v>
      </c>
      <c r="C2017" s="77" t="s">
        <v>655</v>
      </c>
      <c r="D2017" s="77" t="s">
        <v>65</v>
      </c>
      <c r="E2017" s="77"/>
      <c r="F2017" s="91" t="s">
        <v>656</v>
      </c>
      <c r="G2017" s="77">
        <v>6</v>
      </c>
      <c r="H2017" s="77" t="s">
        <v>18</v>
      </c>
      <c r="I2017" s="77" t="s">
        <v>23</v>
      </c>
      <c r="J2017" s="77">
        <v>-1</v>
      </c>
      <c r="K2017" s="79">
        <f>AB2017/COUNTIFS($B:$B,$B2017,$C:$C,$C2017,$H:$H,$H2017,$I:$I,$I2017)</f>
        <v>7.0000000000000007E-2</v>
      </c>
      <c r="L2017" s="81">
        <f t="shared" si="153"/>
        <v>1</v>
      </c>
      <c r="M2017" s="83">
        <f t="shared" si="155"/>
        <v>-7.0000000000000007E-2</v>
      </c>
      <c r="N2017" s="17"/>
      <c r="AA2017" s="154">
        <f>AB2017/COUNTIFS($B:$B,$B2017,$C:$C,$C2017,$H:$H,$H2017,$I:$I,$I2017)</f>
        <v>7.0000000000000007E-2</v>
      </c>
      <c r="AB2017" s="155">
        <f>VLOOKUP(I2017,'Weights and Confidence'!$D$16:$AC$26,11,FALSE)</f>
        <v>7.0000000000000007E-2</v>
      </c>
      <c r="AC2017" s="156">
        <f>VLOOKUP(I2017,'Weights and Confidence'!$D$16:$AC$26,12,FALSE)</f>
        <v>1</v>
      </c>
    </row>
    <row r="2018" spans="1:29" x14ac:dyDescent="0.2">
      <c r="A2018" s="76" t="s">
        <v>566</v>
      </c>
      <c r="B2018" s="76" t="s">
        <v>87</v>
      </c>
      <c r="C2018" s="76" t="s">
        <v>655</v>
      </c>
      <c r="D2018" s="76" t="s">
        <v>65</v>
      </c>
      <c r="E2018" s="76"/>
      <c r="F2018" s="91" t="s">
        <v>656</v>
      </c>
      <c r="G2018" s="76">
        <v>7</v>
      </c>
      <c r="H2018" s="76" t="s">
        <v>17</v>
      </c>
      <c r="I2018" s="76" t="s">
        <v>24</v>
      </c>
      <c r="J2018" s="76">
        <v>0</v>
      </c>
      <c r="K2018" s="78">
        <f>AB2018/COUNTIFS($B:$B,$B2018,$C:$C,$C2018,$H:$H,$H2018,$I:$I,$I2018)</f>
        <v>0.15</v>
      </c>
      <c r="L2018" s="80">
        <f t="shared" si="153"/>
        <v>1</v>
      </c>
      <c r="M2018" s="82">
        <f t="shared" si="155"/>
        <v>0</v>
      </c>
      <c r="N2018" s="59"/>
      <c r="AA2018" s="154">
        <f>AB2018/COUNTIFS($B:$B,$B2018,$C:$C,$C2018,$H:$H,$H2018,$I:$I,$I2018)</f>
        <v>0.15</v>
      </c>
      <c r="AB2018" s="155">
        <f>VLOOKUP(I2018,'Weights and Confidence'!$D$16:$AC$26,11,FALSE)</f>
        <v>0.15</v>
      </c>
      <c r="AC2018" s="156">
        <f>VLOOKUP(I2018,'Weights and Confidence'!$D$16:$AC$26,12,FALSE)</f>
        <v>1</v>
      </c>
    </row>
    <row r="2019" spans="1:29" x14ac:dyDescent="0.2">
      <c r="A2019" s="77" t="s">
        <v>566</v>
      </c>
      <c r="B2019" s="77" t="s">
        <v>87</v>
      </c>
      <c r="C2019" s="77" t="s">
        <v>655</v>
      </c>
      <c r="D2019" s="77" t="s">
        <v>65</v>
      </c>
      <c r="E2019" s="77"/>
      <c r="F2019" s="91" t="s">
        <v>656</v>
      </c>
      <c r="G2019" s="77">
        <v>7</v>
      </c>
      <c r="H2019" s="77" t="s">
        <v>18</v>
      </c>
      <c r="I2019" s="77" t="s">
        <v>24</v>
      </c>
      <c r="J2019" s="77">
        <v>0</v>
      </c>
      <c r="K2019" s="79">
        <f>AB2019/COUNTIFS($B:$B,$B2019,$C:$C,$C2019,$H:$H,$H2019,$I:$I,$I2019)</f>
        <v>0.15</v>
      </c>
      <c r="L2019" s="81">
        <f t="shared" si="153"/>
        <v>1</v>
      </c>
      <c r="M2019" s="83">
        <f t="shared" si="155"/>
        <v>0</v>
      </c>
      <c r="N2019" s="84"/>
      <c r="AA2019" s="154">
        <f>AB2019/COUNTIFS($B:$B,$B2019,$C:$C,$C2019,$H:$H,$H2019,$I:$I,$I2019)</f>
        <v>0.15</v>
      </c>
      <c r="AB2019" s="155">
        <f>VLOOKUP(I2019,'Weights and Confidence'!$D$16:$AC$26,11,FALSE)</f>
        <v>0.15</v>
      </c>
      <c r="AC2019" s="156">
        <f>VLOOKUP(I2019,'Weights and Confidence'!$D$16:$AC$26,12,FALSE)</f>
        <v>1</v>
      </c>
    </row>
    <row r="2020" spans="1:29" x14ac:dyDescent="0.2">
      <c r="A2020" s="76" t="s">
        <v>566</v>
      </c>
      <c r="B2020" s="76" t="s">
        <v>87</v>
      </c>
      <c r="C2020" s="76" t="s">
        <v>655</v>
      </c>
      <c r="D2020" s="76" t="s">
        <v>65</v>
      </c>
      <c r="E2020" s="76"/>
      <c r="F2020" s="91" t="s">
        <v>656</v>
      </c>
      <c r="G2020" s="76">
        <v>8</v>
      </c>
      <c r="H2020" s="76" t="s">
        <v>17</v>
      </c>
      <c r="I2020" s="76" t="s">
        <v>25</v>
      </c>
      <c r="J2020" s="76">
        <v>0</v>
      </c>
      <c r="K2020" s="78">
        <f>AB2020/COUNTIFS($B:$B,$B2020,$C:$C,$C2020,$H:$H,$H2020,$I:$I,$I2020)</f>
        <v>0.1</v>
      </c>
      <c r="L2020" s="80">
        <f t="shared" si="153"/>
        <v>1</v>
      </c>
      <c r="M2020" s="82">
        <f t="shared" si="155"/>
        <v>0</v>
      </c>
      <c r="N2020" s="59"/>
      <c r="AA2020" s="154">
        <f>AB2020/COUNTIFS($B:$B,$B2020,$C:$C,$C2020,$H:$H,$H2020,$I:$I,$I2020)</f>
        <v>0.1</v>
      </c>
      <c r="AB2020" s="155">
        <f>VLOOKUP(I2020,'Weights and Confidence'!$D$16:$AC$26,11,FALSE)</f>
        <v>0.1</v>
      </c>
      <c r="AC2020" s="156">
        <f>VLOOKUP(I2020,'Weights and Confidence'!$D$16:$AC$26,12,FALSE)</f>
        <v>1</v>
      </c>
    </row>
    <row r="2021" spans="1:29" x14ac:dyDescent="0.2">
      <c r="A2021" s="77" t="s">
        <v>566</v>
      </c>
      <c r="B2021" s="77" t="s">
        <v>87</v>
      </c>
      <c r="C2021" s="77" t="s">
        <v>655</v>
      </c>
      <c r="D2021" s="77" t="s">
        <v>65</v>
      </c>
      <c r="E2021" s="77"/>
      <c r="F2021" s="91" t="s">
        <v>656</v>
      </c>
      <c r="G2021" s="77">
        <v>8</v>
      </c>
      <c r="H2021" s="77" t="s">
        <v>18</v>
      </c>
      <c r="I2021" s="77" t="s">
        <v>25</v>
      </c>
      <c r="J2021" s="77">
        <v>0</v>
      </c>
      <c r="K2021" s="79">
        <f>AB2021/COUNTIFS($B:$B,$B2021,$C:$C,$C2021,$H:$H,$H2021,$I:$I,$I2021)</f>
        <v>0.1</v>
      </c>
      <c r="L2021" s="81">
        <f t="shared" si="153"/>
        <v>1</v>
      </c>
      <c r="M2021" s="83">
        <f t="shared" si="155"/>
        <v>0</v>
      </c>
      <c r="N2021" s="17" t="s">
        <v>659</v>
      </c>
      <c r="AA2021" s="154">
        <f>AB2021/COUNTIFS($B:$B,$B2021,$C:$C,$C2021,$H:$H,$H2021,$I:$I,$I2021)</f>
        <v>0.1</v>
      </c>
      <c r="AB2021" s="155">
        <f>VLOOKUP(I2021,'Weights and Confidence'!$D$16:$AC$26,11,FALSE)</f>
        <v>0.1</v>
      </c>
      <c r="AC2021" s="156">
        <f>VLOOKUP(I2021,'Weights and Confidence'!$D$16:$AC$26,12,FALSE)</f>
        <v>1</v>
      </c>
    </row>
    <row r="2022" spans="1:29" x14ac:dyDescent="0.2">
      <c r="A2022" s="76" t="s">
        <v>566</v>
      </c>
      <c r="B2022" s="76" t="s">
        <v>87</v>
      </c>
      <c r="C2022" s="76" t="s">
        <v>655</v>
      </c>
      <c r="D2022" s="76" t="s">
        <v>65</v>
      </c>
      <c r="E2022" s="76"/>
      <c r="F2022" s="91" t="s">
        <v>656</v>
      </c>
      <c r="G2022" s="76">
        <v>9</v>
      </c>
      <c r="H2022" s="76" t="s">
        <v>17</v>
      </c>
      <c r="I2022" s="76" t="s">
        <v>26</v>
      </c>
      <c r="J2022" s="76">
        <v>0</v>
      </c>
      <c r="K2022" s="78">
        <f>AB2022/COUNTIFS($B:$B,$B2022,$C:$C,$C2022,$H:$H,$H2022,$I:$I,$I2022)</f>
        <v>0.1</v>
      </c>
      <c r="L2022" s="80">
        <f t="shared" si="153"/>
        <v>1</v>
      </c>
      <c r="M2022" s="82">
        <f t="shared" si="155"/>
        <v>0</v>
      </c>
      <c r="N2022" s="59"/>
      <c r="AA2022" s="154">
        <f>AB2022/COUNTIFS($B:$B,$B2022,$C:$C,$C2022,$H:$H,$H2022,$I:$I,$I2022)</f>
        <v>0.1</v>
      </c>
      <c r="AB2022" s="155">
        <f>VLOOKUP(I2022,'Weights and Confidence'!$D$16:$AC$26,11,FALSE)</f>
        <v>0.1</v>
      </c>
      <c r="AC2022" s="156">
        <f>VLOOKUP(I2022,'Weights and Confidence'!$D$16:$AC$26,12,FALSE)</f>
        <v>1</v>
      </c>
    </row>
    <row r="2023" spans="1:29" x14ac:dyDescent="0.2">
      <c r="A2023" s="77" t="s">
        <v>566</v>
      </c>
      <c r="B2023" s="77" t="s">
        <v>87</v>
      </c>
      <c r="C2023" s="77" t="s">
        <v>655</v>
      </c>
      <c r="D2023" s="77" t="s">
        <v>65</v>
      </c>
      <c r="E2023" s="77"/>
      <c r="F2023" s="91" t="s">
        <v>656</v>
      </c>
      <c r="G2023" s="77">
        <v>9</v>
      </c>
      <c r="H2023" s="77" t="s">
        <v>18</v>
      </c>
      <c r="I2023" s="77" t="s">
        <v>26</v>
      </c>
      <c r="J2023" s="77">
        <v>-1</v>
      </c>
      <c r="K2023" s="79">
        <f>AB2023/COUNTIFS($B:$B,$B2023,$C:$C,$C2023,$H:$H,$H2023,$I:$I,$I2023)</f>
        <v>0.1</v>
      </c>
      <c r="L2023" s="81">
        <f t="shared" si="153"/>
        <v>1</v>
      </c>
      <c r="M2023" s="83">
        <f t="shared" si="155"/>
        <v>-0.1</v>
      </c>
      <c r="N2023" s="17"/>
      <c r="AA2023" s="154">
        <f>AB2023/COUNTIFS($B:$B,$B2023,$C:$C,$C2023,$H:$H,$H2023,$I:$I,$I2023)</f>
        <v>0.1</v>
      </c>
      <c r="AB2023" s="155">
        <f>VLOOKUP(I2023,'Weights and Confidence'!$D$16:$AC$26,11,FALSE)</f>
        <v>0.1</v>
      </c>
      <c r="AC2023" s="156">
        <f>VLOOKUP(I2023,'Weights and Confidence'!$D$16:$AC$26,12,FALSE)</f>
        <v>1</v>
      </c>
    </row>
    <row r="2024" spans="1:29" x14ac:dyDescent="0.2">
      <c r="A2024" s="76" t="s">
        <v>566</v>
      </c>
      <c r="B2024" s="76" t="s">
        <v>87</v>
      </c>
      <c r="C2024" s="76" t="s">
        <v>655</v>
      </c>
      <c r="D2024" s="76" t="s">
        <v>65</v>
      </c>
      <c r="E2024" s="76"/>
      <c r="F2024" s="91" t="s">
        <v>656</v>
      </c>
      <c r="G2024" s="76">
        <v>10</v>
      </c>
      <c r="H2024" s="76" t="s">
        <v>17</v>
      </c>
      <c r="I2024" s="76" t="s">
        <v>27</v>
      </c>
      <c r="J2024" s="76">
        <v>0</v>
      </c>
      <c r="K2024" s="78">
        <f>AB2024/COUNTIFS($B:$B,$B2024,$C:$C,$C2024,$H:$H,$H2024,$I:$I,$I2024)</f>
        <v>0.05</v>
      </c>
      <c r="L2024" s="80">
        <f t="shared" si="153"/>
        <v>0.9</v>
      </c>
      <c r="M2024" s="82">
        <f t="shared" si="155"/>
        <v>0</v>
      </c>
      <c r="N2024" s="59"/>
      <c r="AA2024" s="154">
        <f>AB2024/COUNTIFS($B:$B,$B2024,$C:$C,$C2024,$H:$H,$H2024,$I:$I,$I2024)</f>
        <v>0.05</v>
      </c>
      <c r="AB2024" s="155">
        <f>VLOOKUP(I2024,'Weights and Confidence'!$D$16:$AC$26,11,FALSE)</f>
        <v>0.1</v>
      </c>
      <c r="AC2024" s="156">
        <f>VLOOKUP(I2024,'Weights and Confidence'!$D$16:$AC$26,12,FALSE)</f>
        <v>0.9</v>
      </c>
    </row>
    <row r="2025" spans="1:29" x14ac:dyDescent="0.2">
      <c r="A2025" s="77" t="s">
        <v>566</v>
      </c>
      <c r="B2025" s="77" t="s">
        <v>87</v>
      </c>
      <c r="C2025" s="77" t="s">
        <v>655</v>
      </c>
      <c r="D2025" s="77" t="s">
        <v>65</v>
      </c>
      <c r="E2025" s="77"/>
      <c r="F2025" s="91" t="s">
        <v>656</v>
      </c>
      <c r="G2025" s="77">
        <v>10</v>
      </c>
      <c r="H2025" s="77" t="s">
        <v>18</v>
      </c>
      <c r="I2025" s="77" t="s">
        <v>27</v>
      </c>
      <c r="J2025" s="77">
        <v>0</v>
      </c>
      <c r="K2025" s="79">
        <f>AB2025/COUNTIFS($B:$B,$B2025,$C:$C,$C2025,$H:$H,$H2025,$I:$I,$I2025)</f>
        <v>0.05</v>
      </c>
      <c r="L2025" s="81">
        <f t="shared" si="153"/>
        <v>0.9</v>
      </c>
      <c r="M2025" s="83">
        <f t="shared" si="155"/>
        <v>0</v>
      </c>
      <c r="N2025" s="84"/>
      <c r="AA2025" s="154">
        <f>AB2025/COUNTIFS($B:$B,$B2025,$C:$C,$C2025,$H:$H,$H2025,$I:$I,$I2025)</f>
        <v>0.05</v>
      </c>
      <c r="AB2025" s="155">
        <f>VLOOKUP(I2025,'Weights and Confidence'!$D$16:$AC$26,11,FALSE)</f>
        <v>0.1</v>
      </c>
      <c r="AC2025" s="156">
        <f>VLOOKUP(I2025,'Weights and Confidence'!$D$16:$AC$26,12,FALSE)</f>
        <v>0.9</v>
      </c>
    </row>
    <row r="2026" spans="1:29" x14ac:dyDescent="0.2">
      <c r="A2026" s="76" t="s">
        <v>566</v>
      </c>
      <c r="B2026" s="76" t="s">
        <v>87</v>
      </c>
      <c r="C2026" s="76" t="s">
        <v>655</v>
      </c>
      <c r="D2026" s="76" t="s">
        <v>65</v>
      </c>
      <c r="E2026" s="76"/>
      <c r="F2026" s="91" t="s">
        <v>656</v>
      </c>
      <c r="G2026" s="76">
        <v>11</v>
      </c>
      <c r="H2026" s="76" t="s">
        <v>17</v>
      </c>
      <c r="I2026" s="76" t="s">
        <v>27</v>
      </c>
      <c r="J2026" s="76">
        <v>0</v>
      </c>
      <c r="K2026" s="78">
        <f>AB2026/COUNTIFS($B:$B,$B2026,$C:$C,$C2026,$H:$H,$H2026,$I:$I,$I2026)</f>
        <v>0.05</v>
      </c>
      <c r="L2026" s="80">
        <f t="shared" si="153"/>
        <v>0.9</v>
      </c>
      <c r="M2026" s="82">
        <f t="shared" si="155"/>
        <v>0</v>
      </c>
      <c r="N2026" s="59"/>
      <c r="AA2026" s="154">
        <f>AB2026/COUNTIFS($B:$B,$B2026,$C:$C,$C2026,$H:$H,$H2026,$I:$I,$I2026)</f>
        <v>0.05</v>
      </c>
      <c r="AB2026" s="155">
        <f>VLOOKUP(I2026,'Weights and Confidence'!$D$16:$AC$26,11,FALSE)</f>
        <v>0.1</v>
      </c>
      <c r="AC2026" s="156">
        <f>VLOOKUP(I2026,'Weights and Confidence'!$D$16:$AC$26,12,FALSE)</f>
        <v>0.9</v>
      </c>
    </row>
    <row r="2027" spans="1:29" x14ac:dyDescent="0.2">
      <c r="A2027" s="77" t="s">
        <v>566</v>
      </c>
      <c r="B2027" s="77" t="s">
        <v>87</v>
      </c>
      <c r="C2027" s="77" t="s">
        <v>655</v>
      </c>
      <c r="D2027" s="77" t="s">
        <v>65</v>
      </c>
      <c r="E2027" s="77"/>
      <c r="F2027" s="91" t="s">
        <v>656</v>
      </c>
      <c r="G2027" s="77">
        <v>11</v>
      </c>
      <c r="H2027" s="77" t="s">
        <v>18</v>
      </c>
      <c r="I2027" s="77" t="s">
        <v>27</v>
      </c>
      <c r="J2027" s="77">
        <v>0</v>
      </c>
      <c r="K2027" s="79">
        <f>AB2027/COUNTIFS($B:$B,$B2027,$C:$C,$C2027,$H:$H,$H2027,$I:$I,$I2027)</f>
        <v>0.05</v>
      </c>
      <c r="L2027" s="81">
        <f t="shared" si="153"/>
        <v>0.9</v>
      </c>
      <c r="M2027" s="83">
        <f t="shared" si="155"/>
        <v>0</v>
      </c>
      <c r="N2027" s="17"/>
      <c r="AA2027" s="154">
        <f>AB2027/COUNTIFS($B:$B,$B2027,$C:$C,$C2027,$H:$H,$H2027,$I:$I,$I2027)</f>
        <v>0.05</v>
      </c>
      <c r="AB2027" s="155">
        <f>VLOOKUP(I2027,'Weights and Confidence'!$D$16:$AC$26,11,FALSE)</f>
        <v>0.1</v>
      </c>
      <c r="AC2027" s="156">
        <f>VLOOKUP(I2027,'Weights and Confidence'!$D$16:$AC$26,12,FALSE)</f>
        <v>0.9</v>
      </c>
    </row>
    <row r="2028" spans="1:29" x14ac:dyDescent="0.2">
      <c r="A2028" s="77" t="s">
        <v>566</v>
      </c>
      <c r="B2028" s="77" t="s">
        <v>87</v>
      </c>
      <c r="C2028" s="77" t="s">
        <v>655</v>
      </c>
      <c r="D2028" s="77" t="s">
        <v>65</v>
      </c>
      <c r="E2028" s="77"/>
      <c r="F2028" s="91" t="s">
        <v>656</v>
      </c>
      <c r="G2028" s="77">
        <v>12</v>
      </c>
      <c r="H2028" s="77" t="s">
        <v>17</v>
      </c>
      <c r="I2028" s="77" t="s">
        <v>28</v>
      </c>
      <c r="J2028" s="77">
        <v>0</v>
      </c>
      <c r="K2028" s="79">
        <f>AB2028/COUNTIFS($B:$B,$B2028,$C:$C,$C2028,$H:$H,$H2028,$I:$I,$I2028)</f>
        <v>0.05</v>
      </c>
      <c r="L2028" s="81">
        <f t="shared" si="153"/>
        <v>1</v>
      </c>
      <c r="M2028" s="83">
        <f>J2028*K2028*L2028</f>
        <v>0</v>
      </c>
      <c r="N2028" s="58"/>
      <c r="AA2028" s="154">
        <f>AB2028/COUNTIFS($B:$B,$B2028,$C:$C,$C2028,$H:$H,$H2028,$I:$I,$I2028)</f>
        <v>0.05</v>
      </c>
      <c r="AB2028" s="155">
        <f>VLOOKUP(I2028,'Weights and Confidence'!$D$16:$AC$26,11,FALSE)</f>
        <v>0.05</v>
      </c>
      <c r="AC2028" s="156">
        <f>VLOOKUP(I2028,'Weights and Confidence'!$D$16:$AC$26,12,FALSE)</f>
        <v>1</v>
      </c>
    </row>
    <row r="2029" spans="1:29" ht="17" thickBot="1" x14ac:dyDescent="0.25">
      <c r="A2029" s="98" t="s">
        <v>566</v>
      </c>
      <c r="B2029" s="98" t="s">
        <v>87</v>
      </c>
      <c r="C2029" s="98" t="s">
        <v>655</v>
      </c>
      <c r="D2029" s="98" t="s">
        <v>65</v>
      </c>
      <c r="E2029" s="98"/>
      <c r="F2029" s="93" t="s">
        <v>656</v>
      </c>
      <c r="G2029" s="98">
        <v>12</v>
      </c>
      <c r="H2029" s="98" t="s">
        <v>18</v>
      </c>
      <c r="I2029" s="98" t="s">
        <v>28</v>
      </c>
      <c r="J2029" s="98">
        <v>-1</v>
      </c>
      <c r="K2029" s="99">
        <f>AB2029/COUNTIFS($B:$B,$B2029,$C:$C,$C2029,$H:$H,$H2029,$I:$I,$I2029)</f>
        <v>0.05</v>
      </c>
      <c r="L2029" s="100">
        <f t="shared" si="153"/>
        <v>1</v>
      </c>
      <c r="M2029" s="101">
        <f>J2029*K2029*L2029</f>
        <v>-0.05</v>
      </c>
      <c r="N2029" s="163"/>
      <c r="AA2029" s="157">
        <f>AB2029/COUNTIFS($B:$B,$B2029,$C:$C,$C2029,$H:$H,$H2029,$I:$I,$I2029)</f>
        <v>0.05</v>
      </c>
      <c r="AB2029" s="158">
        <f>VLOOKUP(I2029,'Weights and Confidence'!$D$16:$AC$26,11,FALSE)</f>
        <v>0.05</v>
      </c>
      <c r="AC2029" s="159">
        <f>VLOOKUP(I2029,'Weights and Confidence'!$D$16:$AC$26,12,FALSE)</f>
        <v>1</v>
      </c>
    </row>
    <row r="2030" spans="1:29" ht="17" thickTop="1" x14ac:dyDescent="0.2">
      <c r="A2030" s="86" t="s">
        <v>566</v>
      </c>
      <c r="B2030" s="86" t="s">
        <v>87</v>
      </c>
      <c r="C2030" s="86" t="s">
        <v>661</v>
      </c>
      <c r="D2030" s="86" t="s">
        <v>65</v>
      </c>
      <c r="E2030" s="86"/>
      <c r="F2030" s="18" t="s">
        <v>662</v>
      </c>
      <c r="G2030" s="86">
        <v>1</v>
      </c>
      <c r="H2030" s="86" t="s">
        <v>17</v>
      </c>
      <c r="I2030" s="86" t="s">
        <v>19</v>
      </c>
      <c r="J2030" s="97">
        <v>1</v>
      </c>
      <c r="K2030" s="87">
        <f>AB2030/COUNTIFS($B:$B,$B2030,$C:$C,$C2030,$H:$H,$H2030,$I:$I,$I2030)</f>
        <v>0.12</v>
      </c>
      <c r="L2030" s="88">
        <f t="shared" ref="L2030:L2053" si="156">AC2030</f>
        <v>1</v>
      </c>
      <c r="M2030" s="89">
        <f t="shared" ref="M2030" si="157">J2030*K2030*L2030</f>
        <v>0.12</v>
      </c>
      <c r="N2030" s="90"/>
      <c r="AA2030" s="154">
        <f>AB2030/COUNTIFS($B:$B,$B2030,$C:$C,$C2030,$H:$H,$H2030,$I:$I,$I2030)</f>
        <v>0.12</v>
      </c>
      <c r="AB2030" s="155">
        <f>VLOOKUP(I2030,'Weights and Confidence'!$D$16:$AC$26,11,FALSE)</f>
        <v>0.12</v>
      </c>
      <c r="AC2030" s="156">
        <f>VLOOKUP(I2030,'Weights and Confidence'!$D$16:$AC$26,12,FALSE)</f>
        <v>1</v>
      </c>
    </row>
    <row r="2031" spans="1:29" x14ac:dyDescent="0.2">
      <c r="A2031" s="77" t="s">
        <v>566</v>
      </c>
      <c r="B2031" s="77" t="s">
        <v>87</v>
      </c>
      <c r="C2031" s="77" t="s">
        <v>661</v>
      </c>
      <c r="D2031" s="77" t="s">
        <v>65</v>
      </c>
      <c r="E2031" s="77"/>
      <c r="F2031" s="91" t="s">
        <v>662</v>
      </c>
      <c r="G2031" s="77">
        <v>1</v>
      </c>
      <c r="H2031" s="77" t="s">
        <v>18</v>
      </c>
      <c r="I2031" s="77" t="s">
        <v>19</v>
      </c>
      <c r="J2031" s="77">
        <v>-1</v>
      </c>
      <c r="K2031" s="79">
        <f>AB2031/COUNTIFS($B:$B,$B2031,$C:$C,$C2031,$H:$H,$H2031,$I:$I,$I2031)</f>
        <v>0.12</v>
      </c>
      <c r="L2031" s="81">
        <f t="shared" si="156"/>
        <v>1</v>
      </c>
      <c r="M2031" s="83">
        <f>J2030*K2031*L2031</f>
        <v>0.12</v>
      </c>
      <c r="N2031" s="17" t="s">
        <v>663</v>
      </c>
      <c r="AA2031" s="154">
        <f>AB2031/COUNTIFS($B:$B,$B2031,$C:$C,$C2031,$H:$H,$H2031,$I:$I,$I2031)</f>
        <v>0.12</v>
      </c>
      <c r="AB2031" s="155">
        <f>VLOOKUP(I2031,'Weights and Confidence'!$D$16:$AC$26,11,FALSE)</f>
        <v>0.12</v>
      </c>
      <c r="AC2031" s="156">
        <f>VLOOKUP(I2031,'Weights and Confidence'!$D$16:$AC$26,12,FALSE)</f>
        <v>1</v>
      </c>
    </row>
    <row r="2032" spans="1:29" x14ac:dyDescent="0.2">
      <c r="A2032" s="76" t="s">
        <v>566</v>
      </c>
      <c r="B2032" s="76" t="s">
        <v>87</v>
      </c>
      <c r="C2032" s="76" t="s">
        <v>661</v>
      </c>
      <c r="D2032" s="76" t="s">
        <v>65</v>
      </c>
      <c r="E2032" s="76"/>
      <c r="F2032" s="91" t="s">
        <v>662</v>
      </c>
      <c r="G2032" s="76">
        <v>2</v>
      </c>
      <c r="H2032" s="76" t="s">
        <v>17</v>
      </c>
      <c r="I2032" s="76" t="s">
        <v>20</v>
      </c>
      <c r="J2032" s="76">
        <v>1</v>
      </c>
      <c r="K2032" s="78">
        <f>AB2032/COUNTIFS($B:$B,$B2032,$C:$C,$C2032,$H:$H,$H2032,$I:$I,$I2032)</f>
        <v>0.08</v>
      </c>
      <c r="L2032" s="80">
        <f t="shared" si="156"/>
        <v>0.9</v>
      </c>
      <c r="M2032" s="82">
        <f t="shared" ref="M2032:M2051" si="158">J2032*K2032*L2032</f>
        <v>7.2000000000000008E-2</v>
      </c>
      <c r="N2032" s="59"/>
      <c r="AA2032" s="154">
        <f>AB2032/COUNTIFS($B:$B,$B2032,$C:$C,$C2032,$H:$H,$H2032,$I:$I,$I2032)</f>
        <v>0.08</v>
      </c>
      <c r="AB2032" s="155">
        <f>VLOOKUP(I2032,'Weights and Confidence'!$D$16:$AC$26,11,FALSE)</f>
        <v>0.08</v>
      </c>
      <c r="AC2032" s="156">
        <f>VLOOKUP(I2032,'Weights and Confidence'!$D$16:$AC$26,12,FALSE)</f>
        <v>0.9</v>
      </c>
    </row>
    <row r="2033" spans="1:29" x14ac:dyDescent="0.2">
      <c r="A2033" s="77" t="s">
        <v>566</v>
      </c>
      <c r="B2033" s="77" t="s">
        <v>87</v>
      </c>
      <c r="C2033" s="77" t="s">
        <v>661</v>
      </c>
      <c r="D2033" s="77" t="s">
        <v>65</v>
      </c>
      <c r="E2033" s="77"/>
      <c r="F2033" s="91" t="s">
        <v>662</v>
      </c>
      <c r="G2033" s="77">
        <v>2</v>
      </c>
      <c r="H2033" s="77" t="s">
        <v>18</v>
      </c>
      <c r="I2033" s="77" t="s">
        <v>20</v>
      </c>
      <c r="J2033" s="77">
        <v>0</v>
      </c>
      <c r="K2033" s="79">
        <f>AB2033/COUNTIFS($B:$B,$B2033,$C:$C,$C2033,$H:$H,$H2033,$I:$I,$I2033)</f>
        <v>0.08</v>
      </c>
      <c r="L2033" s="81">
        <f t="shared" si="156"/>
        <v>0.9</v>
      </c>
      <c r="M2033" s="83">
        <f t="shared" si="158"/>
        <v>0</v>
      </c>
      <c r="N2033" s="17"/>
      <c r="AA2033" s="154">
        <f>AB2033/COUNTIFS($B:$B,$B2033,$C:$C,$C2033,$H:$H,$H2033,$I:$I,$I2033)</f>
        <v>0.08</v>
      </c>
      <c r="AB2033" s="155">
        <f>VLOOKUP(I2033,'Weights and Confidence'!$D$16:$AC$26,11,FALSE)</f>
        <v>0.08</v>
      </c>
      <c r="AC2033" s="156">
        <f>VLOOKUP(I2033,'Weights and Confidence'!$D$16:$AC$26,12,FALSE)</f>
        <v>0.9</v>
      </c>
    </row>
    <row r="2034" spans="1:29" x14ac:dyDescent="0.2">
      <c r="A2034" s="76" t="s">
        <v>566</v>
      </c>
      <c r="B2034" s="76" t="s">
        <v>87</v>
      </c>
      <c r="C2034" s="76" t="s">
        <v>661</v>
      </c>
      <c r="D2034" s="76" t="s">
        <v>65</v>
      </c>
      <c r="E2034" s="76"/>
      <c r="F2034" s="91" t="s">
        <v>662</v>
      </c>
      <c r="G2034" s="76">
        <v>3</v>
      </c>
      <c r="H2034" s="76" t="s">
        <v>17</v>
      </c>
      <c r="I2034" s="76" t="s">
        <v>21</v>
      </c>
      <c r="J2034" s="76">
        <v>1</v>
      </c>
      <c r="K2034" s="78">
        <f>AB2034/COUNTIFS($B:$B,$B2034,$C:$C,$C2034,$H:$H,$H2034,$I:$I,$I2034)</f>
        <v>0.05</v>
      </c>
      <c r="L2034" s="80">
        <f t="shared" si="156"/>
        <v>1</v>
      </c>
      <c r="M2034" s="82">
        <f t="shared" si="158"/>
        <v>0.05</v>
      </c>
      <c r="N2034" s="59"/>
      <c r="AA2034" s="154">
        <f>AB2034/COUNTIFS($B:$B,$B2034,$C:$C,$C2034,$H:$H,$H2034,$I:$I,$I2034)</f>
        <v>0.05</v>
      </c>
      <c r="AB2034" s="155">
        <f>VLOOKUP(I2034,'Weights and Confidence'!$D$16:$AC$26,11,FALSE)</f>
        <v>0.05</v>
      </c>
      <c r="AC2034" s="156">
        <f>VLOOKUP(I2034,'Weights and Confidence'!$D$16:$AC$26,12,FALSE)</f>
        <v>1</v>
      </c>
    </row>
    <row r="2035" spans="1:29" x14ac:dyDescent="0.2">
      <c r="A2035" s="77" t="s">
        <v>566</v>
      </c>
      <c r="B2035" s="77" t="s">
        <v>87</v>
      </c>
      <c r="C2035" s="77" t="s">
        <v>661</v>
      </c>
      <c r="D2035" s="77" t="s">
        <v>65</v>
      </c>
      <c r="E2035" s="77"/>
      <c r="F2035" s="91" t="s">
        <v>662</v>
      </c>
      <c r="G2035" s="77">
        <v>3</v>
      </c>
      <c r="H2035" s="77" t="s">
        <v>18</v>
      </c>
      <c r="I2035" s="77" t="s">
        <v>21</v>
      </c>
      <c r="J2035" s="77">
        <v>1</v>
      </c>
      <c r="K2035" s="79">
        <f>AB2035/COUNTIFS($B:$B,$B2035,$C:$C,$C2035,$H:$H,$H2035,$I:$I,$I2035)</f>
        <v>0.05</v>
      </c>
      <c r="L2035" s="81">
        <f t="shared" si="156"/>
        <v>1</v>
      </c>
      <c r="M2035" s="83">
        <f t="shared" si="158"/>
        <v>0.05</v>
      </c>
      <c r="N2035" s="17"/>
      <c r="AA2035" s="154">
        <f>AB2035/COUNTIFS($B:$B,$B2035,$C:$C,$C2035,$H:$H,$H2035,$I:$I,$I2035)</f>
        <v>0.05</v>
      </c>
      <c r="AB2035" s="155">
        <f>VLOOKUP(I2035,'Weights and Confidence'!$D$16:$AC$26,11,FALSE)</f>
        <v>0.05</v>
      </c>
      <c r="AC2035" s="156">
        <f>VLOOKUP(I2035,'Weights and Confidence'!$D$16:$AC$26,12,FALSE)</f>
        <v>1</v>
      </c>
    </row>
    <row r="2036" spans="1:29" x14ac:dyDescent="0.2">
      <c r="A2036" s="76" t="s">
        <v>566</v>
      </c>
      <c r="B2036" s="76" t="s">
        <v>87</v>
      </c>
      <c r="C2036" s="76" t="s">
        <v>661</v>
      </c>
      <c r="D2036" s="76" t="s">
        <v>65</v>
      </c>
      <c r="E2036" s="76"/>
      <c r="F2036" s="91" t="s">
        <v>662</v>
      </c>
      <c r="G2036" s="76">
        <v>4</v>
      </c>
      <c r="H2036" s="76" t="s">
        <v>17</v>
      </c>
      <c r="I2036" s="76" t="s">
        <v>22</v>
      </c>
      <c r="J2036" s="76">
        <v>1</v>
      </c>
      <c r="K2036" s="78">
        <f>AB2036/COUNTIFS($B:$B,$B2036,$C:$C,$C2036,$H:$H,$H2036,$I:$I,$I2036)</f>
        <v>0.1</v>
      </c>
      <c r="L2036" s="80">
        <f t="shared" si="156"/>
        <v>1</v>
      </c>
      <c r="M2036" s="82">
        <f t="shared" si="158"/>
        <v>0.1</v>
      </c>
      <c r="N2036" s="59"/>
      <c r="AA2036" s="154">
        <f>AB2036/COUNTIFS($B:$B,$B2036,$C:$C,$C2036,$H:$H,$H2036,$I:$I,$I2036)</f>
        <v>0.1</v>
      </c>
      <c r="AB2036" s="155">
        <f>VLOOKUP(I2036,'Weights and Confidence'!$D$16:$AC$26,11,FALSE)</f>
        <v>0.1</v>
      </c>
      <c r="AC2036" s="156">
        <f>VLOOKUP(I2036,'Weights and Confidence'!$D$16:$AC$26,12,FALSE)</f>
        <v>1</v>
      </c>
    </row>
    <row r="2037" spans="1:29" x14ac:dyDescent="0.2">
      <c r="A2037" s="77" t="s">
        <v>566</v>
      </c>
      <c r="B2037" s="77" t="s">
        <v>87</v>
      </c>
      <c r="C2037" s="77" t="s">
        <v>661</v>
      </c>
      <c r="D2037" s="77" t="s">
        <v>65</v>
      </c>
      <c r="E2037" s="77"/>
      <c r="F2037" s="91" t="s">
        <v>662</v>
      </c>
      <c r="G2037" s="77">
        <v>4</v>
      </c>
      <c r="H2037" s="77" t="s">
        <v>18</v>
      </c>
      <c r="I2037" s="77" t="s">
        <v>22</v>
      </c>
      <c r="J2037" s="77">
        <v>0</v>
      </c>
      <c r="K2037" s="79">
        <f>AB2037/COUNTIFS($B:$B,$B2037,$C:$C,$C2037,$H:$H,$H2037,$I:$I,$I2037)</f>
        <v>0.1</v>
      </c>
      <c r="L2037" s="81">
        <f t="shared" si="156"/>
        <v>1</v>
      </c>
      <c r="M2037" s="83">
        <f t="shared" si="158"/>
        <v>0</v>
      </c>
      <c r="N2037" s="17" t="s">
        <v>664</v>
      </c>
      <c r="AA2037" s="154">
        <f>AB2037/COUNTIFS($B:$B,$B2037,$C:$C,$C2037,$H:$H,$H2037,$I:$I,$I2037)</f>
        <v>0.1</v>
      </c>
      <c r="AB2037" s="155">
        <f>VLOOKUP(I2037,'Weights and Confidence'!$D$16:$AC$26,11,FALSE)</f>
        <v>0.1</v>
      </c>
      <c r="AC2037" s="156">
        <f>VLOOKUP(I2037,'Weights and Confidence'!$D$16:$AC$26,12,FALSE)</f>
        <v>1</v>
      </c>
    </row>
    <row r="2038" spans="1:29" x14ac:dyDescent="0.2">
      <c r="A2038" s="76" t="s">
        <v>566</v>
      </c>
      <c r="B2038" s="76" t="s">
        <v>87</v>
      </c>
      <c r="C2038" s="76" t="s">
        <v>661</v>
      </c>
      <c r="D2038" s="76" t="s">
        <v>65</v>
      </c>
      <c r="E2038" s="76"/>
      <c r="F2038" s="91" t="s">
        <v>662</v>
      </c>
      <c r="G2038" s="76">
        <v>5</v>
      </c>
      <c r="H2038" s="76" t="s">
        <v>17</v>
      </c>
      <c r="I2038" s="76" t="s">
        <v>34</v>
      </c>
      <c r="J2038" s="76">
        <v>0</v>
      </c>
      <c r="K2038" s="78">
        <f>AB2038/COUNTIFS($B:$B,$B2038,$C:$C,$C2038,$H:$H,$H2038,$I:$I,$I2038)</f>
        <v>0.08</v>
      </c>
      <c r="L2038" s="80">
        <f t="shared" si="156"/>
        <v>1</v>
      </c>
      <c r="M2038" s="82">
        <f t="shared" si="158"/>
        <v>0</v>
      </c>
      <c r="N2038" s="84"/>
      <c r="AA2038" s="154">
        <f>AB2038/COUNTIFS($B:$B,$B2038,$C:$C,$C2038,$H:$H,$H2038,$I:$I,$I2038)</f>
        <v>0.08</v>
      </c>
      <c r="AB2038" s="155">
        <f>VLOOKUP(I2038,'Weights and Confidence'!$D$16:$AC$26,11,FALSE)</f>
        <v>0.08</v>
      </c>
      <c r="AC2038" s="156">
        <f>VLOOKUP(I2038,'Weights and Confidence'!$D$16:$AC$26,12,FALSE)</f>
        <v>1</v>
      </c>
    </row>
    <row r="2039" spans="1:29" x14ac:dyDescent="0.2">
      <c r="A2039" s="77" t="s">
        <v>566</v>
      </c>
      <c r="B2039" s="77" t="s">
        <v>87</v>
      </c>
      <c r="C2039" s="77" t="s">
        <v>661</v>
      </c>
      <c r="D2039" s="77" t="s">
        <v>65</v>
      </c>
      <c r="E2039" s="77"/>
      <c r="F2039" s="91" t="s">
        <v>662</v>
      </c>
      <c r="G2039" s="77">
        <v>5</v>
      </c>
      <c r="H2039" s="77" t="s">
        <v>18</v>
      </c>
      <c r="I2039" s="77" t="s">
        <v>34</v>
      </c>
      <c r="J2039" s="77">
        <v>0</v>
      </c>
      <c r="K2039" s="79">
        <f>AB2039/COUNTIFS($B:$B,$B2039,$C:$C,$C2039,$H:$H,$H2039,$I:$I,$I2039)</f>
        <v>0.08</v>
      </c>
      <c r="L2039" s="81">
        <f t="shared" si="156"/>
        <v>1</v>
      </c>
      <c r="M2039" s="83">
        <f t="shared" si="158"/>
        <v>0</v>
      </c>
      <c r="N2039" s="17"/>
      <c r="AA2039" s="154">
        <f>AB2039/COUNTIFS($B:$B,$B2039,$C:$C,$C2039,$H:$H,$H2039,$I:$I,$I2039)</f>
        <v>0.08</v>
      </c>
      <c r="AB2039" s="155">
        <f>VLOOKUP(I2039,'Weights and Confidence'!$D$16:$AC$26,11,FALSE)</f>
        <v>0.08</v>
      </c>
      <c r="AC2039" s="156">
        <f>VLOOKUP(I2039,'Weights and Confidence'!$D$16:$AC$26,12,FALSE)</f>
        <v>1</v>
      </c>
    </row>
    <row r="2040" spans="1:29" x14ac:dyDescent="0.2">
      <c r="A2040" s="76" t="s">
        <v>566</v>
      </c>
      <c r="B2040" s="76" t="s">
        <v>87</v>
      </c>
      <c r="C2040" s="76" t="s">
        <v>661</v>
      </c>
      <c r="D2040" s="76" t="s">
        <v>65</v>
      </c>
      <c r="E2040" s="76"/>
      <c r="F2040" s="91" t="s">
        <v>662</v>
      </c>
      <c r="G2040" s="76">
        <v>6</v>
      </c>
      <c r="H2040" s="76" t="s">
        <v>17</v>
      </c>
      <c r="I2040" s="76" t="s">
        <v>23</v>
      </c>
      <c r="J2040" s="76">
        <v>0</v>
      </c>
      <c r="K2040" s="78">
        <f>AB2040/COUNTIFS($B:$B,$B2040,$C:$C,$C2040,$H:$H,$H2040,$I:$I,$I2040)</f>
        <v>7.0000000000000007E-2</v>
      </c>
      <c r="L2040" s="80">
        <f t="shared" si="156"/>
        <v>1</v>
      </c>
      <c r="M2040" s="82">
        <f t="shared" si="158"/>
        <v>0</v>
      </c>
      <c r="N2040" s="59"/>
      <c r="AA2040" s="154">
        <f>AB2040/COUNTIFS($B:$B,$B2040,$C:$C,$C2040,$H:$H,$H2040,$I:$I,$I2040)</f>
        <v>7.0000000000000007E-2</v>
      </c>
      <c r="AB2040" s="155">
        <f>VLOOKUP(I2040,'Weights and Confidence'!$D$16:$AC$26,11,FALSE)</f>
        <v>7.0000000000000007E-2</v>
      </c>
      <c r="AC2040" s="156">
        <f>VLOOKUP(I2040,'Weights and Confidence'!$D$16:$AC$26,12,FALSE)</f>
        <v>1</v>
      </c>
    </row>
    <row r="2041" spans="1:29" x14ac:dyDescent="0.2">
      <c r="A2041" s="77" t="s">
        <v>566</v>
      </c>
      <c r="B2041" s="77" t="s">
        <v>87</v>
      </c>
      <c r="C2041" s="77" t="s">
        <v>661</v>
      </c>
      <c r="D2041" s="77" t="s">
        <v>65</v>
      </c>
      <c r="E2041" s="77"/>
      <c r="F2041" s="91" t="s">
        <v>662</v>
      </c>
      <c r="G2041" s="77">
        <v>6</v>
      </c>
      <c r="H2041" s="77" t="s">
        <v>18</v>
      </c>
      <c r="I2041" s="77" t="s">
        <v>23</v>
      </c>
      <c r="J2041" s="77">
        <v>0</v>
      </c>
      <c r="K2041" s="79">
        <f>AB2041/COUNTIFS($B:$B,$B2041,$C:$C,$C2041,$H:$H,$H2041,$I:$I,$I2041)</f>
        <v>7.0000000000000007E-2</v>
      </c>
      <c r="L2041" s="81">
        <f t="shared" si="156"/>
        <v>1</v>
      </c>
      <c r="M2041" s="83">
        <f t="shared" si="158"/>
        <v>0</v>
      </c>
      <c r="N2041" s="17" t="s">
        <v>665</v>
      </c>
      <c r="AA2041" s="154">
        <f>AB2041/COUNTIFS($B:$B,$B2041,$C:$C,$C2041,$H:$H,$H2041,$I:$I,$I2041)</f>
        <v>7.0000000000000007E-2</v>
      </c>
      <c r="AB2041" s="155">
        <f>VLOOKUP(I2041,'Weights and Confidence'!$D$16:$AC$26,11,FALSE)</f>
        <v>7.0000000000000007E-2</v>
      </c>
      <c r="AC2041" s="156">
        <f>VLOOKUP(I2041,'Weights and Confidence'!$D$16:$AC$26,12,FALSE)</f>
        <v>1</v>
      </c>
    </row>
    <row r="2042" spans="1:29" x14ac:dyDescent="0.2">
      <c r="A2042" s="76" t="s">
        <v>566</v>
      </c>
      <c r="B2042" s="76" t="s">
        <v>87</v>
      </c>
      <c r="C2042" s="76" t="s">
        <v>661</v>
      </c>
      <c r="D2042" s="76" t="s">
        <v>65</v>
      </c>
      <c r="E2042" s="76"/>
      <c r="F2042" s="91" t="s">
        <v>662</v>
      </c>
      <c r="G2042" s="76">
        <v>7</v>
      </c>
      <c r="H2042" s="76" t="s">
        <v>17</v>
      </c>
      <c r="I2042" s="76" t="s">
        <v>24</v>
      </c>
      <c r="J2042" s="76">
        <v>0</v>
      </c>
      <c r="K2042" s="78">
        <f>AB2042/COUNTIFS($B:$B,$B2042,$C:$C,$C2042,$H:$H,$H2042,$I:$I,$I2042)</f>
        <v>0.15</v>
      </c>
      <c r="L2042" s="80">
        <f t="shared" si="156"/>
        <v>1</v>
      </c>
      <c r="M2042" s="82">
        <f t="shared" si="158"/>
        <v>0</v>
      </c>
      <c r="N2042" s="59"/>
      <c r="AA2042" s="154">
        <f>AB2042/COUNTIFS($B:$B,$B2042,$C:$C,$C2042,$H:$H,$H2042,$I:$I,$I2042)</f>
        <v>0.15</v>
      </c>
      <c r="AB2042" s="155">
        <f>VLOOKUP(I2042,'Weights and Confidence'!$D$16:$AC$26,11,FALSE)</f>
        <v>0.15</v>
      </c>
      <c r="AC2042" s="156">
        <f>VLOOKUP(I2042,'Weights and Confidence'!$D$16:$AC$26,12,FALSE)</f>
        <v>1</v>
      </c>
    </row>
    <row r="2043" spans="1:29" x14ac:dyDescent="0.2">
      <c r="A2043" s="77" t="s">
        <v>566</v>
      </c>
      <c r="B2043" s="77" t="s">
        <v>87</v>
      </c>
      <c r="C2043" s="77" t="s">
        <v>661</v>
      </c>
      <c r="D2043" s="77" t="s">
        <v>65</v>
      </c>
      <c r="E2043" s="77"/>
      <c r="F2043" s="91" t="s">
        <v>662</v>
      </c>
      <c r="G2043" s="77">
        <v>7</v>
      </c>
      <c r="H2043" s="77" t="s">
        <v>18</v>
      </c>
      <c r="I2043" s="77" t="s">
        <v>24</v>
      </c>
      <c r="J2043" s="77">
        <v>0</v>
      </c>
      <c r="K2043" s="79">
        <f>AB2043/COUNTIFS($B:$B,$B2043,$C:$C,$C2043,$H:$H,$H2043,$I:$I,$I2043)</f>
        <v>0.15</v>
      </c>
      <c r="L2043" s="81">
        <f t="shared" si="156"/>
        <v>1</v>
      </c>
      <c r="M2043" s="83">
        <f t="shared" si="158"/>
        <v>0</v>
      </c>
      <c r="N2043" s="84"/>
      <c r="AA2043" s="154">
        <f>AB2043/COUNTIFS($B:$B,$B2043,$C:$C,$C2043,$H:$H,$H2043,$I:$I,$I2043)</f>
        <v>0.15</v>
      </c>
      <c r="AB2043" s="155">
        <f>VLOOKUP(I2043,'Weights and Confidence'!$D$16:$AC$26,11,FALSE)</f>
        <v>0.15</v>
      </c>
      <c r="AC2043" s="156">
        <f>VLOOKUP(I2043,'Weights and Confidence'!$D$16:$AC$26,12,FALSE)</f>
        <v>1</v>
      </c>
    </row>
    <row r="2044" spans="1:29" x14ac:dyDescent="0.2">
      <c r="A2044" s="76" t="s">
        <v>566</v>
      </c>
      <c r="B2044" s="76" t="s">
        <v>87</v>
      </c>
      <c r="C2044" s="76" t="s">
        <v>661</v>
      </c>
      <c r="D2044" s="76" t="s">
        <v>65</v>
      </c>
      <c r="E2044" s="76"/>
      <c r="F2044" s="91" t="s">
        <v>662</v>
      </c>
      <c r="G2044" s="76">
        <v>8</v>
      </c>
      <c r="H2044" s="76" t="s">
        <v>17</v>
      </c>
      <c r="I2044" s="76" t="s">
        <v>25</v>
      </c>
      <c r="J2044" s="76">
        <v>0</v>
      </c>
      <c r="K2044" s="78">
        <f>AB2044/COUNTIFS($B:$B,$B2044,$C:$C,$C2044,$H:$H,$H2044,$I:$I,$I2044)</f>
        <v>0.1</v>
      </c>
      <c r="L2044" s="80">
        <f t="shared" si="156"/>
        <v>1</v>
      </c>
      <c r="M2044" s="82">
        <f t="shared" si="158"/>
        <v>0</v>
      </c>
      <c r="N2044" s="59"/>
      <c r="AA2044" s="154">
        <f>AB2044/COUNTIFS($B:$B,$B2044,$C:$C,$C2044,$H:$H,$H2044,$I:$I,$I2044)</f>
        <v>0.1</v>
      </c>
      <c r="AB2044" s="155">
        <f>VLOOKUP(I2044,'Weights and Confidence'!$D$16:$AC$26,11,FALSE)</f>
        <v>0.1</v>
      </c>
      <c r="AC2044" s="156">
        <f>VLOOKUP(I2044,'Weights and Confidence'!$D$16:$AC$26,12,FALSE)</f>
        <v>1</v>
      </c>
    </row>
    <row r="2045" spans="1:29" x14ac:dyDescent="0.2">
      <c r="A2045" s="77" t="s">
        <v>566</v>
      </c>
      <c r="B2045" s="77" t="s">
        <v>87</v>
      </c>
      <c r="C2045" s="77" t="s">
        <v>661</v>
      </c>
      <c r="D2045" s="77" t="s">
        <v>65</v>
      </c>
      <c r="E2045" s="77"/>
      <c r="F2045" s="91" t="s">
        <v>662</v>
      </c>
      <c r="G2045" s="77">
        <v>8</v>
      </c>
      <c r="H2045" s="77" t="s">
        <v>18</v>
      </c>
      <c r="I2045" s="77" t="s">
        <v>25</v>
      </c>
      <c r="J2045" s="77">
        <v>0</v>
      </c>
      <c r="K2045" s="79">
        <f>AB2045/COUNTIFS($B:$B,$B2045,$C:$C,$C2045,$H:$H,$H2045,$I:$I,$I2045)</f>
        <v>0.1</v>
      </c>
      <c r="L2045" s="81">
        <f t="shared" si="156"/>
        <v>1</v>
      </c>
      <c r="M2045" s="83">
        <f t="shared" si="158"/>
        <v>0</v>
      </c>
      <c r="N2045" s="17"/>
      <c r="AA2045" s="154">
        <f>AB2045/COUNTIFS($B:$B,$B2045,$C:$C,$C2045,$H:$H,$H2045,$I:$I,$I2045)</f>
        <v>0.1</v>
      </c>
      <c r="AB2045" s="155">
        <f>VLOOKUP(I2045,'Weights and Confidence'!$D$16:$AC$26,11,FALSE)</f>
        <v>0.1</v>
      </c>
      <c r="AC2045" s="156">
        <f>VLOOKUP(I2045,'Weights and Confidence'!$D$16:$AC$26,12,FALSE)</f>
        <v>1</v>
      </c>
    </row>
    <row r="2046" spans="1:29" x14ac:dyDescent="0.2">
      <c r="A2046" s="76" t="s">
        <v>566</v>
      </c>
      <c r="B2046" s="76" t="s">
        <v>87</v>
      </c>
      <c r="C2046" s="76" t="s">
        <v>661</v>
      </c>
      <c r="D2046" s="76" t="s">
        <v>65</v>
      </c>
      <c r="E2046" s="76"/>
      <c r="F2046" s="91" t="s">
        <v>662</v>
      </c>
      <c r="G2046" s="76">
        <v>9</v>
      </c>
      <c r="H2046" s="76" t="s">
        <v>17</v>
      </c>
      <c r="I2046" s="76" t="s">
        <v>26</v>
      </c>
      <c r="J2046" s="76">
        <v>0</v>
      </c>
      <c r="K2046" s="78">
        <f>AB2046/COUNTIFS($B:$B,$B2046,$C:$C,$C2046,$H:$H,$H2046,$I:$I,$I2046)</f>
        <v>0.1</v>
      </c>
      <c r="L2046" s="80">
        <f t="shared" si="156"/>
        <v>1</v>
      </c>
      <c r="M2046" s="82">
        <f t="shared" si="158"/>
        <v>0</v>
      </c>
      <c r="N2046" s="59"/>
      <c r="AA2046" s="154">
        <f>AB2046/COUNTIFS($B:$B,$B2046,$C:$C,$C2046,$H:$H,$H2046,$I:$I,$I2046)</f>
        <v>0.1</v>
      </c>
      <c r="AB2046" s="155">
        <f>VLOOKUP(I2046,'Weights and Confidence'!$D$16:$AC$26,11,FALSE)</f>
        <v>0.1</v>
      </c>
      <c r="AC2046" s="156">
        <f>VLOOKUP(I2046,'Weights and Confidence'!$D$16:$AC$26,12,FALSE)</f>
        <v>1</v>
      </c>
    </row>
    <row r="2047" spans="1:29" x14ac:dyDescent="0.2">
      <c r="A2047" s="77" t="s">
        <v>566</v>
      </c>
      <c r="B2047" s="77" t="s">
        <v>87</v>
      </c>
      <c r="C2047" s="77" t="s">
        <v>661</v>
      </c>
      <c r="D2047" s="77" t="s">
        <v>65</v>
      </c>
      <c r="E2047" s="77"/>
      <c r="F2047" s="91" t="s">
        <v>662</v>
      </c>
      <c r="G2047" s="77">
        <v>9</v>
      </c>
      <c r="H2047" s="77" t="s">
        <v>18</v>
      </c>
      <c r="I2047" s="77" t="s">
        <v>26</v>
      </c>
      <c r="J2047" s="77">
        <v>1</v>
      </c>
      <c r="K2047" s="79">
        <f>AB2047/COUNTIFS($B:$B,$B2047,$C:$C,$C2047,$H:$H,$H2047,$I:$I,$I2047)</f>
        <v>0.1</v>
      </c>
      <c r="L2047" s="81">
        <f t="shared" si="156"/>
        <v>1</v>
      </c>
      <c r="M2047" s="83">
        <f t="shared" si="158"/>
        <v>0.1</v>
      </c>
      <c r="N2047" s="17"/>
      <c r="AA2047" s="154">
        <f>AB2047/COUNTIFS($B:$B,$B2047,$C:$C,$C2047,$H:$H,$H2047,$I:$I,$I2047)</f>
        <v>0.1</v>
      </c>
      <c r="AB2047" s="155">
        <f>VLOOKUP(I2047,'Weights and Confidence'!$D$16:$AC$26,11,FALSE)</f>
        <v>0.1</v>
      </c>
      <c r="AC2047" s="156">
        <f>VLOOKUP(I2047,'Weights and Confidence'!$D$16:$AC$26,12,FALSE)</f>
        <v>1</v>
      </c>
    </row>
    <row r="2048" spans="1:29" x14ac:dyDescent="0.2">
      <c r="A2048" s="76" t="s">
        <v>566</v>
      </c>
      <c r="B2048" s="76" t="s">
        <v>87</v>
      </c>
      <c r="C2048" s="76" t="s">
        <v>661</v>
      </c>
      <c r="D2048" s="76" t="s">
        <v>65</v>
      </c>
      <c r="E2048" s="76"/>
      <c r="F2048" s="91" t="s">
        <v>662</v>
      </c>
      <c r="G2048" s="76">
        <v>10</v>
      </c>
      <c r="H2048" s="76" t="s">
        <v>17</v>
      </c>
      <c r="I2048" s="76" t="s">
        <v>27</v>
      </c>
      <c r="J2048" s="76">
        <v>0</v>
      </c>
      <c r="K2048" s="78">
        <f>AB2048/COUNTIFS($B:$B,$B2048,$C:$C,$C2048,$H:$H,$H2048,$I:$I,$I2048)</f>
        <v>0.05</v>
      </c>
      <c r="L2048" s="80">
        <f t="shared" si="156"/>
        <v>0.9</v>
      </c>
      <c r="M2048" s="82">
        <f t="shared" si="158"/>
        <v>0</v>
      </c>
      <c r="N2048" s="59"/>
      <c r="AA2048" s="154">
        <f>AB2048/COUNTIFS($B:$B,$B2048,$C:$C,$C2048,$H:$H,$H2048,$I:$I,$I2048)</f>
        <v>0.05</v>
      </c>
      <c r="AB2048" s="155">
        <f>VLOOKUP(I2048,'Weights and Confidence'!$D$16:$AC$26,11,FALSE)</f>
        <v>0.1</v>
      </c>
      <c r="AC2048" s="156">
        <f>VLOOKUP(I2048,'Weights and Confidence'!$D$16:$AC$26,12,FALSE)</f>
        <v>0.9</v>
      </c>
    </row>
    <row r="2049" spans="1:29" x14ac:dyDescent="0.2">
      <c r="A2049" s="77" t="s">
        <v>566</v>
      </c>
      <c r="B2049" s="77" t="s">
        <v>87</v>
      </c>
      <c r="C2049" s="77" t="s">
        <v>661</v>
      </c>
      <c r="D2049" s="77" t="s">
        <v>65</v>
      </c>
      <c r="E2049" s="77"/>
      <c r="F2049" s="91" t="s">
        <v>662</v>
      </c>
      <c r="G2049" s="77">
        <v>10</v>
      </c>
      <c r="H2049" s="77" t="s">
        <v>18</v>
      </c>
      <c r="I2049" s="77" t="s">
        <v>27</v>
      </c>
      <c r="J2049" s="77">
        <v>0</v>
      </c>
      <c r="K2049" s="79">
        <f>AB2049/COUNTIFS($B:$B,$B2049,$C:$C,$C2049,$H:$H,$H2049,$I:$I,$I2049)</f>
        <v>0.05</v>
      </c>
      <c r="L2049" s="81">
        <f t="shared" si="156"/>
        <v>0.9</v>
      </c>
      <c r="M2049" s="83">
        <f t="shared" si="158"/>
        <v>0</v>
      </c>
      <c r="N2049" s="84"/>
      <c r="AA2049" s="154">
        <f>AB2049/COUNTIFS($B:$B,$B2049,$C:$C,$C2049,$H:$H,$H2049,$I:$I,$I2049)</f>
        <v>0.05</v>
      </c>
      <c r="AB2049" s="155">
        <f>VLOOKUP(I2049,'Weights and Confidence'!$D$16:$AC$26,11,FALSE)</f>
        <v>0.1</v>
      </c>
      <c r="AC2049" s="156">
        <f>VLOOKUP(I2049,'Weights and Confidence'!$D$16:$AC$26,12,FALSE)</f>
        <v>0.9</v>
      </c>
    </row>
    <row r="2050" spans="1:29" x14ac:dyDescent="0.2">
      <c r="A2050" s="76" t="s">
        <v>566</v>
      </c>
      <c r="B2050" s="76" t="s">
        <v>87</v>
      </c>
      <c r="C2050" s="76" t="s">
        <v>661</v>
      </c>
      <c r="D2050" s="76" t="s">
        <v>65</v>
      </c>
      <c r="E2050" s="76"/>
      <c r="F2050" s="91" t="s">
        <v>662</v>
      </c>
      <c r="G2050" s="76">
        <v>11</v>
      </c>
      <c r="H2050" s="76" t="s">
        <v>17</v>
      </c>
      <c r="I2050" s="76" t="s">
        <v>27</v>
      </c>
      <c r="J2050" s="76">
        <v>0</v>
      </c>
      <c r="K2050" s="78">
        <f>AB2050/COUNTIFS($B:$B,$B2050,$C:$C,$C2050,$H:$H,$H2050,$I:$I,$I2050)</f>
        <v>0.05</v>
      </c>
      <c r="L2050" s="80">
        <f t="shared" si="156"/>
        <v>0.9</v>
      </c>
      <c r="M2050" s="82">
        <f t="shared" si="158"/>
        <v>0</v>
      </c>
      <c r="N2050" s="59"/>
      <c r="AA2050" s="154">
        <f>AB2050/COUNTIFS($B:$B,$B2050,$C:$C,$C2050,$H:$H,$H2050,$I:$I,$I2050)</f>
        <v>0.05</v>
      </c>
      <c r="AB2050" s="155">
        <f>VLOOKUP(I2050,'Weights and Confidence'!$D$16:$AC$26,11,FALSE)</f>
        <v>0.1</v>
      </c>
      <c r="AC2050" s="156">
        <f>VLOOKUP(I2050,'Weights and Confidence'!$D$16:$AC$26,12,FALSE)</f>
        <v>0.9</v>
      </c>
    </row>
    <row r="2051" spans="1:29" x14ac:dyDescent="0.2">
      <c r="A2051" s="77" t="s">
        <v>566</v>
      </c>
      <c r="B2051" s="77" t="s">
        <v>87</v>
      </c>
      <c r="C2051" s="77" t="s">
        <v>661</v>
      </c>
      <c r="D2051" s="77" t="s">
        <v>65</v>
      </c>
      <c r="E2051" s="77"/>
      <c r="F2051" s="91" t="s">
        <v>662</v>
      </c>
      <c r="G2051" s="77">
        <v>11</v>
      </c>
      <c r="H2051" s="77" t="s">
        <v>18</v>
      </c>
      <c r="I2051" s="77" t="s">
        <v>27</v>
      </c>
      <c r="J2051" s="77">
        <v>1</v>
      </c>
      <c r="K2051" s="79">
        <f>AB2051/COUNTIFS($B:$B,$B2051,$C:$C,$C2051,$H:$H,$H2051,$I:$I,$I2051)</f>
        <v>0.05</v>
      </c>
      <c r="L2051" s="81">
        <f t="shared" si="156"/>
        <v>0.9</v>
      </c>
      <c r="M2051" s="83">
        <f t="shared" si="158"/>
        <v>4.5000000000000005E-2</v>
      </c>
      <c r="N2051" s="17"/>
      <c r="AA2051" s="154">
        <f>AB2051/COUNTIFS($B:$B,$B2051,$C:$C,$C2051,$H:$H,$H2051,$I:$I,$I2051)</f>
        <v>0.05</v>
      </c>
      <c r="AB2051" s="155">
        <f>VLOOKUP(I2051,'Weights and Confidence'!$D$16:$AC$26,11,FALSE)</f>
        <v>0.1</v>
      </c>
      <c r="AC2051" s="156">
        <f>VLOOKUP(I2051,'Weights and Confidence'!$D$16:$AC$26,12,FALSE)</f>
        <v>0.9</v>
      </c>
    </row>
    <row r="2052" spans="1:29" x14ac:dyDescent="0.2">
      <c r="A2052" s="77" t="s">
        <v>566</v>
      </c>
      <c r="B2052" s="77" t="s">
        <v>87</v>
      </c>
      <c r="C2052" s="77" t="s">
        <v>661</v>
      </c>
      <c r="D2052" s="77" t="s">
        <v>65</v>
      </c>
      <c r="E2052" s="77"/>
      <c r="F2052" s="91" t="s">
        <v>662</v>
      </c>
      <c r="G2052" s="77">
        <v>12</v>
      </c>
      <c r="H2052" s="77" t="s">
        <v>17</v>
      </c>
      <c r="I2052" s="77" t="s">
        <v>28</v>
      </c>
      <c r="J2052" s="77">
        <v>0</v>
      </c>
      <c r="K2052" s="79">
        <f>AB2052/COUNTIFS($B:$B,$B2052,$C:$C,$C2052,$H:$H,$H2052,$I:$I,$I2052)</f>
        <v>0.05</v>
      </c>
      <c r="L2052" s="81">
        <f t="shared" si="156"/>
        <v>1</v>
      </c>
      <c r="M2052" s="83">
        <f>J2052*K2052*L2052</f>
        <v>0</v>
      </c>
      <c r="N2052" s="58"/>
      <c r="AA2052" s="154">
        <f>AB2052/COUNTIFS($B:$B,$B2052,$C:$C,$C2052,$H:$H,$H2052,$I:$I,$I2052)</f>
        <v>0.05</v>
      </c>
      <c r="AB2052" s="155">
        <f>VLOOKUP(I2052,'Weights and Confidence'!$D$16:$AC$26,11,FALSE)</f>
        <v>0.05</v>
      </c>
      <c r="AC2052" s="156">
        <f>VLOOKUP(I2052,'Weights and Confidence'!$D$16:$AC$26,12,FALSE)</f>
        <v>1</v>
      </c>
    </row>
    <row r="2053" spans="1:29" ht="17" thickBot="1" x14ac:dyDescent="0.25">
      <c r="A2053" s="98" t="s">
        <v>566</v>
      </c>
      <c r="B2053" s="98" t="s">
        <v>87</v>
      </c>
      <c r="C2053" s="98" t="s">
        <v>661</v>
      </c>
      <c r="D2053" s="98" t="s">
        <v>65</v>
      </c>
      <c r="E2053" s="98"/>
      <c r="F2053" s="93" t="s">
        <v>662</v>
      </c>
      <c r="G2053" s="98">
        <v>12</v>
      </c>
      <c r="H2053" s="98" t="s">
        <v>18</v>
      </c>
      <c r="I2053" s="98" t="s">
        <v>28</v>
      </c>
      <c r="J2053" s="98">
        <v>-1</v>
      </c>
      <c r="K2053" s="99">
        <f>AB2053/COUNTIFS($B:$B,$B2053,$C:$C,$C2053,$H:$H,$H2053,$I:$I,$I2053)</f>
        <v>0.05</v>
      </c>
      <c r="L2053" s="100">
        <f t="shared" si="156"/>
        <v>1</v>
      </c>
      <c r="M2053" s="101">
        <f>J2053*K2053*L2053</f>
        <v>-0.05</v>
      </c>
      <c r="N2053" s="163"/>
      <c r="AA2053" s="157">
        <f>AB2053/COUNTIFS($B:$B,$B2053,$C:$C,$C2053,$H:$H,$H2053,$I:$I,$I2053)</f>
        <v>0.05</v>
      </c>
      <c r="AB2053" s="158">
        <f>VLOOKUP(I2053,'Weights and Confidence'!$D$16:$AC$26,11,FALSE)</f>
        <v>0.05</v>
      </c>
      <c r="AC2053" s="159">
        <f>VLOOKUP(I2053,'Weights and Confidence'!$D$16:$AC$26,12,FALSE)</f>
        <v>1</v>
      </c>
    </row>
    <row r="2054" spans="1:29" ht="17" thickTop="1" x14ac:dyDescent="0.2">
      <c r="A2054" s="86" t="s">
        <v>566</v>
      </c>
      <c r="B2054" s="86" t="s">
        <v>87</v>
      </c>
      <c r="C2054" s="86" t="s">
        <v>666</v>
      </c>
      <c r="D2054" s="86" t="s">
        <v>65</v>
      </c>
      <c r="E2054" s="86"/>
      <c r="F2054" s="18" t="s">
        <v>667</v>
      </c>
      <c r="G2054" s="86">
        <v>1</v>
      </c>
      <c r="H2054" s="86" t="s">
        <v>17</v>
      </c>
      <c r="I2054" s="86" t="s">
        <v>19</v>
      </c>
      <c r="J2054" s="97">
        <v>1</v>
      </c>
      <c r="K2054" s="87">
        <f>AB2054/COUNTIFS($B:$B,$B2054,$C:$C,$C2054,$H:$H,$H2054,$I:$I,$I2054)</f>
        <v>0.12</v>
      </c>
      <c r="L2054" s="88">
        <f t="shared" ref="L2054:L2077" si="159">AC2054</f>
        <v>1</v>
      </c>
      <c r="M2054" s="89">
        <f t="shared" ref="M2054" si="160">J2054*K2054*L2054</f>
        <v>0.12</v>
      </c>
      <c r="N2054" s="90"/>
      <c r="AA2054" s="154">
        <f>AB2054/COUNTIFS($B:$B,$B2054,$C:$C,$C2054,$H:$H,$H2054,$I:$I,$I2054)</f>
        <v>0.12</v>
      </c>
      <c r="AB2054" s="155">
        <f>VLOOKUP(I2054,'Weights and Confidence'!$D$16:$AC$26,11,FALSE)</f>
        <v>0.12</v>
      </c>
      <c r="AC2054" s="156">
        <f>VLOOKUP(I2054,'Weights and Confidence'!$D$16:$AC$26,12,FALSE)</f>
        <v>1</v>
      </c>
    </row>
    <row r="2055" spans="1:29" x14ac:dyDescent="0.2">
      <c r="A2055" s="77" t="s">
        <v>566</v>
      </c>
      <c r="B2055" s="77" t="s">
        <v>87</v>
      </c>
      <c r="C2055" s="77" t="s">
        <v>666</v>
      </c>
      <c r="D2055" s="77" t="s">
        <v>65</v>
      </c>
      <c r="E2055" s="77"/>
      <c r="F2055" s="91" t="s">
        <v>667</v>
      </c>
      <c r="G2055" s="77">
        <v>1</v>
      </c>
      <c r="H2055" s="77" t="s">
        <v>18</v>
      </c>
      <c r="I2055" s="77" t="s">
        <v>19</v>
      </c>
      <c r="J2055" s="77">
        <v>1</v>
      </c>
      <c r="K2055" s="79">
        <f>AB2055/COUNTIFS($B:$B,$B2055,$C:$C,$C2055,$H:$H,$H2055,$I:$I,$I2055)</f>
        <v>0.12</v>
      </c>
      <c r="L2055" s="81">
        <f t="shared" si="159"/>
        <v>1</v>
      </c>
      <c r="M2055" s="83">
        <f>J2054*K2055*L2055</f>
        <v>0.12</v>
      </c>
      <c r="N2055" s="17"/>
      <c r="AA2055" s="154">
        <f>AB2055/COUNTIFS($B:$B,$B2055,$C:$C,$C2055,$H:$H,$H2055,$I:$I,$I2055)</f>
        <v>0.12</v>
      </c>
      <c r="AB2055" s="155">
        <f>VLOOKUP(I2055,'Weights and Confidence'!$D$16:$AC$26,11,FALSE)</f>
        <v>0.12</v>
      </c>
      <c r="AC2055" s="156">
        <f>VLOOKUP(I2055,'Weights and Confidence'!$D$16:$AC$26,12,FALSE)</f>
        <v>1</v>
      </c>
    </row>
    <row r="2056" spans="1:29" x14ac:dyDescent="0.2">
      <c r="A2056" s="76" t="s">
        <v>566</v>
      </c>
      <c r="B2056" s="76" t="s">
        <v>87</v>
      </c>
      <c r="C2056" s="76" t="s">
        <v>666</v>
      </c>
      <c r="D2056" s="76" t="s">
        <v>65</v>
      </c>
      <c r="E2056" s="76"/>
      <c r="F2056" s="91" t="s">
        <v>667</v>
      </c>
      <c r="G2056" s="76">
        <v>2</v>
      </c>
      <c r="H2056" s="76" t="s">
        <v>17</v>
      </c>
      <c r="I2056" s="76" t="s">
        <v>20</v>
      </c>
      <c r="J2056" s="76">
        <v>1</v>
      </c>
      <c r="K2056" s="78">
        <f>AB2056/COUNTIFS($B:$B,$B2056,$C:$C,$C2056,$H:$H,$H2056,$I:$I,$I2056)</f>
        <v>0.08</v>
      </c>
      <c r="L2056" s="80">
        <f t="shared" si="159"/>
        <v>0.9</v>
      </c>
      <c r="M2056" s="82">
        <f t="shared" ref="M2056:M2075" si="161">J2056*K2056*L2056</f>
        <v>7.2000000000000008E-2</v>
      </c>
      <c r="N2056" s="59"/>
      <c r="AA2056" s="154">
        <f>AB2056/COUNTIFS($B:$B,$B2056,$C:$C,$C2056,$H:$H,$H2056,$I:$I,$I2056)</f>
        <v>0.08</v>
      </c>
      <c r="AB2056" s="155">
        <f>VLOOKUP(I2056,'Weights and Confidence'!$D$16:$AC$26,11,FALSE)</f>
        <v>0.08</v>
      </c>
      <c r="AC2056" s="156">
        <f>VLOOKUP(I2056,'Weights and Confidence'!$D$16:$AC$26,12,FALSE)</f>
        <v>0.9</v>
      </c>
    </row>
    <row r="2057" spans="1:29" x14ac:dyDescent="0.2">
      <c r="A2057" s="77" t="s">
        <v>566</v>
      </c>
      <c r="B2057" s="77" t="s">
        <v>87</v>
      </c>
      <c r="C2057" s="77" t="s">
        <v>666</v>
      </c>
      <c r="D2057" s="77" t="s">
        <v>65</v>
      </c>
      <c r="E2057" s="77"/>
      <c r="F2057" s="91" t="s">
        <v>667</v>
      </c>
      <c r="G2057" s="77">
        <v>2</v>
      </c>
      <c r="H2057" s="77" t="s">
        <v>18</v>
      </c>
      <c r="I2057" s="77" t="s">
        <v>20</v>
      </c>
      <c r="J2057" s="77">
        <v>0</v>
      </c>
      <c r="K2057" s="79">
        <f>AB2057/COUNTIFS($B:$B,$B2057,$C:$C,$C2057,$H:$H,$H2057,$I:$I,$I2057)</f>
        <v>0.08</v>
      </c>
      <c r="L2057" s="81">
        <f t="shared" si="159"/>
        <v>0.9</v>
      </c>
      <c r="M2057" s="83">
        <f t="shared" si="161"/>
        <v>0</v>
      </c>
      <c r="N2057" s="17" t="s">
        <v>668</v>
      </c>
      <c r="AA2057" s="154">
        <f>AB2057/COUNTIFS($B:$B,$B2057,$C:$C,$C2057,$H:$H,$H2057,$I:$I,$I2057)</f>
        <v>0.08</v>
      </c>
      <c r="AB2057" s="155">
        <f>VLOOKUP(I2057,'Weights and Confidence'!$D$16:$AC$26,11,FALSE)</f>
        <v>0.08</v>
      </c>
      <c r="AC2057" s="156">
        <f>VLOOKUP(I2057,'Weights and Confidence'!$D$16:$AC$26,12,FALSE)</f>
        <v>0.9</v>
      </c>
    </row>
    <row r="2058" spans="1:29" x14ac:dyDescent="0.2">
      <c r="A2058" s="76" t="s">
        <v>566</v>
      </c>
      <c r="B2058" s="76" t="s">
        <v>87</v>
      </c>
      <c r="C2058" s="76" t="s">
        <v>666</v>
      </c>
      <c r="D2058" s="76" t="s">
        <v>65</v>
      </c>
      <c r="E2058" s="76"/>
      <c r="F2058" s="91" t="s">
        <v>667</v>
      </c>
      <c r="G2058" s="76">
        <v>3</v>
      </c>
      <c r="H2058" s="76" t="s">
        <v>17</v>
      </c>
      <c r="I2058" s="76" t="s">
        <v>21</v>
      </c>
      <c r="J2058" s="76">
        <v>1</v>
      </c>
      <c r="K2058" s="78">
        <f>AB2058/COUNTIFS($B:$B,$B2058,$C:$C,$C2058,$H:$H,$H2058,$I:$I,$I2058)</f>
        <v>0.05</v>
      </c>
      <c r="L2058" s="80">
        <f t="shared" si="159"/>
        <v>1</v>
      </c>
      <c r="M2058" s="82">
        <f t="shared" si="161"/>
        <v>0.05</v>
      </c>
      <c r="N2058" s="59"/>
      <c r="AA2058" s="154">
        <f>AB2058/COUNTIFS($B:$B,$B2058,$C:$C,$C2058,$H:$H,$H2058,$I:$I,$I2058)</f>
        <v>0.05</v>
      </c>
      <c r="AB2058" s="155">
        <f>VLOOKUP(I2058,'Weights and Confidence'!$D$16:$AC$26,11,FALSE)</f>
        <v>0.05</v>
      </c>
      <c r="AC2058" s="156">
        <f>VLOOKUP(I2058,'Weights and Confidence'!$D$16:$AC$26,12,FALSE)</f>
        <v>1</v>
      </c>
    </row>
    <row r="2059" spans="1:29" x14ac:dyDescent="0.2">
      <c r="A2059" s="77" t="s">
        <v>566</v>
      </c>
      <c r="B2059" s="77" t="s">
        <v>87</v>
      </c>
      <c r="C2059" s="77" t="s">
        <v>666</v>
      </c>
      <c r="D2059" s="77" t="s">
        <v>65</v>
      </c>
      <c r="E2059" s="77"/>
      <c r="F2059" s="91" t="s">
        <v>667</v>
      </c>
      <c r="G2059" s="77">
        <v>3</v>
      </c>
      <c r="H2059" s="77" t="s">
        <v>18</v>
      </c>
      <c r="I2059" s="77" t="s">
        <v>21</v>
      </c>
      <c r="J2059" s="77">
        <v>1</v>
      </c>
      <c r="K2059" s="79">
        <f>AB2059/COUNTIFS($B:$B,$B2059,$C:$C,$C2059,$H:$H,$H2059,$I:$I,$I2059)</f>
        <v>0.05</v>
      </c>
      <c r="L2059" s="81">
        <f t="shared" si="159"/>
        <v>1</v>
      </c>
      <c r="M2059" s="83">
        <f t="shared" si="161"/>
        <v>0.05</v>
      </c>
      <c r="N2059" s="17"/>
      <c r="AA2059" s="154">
        <f>AB2059/COUNTIFS($B:$B,$B2059,$C:$C,$C2059,$H:$H,$H2059,$I:$I,$I2059)</f>
        <v>0.05</v>
      </c>
      <c r="AB2059" s="155">
        <f>VLOOKUP(I2059,'Weights and Confidence'!$D$16:$AC$26,11,FALSE)</f>
        <v>0.05</v>
      </c>
      <c r="AC2059" s="156">
        <f>VLOOKUP(I2059,'Weights and Confidence'!$D$16:$AC$26,12,FALSE)</f>
        <v>1</v>
      </c>
    </row>
    <row r="2060" spans="1:29" x14ac:dyDescent="0.2">
      <c r="A2060" s="76" t="s">
        <v>566</v>
      </c>
      <c r="B2060" s="76" t="s">
        <v>87</v>
      </c>
      <c r="C2060" s="76" t="s">
        <v>666</v>
      </c>
      <c r="D2060" s="76" t="s">
        <v>65</v>
      </c>
      <c r="E2060" s="76"/>
      <c r="F2060" s="91" t="s">
        <v>667</v>
      </c>
      <c r="G2060" s="76">
        <v>4</v>
      </c>
      <c r="H2060" s="76" t="s">
        <v>17</v>
      </c>
      <c r="I2060" s="76" t="s">
        <v>22</v>
      </c>
      <c r="J2060" s="76">
        <v>1</v>
      </c>
      <c r="K2060" s="78">
        <f>AB2060/COUNTIFS($B:$B,$B2060,$C:$C,$C2060,$H:$H,$H2060,$I:$I,$I2060)</f>
        <v>0.1</v>
      </c>
      <c r="L2060" s="80">
        <f t="shared" si="159"/>
        <v>1</v>
      </c>
      <c r="M2060" s="82">
        <f t="shared" si="161"/>
        <v>0.1</v>
      </c>
      <c r="N2060" s="59"/>
      <c r="AA2060" s="154">
        <f>AB2060/COUNTIFS($B:$B,$B2060,$C:$C,$C2060,$H:$H,$H2060,$I:$I,$I2060)</f>
        <v>0.1</v>
      </c>
      <c r="AB2060" s="155">
        <f>VLOOKUP(I2060,'Weights and Confidence'!$D$16:$AC$26,11,FALSE)</f>
        <v>0.1</v>
      </c>
      <c r="AC2060" s="156">
        <f>VLOOKUP(I2060,'Weights and Confidence'!$D$16:$AC$26,12,FALSE)</f>
        <v>1</v>
      </c>
    </row>
    <row r="2061" spans="1:29" x14ac:dyDescent="0.2">
      <c r="A2061" s="77" t="s">
        <v>566</v>
      </c>
      <c r="B2061" s="77" t="s">
        <v>87</v>
      </c>
      <c r="C2061" s="77" t="s">
        <v>666</v>
      </c>
      <c r="D2061" s="77" t="s">
        <v>65</v>
      </c>
      <c r="E2061" s="77"/>
      <c r="F2061" s="91" t="s">
        <v>667</v>
      </c>
      <c r="G2061" s="77">
        <v>4</v>
      </c>
      <c r="H2061" s="77" t="s">
        <v>18</v>
      </c>
      <c r="I2061" s="77" t="s">
        <v>22</v>
      </c>
      <c r="J2061" s="77">
        <v>0</v>
      </c>
      <c r="K2061" s="79">
        <f>AB2061/COUNTIFS($B:$B,$B2061,$C:$C,$C2061,$H:$H,$H2061,$I:$I,$I2061)</f>
        <v>0.1</v>
      </c>
      <c r="L2061" s="81">
        <f t="shared" si="159"/>
        <v>1</v>
      </c>
      <c r="M2061" s="83">
        <f t="shared" si="161"/>
        <v>0</v>
      </c>
      <c r="N2061" s="17"/>
      <c r="AA2061" s="154">
        <f>AB2061/COUNTIFS($B:$B,$B2061,$C:$C,$C2061,$H:$H,$H2061,$I:$I,$I2061)</f>
        <v>0.1</v>
      </c>
      <c r="AB2061" s="155">
        <f>VLOOKUP(I2061,'Weights and Confidence'!$D$16:$AC$26,11,FALSE)</f>
        <v>0.1</v>
      </c>
      <c r="AC2061" s="156">
        <f>VLOOKUP(I2061,'Weights and Confidence'!$D$16:$AC$26,12,FALSE)</f>
        <v>1</v>
      </c>
    </row>
    <row r="2062" spans="1:29" ht="17" thickBot="1" x14ac:dyDescent="0.25">
      <c r="A2062" s="76" t="s">
        <v>566</v>
      </c>
      <c r="B2062" s="76" t="s">
        <v>87</v>
      </c>
      <c r="C2062" s="76" t="s">
        <v>666</v>
      </c>
      <c r="D2062" s="76" t="s">
        <v>65</v>
      </c>
      <c r="E2062" s="76"/>
      <c r="F2062" s="91" t="s">
        <v>667</v>
      </c>
      <c r="G2062" s="76">
        <v>5</v>
      </c>
      <c r="H2062" s="76" t="s">
        <v>17</v>
      </c>
      <c r="I2062" s="76" t="s">
        <v>34</v>
      </c>
      <c r="J2062" s="76">
        <v>1</v>
      </c>
      <c r="K2062" s="78">
        <f>AB2062/COUNTIFS($B:$B,$B2062,$C:$C,$C2062,$H:$H,$H2062,$I:$I,$I2062)</f>
        <v>0.08</v>
      </c>
      <c r="L2062" s="80">
        <f t="shared" si="159"/>
        <v>1</v>
      </c>
      <c r="M2062" s="82">
        <f t="shared" si="161"/>
        <v>0.08</v>
      </c>
      <c r="N2062" s="84"/>
      <c r="AA2062" s="154">
        <f>AB2062/COUNTIFS($B:$B,$B2062,$C:$C,$C2062,$H:$H,$H2062,$I:$I,$I2062)</f>
        <v>0.08</v>
      </c>
      <c r="AB2062" s="155">
        <f>VLOOKUP(I2062,'Weights and Confidence'!$D$16:$AC$26,11,FALSE)</f>
        <v>0.08</v>
      </c>
      <c r="AC2062" s="156">
        <f>VLOOKUP(I2062,'Weights and Confidence'!$D$16:$AC$26,12,FALSE)</f>
        <v>1</v>
      </c>
    </row>
    <row r="2063" spans="1:29" ht="17" thickBot="1" x14ac:dyDescent="0.25">
      <c r="A2063" s="77" t="s">
        <v>566</v>
      </c>
      <c r="B2063" s="77" t="s">
        <v>87</v>
      </c>
      <c r="C2063" s="77" t="s">
        <v>666</v>
      </c>
      <c r="D2063" s="77" t="s">
        <v>65</v>
      </c>
      <c r="E2063" s="77"/>
      <c r="F2063" s="91" t="s">
        <v>667</v>
      </c>
      <c r="G2063" s="77">
        <v>5</v>
      </c>
      <c r="H2063" s="77" t="s">
        <v>18</v>
      </c>
      <c r="I2063" s="77" t="s">
        <v>34</v>
      </c>
      <c r="J2063" s="77">
        <v>0</v>
      </c>
      <c r="K2063" s="79">
        <f>AB2063/COUNTIFS($B:$B,$B2063,$C:$C,$C2063,$H:$H,$H2063,$I:$I,$I2063)</f>
        <v>0.08</v>
      </c>
      <c r="L2063" s="81">
        <f t="shared" si="159"/>
        <v>1</v>
      </c>
      <c r="M2063" s="83">
        <f t="shared" si="161"/>
        <v>0</v>
      </c>
      <c r="N2063" s="167" t="s">
        <v>669</v>
      </c>
      <c r="AA2063" s="154">
        <f>AB2063/COUNTIFS($B:$B,$B2063,$C:$C,$C2063,$H:$H,$H2063,$I:$I,$I2063)</f>
        <v>0.08</v>
      </c>
      <c r="AB2063" s="155">
        <f>VLOOKUP(I2063,'Weights and Confidence'!$D$16:$AC$26,11,FALSE)</f>
        <v>0.08</v>
      </c>
      <c r="AC2063" s="156">
        <f>VLOOKUP(I2063,'Weights and Confidence'!$D$16:$AC$26,12,FALSE)</f>
        <v>1</v>
      </c>
    </row>
    <row r="2064" spans="1:29" x14ac:dyDescent="0.2">
      <c r="A2064" s="76" t="s">
        <v>566</v>
      </c>
      <c r="B2064" s="76" t="s">
        <v>87</v>
      </c>
      <c r="C2064" s="76" t="s">
        <v>666</v>
      </c>
      <c r="D2064" s="76" t="s">
        <v>65</v>
      </c>
      <c r="E2064" s="76"/>
      <c r="F2064" s="91" t="s">
        <v>667</v>
      </c>
      <c r="G2064" s="76">
        <v>6</v>
      </c>
      <c r="H2064" s="76" t="s">
        <v>17</v>
      </c>
      <c r="I2064" s="76" t="s">
        <v>23</v>
      </c>
      <c r="J2064" s="76">
        <v>1</v>
      </c>
      <c r="K2064" s="78">
        <f>AB2064/COUNTIFS($B:$B,$B2064,$C:$C,$C2064,$H:$H,$H2064,$I:$I,$I2064)</f>
        <v>7.0000000000000007E-2</v>
      </c>
      <c r="L2064" s="80">
        <f t="shared" si="159"/>
        <v>1</v>
      </c>
      <c r="M2064" s="82">
        <f t="shared" si="161"/>
        <v>7.0000000000000007E-2</v>
      </c>
      <c r="N2064" s="59"/>
      <c r="AA2064" s="154">
        <f>AB2064/COUNTIFS($B:$B,$B2064,$C:$C,$C2064,$H:$H,$H2064,$I:$I,$I2064)</f>
        <v>7.0000000000000007E-2</v>
      </c>
      <c r="AB2064" s="155">
        <f>VLOOKUP(I2064,'Weights and Confidence'!$D$16:$AC$26,11,FALSE)</f>
        <v>7.0000000000000007E-2</v>
      </c>
      <c r="AC2064" s="156">
        <f>VLOOKUP(I2064,'Weights and Confidence'!$D$16:$AC$26,12,FALSE)</f>
        <v>1</v>
      </c>
    </row>
    <row r="2065" spans="1:29" x14ac:dyDescent="0.2">
      <c r="A2065" s="77" t="s">
        <v>566</v>
      </c>
      <c r="B2065" s="77" t="s">
        <v>87</v>
      </c>
      <c r="C2065" s="77" t="s">
        <v>666</v>
      </c>
      <c r="D2065" s="77" t="s">
        <v>65</v>
      </c>
      <c r="E2065" s="77"/>
      <c r="F2065" s="91" t="s">
        <v>667</v>
      </c>
      <c r="G2065" s="77">
        <v>6</v>
      </c>
      <c r="H2065" s="77" t="s">
        <v>18</v>
      </c>
      <c r="I2065" s="77" t="s">
        <v>23</v>
      </c>
      <c r="J2065" s="77">
        <v>0</v>
      </c>
      <c r="K2065" s="79">
        <f>AB2065/COUNTIFS($B:$B,$B2065,$C:$C,$C2065,$H:$H,$H2065,$I:$I,$I2065)</f>
        <v>7.0000000000000007E-2</v>
      </c>
      <c r="L2065" s="81">
        <f t="shared" si="159"/>
        <v>1</v>
      </c>
      <c r="M2065" s="83">
        <f t="shared" si="161"/>
        <v>0</v>
      </c>
      <c r="N2065" s="17"/>
      <c r="AA2065" s="154">
        <f>AB2065/COUNTIFS($B:$B,$B2065,$C:$C,$C2065,$H:$H,$H2065,$I:$I,$I2065)</f>
        <v>7.0000000000000007E-2</v>
      </c>
      <c r="AB2065" s="155">
        <f>VLOOKUP(I2065,'Weights and Confidence'!$D$16:$AC$26,11,FALSE)</f>
        <v>7.0000000000000007E-2</v>
      </c>
      <c r="AC2065" s="156">
        <f>VLOOKUP(I2065,'Weights and Confidence'!$D$16:$AC$26,12,FALSE)</f>
        <v>1</v>
      </c>
    </row>
    <row r="2066" spans="1:29" x14ac:dyDescent="0.2">
      <c r="A2066" s="76" t="s">
        <v>566</v>
      </c>
      <c r="B2066" s="76" t="s">
        <v>87</v>
      </c>
      <c r="C2066" s="76" t="s">
        <v>666</v>
      </c>
      <c r="D2066" s="76" t="s">
        <v>65</v>
      </c>
      <c r="E2066" s="76"/>
      <c r="F2066" s="91" t="s">
        <v>667</v>
      </c>
      <c r="G2066" s="76">
        <v>7</v>
      </c>
      <c r="H2066" s="76" t="s">
        <v>17</v>
      </c>
      <c r="I2066" s="76" t="s">
        <v>24</v>
      </c>
      <c r="J2066" s="76">
        <v>1</v>
      </c>
      <c r="K2066" s="78">
        <f>AB2066/COUNTIFS($B:$B,$B2066,$C:$C,$C2066,$H:$H,$H2066,$I:$I,$I2066)</f>
        <v>0.15</v>
      </c>
      <c r="L2066" s="80">
        <f t="shared" si="159"/>
        <v>1</v>
      </c>
      <c r="M2066" s="82">
        <f t="shared" si="161"/>
        <v>0.15</v>
      </c>
      <c r="N2066" s="59"/>
      <c r="AA2066" s="154">
        <f>AB2066/COUNTIFS($B:$B,$B2066,$C:$C,$C2066,$H:$H,$H2066,$I:$I,$I2066)</f>
        <v>0.15</v>
      </c>
      <c r="AB2066" s="155">
        <f>VLOOKUP(I2066,'Weights and Confidence'!$D$16:$AC$26,11,FALSE)</f>
        <v>0.15</v>
      </c>
      <c r="AC2066" s="156">
        <f>VLOOKUP(I2066,'Weights and Confidence'!$D$16:$AC$26,12,FALSE)</f>
        <v>1</v>
      </c>
    </row>
    <row r="2067" spans="1:29" x14ac:dyDescent="0.2">
      <c r="A2067" s="77" t="s">
        <v>566</v>
      </c>
      <c r="B2067" s="77" t="s">
        <v>87</v>
      </c>
      <c r="C2067" s="77" t="s">
        <v>666</v>
      </c>
      <c r="D2067" s="77" t="s">
        <v>65</v>
      </c>
      <c r="E2067" s="77"/>
      <c r="F2067" s="91" t="s">
        <v>667</v>
      </c>
      <c r="G2067" s="77">
        <v>7</v>
      </c>
      <c r="H2067" s="77" t="s">
        <v>18</v>
      </c>
      <c r="I2067" s="77" t="s">
        <v>24</v>
      </c>
      <c r="J2067" s="77">
        <v>0</v>
      </c>
      <c r="K2067" s="79">
        <f>AB2067/COUNTIFS($B:$B,$B2067,$C:$C,$C2067,$H:$H,$H2067,$I:$I,$I2067)</f>
        <v>0.15</v>
      </c>
      <c r="L2067" s="81">
        <f t="shared" si="159"/>
        <v>1</v>
      </c>
      <c r="M2067" s="83">
        <f t="shared" si="161"/>
        <v>0</v>
      </c>
      <c r="N2067" s="84"/>
      <c r="AA2067" s="154">
        <f>AB2067/COUNTIFS($B:$B,$B2067,$C:$C,$C2067,$H:$H,$H2067,$I:$I,$I2067)</f>
        <v>0.15</v>
      </c>
      <c r="AB2067" s="155">
        <f>VLOOKUP(I2067,'Weights and Confidence'!$D$16:$AC$26,11,FALSE)</f>
        <v>0.15</v>
      </c>
      <c r="AC2067" s="156">
        <f>VLOOKUP(I2067,'Weights and Confidence'!$D$16:$AC$26,12,FALSE)</f>
        <v>1</v>
      </c>
    </row>
    <row r="2068" spans="1:29" x14ac:dyDescent="0.2">
      <c r="A2068" s="76" t="s">
        <v>566</v>
      </c>
      <c r="B2068" s="76" t="s">
        <v>87</v>
      </c>
      <c r="C2068" s="76" t="s">
        <v>666</v>
      </c>
      <c r="D2068" s="76" t="s">
        <v>65</v>
      </c>
      <c r="E2068" s="76"/>
      <c r="F2068" s="91" t="s">
        <v>667</v>
      </c>
      <c r="G2068" s="76">
        <v>8</v>
      </c>
      <c r="H2068" s="76" t="s">
        <v>17</v>
      </c>
      <c r="I2068" s="76" t="s">
        <v>25</v>
      </c>
      <c r="J2068" s="76">
        <v>1</v>
      </c>
      <c r="K2068" s="78">
        <f>AB2068/COUNTIFS($B:$B,$B2068,$C:$C,$C2068,$H:$H,$H2068,$I:$I,$I2068)</f>
        <v>0.1</v>
      </c>
      <c r="L2068" s="80">
        <f t="shared" si="159"/>
        <v>1</v>
      </c>
      <c r="M2068" s="82">
        <f t="shared" si="161"/>
        <v>0.1</v>
      </c>
      <c r="N2068" s="59"/>
      <c r="AA2068" s="154">
        <f>AB2068/COUNTIFS($B:$B,$B2068,$C:$C,$C2068,$H:$H,$H2068,$I:$I,$I2068)</f>
        <v>0.1</v>
      </c>
      <c r="AB2068" s="155">
        <f>VLOOKUP(I2068,'Weights and Confidence'!$D$16:$AC$26,11,FALSE)</f>
        <v>0.1</v>
      </c>
      <c r="AC2068" s="156">
        <f>VLOOKUP(I2068,'Weights and Confidence'!$D$16:$AC$26,12,FALSE)</f>
        <v>1</v>
      </c>
    </row>
    <row r="2069" spans="1:29" x14ac:dyDescent="0.2">
      <c r="A2069" s="77" t="s">
        <v>566</v>
      </c>
      <c r="B2069" s="77" t="s">
        <v>87</v>
      </c>
      <c r="C2069" s="77" t="s">
        <v>666</v>
      </c>
      <c r="D2069" s="77" t="s">
        <v>65</v>
      </c>
      <c r="E2069" s="77"/>
      <c r="F2069" s="91" t="s">
        <v>667</v>
      </c>
      <c r="G2069" s="77">
        <v>8</v>
      </c>
      <c r="H2069" s="77" t="s">
        <v>18</v>
      </c>
      <c r="I2069" s="77" t="s">
        <v>25</v>
      </c>
      <c r="J2069" s="77">
        <v>-1</v>
      </c>
      <c r="K2069" s="79">
        <f>AB2069/COUNTIFS($B:$B,$B2069,$C:$C,$C2069,$H:$H,$H2069,$I:$I,$I2069)</f>
        <v>0.1</v>
      </c>
      <c r="L2069" s="81">
        <f t="shared" si="159"/>
        <v>1</v>
      </c>
      <c r="M2069" s="83">
        <f t="shared" si="161"/>
        <v>-0.1</v>
      </c>
      <c r="N2069" s="17"/>
      <c r="AA2069" s="154">
        <f>AB2069/COUNTIFS($B:$B,$B2069,$C:$C,$C2069,$H:$H,$H2069,$I:$I,$I2069)</f>
        <v>0.1</v>
      </c>
      <c r="AB2069" s="155">
        <f>VLOOKUP(I2069,'Weights and Confidence'!$D$16:$AC$26,11,FALSE)</f>
        <v>0.1</v>
      </c>
      <c r="AC2069" s="156">
        <f>VLOOKUP(I2069,'Weights and Confidence'!$D$16:$AC$26,12,FALSE)</f>
        <v>1</v>
      </c>
    </row>
    <row r="2070" spans="1:29" x14ac:dyDescent="0.2">
      <c r="A2070" s="76" t="s">
        <v>566</v>
      </c>
      <c r="B2070" s="76" t="s">
        <v>87</v>
      </c>
      <c r="C2070" s="76" t="s">
        <v>666</v>
      </c>
      <c r="D2070" s="76" t="s">
        <v>65</v>
      </c>
      <c r="E2070" s="76"/>
      <c r="F2070" s="91" t="s">
        <v>667</v>
      </c>
      <c r="G2070" s="76">
        <v>9</v>
      </c>
      <c r="H2070" s="76" t="s">
        <v>17</v>
      </c>
      <c r="I2070" s="76" t="s">
        <v>26</v>
      </c>
      <c r="J2070" s="76">
        <v>1</v>
      </c>
      <c r="K2070" s="78">
        <f>AB2070/COUNTIFS($B:$B,$B2070,$C:$C,$C2070,$H:$H,$H2070,$I:$I,$I2070)</f>
        <v>0.1</v>
      </c>
      <c r="L2070" s="80">
        <f t="shared" si="159"/>
        <v>1</v>
      </c>
      <c r="M2070" s="82">
        <f t="shared" si="161"/>
        <v>0.1</v>
      </c>
      <c r="N2070" s="59"/>
      <c r="AA2070" s="154">
        <f>AB2070/COUNTIFS($B:$B,$B2070,$C:$C,$C2070,$H:$H,$H2070,$I:$I,$I2070)</f>
        <v>0.1</v>
      </c>
      <c r="AB2070" s="155">
        <f>VLOOKUP(I2070,'Weights and Confidence'!$D$16:$AC$26,11,FALSE)</f>
        <v>0.1</v>
      </c>
      <c r="AC2070" s="156">
        <f>VLOOKUP(I2070,'Weights and Confidence'!$D$16:$AC$26,12,FALSE)</f>
        <v>1</v>
      </c>
    </row>
    <row r="2071" spans="1:29" x14ac:dyDescent="0.2">
      <c r="A2071" s="77" t="s">
        <v>566</v>
      </c>
      <c r="B2071" s="77" t="s">
        <v>87</v>
      </c>
      <c r="C2071" s="77" t="s">
        <v>666</v>
      </c>
      <c r="D2071" s="77" t="s">
        <v>65</v>
      </c>
      <c r="E2071" s="77"/>
      <c r="F2071" s="91" t="s">
        <v>667</v>
      </c>
      <c r="G2071" s="77">
        <v>9</v>
      </c>
      <c r="H2071" s="77" t="s">
        <v>18</v>
      </c>
      <c r="I2071" s="77" t="s">
        <v>26</v>
      </c>
      <c r="J2071" s="77">
        <v>0</v>
      </c>
      <c r="K2071" s="79">
        <f>AB2071/COUNTIFS($B:$B,$B2071,$C:$C,$C2071,$H:$H,$H2071,$I:$I,$I2071)</f>
        <v>0.1</v>
      </c>
      <c r="L2071" s="81">
        <f t="shared" si="159"/>
        <v>1</v>
      </c>
      <c r="M2071" s="83">
        <f t="shared" si="161"/>
        <v>0</v>
      </c>
      <c r="N2071" s="17"/>
      <c r="AA2071" s="154">
        <f>AB2071/COUNTIFS($B:$B,$B2071,$C:$C,$C2071,$H:$H,$H2071,$I:$I,$I2071)</f>
        <v>0.1</v>
      </c>
      <c r="AB2071" s="155">
        <f>VLOOKUP(I2071,'Weights and Confidence'!$D$16:$AC$26,11,FALSE)</f>
        <v>0.1</v>
      </c>
      <c r="AC2071" s="156">
        <f>VLOOKUP(I2071,'Weights and Confidence'!$D$16:$AC$26,12,FALSE)</f>
        <v>1</v>
      </c>
    </row>
    <row r="2072" spans="1:29" ht="17" thickBot="1" x14ac:dyDescent="0.25">
      <c r="A2072" s="76" t="s">
        <v>566</v>
      </c>
      <c r="B2072" s="76" t="s">
        <v>87</v>
      </c>
      <c r="C2072" s="76" t="s">
        <v>666</v>
      </c>
      <c r="D2072" s="76" t="s">
        <v>65</v>
      </c>
      <c r="E2072" s="76"/>
      <c r="F2072" s="91" t="s">
        <v>667</v>
      </c>
      <c r="G2072" s="76">
        <v>10</v>
      </c>
      <c r="H2072" s="76" t="s">
        <v>17</v>
      </c>
      <c r="I2072" s="76" t="s">
        <v>27</v>
      </c>
      <c r="J2072" s="76">
        <v>1</v>
      </c>
      <c r="K2072" s="78">
        <f>AB2072/COUNTIFS($B:$B,$B2072,$C:$C,$C2072,$H:$H,$H2072,$I:$I,$I2072)</f>
        <v>0.05</v>
      </c>
      <c r="L2072" s="80">
        <f t="shared" si="159"/>
        <v>0.9</v>
      </c>
      <c r="M2072" s="82">
        <f t="shared" si="161"/>
        <v>4.5000000000000005E-2</v>
      </c>
      <c r="N2072" s="59"/>
      <c r="AA2072" s="154">
        <f>AB2072/COUNTIFS($B:$B,$B2072,$C:$C,$C2072,$H:$H,$H2072,$I:$I,$I2072)</f>
        <v>0.05</v>
      </c>
      <c r="AB2072" s="155">
        <f>VLOOKUP(I2072,'Weights and Confidence'!$D$16:$AC$26,11,FALSE)</f>
        <v>0.1</v>
      </c>
      <c r="AC2072" s="156">
        <f>VLOOKUP(I2072,'Weights and Confidence'!$D$16:$AC$26,12,FALSE)</f>
        <v>0.9</v>
      </c>
    </row>
    <row r="2073" spans="1:29" ht="17" thickBot="1" x14ac:dyDescent="0.25">
      <c r="A2073" s="77" t="s">
        <v>566</v>
      </c>
      <c r="B2073" s="77" t="s">
        <v>87</v>
      </c>
      <c r="C2073" s="77" t="s">
        <v>666</v>
      </c>
      <c r="D2073" s="77" t="s">
        <v>65</v>
      </c>
      <c r="E2073" s="77"/>
      <c r="F2073" s="91" t="s">
        <v>667</v>
      </c>
      <c r="G2073" s="77">
        <v>10</v>
      </c>
      <c r="H2073" s="77" t="s">
        <v>18</v>
      </c>
      <c r="I2073" s="77" t="s">
        <v>27</v>
      </c>
      <c r="J2073" s="77">
        <v>0</v>
      </c>
      <c r="K2073" s="79">
        <f>AB2073/COUNTIFS($B:$B,$B2073,$C:$C,$C2073,$H:$H,$H2073,$I:$I,$I2073)</f>
        <v>0.05</v>
      </c>
      <c r="L2073" s="81">
        <f t="shared" si="159"/>
        <v>0.9</v>
      </c>
      <c r="M2073" s="83">
        <f t="shared" si="161"/>
        <v>0</v>
      </c>
      <c r="N2073" s="161" t="s">
        <v>670</v>
      </c>
      <c r="AA2073" s="154">
        <f>AB2073/COUNTIFS($B:$B,$B2073,$C:$C,$C2073,$H:$H,$H2073,$I:$I,$I2073)</f>
        <v>0.05</v>
      </c>
      <c r="AB2073" s="155">
        <f>VLOOKUP(I2073,'Weights and Confidence'!$D$16:$AC$26,11,FALSE)</f>
        <v>0.1</v>
      </c>
      <c r="AC2073" s="156">
        <f>VLOOKUP(I2073,'Weights and Confidence'!$D$16:$AC$26,12,FALSE)</f>
        <v>0.9</v>
      </c>
    </row>
    <row r="2074" spans="1:29" x14ac:dyDescent="0.2">
      <c r="A2074" s="76" t="s">
        <v>566</v>
      </c>
      <c r="B2074" s="76" t="s">
        <v>87</v>
      </c>
      <c r="C2074" s="76" t="s">
        <v>666</v>
      </c>
      <c r="D2074" s="76" t="s">
        <v>65</v>
      </c>
      <c r="E2074" s="76"/>
      <c r="F2074" s="91" t="s">
        <v>667</v>
      </c>
      <c r="G2074" s="76">
        <v>11</v>
      </c>
      <c r="H2074" s="76" t="s">
        <v>17</v>
      </c>
      <c r="I2074" s="76" t="s">
        <v>27</v>
      </c>
      <c r="J2074" s="76">
        <v>1</v>
      </c>
      <c r="K2074" s="78">
        <f>AB2074/COUNTIFS($B:$B,$B2074,$C:$C,$C2074,$H:$H,$H2074,$I:$I,$I2074)</f>
        <v>0.05</v>
      </c>
      <c r="L2074" s="80">
        <f t="shared" si="159"/>
        <v>0.9</v>
      </c>
      <c r="M2074" s="82">
        <f t="shared" si="161"/>
        <v>4.5000000000000005E-2</v>
      </c>
      <c r="N2074" s="59"/>
      <c r="AA2074" s="154">
        <f>AB2074/COUNTIFS($B:$B,$B2074,$C:$C,$C2074,$H:$H,$H2074,$I:$I,$I2074)</f>
        <v>0.05</v>
      </c>
      <c r="AB2074" s="155">
        <f>VLOOKUP(I2074,'Weights and Confidence'!$D$16:$AC$26,11,FALSE)</f>
        <v>0.1</v>
      </c>
      <c r="AC2074" s="156">
        <f>VLOOKUP(I2074,'Weights and Confidence'!$D$16:$AC$26,12,FALSE)</f>
        <v>0.9</v>
      </c>
    </row>
    <row r="2075" spans="1:29" x14ac:dyDescent="0.2">
      <c r="A2075" s="77" t="s">
        <v>566</v>
      </c>
      <c r="B2075" s="77" t="s">
        <v>87</v>
      </c>
      <c r="C2075" s="77" t="s">
        <v>666</v>
      </c>
      <c r="D2075" s="77" t="s">
        <v>65</v>
      </c>
      <c r="E2075" s="77"/>
      <c r="F2075" s="91" t="s">
        <v>667</v>
      </c>
      <c r="G2075" s="77">
        <v>11</v>
      </c>
      <c r="H2075" s="77" t="s">
        <v>18</v>
      </c>
      <c r="I2075" s="77" t="s">
        <v>27</v>
      </c>
      <c r="J2075" s="77">
        <v>0</v>
      </c>
      <c r="K2075" s="79">
        <f>AB2075/COUNTIFS($B:$B,$B2075,$C:$C,$C2075,$H:$H,$H2075,$I:$I,$I2075)</f>
        <v>0.05</v>
      </c>
      <c r="L2075" s="81">
        <f t="shared" si="159"/>
        <v>0.9</v>
      </c>
      <c r="M2075" s="83">
        <f t="shared" si="161"/>
        <v>0</v>
      </c>
      <c r="N2075" s="17"/>
      <c r="AA2075" s="154">
        <f>AB2075/COUNTIFS($B:$B,$B2075,$C:$C,$C2075,$H:$H,$H2075,$I:$I,$I2075)</f>
        <v>0.05</v>
      </c>
      <c r="AB2075" s="155">
        <f>VLOOKUP(I2075,'Weights and Confidence'!$D$16:$AC$26,11,FALSE)</f>
        <v>0.1</v>
      </c>
      <c r="AC2075" s="156">
        <f>VLOOKUP(I2075,'Weights and Confidence'!$D$16:$AC$26,12,FALSE)</f>
        <v>0.9</v>
      </c>
    </row>
    <row r="2076" spans="1:29" x14ac:dyDescent="0.2">
      <c r="A2076" s="77" t="s">
        <v>566</v>
      </c>
      <c r="B2076" s="77" t="s">
        <v>87</v>
      </c>
      <c r="C2076" s="77" t="s">
        <v>666</v>
      </c>
      <c r="D2076" s="77" t="s">
        <v>65</v>
      </c>
      <c r="E2076" s="77"/>
      <c r="F2076" s="91" t="s">
        <v>667</v>
      </c>
      <c r="G2076" s="77">
        <v>12</v>
      </c>
      <c r="H2076" s="77" t="s">
        <v>17</v>
      </c>
      <c r="I2076" s="77" t="s">
        <v>28</v>
      </c>
      <c r="J2076" s="77">
        <v>1</v>
      </c>
      <c r="K2076" s="79">
        <f>AB2076/COUNTIFS($B:$B,$B2076,$C:$C,$C2076,$H:$H,$H2076,$I:$I,$I2076)</f>
        <v>0.05</v>
      </c>
      <c r="L2076" s="81">
        <f t="shared" si="159"/>
        <v>1</v>
      </c>
      <c r="M2076" s="83">
        <f>J2076*K2076*L2076</f>
        <v>0.05</v>
      </c>
      <c r="N2076" s="58"/>
      <c r="AA2076" s="154">
        <f>AB2076/COUNTIFS($B:$B,$B2076,$C:$C,$C2076,$H:$H,$H2076,$I:$I,$I2076)</f>
        <v>0.05</v>
      </c>
      <c r="AB2076" s="155">
        <f>VLOOKUP(I2076,'Weights and Confidence'!$D$16:$AC$26,11,FALSE)</f>
        <v>0.05</v>
      </c>
      <c r="AC2076" s="156">
        <f>VLOOKUP(I2076,'Weights and Confidence'!$D$16:$AC$26,12,FALSE)</f>
        <v>1</v>
      </c>
    </row>
    <row r="2077" spans="1:29" ht="17" thickBot="1" x14ac:dyDescent="0.25">
      <c r="A2077" s="150" t="s">
        <v>566</v>
      </c>
      <c r="B2077" s="150" t="s">
        <v>87</v>
      </c>
      <c r="C2077" s="150" t="s">
        <v>666</v>
      </c>
      <c r="D2077" s="150" t="s">
        <v>65</v>
      </c>
      <c r="E2077" s="150"/>
      <c r="F2077" s="168" t="s">
        <v>667</v>
      </c>
      <c r="G2077" s="150">
        <v>12</v>
      </c>
      <c r="H2077" s="150" t="s">
        <v>18</v>
      </c>
      <c r="I2077" s="150" t="s">
        <v>28</v>
      </c>
      <c r="J2077" s="150">
        <v>-1</v>
      </c>
      <c r="K2077" s="151">
        <f>AB2077/COUNTIFS($B:$B,$B2077,$C:$C,$C2077,$H:$H,$H2077,$I:$I,$I2077)</f>
        <v>0.05</v>
      </c>
      <c r="L2077" s="152">
        <f t="shared" si="159"/>
        <v>1</v>
      </c>
      <c r="M2077" s="153">
        <f>J2077*K2077*L2077</f>
        <v>-0.05</v>
      </c>
      <c r="N2077" s="169"/>
      <c r="AA2077" s="157">
        <f>AB2077/COUNTIFS($B:$B,$B2077,$C:$C,$C2077,$H:$H,$H2077,$I:$I,$I2077)</f>
        <v>0.05</v>
      </c>
      <c r="AB2077" s="158">
        <f>VLOOKUP(I2077,'Weights and Confidence'!$D$16:$AC$26,11,FALSE)</f>
        <v>0.05</v>
      </c>
      <c r="AC2077" s="159">
        <f>VLOOKUP(I2077,'Weights and Confidence'!$D$16:$AC$26,12,FALSE)</f>
        <v>1</v>
      </c>
    </row>
    <row r="2078" spans="1:29" ht="17" thickTop="1" x14ac:dyDescent="0.2">
      <c r="A2078" s="86" t="s">
        <v>566</v>
      </c>
      <c r="B2078" s="86" t="s">
        <v>88</v>
      </c>
      <c r="C2078" s="86" t="s">
        <v>671</v>
      </c>
      <c r="D2078" s="86" t="s">
        <v>5</v>
      </c>
      <c r="E2078" s="86" t="s">
        <v>103</v>
      </c>
      <c r="F2078" s="85" t="s">
        <v>672</v>
      </c>
      <c r="G2078" s="86">
        <v>1</v>
      </c>
      <c r="H2078" s="86" t="s">
        <v>17</v>
      </c>
      <c r="I2078" s="86" t="s">
        <v>19</v>
      </c>
      <c r="J2078" s="97">
        <v>1</v>
      </c>
      <c r="K2078" s="87">
        <f>AB2078/COUNTIFS($B:$B,$B2078,$C:$C,$C2078,$H:$H,$H2078,$I:$I,$I2078)</f>
        <v>0.12</v>
      </c>
      <c r="L2078" s="88">
        <f t="shared" ref="L2078:L2099" si="162">AC2078</f>
        <v>1</v>
      </c>
      <c r="M2078" s="89">
        <f t="shared" ref="M2078" si="163">J2078*K2078*L2078</f>
        <v>0.12</v>
      </c>
      <c r="N2078" s="90"/>
      <c r="AA2078" s="170">
        <f>AB2078/COUNTIFS($B:$B,$B2078,$C:$C,$C2078,$H:$H,$H2078,$I:$I,$I2078)</f>
        <v>0.12</v>
      </c>
      <c r="AB2078" s="171">
        <f>VLOOKUP(I2078,'Weights and Confidence'!$D$16:$AC$26,15,FALSE)</f>
        <v>0.12</v>
      </c>
      <c r="AC2078" s="172">
        <f>VLOOKUP(I2078,'Weights and Confidence'!$D$16:$AC$26,16,FALSE)</f>
        <v>1</v>
      </c>
    </row>
    <row r="2079" spans="1:29" x14ac:dyDescent="0.2">
      <c r="A2079" s="77" t="s">
        <v>566</v>
      </c>
      <c r="B2079" s="77" t="s">
        <v>88</v>
      </c>
      <c r="C2079" s="77" t="s">
        <v>671</v>
      </c>
      <c r="D2079" s="77" t="s">
        <v>5</v>
      </c>
      <c r="E2079" s="77" t="s">
        <v>103</v>
      </c>
      <c r="F2079" s="91" t="s">
        <v>672</v>
      </c>
      <c r="G2079" s="77">
        <v>1</v>
      </c>
      <c r="H2079" s="77" t="s">
        <v>18</v>
      </c>
      <c r="I2079" s="77" t="s">
        <v>19</v>
      </c>
      <c r="J2079" s="77">
        <v>1</v>
      </c>
      <c r="K2079" s="79">
        <f>AB2079/COUNTIFS($B:$B,$B2079,$C:$C,$C2079,$H:$H,$H2079,$I:$I,$I2079)</f>
        <v>0.12</v>
      </c>
      <c r="L2079" s="81">
        <f t="shared" si="162"/>
        <v>1</v>
      </c>
      <c r="M2079" s="83">
        <f>J2078*K2079*L2079</f>
        <v>0.12</v>
      </c>
      <c r="N2079" s="17"/>
      <c r="AA2079" s="154">
        <f t="shared" ref="AA2079:AA2142" si="164">AB2079/COUNTIFS($B:$B,$B2079,$C:$C,$C2079,$H:$H,$H2079,$I:$I,$I2079)</f>
        <v>0.12</v>
      </c>
      <c r="AB2079" s="155">
        <f>VLOOKUP(I2079,'Weights and Confidence'!$D$16:$AC$26,15,FALSE)</f>
        <v>0.12</v>
      </c>
      <c r="AC2079" s="156">
        <f>VLOOKUP(I2079,'Weights and Confidence'!$D$16:$AC$26,16,FALSE)</f>
        <v>1</v>
      </c>
    </row>
    <row r="2080" spans="1:29" x14ac:dyDescent="0.2">
      <c r="A2080" s="76" t="s">
        <v>566</v>
      </c>
      <c r="B2080" s="76" t="s">
        <v>88</v>
      </c>
      <c r="C2080" s="76" t="s">
        <v>671</v>
      </c>
      <c r="D2080" s="76" t="s">
        <v>5</v>
      </c>
      <c r="E2080" s="76" t="s">
        <v>103</v>
      </c>
      <c r="F2080" s="91" t="s">
        <v>672</v>
      </c>
      <c r="G2080" s="76">
        <v>2</v>
      </c>
      <c r="H2080" s="76" t="s">
        <v>17</v>
      </c>
      <c r="I2080" s="76" t="s">
        <v>20</v>
      </c>
      <c r="J2080" s="76">
        <v>0</v>
      </c>
      <c r="K2080" s="78">
        <f>AB2080/COUNTIFS($B:$B,$B2080,$C:$C,$C2080,$H:$H,$H2080,$I:$I,$I2080)</f>
        <v>0.08</v>
      </c>
      <c r="L2080" s="80">
        <f t="shared" si="162"/>
        <v>0.9</v>
      </c>
      <c r="M2080" s="82">
        <f t="shared" ref="M2080:M2100" si="165">J2080*K2080*L2080</f>
        <v>0</v>
      </c>
      <c r="N2080" s="59"/>
      <c r="AA2080" s="154">
        <f t="shared" si="164"/>
        <v>0.08</v>
      </c>
      <c r="AB2080" s="155">
        <f>VLOOKUP(I2080,'Weights and Confidence'!$D$16:$AC$26,15,FALSE)</f>
        <v>0.08</v>
      </c>
      <c r="AC2080" s="156">
        <f>VLOOKUP(I2080,'Weights and Confidence'!$D$16:$AC$26,16,FALSE)</f>
        <v>0.9</v>
      </c>
    </row>
    <row r="2081" spans="1:29" x14ac:dyDescent="0.2">
      <c r="A2081" s="77" t="s">
        <v>566</v>
      </c>
      <c r="B2081" s="77" t="s">
        <v>88</v>
      </c>
      <c r="C2081" s="77" t="s">
        <v>671</v>
      </c>
      <c r="D2081" s="77" t="s">
        <v>5</v>
      </c>
      <c r="E2081" s="77" t="s">
        <v>103</v>
      </c>
      <c r="F2081" s="91" t="s">
        <v>672</v>
      </c>
      <c r="G2081" s="77">
        <v>2</v>
      </c>
      <c r="H2081" s="77" t="s">
        <v>18</v>
      </c>
      <c r="I2081" s="77" t="s">
        <v>20</v>
      </c>
      <c r="J2081" s="77">
        <v>1</v>
      </c>
      <c r="K2081" s="79">
        <f>AB2081/COUNTIFS($B:$B,$B2081,$C:$C,$C2081,$H:$H,$H2081,$I:$I,$I2081)</f>
        <v>0.08</v>
      </c>
      <c r="L2081" s="81">
        <f t="shared" si="162"/>
        <v>0.9</v>
      </c>
      <c r="M2081" s="83">
        <f t="shared" si="165"/>
        <v>7.2000000000000008E-2</v>
      </c>
      <c r="N2081" s="17" t="s">
        <v>673</v>
      </c>
      <c r="AA2081" s="154">
        <f t="shared" si="164"/>
        <v>0.08</v>
      </c>
      <c r="AB2081" s="155">
        <f>VLOOKUP(I2081,'Weights and Confidence'!$D$16:$AC$26,15,FALSE)</f>
        <v>0.08</v>
      </c>
      <c r="AC2081" s="156">
        <f>VLOOKUP(I2081,'Weights and Confidence'!$D$16:$AC$26,16,FALSE)</f>
        <v>0.9</v>
      </c>
    </row>
    <row r="2082" spans="1:29" x14ac:dyDescent="0.2">
      <c r="A2082" s="76" t="s">
        <v>566</v>
      </c>
      <c r="B2082" s="76" t="s">
        <v>88</v>
      </c>
      <c r="C2082" s="76" t="s">
        <v>671</v>
      </c>
      <c r="D2082" s="76" t="s">
        <v>5</v>
      </c>
      <c r="E2082" s="76" t="s">
        <v>103</v>
      </c>
      <c r="F2082" s="91" t="s">
        <v>672</v>
      </c>
      <c r="G2082" s="76">
        <v>3</v>
      </c>
      <c r="H2082" s="76" t="s">
        <v>17</v>
      </c>
      <c r="I2082" s="76" t="s">
        <v>21</v>
      </c>
      <c r="J2082" s="76">
        <v>0</v>
      </c>
      <c r="K2082" s="78">
        <f>AB2082/COUNTIFS($B:$B,$B2082,$C:$C,$C2082,$H:$H,$H2082,$I:$I,$I2082)</f>
        <v>0.05</v>
      </c>
      <c r="L2082" s="80">
        <f t="shared" si="162"/>
        <v>1</v>
      </c>
      <c r="M2082" s="82">
        <f t="shared" si="165"/>
        <v>0</v>
      </c>
      <c r="N2082" s="59"/>
      <c r="AA2082" s="154">
        <f t="shared" si="164"/>
        <v>0.05</v>
      </c>
      <c r="AB2082" s="155">
        <f>VLOOKUP(I2082,'Weights and Confidence'!$D$16:$AC$26,15,FALSE)</f>
        <v>0.05</v>
      </c>
      <c r="AC2082" s="156">
        <f>VLOOKUP(I2082,'Weights and Confidence'!$D$16:$AC$26,16,FALSE)</f>
        <v>1</v>
      </c>
    </row>
    <row r="2083" spans="1:29" x14ac:dyDescent="0.2">
      <c r="A2083" s="77" t="s">
        <v>566</v>
      </c>
      <c r="B2083" s="77" t="s">
        <v>88</v>
      </c>
      <c r="C2083" s="77" t="s">
        <v>671</v>
      </c>
      <c r="D2083" s="77" t="s">
        <v>5</v>
      </c>
      <c r="E2083" s="77" t="s">
        <v>103</v>
      </c>
      <c r="F2083" s="91" t="s">
        <v>672</v>
      </c>
      <c r="G2083" s="77">
        <v>3</v>
      </c>
      <c r="H2083" s="77" t="s">
        <v>18</v>
      </c>
      <c r="I2083" s="77" t="s">
        <v>21</v>
      </c>
      <c r="J2083" s="77">
        <v>1</v>
      </c>
      <c r="K2083" s="79">
        <f>AB2083/COUNTIFS($B:$B,$B2083,$C:$C,$C2083,$H:$H,$H2083,$I:$I,$I2083)</f>
        <v>0.05</v>
      </c>
      <c r="L2083" s="81">
        <f t="shared" si="162"/>
        <v>1</v>
      </c>
      <c r="M2083" s="83">
        <f t="shared" si="165"/>
        <v>0.05</v>
      </c>
      <c r="N2083" s="17" t="s">
        <v>674</v>
      </c>
      <c r="AA2083" s="154">
        <f t="shared" si="164"/>
        <v>0.05</v>
      </c>
      <c r="AB2083" s="155">
        <f>VLOOKUP(I2083,'Weights and Confidence'!$D$16:$AC$26,15,FALSE)</f>
        <v>0.05</v>
      </c>
      <c r="AC2083" s="156">
        <f>VLOOKUP(I2083,'Weights and Confidence'!$D$16:$AC$26,16,FALSE)</f>
        <v>1</v>
      </c>
    </row>
    <row r="2084" spans="1:29" x14ac:dyDescent="0.2">
      <c r="A2084" s="76" t="s">
        <v>566</v>
      </c>
      <c r="B2084" s="76" t="s">
        <v>88</v>
      </c>
      <c r="C2084" s="76" t="s">
        <v>671</v>
      </c>
      <c r="D2084" s="76" t="s">
        <v>5</v>
      </c>
      <c r="E2084" s="76" t="s">
        <v>103</v>
      </c>
      <c r="F2084" s="91" t="s">
        <v>672</v>
      </c>
      <c r="G2084" s="76">
        <v>4</v>
      </c>
      <c r="H2084" s="76" t="s">
        <v>17</v>
      </c>
      <c r="I2084" s="76" t="s">
        <v>22</v>
      </c>
      <c r="J2084" s="76">
        <v>0</v>
      </c>
      <c r="K2084" s="78">
        <f>AB2084/COUNTIFS($B:$B,$B2084,$C:$C,$C2084,$H:$H,$H2084,$I:$I,$I2084)</f>
        <v>0.1</v>
      </c>
      <c r="L2084" s="80">
        <f t="shared" si="162"/>
        <v>1</v>
      </c>
      <c r="M2084" s="82">
        <f t="shared" si="165"/>
        <v>0</v>
      </c>
      <c r="N2084" s="59"/>
      <c r="AA2084" s="154">
        <f t="shared" si="164"/>
        <v>0.1</v>
      </c>
      <c r="AB2084" s="155">
        <f>VLOOKUP(I2084,'Weights and Confidence'!$D$16:$AC$26,15,FALSE)</f>
        <v>0.1</v>
      </c>
      <c r="AC2084" s="156">
        <f>VLOOKUP(I2084,'Weights and Confidence'!$D$16:$AC$26,16,FALSE)</f>
        <v>1</v>
      </c>
    </row>
    <row r="2085" spans="1:29" x14ac:dyDescent="0.2">
      <c r="A2085" s="77" t="s">
        <v>566</v>
      </c>
      <c r="B2085" s="77" t="s">
        <v>88</v>
      </c>
      <c r="C2085" s="77" t="s">
        <v>671</v>
      </c>
      <c r="D2085" s="77" t="s">
        <v>5</v>
      </c>
      <c r="E2085" s="77" t="s">
        <v>103</v>
      </c>
      <c r="F2085" s="91" t="s">
        <v>672</v>
      </c>
      <c r="G2085" s="77">
        <v>4</v>
      </c>
      <c r="H2085" s="77" t="s">
        <v>18</v>
      </c>
      <c r="I2085" s="77" t="s">
        <v>22</v>
      </c>
      <c r="J2085" s="77">
        <v>1</v>
      </c>
      <c r="K2085" s="79">
        <f>AB2085/COUNTIFS($B:$B,$B2085,$C:$C,$C2085,$H:$H,$H2085,$I:$I,$I2085)</f>
        <v>0.1</v>
      </c>
      <c r="L2085" s="81">
        <f t="shared" si="162"/>
        <v>1</v>
      </c>
      <c r="M2085" s="83">
        <f t="shared" si="165"/>
        <v>0.1</v>
      </c>
      <c r="N2085" s="17" t="s">
        <v>676</v>
      </c>
      <c r="AA2085" s="154">
        <f t="shared" si="164"/>
        <v>0.1</v>
      </c>
      <c r="AB2085" s="155">
        <f>VLOOKUP(I2085,'Weights and Confidence'!$D$16:$AC$26,15,FALSE)</f>
        <v>0.1</v>
      </c>
      <c r="AC2085" s="156">
        <f>VLOOKUP(I2085,'Weights and Confidence'!$D$16:$AC$26,16,FALSE)</f>
        <v>1</v>
      </c>
    </row>
    <row r="2086" spans="1:29" ht="17" thickBot="1" x14ac:dyDescent="0.25">
      <c r="A2086" s="76" t="s">
        <v>566</v>
      </c>
      <c r="B2086" s="76" t="s">
        <v>88</v>
      </c>
      <c r="C2086" s="76" t="s">
        <v>671</v>
      </c>
      <c r="D2086" s="76" t="s">
        <v>5</v>
      </c>
      <c r="E2086" s="76" t="s">
        <v>103</v>
      </c>
      <c r="F2086" s="91" t="s">
        <v>672</v>
      </c>
      <c r="G2086" s="76">
        <v>5</v>
      </c>
      <c r="H2086" s="76" t="s">
        <v>17</v>
      </c>
      <c r="I2086" s="76" t="s">
        <v>34</v>
      </c>
      <c r="J2086" s="76">
        <v>0</v>
      </c>
      <c r="K2086" s="78">
        <f>AB2086/COUNTIFS($B:$B,$B2086,$C:$C,$C2086,$H:$H,$H2086,$I:$I,$I2086)</f>
        <v>0.08</v>
      </c>
      <c r="L2086" s="80">
        <f t="shared" si="162"/>
        <v>1</v>
      </c>
      <c r="M2086" s="82">
        <f t="shared" si="165"/>
        <v>0</v>
      </c>
      <c r="N2086" s="84"/>
      <c r="AA2086" s="154">
        <f t="shared" si="164"/>
        <v>0.08</v>
      </c>
      <c r="AB2086" s="155">
        <f>VLOOKUP(I2086,'Weights and Confidence'!$D$16:$AC$26,15,FALSE)</f>
        <v>0.08</v>
      </c>
      <c r="AC2086" s="156">
        <f>VLOOKUP(I2086,'Weights and Confidence'!$D$16:$AC$26,16,FALSE)</f>
        <v>1</v>
      </c>
    </row>
    <row r="2087" spans="1:29" ht="17" thickBot="1" x14ac:dyDescent="0.25">
      <c r="A2087" s="77" t="s">
        <v>566</v>
      </c>
      <c r="B2087" s="77" t="s">
        <v>88</v>
      </c>
      <c r="C2087" s="77" t="s">
        <v>671</v>
      </c>
      <c r="D2087" s="77" t="s">
        <v>5</v>
      </c>
      <c r="E2087" s="77" t="s">
        <v>103</v>
      </c>
      <c r="F2087" s="91" t="s">
        <v>672</v>
      </c>
      <c r="G2087" s="77">
        <v>5</v>
      </c>
      <c r="H2087" s="77" t="s">
        <v>18</v>
      </c>
      <c r="I2087" s="77" t="s">
        <v>34</v>
      </c>
      <c r="J2087" s="77">
        <v>0</v>
      </c>
      <c r="K2087" s="79">
        <f>AB2087/COUNTIFS($B:$B,$B2087,$C:$C,$C2087,$H:$H,$H2087,$I:$I,$I2087)</f>
        <v>0.08</v>
      </c>
      <c r="L2087" s="81">
        <f t="shared" si="162"/>
        <v>1</v>
      </c>
      <c r="M2087" s="83">
        <f t="shared" si="165"/>
        <v>0</v>
      </c>
      <c r="N2087" s="167"/>
      <c r="AA2087" s="154">
        <f t="shared" si="164"/>
        <v>0.08</v>
      </c>
      <c r="AB2087" s="155">
        <f>VLOOKUP(I2087,'Weights and Confidence'!$D$16:$AC$26,15,FALSE)</f>
        <v>0.08</v>
      </c>
      <c r="AC2087" s="156">
        <f>VLOOKUP(I2087,'Weights and Confidence'!$D$16:$AC$26,16,FALSE)</f>
        <v>1</v>
      </c>
    </row>
    <row r="2088" spans="1:29" x14ac:dyDescent="0.2">
      <c r="A2088" s="76" t="s">
        <v>566</v>
      </c>
      <c r="B2088" s="76" t="s">
        <v>88</v>
      </c>
      <c r="C2088" s="76" t="s">
        <v>671</v>
      </c>
      <c r="D2088" s="76" t="s">
        <v>5</v>
      </c>
      <c r="E2088" s="76" t="s">
        <v>103</v>
      </c>
      <c r="F2088" s="91" t="s">
        <v>672</v>
      </c>
      <c r="G2088" s="76">
        <v>6</v>
      </c>
      <c r="H2088" s="76" t="s">
        <v>17</v>
      </c>
      <c r="I2088" s="76" t="s">
        <v>23</v>
      </c>
      <c r="J2088" s="76">
        <v>0</v>
      </c>
      <c r="K2088" s="78">
        <f>AB2088/COUNTIFS($B:$B,$B2088,$C:$C,$C2088,$H:$H,$H2088,$I:$I,$I2088)</f>
        <v>7.0000000000000007E-2</v>
      </c>
      <c r="L2088" s="80">
        <f t="shared" si="162"/>
        <v>1</v>
      </c>
      <c r="M2088" s="82">
        <f t="shared" si="165"/>
        <v>0</v>
      </c>
      <c r="N2088" s="59"/>
      <c r="AA2088" s="154">
        <f t="shared" si="164"/>
        <v>7.0000000000000007E-2</v>
      </c>
      <c r="AB2088" s="155">
        <f>VLOOKUP(I2088,'Weights and Confidence'!$D$16:$AC$26,15,FALSE)</f>
        <v>7.0000000000000007E-2</v>
      </c>
      <c r="AC2088" s="156">
        <f>VLOOKUP(I2088,'Weights and Confidence'!$D$16:$AC$26,16,FALSE)</f>
        <v>1</v>
      </c>
    </row>
    <row r="2089" spans="1:29" x14ac:dyDescent="0.2">
      <c r="A2089" s="77" t="s">
        <v>566</v>
      </c>
      <c r="B2089" s="77" t="s">
        <v>88</v>
      </c>
      <c r="C2089" s="77" t="s">
        <v>671</v>
      </c>
      <c r="D2089" s="77" t="s">
        <v>5</v>
      </c>
      <c r="E2089" s="77" t="s">
        <v>103</v>
      </c>
      <c r="F2089" s="91" t="s">
        <v>672</v>
      </c>
      <c r="G2089" s="77">
        <v>6</v>
      </c>
      <c r="H2089" s="77" t="s">
        <v>18</v>
      </c>
      <c r="I2089" s="77" t="s">
        <v>23</v>
      </c>
      <c r="J2089" s="77">
        <v>1</v>
      </c>
      <c r="K2089" s="79">
        <f>AB2089/COUNTIFS($B:$B,$B2089,$C:$C,$C2089,$H:$H,$H2089,$I:$I,$I2089)</f>
        <v>7.0000000000000007E-2</v>
      </c>
      <c r="L2089" s="81">
        <f t="shared" si="162"/>
        <v>1</v>
      </c>
      <c r="M2089" s="83">
        <f t="shared" si="165"/>
        <v>7.0000000000000007E-2</v>
      </c>
      <c r="N2089" s="17"/>
      <c r="AA2089" s="154">
        <f t="shared" si="164"/>
        <v>7.0000000000000007E-2</v>
      </c>
      <c r="AB2089" s="155">
        <f>VLOOKUP(I2089,'Weights and Confidence'!$D$16:$AC$26,15,FALSE)</f>
        <v>7.0000000000000007E-2</v>
      </c>
      <c r="AC2089" s="156">
        <f>VLOOKUP(I2089,'Weights and Confidence'!$D$16:$AC$26,16,FALSE)</f>
        <v>1</v>
      </c>
    </row>
    <row r="2090" spans="1:29" x14ac:dyDescent="0.2">
      <c r="A2090" s="76" t="s">
        <v>566</v>
      </c>
      <c r="B2090" s="76" t="s">
        <v>88</v>
      </c>
      <c r="C2090" s="76" t="s">
        <v>671</v>
      </c>
      <c r="D2090" s="76" t="s">
        <v>5</v>
      </c>
      <c r="E2090" s="76" t="s">
        <v>103</v>
      </c>
      <c r="F2090" s="91" t="s">
        <v>672</v>
      </c>
      <c r="G2090" s="76">
        <v>7</v>
      </c>
      <c r="H2090" s="76" t="s">
        <v>17</v>
      </c>
      <c r="I2090" s="76" t="s">
        <v>24</v>
      </c>
      <c r="J2090" s="76">
        <v>-1</v>
      </c>
      <c r="K2090" s="78">
        <f>AB2090/COUNTIFS($B:$B,$B2090,$C:$C,$C2090,$H:$H,$H2090,$I:$I,$I2090)</f>
        <v>0.15</v>
      </c>
      <c r="L2090" s="80">
        <f t="shared" si="162"/>
        <v>1</v>
      </c>
      <c r="M2090" s="82">
        <f t="shared" si="165"/>
        <v>-0.15</v>
      </c>
      <c r="N2090" s="59"/>
      <c r="AA2090" s="154">
        <f t="shared" si="164"/>
        <v>0.15</v>
      </c>
      <c r="AB2090" s="155">
        <f>VLOOKUP(I2090,'Weights and Confidence'!$D$16:$AC$26,15,FALSE)</f>
        <v>0.15</v>
      </c>
      <c r="AC2090" s="156">
        <f>VLOOKUP(I2090,'Weights and Confidence'!$D$16:$AC$26,16,FALSE)</f>
        <v>1</v>
      </c>
    </row>
    <row r="2091" spans="1:29" x14ac:dyDescent="0.2">
      <c r="A2091" s="77" t="s">
        <v>566</v>
      </c>
      <c r="B2091" s="77" t="s">
        <v>88</v>
      </c>
      <c r="C2091" s="77" t="s">
        <v>671</v>
      </c>
      <c r="D2091" s="77" t="s">
        <v>5</v>
      </c>
      <c r="E2091" s="77" t="s">
        <v>103</v>
      </c>
      <c r="F2091" s="91" t="s">
        <v>672</v>
      </c>
      <c r="G2091" s="77">
        <v>7</v>
      </c>
      <c r="H2091" s="77" t="s">
        <v>18</v>
      </c>
      <c r="I2091" s="77" t="s">
        <v>24</v>
      </c>
      <c r="J2091" s="77">
        <v>1</v>
      </c>
      <c r="K2091" s="79">
        <f>AB2091/COUNTIFS($B:$B,$B2091,$C:$C,$C2091,$H:$H,$H2091,$I:$I,$I2091)</f>
        <v>0.15</v>
      </c>
      <c r="L2091" s="81">
        <f t="shared" si="162"/>
        <v>1</v>
      </c>
      <c r="M2091" s="83">
        <f t="shared" si="165"/>
        <v>0.15</v>
      </c>
      <c r="N2091" s="84" t="s">
        <v>675</v>
      </c>
      <c r="AA2091" s="154">
        <f t="shared" si="164"/>
        <v>0.15</v>
      </c>
      <c r="AB2091" s="155">
        <f>VLOOKUP(I2091,'Weights and Confidence'!$D$16:$AC$26,15,FALSE)</f>
        <v>0.15</v>
      </c>
      <c r="AC2091" s="156">
        <f>VLOOKUP(I2091,'Weights and Confidence'!$D$16:$AC$26,16,FALSE)</f>
        <v>1</v>
      </c>
    </row>
    <row r="2092" spans="1:29" x14ac:dyDescent="0.2">
      <c r="A2092" s="76" t="s">
        <v>566</v>
      </c>
      <c r="B2092" s="76" t="s">
        <v>88</v>
      </c>
      <c r="C2092" s="76" t="s">
        <v>671</v>
      </c>
      <c r="D2092" s="76" t="s">
        <v>5</v>
      </c>
      <c r="E2092" s="76" t="s">
        <v>103</v>
      </c>
      <c r="F2092" s="91" t="s">
        <v>672</v>
      </c>
      <c r="G2092" s="76">
        <v>8</v>
      </c>
      <c r="H2092" s="76" t="s">
        <v>17</v>
      </c>
      <c r="I2092" s="76" t="s">
        <v>25</v>
      </c>
      <c r="J2092" s="76">
        <v>0</v>
      </c>
      <c r="K2092" s="78">
        <f>AB2092/COUNTIFS($B:$B,$B2092,$C:$C,$C2092,$H:$H,$H2092,$I:$I,$I2092)</f>
        <v>0.1</v>
      </c>
      <c r="L2092" s="80">
        <f t="shared" si="162"/>
        <v>1</v>
      </c>
      <c r="M2092" s="82">
        <f t="shared" si="165"/>
        <v>0</v>
      </c>
      <c r="N2092" s="59"/>
      <c r="AA2092" s="154">
        <f t="shared" si="164"/>
        <v>0.1</v>
      </c>
      <c r="AB2092" s="155">
        <f>VLOOKUP(I2092,'Weights and Confidence'!$D$16:$AC$26,15,FALSE)</f>
        <v>0.1</v>
      </c>
      <c r="AC2092" s="156">
        <f>VLOOKUP(I2092,'Weights and Confidence'!$D$16:$AC$26,16,FALSE)</f>
        <v>1</v>
      </c>
    </row>
    <row r="2093" spans="1:29" x14ac:dyDescent="0.2">
      <c r="A2093" s="77" t="s">
        <v>566</v>
      </c>
      <c r="B2093" s="77" t="s">
        <v>88</v>
      </c>
      <c r="C2093" s="77" t="s">
        <v>671</v>
      </c>
      <c r="D2093" s="77" t="s">
        <v>5</v>
      </c>
      <c r="E2093" s="77" t="s">
        <v>103</v>
      </c>
      <c r="F2093" s="91" t="s">
        <v>672</v>
      </c>
      <c r="G2093" s="77">
        <v>8</v>
      </c>
      <c r="H2093" s="77" t="s">
        <v>18</v>
      </c>
      <c r="I2093" s="77" t="s">
        <v>25</v>
      </c>
      <c r="J2093" s="77">
        <v>0</v>
      </c>
      <c r="K2093" s="79">
        <f>AB2093/COUNTIFS($B:$B,$B2093,$C:$C,$C2093,$H:$H,$H2093,$I:$I,$I2093)</f>
        <v>0.1</v>
      </c>
      <c r="L2093" s="81">
        <f t="shared" si="162"/>
        <v>1</v>
      </c>
      <c r="M2093" s="83">
        <f t="shared" si="165"/>
        <v>0</v>
      </c>
      <c r="N2093" s="17"/>
      <c r="AA2093" s="154">
        <f t="shared" si="164"/>
        <v>0.1</v>
      </c>
      <c r="AB2093" s="155">
        <f>VLOOKUP(I2093,'Weights and Confidence'!$D$16:$AC$26,15,FALSE)</f>
        <v>0.1</v>
      </c>
      <c r="AC2093" s="156">
        <f>VLOOKUP(I2093,'Weights and Confidence'!$D$16:$AC$26,16,FALSE)</f>
        <v>1</v>
      </c>
    </row>
    <row r="2094" spans="1:29" x14ac:dyDescent="0.2">
      <c r="A2094" s="76" t="s">
        <v>566</v>
      </c>
      <c r="B2094" s="76" t="s">
        <v>88</v>
      </c>
      <c r="C2094" s="76" t="s">
        <v>671</v>
      </c>
      <c r="D2094" s="76" t="s">
        <v>5</v>
      </c>
      <c r="E2094" s="76" t="s">
        <v>103</v>
      </c>
      <c r="F2094" s="91" t="s">
        <v>672</v>
      </c>
      <c r="G2094" s="76">
        <v>9</v>
      </c>
      <c r="H2094" s="76" t="s">
        <v>17</v>
      </c>
      <c r="I2094" s="76" t="s">
        <v>26</v>
      </c>
      <c r="J2094" s="76">
        <v>-1</v>
      </c>
      <c r="K2094" s="78">
        <f>AB2094/COUNTIFS($B:$B,$B2094,$C:$C,$C2094,$H:$H,$H2094,$I:$I,$I2094)</f>
        <v>0.1</v>
      </c>
      <c r="L2094" s="80">
        <f t="shared" si="162"/>
        <v>1</v>
      </c>
      <c r="M2094" s="82">
        <f t="shared" si="165"/>
        <v>-0.1</v>
      </c>
      <c r="N2094" s="59"/>
      <c r="AA2094" s="154">
        <f t="shared" si="164"/>
        <v>0.1</v>
      </c>
      <c r="AB2094" s="155">
        <f>VLOOKUP(I2094,'Weights and Confidence'!$D$16:$AC$26,15,FALSE)</f>
        <v>0.1</v>
      </c>
      <c r="AC2094" s="156">
        <f>VLOOKUP(I2094,'Weights and Confidence'!$D$16:$AC$26,16,FALSE)</f>
        <v>1</v>
      </c>
    </row>
    <row r="2095" spans="1:29" x14ac:dyDescent="0.2">
      <c r="A2095" s="77" t="s">
        <v>566</v>
      </c>
      <c r="B2095" s="77" t="s">
        <v>88</v>
      </c>
      <c r="C2095" s="77" t="s">
        <v>671</v>
      </c>
      <c r="D2095" s="77" t="s">
        <v>5</v>
      </c>
      <c r="E2095" s="77" t="s">
        <v>103</v>
      </c>
      <c r="F2095" s="91" t="s">
        <v>672</v>
      </c>
      <c r="G2095" s="77">
        <v>9</v>
      </c>
      <c r="H2095" s="77" t="s">
        <v>18</v>
      </c>
      <c r="I2095" s="77" t="s">
        <v>26</v>
      </c>
      <c r="J2095" s="77">
        <v>0</v>
      </c>
      <c r="K2095" s="79">
        <f>AB2095/COUNTIFS($B:$B,$B2095,$C:$C,$C2095,$H:$H,$H2095,$I:$I,$I2095)</f>
        <v>0.1</v>
      </c>
      <c r="L2095" s="81">
        <f t="shared" si="162"/>
        <v>1</v>
      </c>
      <c r="M2095" s="83">
        <f t="shared" si="165"/>
        <v>0</v>
      </c>
      <c r="N2095" s="17"/>
      <c r="AA2095" s="154">
        <f t="shared" si="164"/>
        <v>0.1</v>
      </c>
      <c r="AB2095" s="155">
        <f>VLOOKUP(I2095,'Weights and Confidence'!$D$16:$AC$26,15,FALSE)</f>
        <v>0.1</v>
      </c>
      <c r="AC2095" s="156">
        <f>VLOOKUP(I2095,'Weights and Confidence'!$D$16:$AC$26,16,FALSE)</f>
        <v>1</v>
      </c>
    </row>
    <row r="2096" spans="1:29" ht="17" thickBot="1" x14ac:dyDescent="0.25">
      <c r="A2096" s="76" t="s">
        <v>566</v>
      </c>
      <c r="B2096" s="76" t="s">
        <v>88</v>
      </c>
      <c r="C2096" s="76" t="s">
        <v>671</v>
      </c>
      <c r="D2096" s="76" t="s">
        <v>5</v>
      </c>
      <c r="E2096" s="76" t="s">
        <v>103</v>
      </c>
      <c r="F2096" s="91" t="s">
        <v>672</v>
      </c>
      <c r="G2096" s="76">
        <v>10</v>
      </c>
      <c r="H2096" s="76" t="s">
        <v>17</v>
      </c>
      <c r="I2096" s="76" t="s">
        <v>27</v>
      </c>
      <c r="J2096" s="76">
        <v>0</v>
      </c>
      <c r="K2096" s="78">
        <f>AB2096/COUNTIFS($B:$B,$B2096,$C:$C,$C2096,$H:$H,$H2096,$I:$I,$I2096)</f>
        <v>0.1</v>
      </c>
      <c r="L2096" s="80">
        <f t="shared" si="162"/>
        <v>0.9</v>
      </c>
      <c r="M2096" s="82">
        <f t="shared" si="165"/>
        <v>0</v>
      </c>
      <c r="N2096" s="59"/>
      <c r="AA2096" s="154">
        <f t="shared" si="164"/>
        <v>0.1</v>
      </c>
      <c r="AB2096" s="155">
        <f>VLOOKUP(I2096,'Weights and Confidence'!$D$16:$AC$26,15,FALSE)</f>
        <v>0.1</v>
      </c>
      <c r="AC2096" s="156">
        <f>VLOOKUP(I2096,'Weights and Confidence'!$D$16:$AC$26,16,FALSE)</f>
        <v>0.9</v>
      </c>
    </row>
    <row r="2097" spans="1:29" ht="17" thickBot="1" x14ac:dyDescent="0.25">
      <c r="A2097" s="77" t="s">
        <v>566</v>
      </c>
      <c r="B2097" s="77" t="s">
        <v>88</v>
      </c>
      <c r="C2097" s="77" t="s">
        <v>671</v>
      </c>
      <c r="D2097" s="77" t="s">
        <v>5</v>
      </c>
      <c r="E2097" s="77" t="s">
        <v>103</v>
      </c>
      <c r="F2097" s="91" t="s">
        <v>672</v>
      </c>
      <c r="G2097" s="77">
        <v>10</v>
      </c>
      <c r="H2097" s="77" t="s">
        <v>18</v>
      </c>
      <c r="I2097" s="77" t="s">
        <v>27</v>
      </c>
      <c r="J2097" s="77">
        <v>1</v>
      </c>
      <c r="K2097" s="79">
        <f>AB2097/COUNTIFS($B:$B,$B2097,$C:$C,$C2097,$H:$H,$H2097,$I:$I,$I2097)</f>
        <v>0.1</v>
      </c>
      <c r="L2097" s="81">
        <f t="shared" si="162"/>
        <v>0.9</v>
      </c>
      <c r="M2097" s="83">
        <f t="shared" si="165"/>
        <v>9.0000000000000011E-2</v>
      </c>
      <c r="N2097" s="161"/>
      <c r="AA2097" s="154">
        <f t="shared" si="164"/>
        <v>0.1</v>
      </c>
      <c r="AB2097" s="155">
        <f>VLOOKUP(I2097,'Weights and Confidence'!$D$16:$AC$26,15,FALSE)</f>
        <v>0.1</v>
      </c>
      <c r="AC2097" s="156">
        <f>VLOOKUP(I2097,'Weights and Confidence'!$D$16:$AC$26,16,FALSE)</f>
        <v>0.9</v>
      </c>
    </row>
    <row r="2098" spans="1:29" x14ac:dyDescent="0.2">
      <c r="A2098" s="76" t="s">
        <v>566</v>
      </c>
      <c r="B2098" s="76" t="s">
        <v>88</v>
      </c>
      <c r="C2098" s="76" t="s">
        <v>671</v>
      </c>
      <c r="D2098" s="76" t="s">
        <v>5</v>
      </c>
      <c r="E2098" s="76" t="s">
        <v>103</v>
      </c>
      <c r="F2098" s="91" t="s">
        <v>672</v>
      </c>
      <c r="G2098" s="76">
        <v>11</v>
      </c>
      <c r="H2098" s="76" t="s">
        <v>17</v>
      </c>
      <c r="I2098" s="76" t="s">
        <v>28</v>
      </c>
      <c r="J2098" s="76">
        <v>0</v>
      </c>
      <c r="K2098" s="78">
        <f>AB2098/COUNTIFS($B:$B,$B2098,$C:$C,$C2098,$H:$H,$H2098,$I:$I,$I2098)</f>
        <v>0.05</v>
      </c>
      <c r="L2098" s="80">
        <f t="shared" si="162"/>
        <v>1</v>
      </c>
      <c r="M2098" s="82">
        <f t="shared" si="165"/>
        <v>0</v>
      </c>
      <c r="N2098" s="59"/>
      <c r="AA2098" s="154">
        <f t="shared" si="164"/>
        <v>0.05</v>
      </c>
      <c r="AB2098" s="155">
        <f>VLOOKUP(I2098,'Weights and Confidence'!$D$16:$AC$26,15,FALSE)</f>
        <v>0.05</v>
      </c>
      <c r="AC2098" s="156">
        <f>VLOOKUP(I2098,'Weights and Confidence'!$D$16:$AC$26,16,FALSE)</f>
        <v>1</v>
      </c>
    </row>
    <row r="2099" spans="1:29" ht="17" thickBot="1" x14ac:dyDescent="0.25">
      <c r="A2099" s="98" t="s">
        <v>566</v>
      </c>
      <c r="B2099" s="98" t="s">
        <v>88</v>
      </c>
      <c r="C2099" s="98" t="s">
        <v>671</v>
      </c>
      <c r="D2099" s="98" t="s">
        <v>5</v>
      </c>
      <c r="E2099" s="98" t="s">
        <v>103</v>
      </c>
      <c r="F2099" s="93" t="s">
        <v>672</v>
      </c>
      <c r="G2099" s="98">
        <v>11</v>
      </c>
      <c r="H2099" s="98" t="s">
        <v>18</v>
      </c>
      <c r="I2099" s="98" t="s">
        <v>28</v>
      </c>
      <c r="J2099" s="98">
        <v>0</v>
      </c>
      <c r="K2099" s="99">
        <f>AB2099/COUNTIFS($B:$B,$B2099,$C:$C,$C2099,$H:$H,$H2099,$I:$I,$I2099)</f>
        <v>0.05</v>
      </c>
      <c r="L2099" s="100">
        <f t="shared" si="162"/>
        <v>1</v>
      </c>
      <c r="M2099" s="101">
        <f t="shared" si="165"/>
        <v>0</v>
      </c>
      <c r="N2099" s="22"/>
      <c r="AA2099" s="157">
        <f t="shared" si="164"/>
        <v>0.05</v>
      </c>
      <c r="AB2099" s="158">
        <f>VLOOKUP(I2099,'Weights and Confidence'!$D$16:$AC$26,15,FALSE)</f>
        <v>0.05</v>
      </c>
      <c r="AC2099" s="159">
        <f>VLOOKUP(I2099,'Weights and Confidence'!$D$16:$AC$26,16,FALSE)</f>
        <v>1</v>
      </c>
    </row>
    <row r="2100" spans="1:29" ht="17" thickTop="1" x14ac:dyDescent="0.2">
      <c r="A2100" s="86" t="s">
        <v>566</v>
      </c>
      <c r="B2100" s="86" t="s">
        <v>88</v>
      </c>
      <c r="C2100" s="86" t="s">
        <v>281</v>
      </c>
      <c r="D2100" s="86" t="s">
        <v>5</v>
      </c>
      <c r="E2100" s="86" t="s">
        <v>103</v>
      </c>
      <c r="F2100" s="85" t="s">
        <v>282</v>
      </c>
      <c r="G2100" s="86">
        <v>1</v>
      </c>
      <c r="H2100" s="86" t="s">
        <v>17</v>
      </c>
      <c r="I2100" s="86" t="s">
        <v>19</v>
      </c>
      <c r="J2100" s="97">
        <v>1</v>
      </c>
      <c r="K2100" s="87">
        <f>AB2100/COUNTIFS($B:$B,$B2100,$C:$C,$C2100,$H:$H,$H2100,$I:$I,$I2100)</f>
        <v>0.12</v>
      </c>
      <c r="L2100" s="88">
        <f t="shared" ref="L2100:L2121" si="166">AC2100</f>
        <v>1</v>
      </c>
      <c r="M2100" s="89">
        <f t="shared" si="165"/>
        <v>0.12</v>
      </c>
      <c r="N2100" s="90"/>
      <c r="AA2100" s="170">
        <f>AB2100/COUNTIFS($B:$B,$B2100,$C:$C,$C2100,$H:$H,$H2100,$I:$I,$I2100)</f>
        <v>0.12</v>
      </c>
      <c r="AB2100" s="171">
        <f>VLOOKUP(I2100,'Weights and Confidence'!$D$16:$AC$26,15,FALSE)</f>
        <v>0.12</v>
      </c>
      <c r="AC2100" s="172">
        <f>VLOOKUP(I2100,'Weights and Confidence'!$D$16:$AC$26,16,FALSE)</f>
        <v>1</v>
      </c>
    </row>
    <row r="2101" spans="1:29" x14ac:dyDescent="0.2">
      <c r="A2101" s="77" t="s">
        <v>566</v>
      </c>
      <c r="B2101" s="77" t="s">
        <v>88</v>
      </c>
      <c r="C2101" s="77" t="s">
        <v>281</v>
      </c>
      <c r="D2101" s="77" t="s">
        <v>5</v>
      </c>
      <c r="E2101" s="77" t="s">
        <v>103</v>
      </c>
      <c r="F2101" s="91" t="s">
        <v>282</v>
      </c>
      <c r="G2101" s="77">
        <v>1</v>
      </c>
      <c r="H2101" s="77" t="s">
        <v>18</v>
      </c>
      <c r="I2101" s="77" t="s">
        <v>19</v>
      </c>
      <c r="J2101" s="77">
        <v>1</v>
      </c>
      <c r="K2101" s="79">
        <f>AB2101/COUNTIFS($B:$B,$B2101,$C:$C,$C2101,$H:$H,$H2101,$I:$I,$I2101)</f>
        <v>0.12</v>
      </c>
      <c r="L2101" s="81">
        <f t="shared" si="166"/>
        <v>1</v>
      </c>
      <c r="M2101" s="83">
        <f>J2100*K2101*L2101</f>
        <v>0.12</v>
      </c>
      <c r="N2101" s="17"/>
      <c r="AA2101" s="154">
        <f t="shared" si="164"/>
        <v>0.12</v>
      </c>
      <c r="AB2101" s="155">
        <f>VLOOKUP(I2101,'Weights and Confidence'!$D$16:$AC$26,15,FALSE)</f>
        <v>0.12</v>
      </c>
      <c r="AC2101" s="156">
        <f>VLOOKUP(I2101,'Weights and Confidence'!$D$16:$AC$26,16,FALSE)</f>
        <v>1</v>
      </c>
    </row>
    <row r="2102" spans="1:29" x14ac:dyDescent="0.2">
      <c r="A2102" s="76" t="s">
        <v>566</v>
      </c>
      <c r="B2102" s="76" t="s">
        <v>88</v>
      </c>
      <c r="C2102" s="76" t="s">
        <v>281</v>
      </c>
      <c r="D2102" s="76" t="s">
        <v>5</v>
      </c>
      <c r="E2102" s="76" t="s">
        <v>103</v>
      </c>
      <c r="F2102" s="91" t="s">
        <v>282</v>
      </c>
      <c r="G2102" s="76">
        <v>2</v>
      </c>
      <c r="H2102" s="76" t="s">
        <v>17</v>
      </c>
      <c r="I2102" s="76" t="s">
        <v>20</v>
      </c>
      <c r="J2102" s="76">
        <v>1</v>
      </c>
      <c r="K2102" s="78">
        <f>AB2102/COUNTIFS($B:$B,$B2102,$C:$C,$C2102,$H:$H,$H2102,$I:$I,$I2102)</f>
        <v>0.08</v>
      </c>
      <c r="L2102" s="80">
        <f t="shared" si="166"/>
        <v>0.9</v>
      </c>
      <c r="M2102" s="82">
        <f t="shared" ref="M2102:M2122" si="167">J2102*K2102*L2102</f>
        <v>7.2000000000000008E-2</v>
      </c>
      <c r="N2102" s="59"/>
      <c r="AA2102" s="154">
        <f t="shared" si="164"/>
        <v>0.08</v>
      </c>
      <c r="AB2102" s="155">
        <f>VLOOKUP(I2102,'Weights and Confidence'!$D$16:$AC$26,15,FALSE)</f>
        <v>0.08</v>
      </c>
      <c r="AC2102" s="156">
        <f>VLOOKUP(I2102,'Weights and Confidence'!$D$16:$AC$26,16,FALSE)</f>
        <v>0.9</v>
      </c>
    </row>
    <row r="2103" spans="1:29" x14ac:dyDescent="0.2">
      <c r="A2103" s="77" t="s">
        <v>566</v>
      </c>
      <c r="B2103" s="77" t="s">
        <v>88</v>
      </c>
      <c r="C2103" s="77" t="s">
        <v>281</v>
      </c>
      <c r="D2103" s="77" t="s">
        <v>5</v>
      </c>
      <c r="E2103" s="77" t="s">
        <v>103</v>
      </c>
      <c r="F2103" s="91" t="s">
        <v>282</v>
      </c>
      <c r="G2103" s="77">
        <v>2</v>
      </c>
      <c r="H2103" s="77" t="s">
        <v>18</v>
      </c>
      <c r="I2103" s="77" t="s">
        <v>20</v>
      </c>
      <c r="J2103" s="77">
        <v>1</v>
      </c>
      <c r="K2103" s="79">
        <f>AB2103/COUNTIFS($B:$B,$B2103,$C:$C,$C2103,$H:$H,$H2103,$I:$I,$I2103)</f>
        <v>0.08</v>
      </c>
      <c r="L2103" s="81">
        <f t="shared" si="166"/>
        <v>0.9</v>
      </c>
      <c r="M2103" s="83">
        <f t="shared" si="167"/>
        <v>7.2000000000000008E-2</v>
      </c>
      <c r="N2103" s="17" t="s">
        <v>677</v>
      </c>
      <c r="AA2103" s="154">
        <f t="shared" si="164"/>
        <v>0.08</v>
      </c>
      <c r="AB2103" s="155">
        <f>VLOOKUP(I2103,'Weights and Confidence'!$D$16:$AC$26,15,FALSE)</f>
        <v>0.08</v>
      </c>
      <c r="AC2103" s="156">
        <f>VLOOKUP(I2103,'Weights and Confidence'!$D$16:$AC$26,16,FALSE)</f>
        <v>0.9</v>
      </c>
    </row>
    <row r="2104" spans="1:29" x14ac:dyDescent="0.2">
      <c r="A2104" s="76" t="s">
        <v>566</v>
      </c>
      <c r="B2104" s="76" t="s">
        <v>88</v>
      </c>
      <c r="C2104" s="76" t="s">
        <v>281</v>
      </c>
      <c r="D2104" s="76" t="s">
        <v>5</v>
      </c>
      <c r="E2104" s="76" t="s">
        <v>103</v>
      </c>
      <c r="F2104" s="91" t="s">
        <v>282</v>
      </c>
      <c r="G2104" s="76">
        <v>3</v>
      </c>
      <c r="H2104" s="76" t="s">
        <v>17</v>
      </c>
      <c r="I2104" s="76" t="s">
        <v>21</v>
      </c>
      <c r="J2104" s="76">
        <v>1</v>
      </c>
      <c r="K2104" s="78">
        <f>AB2104/COUNTIFS($B:$B,$B2104,$C:$C,$C2104,$H:$H,$H2104,$I:$I,$I2104)</f>
        <v>0.05</v>
      </c>
      <c r="L2104" s="80">
        <f t="shared" si="166"/>
        <v>1</v>
      </c>
      <c r="M2104" s="82">
        <f t="shared" si="167"/>
        <v>0.05</v>
      </c>
      <c r="N2104" s="59"/>
      <c r="AA2104" s="154">
        <f t="shared" si="164"/>
        <v>0.05</v>
      </c>
      <c r="AB2104" s="155">
        <f>VLOOKUP(I2104,'Weights and Confidence'!$D$16:$AC$26,15,FALSE)</f>
        <v>0.05</v>
      </c>
      <c r="AC2104" s="156">
        <f>VLOOKUP(I2104,'Weights and Confidence'!$D$16:$AC$26,16,FALSE)</f>
        <v>1</v>
      </c>
    </row>
    <row r="2105" spans="1:29" x14ac:dyDescent="0.2">
      <c r="A2105" s="77" t="s">
        <v>566</v>
      </c>
      <c r="B2105" s="77" t="s">
        <v>88</v>
      </c>
      <c r="C2105" s="77" t="s">
        <v>281</v>
      </c>
      <c r="D2105" s="77" t="s">
        <v>5</v>
      </c>
      <c r="E2105" s="77" t="s">
        <v>103</v>
      </c>
      <c r="F2105" s="91" t="s">
        <v>282</v>
      </c>
      <c r="G2105" s="77">
        <v>3</v>
      </c>
      <c r="H2105" s="77" t="s">
        <v>18</v>
      </c>
      <c r="I2105" s="77" t="s">
        <v>21</v>
      </c>
      <c r="J2105" s="77">
        <v>1</v>
      </c>
      <c r="K2105" s="79">
        <f>AB2105/COUNTIFS($B:$B,$B2105,$C:$C,$C2105,$H:$H,$H2105,$I:$I,$I2105)</f>
        <v>0.05</v>
      </c>
      <c r="L2105" s="81">
        <f t="shared" si="166"/>
        <v>1</v>
      </c>
      <c r="M2105" s="83">
        <f t="shared" si="167"/>
        <v>0.05</v>
      </c>
      <c r="N2105" s="17"/>
      <c r="AA2105" s="154">
        <f t="shared" si="164"/>
        <v>0.05</v>
      </c>
      <c r="AB2105" s="155">
        <f>VLOOKUP(I2105,'Weights and Confidence'!$D$16:$AC$26,15,FALSE)</f>
        <v>0.05</v>
      </c>
      <c r="AC2105" s="156">
        <f>VLOOKUP(I2105,'Weights and Confidence'!$D$16:$AC$26,16,FALSE)</f>
        <v>1</v>
      </c>
    </row>
    <row r="2106" spans="1:29" x14ac:dyDescent="0.2">
      <c r="A2106" s="76" t="s">
        <v>566</v>
      </c>
      <c r="B2106" s="76" t="s">
        <v>88</v>
      </c>
      <c r="C2106" s="76" t="s">
        <v>281</v>
      </c>
      <c r="D2106" s="76" t="s">
        <v>5</v>
      </c>
      <c r="E2106" s="76" t="s">
        <v>103</v>
      </c>
      <c r="F2106" s="91" t="s">
        <v>282</v>
      </c>
      <c r="G2106" s="76">
        <v>4</v>
      </c>
      <c r="H2106" s="76" t="s">
        <v>17</v>
      </c>
      <c r="I2106" s="76" t="s">
        <v>22</v>
      </c>
      <c r="J2106" s="76">
        <v>1</v>
      </c>
      <c r="K2106" s="78">
        <f>AB2106/COUNTIFS($B:$B,$B2106,$C:$C,$C2106,$H:$H,$H2106,$I:$I,$I2106)</f>
        <v>0.1</v>
      </c>
      <c r="L2106" s="80">
        <f t="shared" si="166"/>
        <v>1</v>
      </c>
      <c r="M2106" s="82">
        <f t="shared" si="167"/>
        <v>0.1</v>
      </c>
      <c r="N2106" s="59"/>
      <c r="AA2106" s="154">
        <f t="shared" si="164"/>
        <v>0.1</v>
      </c>
      <c r="AB2106" s="155">
        <f>VLOOKUP(I2106,'Weights and Confidence'!$D$16:$AC$26,15,FALSE)</f>
        <v>0.1</v>
      </c>
      <c r="AC2106" s="156">
        <f>VLOOKUP(I2106,'Weights and Confidence'!$D$16:$AC$26,16,FALSE)</f>
        <v>1</v>
      </c>
    </row>
    <row r="2107" spans="1:29" x14ac:dyDescent="0.2">
      <c r="A2107" s="77" t="s">
        <v>566</v>
      </c>
      <c r="B2107" s="77" t="s">
        <v>88</v>
      </c>
      <c r="C2107" s="77" t="s">
        <v>281</v>
      </c>
      <c r="D2107" s="77" t="s">
        <v>5</v>
      </c>
      <c r="E2107" s="77" t="s">
        <v>103</v>
      </c>
      <c r="F2107" s="91" t="s">
        <v>282</v>
      </c>
      <c r="G2107" s="77">
        <v>4</v>
      </c>
      <c r="H2107" s="77" t="s">
        <v>18</v>
      </c>
      <c r="I2107" s="77" t="s">
        <v>22</v>
      </c>
      <c r="J2107" s="77">
        <v>1</v>
      </c>
      <c r="K2107" s="79">
        <f>AB2107/COUNTIFS($B:$B,$B2107,$C:$C,$C2107,$H:$H,$H2107,$I:$I,$I2107)</f>
        <v>0.1</v>
      </c>
      <c r="L2107" s="81">
        <f t="shared" si="166"/>
        <v>1</v>
      </c>
      <c r="M2107" s="83">
        <f t="shared" si="167"/>
        <v>0.1</v>
      </c>
      <c r="N2107" s="17" t="s">
        <v>678</v>
      </c>
      <c r="AA2107" s="154">
        <f t="shared" si="164"/>
        <v>0.1</v>
      </c>
      <c r="AB2107" s="155">
        <f>VLOOKUP(I2107,'Weights and Confidence'!$D$16:$AC$26,15,FALSE)</f>
        <v>0.1</v>
      </c>
      <c r="AC2107" s="156">
        <f>VLOOKUP(I2107,'Weights and Confidence'!$D$16:$AC$26,16,FALSE)</f>
        <v>1</v>
      </c>
    </row>
    <row r="2108" spans="1:29" ht="17" thickBot="1" x14ac:dyDescent="0.25">
      <c r="A2108" s="76" t="s">
        <v>566</v>
      </c>
      <c r="B2108" s="76" t="s">
        <v>88</v>
      </c>
      <c r="C2108" s="76" t="s">
        <v>281</v>
      </c>
      <c r="D2108" s="76" t="s">
        <v>5</v>
      </c>
      <c r="E2108" s="76" t="s">
        <v>103</v>
      </c>
      <c r="F2108" s="91" t="s">
        <v>282</v>
      </c>
      <c r="G2108" s="76">
        <v>5</v>
      </c>
      <c r="H2108" s="76" t="s">
        <v>17</v>
      </c>
      <c r="I2108" s="76" t="s">
        <v>34</v>
      </c>
      <c r="J2108" s="76">
        <v>1</v>
      </c>
      <c r="K2108" s="78">
        <f>AB2108/COUNTIFS($B:$B,$B2108,$C:$C,$C2108,$H:$H,$H2108,$I:$I,$I2108)</f>
        <v>0.08</v>
      </c>
      <c r="L2108" s="80">
        <f t="shared" si="166"/>
        <v>1</v>
      </c>
      <c r="M2108" s="82">
        <f t="shared" si="167"/>
        <v>0.08</v>
      </c>
      <c r="N2108" s="84"/>
      <c r="AA2108" s="154">
        <f t="shared" si="164"/>
        <v>0.08</v>
      </c>
      <c r="AB2108" s="155">
        <f>VLOOKUP(I2108,'Weights and Confidence'!$D$16:$AC$26,15,FALSE)</f>
        <v>0.08</v>
      </c>
      <c r="AC2108" s="156">
        <f>VLOOKUP(I2108,'Weights and Confidence'!$D$16:$AC$26,16,FALSE)</f>
        <v>1</v>
      </c>
    </row>
    <row r="2109" spans="1:29" ht="17" thickBot="1" x14ac:dyDescent="0.25">
      <c r="A2109" s="77" t="s">
        <v>566</v>
      </c>
      <c r="B2109" s="77" t="s">
        <v>88</v>
      </c>
      <c r="C2109" s="77" t="s">
        <v>281</v>
      </c>
      <c r="D2109" s="77" t="s">
        <v>5</v>
      </c>
      <c r="E2109" s="77" t="s">
        <v>103</v>
      </c>
      <c r="F2109" s="91" t="s">
        <v>282</v>
      </c>
      <c r="G2109" s="77">
        <v>5</v>
      </c>
      <c r="H2109" s="77" t="s">
        <v>18</v>
      </c>
      <c r="I2109" s="77" t="s">
        <v>34</v>
      </c>
      <c r="J2109" s="77">
        <v>1</v>
      </c>
      <c r="K2109" s="79">
        <f>AB2109/COUNTIFS($B:$B,$B2109,$C:$C,$C2109,$H:$H,$H2109,$I:$I,$I2109)</f>
        <v>0.08</v>
      </c>
      <c r="L2109" s="81">
        <f t="shared" si="166"/>
        <v>1</v>
      </c>
      <c r="M2109" s="83">
        <f t="shared" si="167"/>
        <v>0.08</v>
      </c>
      <c r="N2109" s="167"/>
      <c r="AA2109" s="154">
        <f t="shared" si="164"/>
        <v>0.08</v>
      </c>
      <c r="AB2109" s="155">
        <f>VLOOKUP(I2109,'Weights and Confidence'!$D$16:$AC$26,15,FALSE)</f>
        <v>0.08</v>
      </c>
      <c r="AC2109" s="156">
        <f>VLOOKUP(I2109,'Weights and Confidence'!$D$16:$AC$26,16,FALSE)</f>
        <v>1</v>
      </c>
    </row>
    <row r="2110" spans="1:29" x14ac:dyDescent="0.2">
      <c r="A2110" s="76" t="s">
        <v>566</v>
      </c>
      <c r="B2110" s="76" t="s">
        <v>88</v>
      </c>
      <c r="C2110" s="76" t="s">
        <v>281</v>
      </c>
      <c r="D2110" s="76" t="s">
        <v>5</v>
      </c>
      <c r="E2110" s="76" t="s">
        <v>103</v>
      </c>
      <c r="F2110" s="91" t="s">
        <v>282</v>
      </c>
      <c r="G2110" s="76">
        <v>6</v>
      </c>
      <c r="H2110" s="76" t="s">
        <v>17</v>
      </c>
      <c r="I2110" s="76" t="s">
        <v>23</v>
      </c>
      <c r="J2110" s="76">
        <v>1</v>
      </c>
      <c r="K2110" s="78">
        <f>AB2110/COUNTIFS($B:$B,$B2110,$C:$C,$C2110,$H:$H,$H2110,$I:$I,$I2110)</f>
        <v>7.0000000000000007E-2</v>
      </c>
      <c r="L2110" s="80">
        <f t="shared" si="166"/>
        <v>1</v>
      </c>
      <c r="M2110" s="82">
        <f t="shared" si="167"/>
        <v>7.0000000000000007E-2</v>
      </c>
      <c r="N2110" s="59"/>
      <c r="AA2110" s="154">
        <f t="shared" si="164"/>
        <v>7.0000000000000007E-2</v>
      </c>
      <c r="AB2110" s="155">
        <f>VLOOKUP(I2110,'Weights and Confidence'!$D$16:$AC$26,15,FALSE)</f>
        <v>7.0000000000000007E-2</v>
      </c>
      <c r="AC2110" s="156">
        <f>VLOOKUP(I2110,'Weights and Confidence'!$D$16:$AC$26,16,FALSE)</f>
        <v>1</v>
      </c>
    </row>
    <row r="2111" spans="1:29" x14ac:dyDescent="0.2">
      <c r="A2111" s="77" t="s">
        <v>566</v>
      </c>
      <c r="B2111" s="77" t="s">
        <v>88</v>
      </c>
      <c r="C2111" s="77" t="s">
        <v>281</v>
      </c>
      <c r="D2111" s="77" t="s">
        <v>5</v>
      </c>
      <c r="E2111" s="77" t="s">
        <v>103</v>
      </c>
      <c r="F2111" s="91" t="s">
        <v>282</v>
      </c>
      <c r="G2111" s="77">
        <v>6</v>
      </c>
      <c r="H2111" s="77" t="s">
        <v>18</v>
      </c>
      <c r="I2111" s="77" t="s">
        <v>23</v>
      </c>
      <c r="J2111" s="77">
        <v>1</v>
      </c>
      <c r="K2111" s="79">
        <f>AB2111/COUNTIFS($B:$B,$B2111,$C:$C,$C2111,$H:$H,$H2111,$I:$I,$I2111)</f>
        <v>7.0000000000000007E-2</v>
      </c>
      <c r="L2111" s="81">
        <f t="shared" si="166"/>
        <v>1</v>
      </c>
      <c r="M2111" s="83">
        <f t="shared" si="167"/>
        <v>7.0000000000000007E-2</v>
      </c>
      <c r="N2111" s="17"/>
      <c r="AA2111" s="154">
        <f t="shared" si="164"/>
        <v>7.0000000000000007E-2</v>
      </c>
      <c r="AB2111" s="155">
        <f>VLOOKUP(I2111,'Weights and Confidence'!$D$16:$AC$26,15,FALSE)</f>
        <v>7.0000000000000007E-2</v>
      </c>
      <c r="AC2111" s="156">
        <f>VLOOKUP(I2111,'Weights and Confidence'!$D$16:$AC$26,16,FALSE)</f>
        <v>1</v>
      </c>
    </row>
    <row r="2112" spans="1:29" x14ac:dyDescent="0.2">
      <c r="A2112" s="76" t="s">
        <v>566</v>
      </c>
      <c r="B2112" s="76" t="s">
        <v>88</v>
      </c>
      <c r="C2112" s="76" t="s">
        <v>281</v>
      </c>
      <c r="D2112" s="76" t="s">
        <v>5</v>
      </c>
      <c r="E2112" s="76" t="s">
        <v>103</v>
      </c>
      <c r="F2112" s="91" t="s">
        <v>282</v>
      </c>
      <c r="G2112" s="76">
        <v>7</v>
      </c>
      <c r="H2112" s="76" t="s">
        <v>17</v>
      </c>
      <c r="I2112" s="76" t="s">
        <v>24</v>
      </c>
      <c r="J2112" s="76">
        <v>1</v>
      </c>
      <c r="K2112" s="78">
        <f>AB2112/COUNTIFS($B:$B,$B2112,$C:$C,$C2112,$H:$H,$H2112,$I:$I,$I2112)</f>
        <v>0.15</v>
      </c>
      <c r="L2112" s="80">
        <f t="shared" si="166"/>
        <v>1</v>
      </c>
      <c r="M2112" s="82">
        <f t="shared" si="167"/>
        <v>0.15</v>
      </c>
      <c r="N2112" s="59"/>
      <c r="AA2112" s="154">
        <f t="shared" si="164"/>
        <v>0.15</v>
      </c>
      <c r="AB2112" s="155">
        <f>VLOOKUP(I2112,'Weights and Confidence'!$D$16:$AC$26,15,FALSE)</f>
        <v>0.15</v>
      </c>
      <c r="AC2112" s="156">
        <f>VLOOKUP(I2112,'Weights and Confidence'!$D$16:$AC$26,16,FALSE)</f>
        <v>1</v>
      </c>
    </row>
    <row r="2113" spans="1:29" x14ac:dyDescent="0.2">
      <c r="A2113" s="77" t="s">
        <v>566</v>
      </c>
      <c r="B2113" s="77" t="s">
        <v>88</v>
      </c>
      <c r="C2113" s="77" t="s">
        <v>281</v>
      </c>
      <c r="D2113" s="77" t="s">
        <v>5</v>
      </c>
      <c r="E2113" s="77" t="s">
        <v>103</v>
      </c>
      <c r="F2113" s="91" t="s">
        <v>282</v>
      </c>
      <c r="G2113" s="77">
        <v>7</v>
      </c>
      <c r="H2113" s="77" t="s">
        <v>18</v>
      </c>
      <c r="I2113" s="77" t="s">
        <v>24</v>
      </c>
      <c r="J2113" s="77">
        <v>1</v>
      </c>
      <c r="K2113" s="79">
        <f>AB2113/COUNTIFS($B:$B,$B2113,$C:$C,$C2113,$H:$H,$H2113,$I:$I,$I2113)</f>
        <v>0.15</v>
      </c>
      <c r="L2113" s="81">
        <f t="shared" si="166"/>
        <v>1</v>
      </c>
      <c r="M2113" s="83">
        <f t="shared" si="167"/>
        <v>0.15</v>
      </c>
      <c r="N2113" s="84"/>
      <c r="AA2113" s="154">
        <f t="shared" si="164"/>
        <v>0.15</v>
      </c>
      <c r="AB2113" s="155">
        <f>VLOOKUP(I2113,'Weights and Confidence'!$D$16:$AC$26,15,FALSE)</f>
        <v>0.15</v>
      </c>
      <c r="AC2113" s="156">
        <f>VLOOKUP(I2113,'Weights and Confidence'!$D$16:$AC$26,16,FALSE)</f>
        <v>1</v>
      </c>
    </row>
    <row r="2114" spans="1:29" x14ac:dyDescent="0.2">
      <c r="A2114" s="76" t="s">
        <v>566</v>
      </c>
      <c r="B2114" s="76" t="s">
        <v>88</v>
      </c>
      <c r="C2114" s="76" t="s">
        <v>281</v>
      </c>
      <c r="D2114" s="76" t="s">
        <v>5</v>
      </c>
      <c r="E2114" s="76" t="s">
        <v>103</v>
      </c>
      <c r="F2114" s="91" t="s">
        <v>282</v>
      </c>
      <c r="G2114" s="76">
        <v>8</v>
      </c>
      <c r="H2114" s="76" t="s">
        <v>17</v>
      </c>
      <c r="I2114" s="76" t="s">
        <v>25</v>
      </c>
      <c r="J2114" s="76">
        <v>1</v>
      </c>
      <c r="K2114" s="78">
        <f>AB2114/COUNTIFS($B:$B,$B2114,$C:$C,$C2114,$H:$H,$H2114,$I:$I,$I2114)</f>
        <v>0.1</v>
      </c>
      <c r="L2114" s="80">
        <f t="shared" si="166"/>
        <v>1</v>
      </c>
      <c r="M2114" s="82">
        <f t="shared" si="167"/>
        <v>0.1</v>
      </c>
      <c r="N2114" s="59"/>
      <c r="AA2114" s="154">
        <f t="shared" si="164"/>
        <v>0.1</v>
      </c>
      <c r="AB2114" s="155">
        <f>VLOOKUP(I2114,'Weights and Confidence'!$D$16:$AC$26,15,FALSE)</f>
        <v>0.1</v>
      </c>
      <c r="AC2114" s="156">
        <f>VLOOKUP(I2114,'Weights and Confidence'!$D$16:$AC$26,16,FALSE)</f>
        <v>1</v>
      </c>
    </row>
    <row r="2115" spans="1:29" x14ac:dyDescent="0.2">
      <c r="A2115" s="77" t="s">
        <v>566</v>
      </c>
      <c r="B2115" s="77" t="s">
        <v>88</v>
      </c>
      <c r="C2115" s="77" t="s">
        <v>281</v>
      </c>
      <c r="D2115" s="77" t="s">
        <v>5</v>
      </c>
      <c r="E2115" s="77" t="s">
        <v>103</v>
      </c>
      <c r="F2115" s="91" t="s">
        <v>282</v>
      </c>
      <c r="G2115" s="77">
        <v>8</v>
      </c>
      <c r="H2115" s="77" t="s">
        <v>18</v>
      </c>
      <c r="I2115" s="77" t="s">
        <v>25</v>
      </c>
      <c r="J2115" s="77">
        <v>1</v>
      </c>
      <c r="K2115" s="79">
        <f>AB2115/COUNTIFS($B:$B,$B2115,$C:$C,$C2115,$H:$H,$H2115,$I:$I,$I2115)</f>
        <v>0.1</v>
      </c>
      <c r="L2115" s="81">
        <f t="shared" si="166"/>
        <v>1</v>
      </c>
      <c r="M2115" s="83">
        <f t="shared" si="167"/>
        <v>0.1</v>
      </c>
      <c r="N2115" s="17"/>
      <c r="AA2115" s="154">
        <f t="shared" si="164"/>
        <v>0.1</v>
      </c>
      <c r="AB2115" s="155">
        <f>VLOOKUP(I2115,'Weights and Confidence'!$D$16:$AC$26,15,FALSE)</f>
        <v>0.1</v>
      </c>
      <c r="AC2115" s="156">
        <f>VLOOKUP(I2115,'Weights and Confidence'!$D$16:$AC$26,16,FALSE)</f>
        <v>1</v>
      </c>
    </row>
    <row r="2116" spans="1:29" x14ac:dyDescent="0.2">
      <c r="A2116" s="76" t="s">
        <v>566</v>
      </c>
      <c r="B2116" s="76" t="s">
        <v>88</v>
      </c>
      <c r="C2116" s="76" t="s">
        <v>281</v>
      </c>
      <c r="D2116" s="76" t="s">
        <v>5</v>
      </c>
      <c r="E2116" s="76" t="s">
        <v>103</v>
      </c>
      <c r="F2116" s="91" t="s">
        <v>282</v>
      </c>
      <c r="G2116" s="76">
        <v>9</v>
      </c>
      <c r="H2116" s="76" t="s">
        <v>17</v>
      </c>
      <c r="I2116" s="76" t="s">
        <v>26</v>
      </c>
      <c r="J2116" s="76">
        <v>1</v>
      </c>
      <c r="K2116" s="78">
        <f>AB2116/COUNTIFS($B:$B,$B2116,$C:$C,$C2116,$H:$H,$H2116,$I:$I,$I2116)</f>
        <v>0.1</v>
      </c>
      <c r="L2116" s="80">
        <f t="shared" si="166"/>
        <v>1</v>
      </c>
      <c r="M2116" s="82">
        <f t="shared" si="167"/>
        <v>0.1</v>
      </c>
      <c r="N2116" s="59"/>
      <c r="AA2116" s="154">
        <f t="shared" si="164"/>
        <v>0.1</v>
      </c>
      <c r="AB2116" s="155">
        <f>VLOOKUP(I2116,'Weights and Confidence'!$D$16:$AC$26,15,FALSE)</f>
        <v>0.1</v>
      </c>
      <c r="AC2116" s="156">
        <f>VLOOKUP(I2116,'Weights and Confidence'!$D$16:$AC$26,16,FALSE)</f>
        <v>1</v>
      </c>
    </row>
    <row r="2117" spans="1:29" x14ac:dyDescent="0.2">
      <c r="A2117" s="77" t="s">
        <v>566</v>
      </c>
      <c r="B2117" s="77" t="s">
        <v>88</v>
      </c>
      <c r="C2117" s="77" t="s">
        <v>281</v>
      </c>
      <c r="D2117" s="77" t="s">
        <v>5</v>
      </c>
      <c r="E2117" s="77" t="s">
        <v>103</v>
      </c>
      <c r="F2117" s="91" t="s">
        <v>282</v>
      </c>
      <c r="G2117" s="77">
        <v>9</v>
      </c>
      <c r="H2117" s="77" t="s">
        <v>18</v>
      </c>
      <c r="I2117" s="77" t="s">
        <v>26</v>
      </c>
      <c r="J2117" s="77">
        <v>1</v>
      </c>
      <c r="K2117" s="79">
        <f>AB2117/COUNTIFS($B:$B,$B2117,$C:$C,$C2117,$H:$H,$H2117,$I:$I,$I2117)</f>
        <v>0.1</v>
      </c>
      <c r="L2117" s="81">
        <f t="shared" si="166"/>
        <v>1</v>
      </c>
      <c r="M2117" s="83">
        <f t="shared" si="167"/>
        <v>0.1</v>
      </c>
      <c r="N2117" s="17"/>
      <c r="AA2117" s="154">
        <f t="shared" si="164"/>
        <v>0.1</v>
      </c>
      <c r="AB2117" s="155">
        <f>VLOOKUP(I2117,'Weights and Confidence'!$D$16:$AC$26,15,FALSE)</f>
        <v>0.1</v>
      </c>
      <c r="AC2117" s="156">
        <f>VLOOKUP(I2117,'Weights and Confidence'!$D$16:$AC$26,16,FALSE)</f>
        <v>1</v>
      </c>
    </row>
    <row r="2118" spans="1:29" ht="17" thickBot="1" x14ac:dyDescent="0.25">
      <c r="A2118" s="76" t="s">
        <v>566</v>
      </c>
      <c r="B2118" s="76" t="s">
        <v>88</v>
      </c>
      <c r="C2118" s="76" t="s">
        <v>281</v>
      </c>
      <c r="D2118" s="76" t="s">
        <v>5</v>
      </c>
      <c r="E2118" s="76" t="s">
        <v>103</v>
      </c>
      <c r="F2118" s="91" t="s">
        <v>282</v>
      </c>
      <c r="G2118" s="76">
        <v>10</v>
      </c>
      <c r="H2118" s="76" t="s">
        <v>17</v>
      </c>
      <c r="I2118" s="76" t="s">
        <v>27</v>
      </c>
      <c r="J2118" s="76">
        <v>1</v>
      </c>
      <c r="K2118" s="78">
        <f>AB2118/COUNTIFS($B:$B,$B2118,$C:$C,$C2118,$H:$H,$H2118,$I:$I,$I2118)</f>
        <v>0.1</v>
      </c>
      <c r="L2118" s="80">
        <f t="shared" si="166"/>
        <v>0.9</v>
      </c>
      <c r="M2118" s="82">
        <f t="shared" si="167"/>
        <v>9.0000000000000011E-2</v>
      </c>
      <c r="N2118" s="59"/>
      <c r="AA2118" s="154">
        <f t="shared" si="164"/>
        <v>0.1</v>
      </c>
      <c r="AB2118" s="155">
        <f>VLOOKUP(I2118,'Weights and Confidence'!$D$16:$AC$26,15,FALSE)</f>
        <v>0.1</v>
      </c>
      <c r="AC2118" s="156">
        <f>VLOOKUP(I2118,'Weights and Confidence'!$D$16:$AC$26,16,FALSE)</f>
        <v>0.9</v>
      </c>
    </row>
    <row r="2119" spans="1:29" ht="17" thickBot="1" x14ac:dyDescent="0.25">
      <c r="A2119" s="77" t="s">
        <v>566</v>
      </c>
      <c r="B2119" s="77" t="s">
        <v>88</v>
      </c>
      <c r="C2119" s="77" t="s">
        <v>281</v>
      </c>
      <c r="D2119" s="77" t="s">
        <v>5</v>
      </c>
      <c r="E2119" s="77" t="s">
        <v>103</v>
      </c>
      <c r="F2119" s="91" t="s">
        <v>282</v>
      </c>
      <c r="G2119" s="77">
        <v>10</v>
      </c>
      <c r="H2119" s="77" t="s">
        <v>18</v>
      </c>
      <c r="I2119" s="77" t="s">
        <v>27</v>
      </c>
      <c r="J2119" s="77">
        <v>1</v>
      </c>
      <c r="K2119" s="79">
        <f>AB2119/COUNTIFS($B:$B,$B2119,$C:$C,$C2119,$H:$H,$H2119,$I:$I,$I2119)</f>
        <v>0.1</v>
      </c>
      <c r="L2119" s="81">
        <f t="shared" si="166"/>
        <v>0.9</v>
      </c>
      <c r="M2119" s="83">
        <f t="shared" si="167"/>
        <v>9.0000000000000011E-2</v>
      </c>
      <c r="N2119" s="161"/>
      <c r="AA2119" s="154">
        <f t="shared" si="164"/>
        <v>0.1</v>
      </c>
      <c r="AB2119" s="155">
        <f>VLOOKUP(I2119,'Weights and Confidence'!$D$16:$AC$26,15,FALSE)</f>
        <v>0.1</v>
      </c>
      <c r="AC2119" s="156">
        <f>VLOOKUP(I2119,'Weights and Confidence'!$D$16:$AC$26,16,FALSE)</f>
        <v>0.9</v>
      </c>
    </row>
    <row r="2120" spans="1:29" x14ac:dyDescent="0.2">
      <c r="A2120" s="76" t="s">
        <v>566</v>
      </c>
      <c r="B2120" s="76" t="s">
        <v>88</v>
      </c>
      <c r="C2120" s="76" t="s">
        <v>281</v>
      </c>
      <c r="D2120" s="76" t="s">
        <v>5</v>
      </c>
      <c r="E2120" s="76" t="s">
        <v>103</v>
      </c>
      <c r="F2120" s="91" t="s">
        <v>282</v>
      </c>
      <c r="G2120" s="76">
        <v>11</v>
      </c>
      <c r="H2120" s="76" t="s">
        <v>17</v>
      </c>
      <c r="I2120" s="76" t="s">
        <v>28</v>
      </c>
      <c r="J2120" s="76">
        <v>1</v>
      </c>
      <c r="K2120" s="78">
        <f>AB2120/COUNTIFS($B:$B,$B2120,$C:$C,$C2120,$H:$H,$H2120,$I:$I,$I2120)</f>
        <v>0.05</v>
      </c>
      <c r="L2120" s="80">
        <f t="shared" si="166"/>
        <v>1</v>
      </c>
      <c r="M2120" s="82">
        <f t="shared" si="167"/>
        <v>0.05</v>
      </c>
      <c r="N2120" s="59"/>
      <c r="AA2120" s="154">
        <f t="shared" si="164"/>
        <v>0.05</v>
      </c>
      <c r="AB2120" s="155">
        <f>VLOOKUP(I2120,'Weights and Confidence'!$D$16:$AC$26,15,FALSE)</f>
        <v>0.05</v>
      </c>
      <c r="AC2120" s="156">
        <f>VLOOKUP(I2120,'Weights and Confidence'!$D$16:$AC$26,16,FALSE)</f>
        <v>1</v>
      </c>
    </row>
    <row r="2121" spans="1:29" ht="17" thickBot="1" x14ac:dyDescent="0.25">
      <c r="A2121" s="98" t="s">
        <v>566</v>
      </c>
      <c r="B2121" s="98" t="s">
        <v>88</v>
      </c>
      <c r="C2121" s="98" t="s">
        <v>281</v>
      </c>
      <c r="D2121" s="98" t="s">
        <v>5</v>
      </c>
      <c r="E2121" s="98" t="s">
        <v>103</v>
      </c>
      <c r="F2121" s="93" t="s">
        <v>282</v>
      </c>
      <c r="G2121" s="98">
        <v>11</v>
      </c>
      <c r="H2121" s="98" t="s">
        <v>18</v>
      </c>
      <c r="I2121" s="98" t="s">
        <v>28</v>
      </c>
      <c r="J2121" s="98">
        <v>1</v>
      </c>
      <c r="K2121" s="99">
        <f>AB2121/COUNTIFS($B:$B,$B2121,$C:$C,$C2121,$H:$H,$H2121,$I:$I,$I2121)</f>
        <v>0.05</v>
      </c>
      <c r="L2121" s="100">
        <f t="shared" si="166"/>
        <v>1</v>
      </c>
      <c r="M2121" s="101">
        <f t="shared" si="167"/>
        <v>0.05</v>
      </c>
      <c r="N2121" s="22"/>
      <c r="AA2121" s="157">
        <f t="shared" si="164"/>
        <v>0.05</v>
      </c>
      <c r="AB2121" s="158">
        <f>VLOOKUP(I2121,'Weights and Confidence'!$D$16:$AC$26,15,FALSE)</f>
        <v>0.05</v>
      </c>
      <c r="AC2121" s="159">
        <f>VLOOKUP(I2121,'Weights and Confidence'!$D$16:$AC$26,16,FALSE)</f>
        <v>1</v>
      </c>
    </row>
    <row r="2122" spans="1:29" ht="17" thickTop="1" x14ac:dyDescent="0.2">
      <c r="A2122" s="86" t="s">
        <v>566</v>
      </c>
      <c r="B2122" s="86" t="s">
        <v>88</v>
      </c>
      <c r="C2122" s="86" t="s">
        <v>311</v>
      </c>
      <c r="D2122" s="86" t="s">
        <v>5</v>
      </c>
      <c r="E2122" s="86" t="s">
        <v>679</v>
      </c>
      <c r="F2122" s="85" t="s">
        <v>312</v>
      </c>
      <c r="G2122" s="86">
        <v>1</v>
      </c>
      <c r="H2122" s="86" t="s">
        <v>17</v>
      </c>
      <c r="I2122" s="86" t="s">
        <v>19</v>
      </c>
      <c r="J2122" s="97">
        <v>1</v>
      </c>
      <c r="K2122" s="87">
        <f>AB2122/COUNTIFS($B:$B,$B2122,$C:$C,$C2122,$H:$H,$H2122,$I:$I,$I2122)</f>
        <v>0.12</v>
      </c>
      <c r="L2122" s="88">
        <f t="shared" ref="L2122:L2143" si="168">AC2122</f>
        <v>1</v>
      </c>
      <c r="M2122" s="89">
        <f t="shared" si="167"/>
        <v>0.12</v>
      </c>
      <c r="N2122" s="90"/>
      <c r="AA2122" s="170">
        <f>AB2122/COUNTIFS($B:$B,$B2122,$C:$C,$C2122,$H:$H,$H2122,$I:$I,$I2122)</f>
        <v>0.12</v>
      </c>
      <c r="AB2122" s="171">
        <f>VLOOKUP(I2122,'Weights and Confidence'!$D$16:$AC$26,15,FALSE)</f>
        <v>0.12</v>
      </c>
      <c r="AC2122" s="172">
        <f>VLOOKUP(I2122,'Weights and Confidence'!$D$16:$AC$26,16,FALSE)</f>
        <v>1</v>
      </c>
    </row>
    <row r="2123" spans="1:29" x14ac:dyDescent="0.2">
      <c r="A2123" s="77" t="s">
        <v>566</v>
      </c>
      <c r="B2123" s="77" t="s">
        <v>88</v>
      </c>
      <c r="C2123" s="77" t="s">
        <v>311</v>
      </c>
      <c r="D2123" s="77" t="s">
        <v>5</v>
      </c>
      <c r="E2123" s="77" t="s">
        <v>679</v>
      </c>
      <c r="F2123" s="91" t="s">
        <v>312</v>
      </c>
      <c r="G2123" s="77">
        <v>1</v>
      </c>
      <c r="H2123" s="77" t="s">
        <v>18</v>
      </c>
      <c r="I2123" s="77" t="s">
        <v>19</v>
      </c>
      <c r="J2123" s="77">
        <v>1</v>
      </c>
      <c r="K2123" s="79">
        <f>AB2123/COUNTIFS($B:$B,$B2123,$C:$C,$C2123,$H:$H,$H2123,$I:$I,$I2123)</f>
        <v>0.12</v>
      </c>
      <c r="L2123" s="81">
        <f t="shared" si="168"/>
        <v>1</v>
      </c>
      <c r="M2123" s="83">
        <f>J2122*K2123*L2123</f>
        <v>0.12</v>
      </c>
      <c r="N2123" s="17"/>
      <c r="AA2123" s="154">
        <f t="shared" si="164"/>
        <v>0.12</v>
      </c>
      <c r="AB2123" s="155">
        <f>VLOOKUP(I2123,'Weights and Confidence'!$D$16:$AC$26,15,FALSE)</f>
        <v>0.12</v>
      </c>
      <c r="AC2123" s="156">
        <f>VLOOKUP(I2123,'Weights and Confidence'!$D$16:$AC$26,16,FALSE)</f>
        <v>1</v>
      </c>
    </row>
    <row r="2124" spans="1:29" x14ac:dyDescent="0.2">
      <c r="A2124" s="76" t="s">
        <v>566</v>
      </c>
      <c r="B2124" s="76" t="s">
        <v>88</v>
      </c>
      <c r="C2124" s="76" t="s">
        <v>311</v>
      </c>
      <c r="D2124" s="76" t="s">
        <v>5</v>
      </c>
      <c r="E2124" s="76" t="s">
        <v>679</v>
      </c>
      <c r="F2124" s="91" t="s">
        <v>312</v>
      </c>
      <c r="G2124" s="76">
        <v>2</v>
      </c>
      <c r="H2124" s="76" t="s">
        <v>17</v>
      </c>
      <c r="I2124" s="76" t="s">
        <v>20</v>
      </c>
      <c r="J2124" s="76">
        <v>1</v>
      </c>
      <c r="K2124" s="78">
        <f>AB2124/COUNTIFS($B:$B,$B2124,$C:$C,$C2124,$H:$H,$H2124,$I:$I,$I2124)</f>
        <v>0.08</v>
      </c>
      <c r="L2124" s="80">
        <f t="shared" si="168"/>
        <v>0.9</v>
      </c>
      <c r="M2124" s="82">
        <f t="shared" ref="M2124:M2144" si="169">J2124*K2124*L2124</f>
        <v>7.2000000000000008E-2</v>
      </c>
      <c r="N2124" s="59"/>
      <c r="AA2124" s="154">
        <f t="shared" si="164"/>
        <v>0.08</v>
      </c>
      <c r="AB2124" s="155">
        <f>VLOOKUP(I2124,'Weights and Confidence'!$D$16:$AC$26,15,FALSE)</f>
        <v>0.08</v>
      </c>
      <c r="AC2124" s="156">
        <f>VLOOKUP(I2124,'Weights and Confidence'!$D$16:$AC$26,16,FALSE)</f>
        <v>0.9</v>
      </c>
    </row>
    <row r="2125" spans="1:29" x14ac:dyDescent="0.2">
      <c r="A2125" s="77" t="s">
        <v>566</v>
      </c>
      <c r="B2125" s="77" t="s">
        <v>88</v>
      </c>
      <c r="C2125" s="77" t="s">
        <v>311</v>
      </c>
      <c r="D2125" s="77" t="s">
        <v>5</v>
      </c>
      <c r="E2125" s="77" t="s">
        <v>679</v>
      </c>
      <c r="F2125" s="91" t="s">
        <v>312</v>
      </c>
      <c r="G2125" s="77">
        <v>2</v>
      </c>
      <c r="H2125" s="77" t="s">
        <v>18</v>
      </c>
      <c r="I2125" s="77" t="s">
        <v>20</v>
      </c>
      <c r="J2125" s="77">
        <v>1</v>
      </c>
      <c r="K2125" s="79">
        <f>AB2125/COUNTIFS($B:$B,$B2125,$C:$C,$C2125,$H:$H,$H2125,$I:$I,$I2125)</f>
        <v>0.08</v>
      </c>
      <c r="L2125" s="81">
        <f t="shared" si="168"/>
        <v>0.9</v>
      </c>
      <c r="M2125" s="83">
        <f t="shared" si="169"/>
        <v>7.2000000000000008E-2</v>
      </c>
      <c r="N2125" s="17"/>
      <c r="AA2125" s="154">
        <f t="shared" si="164"/>
        <v>0.08</v>
      </c>
      <c r="AB2125" s="155">
        <f>VLOOKUP(I2125,'Weights and Confidence'!$D$16:$AC$26,15,FALSE)</f>
        <v>0.08</v>
      </c>
      <c r="AC2125" s="156">
        <f>VLOOKUP(I2125,'Weights and Confidence'!$D$16:$AC$26,16,FALSE)</f>
        <v>0.9</v>
      </c>
    </row>
    <row r="2126" spans="1:29" x14ac:dyDescent="0.2">
      <c r="A2126" s="76" t="s">
        <v>566</v>
      </c>
      <c r="B2126" s="76" t="s">
        <v>88</v>
      </c>
      <c r="C2126" s="76" t="s">
        <v>311</v>
      </c>
      <c r="D2126" s="76" t="s">
        <v>5</v>
      </c>
      <c r="E2126" s="76" t="s">
        <v>679</v>
      </c>
      <c r="F2126" s="91" t="s">
        <v>312</v>
      </c>
      <c r="G2126" s="76">
        <v>3</v>
      </c>
      <c r="H2126" s="76" t="s">
        <v>17</v>
      </c>
      <c r="I2126" s="76" t="s">
        <v>21</v>
      </c>
      <c r="J2126" s="76">
        <v>1</v>
      </c>
      <c r="K2126" s="78">
        <f>AB2126/COUNTIFS($B:$B,$B2126,$C:$C,$C2126,$H:$H,$H2126,$I:$I,$I2126)</f>
        <v>0.05</v>
      </c>
      <c r="L2126" s="80">
        <f t="shared" si="168"/>
        <v>1</v>
      </c>
      <c r="M2126" s="82">
        <f t="shared" si="169"/>
        <v>0.05</v>
      </c>
      <c r="N2126" s="59"/>
      <c r="AA2126" s="154">
        <f t="shared" si="164"/>
        <v>0.05</v>
      </c>
      <c r="AB2126" s="155">
        <f>VLOOKUP(I2126,'Weights and Confidence'!$D$16:$AC$26,15,FALSE)</f>
        <v>0.05</v>
      </c>
      <c r="AC2126" s="156">
        <f>VLOOKUP(I2126,'Weights and Confidence'!$D$16:$AC$26,16,FALSE)</f>
        <v>1</v>
      </c>
    </row>
    <row r="2127" spans="1:29" x14ac:dyDescent="0.2">
      <c r="A2127" s="77" t="s">
        <v>566</v>
      </c>
      <c r="B2127" s="77" t="s">
        <v>88</v>
      </c>
      <c r="C2127" s="77" t="s">
        <v>311</v>
      </c>
      <c r="D2127" s="77" t="s">
        <v>5</v>
      </c>
      <c r="E2127" s="77" t="s">
        <v>679</v>
      </c>
      <c r="F2127" s="91" t="s">
        <v>312</v>
      </c>
      <c r="G2127" s="77">
        <v>3</v>
      </c>
      <c r="H2127" s="77" t="s">
        <v>18</v>
      </c>
      <c r="I2127" s="77" t="s">
        <v>21</v>
      </c>
      <c r="J2127" s="77">
        <v>1</v>
      </c>
      <c r="K2127" s="79">
        <f>AB2127/COUNTIFS($B:$B,$B2127,$C:$C,$C2127,$H:$H,$H2127,$I:$I,$I2127)</f>
        <v>0.05</v>
      </c>
      <c r="L2127" s="81">
        <f t="shared" si="168"/>
        <v>1</v>
      </c>
      <c r="M2127" s="83">
        <f t="shared" si="169"/>
        <v>0.05</v>
      </c>
      <c r="N2127" s="17"/>
      <c r="AA2127" s="154">
        <f t="shared" si="164"/>
        <v>0.05</v>
      </c>
      <c r="AB2127" s="155">
        <f>VLOOKUP(I2127,'Weights and Confidence'!$D$16:$AC$26,15,FALSE)</f>
        <v>0.05</v>
      </c>
      <c r="AC2127" s="156">
        <f>VLOOKUP(I2127,'Weights and Confidence'!$D$16:$AC$26,16,FALSE)</f>
        <v>1</v>
      </c>
    </row>
    <row r="2128" spans="1:29" x14ac:dyDescent="0.2">
      <c r="A2128" s="76" t="s">
        <v>566</v>
      </c>
      <c r="B2128" s="76" t="s">
        <v>88</v>
      </c>
      <c r="C2128" s="76" t="s">
        <v>311</v>
      </c>
      <c r="D2128" s="76" t="s">
        <v>5</v>
      </c>
      <c r="E2128" s="76" t="s">
        <v>679</v>
      </c>
      <c r="F2128" s="91" t="s">
        <v>312</v>
      </c>
      <c r="G2128" s="76">
        <v>4</v>
      </c>
      <c r="H2128" s="76" t="s">
        <v>17</v>
      </c>
      <c r="I2128" s="76" t="s">
        <v>22</v>
      </c>
      <c r="J2128" s="76">
        <v>1</v>
      </c>
      <c r="K2128" s="78">
        <f>AB2128/COUNTIFS($B:$B,$B2128,$C:$C,$C2128,$H:$H,$H2128,$I:$I,$I2128)</f>
        <v>0.1</v>
      </c>
      <c r="L2128" s="80">
        <f t="shared" si="168"/>
        <v>1</v>
      </c>
      <c r="M2128" s="82">
        <f t="shared" si="169"/>
        <v>0.1</v>
      </c>
      <c r="N2128" s="59"/>
      <c r="AA2128" s="154">
        <f t="shared" si="164"/>
        <v>0.1</v>
      </c>
      <c r="AB2128" s="155">
        <f>VLOOKUP(I2128,'Weights and Confidence'!$D$16:$AC$26,15,FALSE)</f>
        <v>0.1</v>
      </c>
      <c r="AC2128" s="156">
        <f>VLOOKUP(I2128,'Weights and Confidence'!$D$16:$AC$26,16,FALSE)</f>
        <v>1</v>
      </c>
    </row>
    <row r="2129" spans="1:29" x14ac:dyDescent="0.2">
      <c r="A2129" s="77" t="s">
        <v>566</v>
      </c>
      <c r="B2129" s="77" t="s">
        <v>88</v>
      </c>
      <c r="C2129" s="77" t="s">
        <v>311</v>
      </c>
      <c r="D2129" s="77" t="s">
        <v>5</v>
      </c>
      <c r="E2129" s="77" t="s">
        <v>679</v>
      </c>
      <c r="F2129" s="91" t="s">
        <v>312</v>
      </c>
      <c r="G2129" s="77">
        <v>4</v>
      </c>
      <c r="H2129" s="77" t="s">
        <v>18</v>
      </c>
      <c r="I2129" s="77" t="s">
        <v>22</v>
      </c>
      <c r="J2129" s="77">
        <v>0</v>
      </c>
      <c r="K2129" s="79">
        <f>AB2129/COUNTIFS($B:$B,$B2129,$C:$C,$C2129,$H:$H,$H2129,$I:$I,$I2129)</f>
        <v>0.1</v>
      </c>
      <c r="L2129" s="81">
        <f t="shared" si="168"/>
        <v>1</v>
      </c>
      <c r="M2129" s="83">
        <f t="shared" si="169"/>
        <v>0</v>
      </c>
      <c r="N2129" s="17" t="s">
        <v>681</v>
      </c>
      <c r="AA2129" s="154">
        <f t="shared" si="164"/>
        <v>0.1</v>
      </c>
      <c r="AB2129" s="155">
        <f>VLOOKUP(I2129,'Weights and Confidence'!$D$16:$AC$26,15,FALSE)</f>
        <v>0.1</v>
      </c>
      <c r="AC2129" s="156">
        <f>VLOOKUP(I2129,'Weights and Confidence'!$D$16:$AC$26,16,FALSE)</f>
        <v>1</v>
      </c>
    </row>
    <row r="2130" spans="1:29" ht="17" thickBot="1" x14ac:dyDescent="0.25">
      <c r="A2130" s="76" t="s">
        <v>566</v>
      </c>
      <c r="B2130" s="76" t="s">
        <v>88</v>
      </c>
      <c r="C2130" s="76" t="s">
        <v>311</v>
      </c>
      <c r="D2130" s="76" t="s">
        <v>5</v>
      </c>
      <c r="E2130" s="76" t="s">
        <v>679</v>
      </c>
      <c r="F2130" s="91" t="s">
        <v>312</v>
      </c>
      <c r="G2130" s="76">
        <v>5</v>
      </c>
      <c r="H2130" s="76" t="s">
        <v>17</v>
      </c>
      <c r="I2130" s="76" t="s">
        <v>34</v>
      </c>
      <c r="J2130" s="76">
        <v>1</v>
      </c>
      <c r="K2130" s="78">
        <f>AB2130/COUNTIFS($B:$B,$B2130,$C:$C,$C2130,$H:$H,$H2130,$I:$I,$I2130)</f>
        <v>0.08</v>
      </c>
      <c r="L2130" s="80">
        <f t="shared" si="168"/>
        <v>1</v>
      </c>
      <c r="M2130" s="82">
        <f t="shared" si="169"/>
        <v>0.08</v>
      </c>
      <c r="N2130" s="84"/>
      <c r="AA2130" s="154">
        <f t="shared" si="164"/>
        <v>0.08</v>
      </c>
      <c r="AB2130" s="155">
        <f>VLOOKUP(I2130,'Weights and Confidence'!$D$16:$AC$26,15,FALSE)</f>
        <v>0.08</v>
      </c>
      <c r="AC2130" s="156">
        <f>VLOOKUP(I2130,'Weights and Confidence'!$D$16:$AC$26,16,FALSE)</f>
        <v>1</v>
      </c>
    </row>
    <row r="2131" spans="1:29" ht="17" thickBot="1" x14ac:dyDescent="0.25">
      <c r="A2131" s="77" t="s">
        <v>566</v>
      </c>
      <c r="B2131" s="77" t="s">
        <v>88</v>
      </c>
      <c r="C2131" s="77" t="s">
        <v>311</v>
      </c>
      <c r="D2131" s="77" t="s">
        <v>5</v>
      </c>
      <c r="E2131" s="77" t="s">
        <v>679</v>
      </c>
      <c r="F2131" s="91" t="s">
        <v>312</v>
      </c>
      <c r="G2131" s="77">
        <v>5</v>
      </c>
      <c r="H2131" s="77" t="s">
        <v>18</v>
      </c>
      <c r="I2131" s="77" t="s">
        <v>34</v>
      </c>
      <c r="J2131" s="77">
        <v>0</v>
      </c>
      <c r="K2131" s="79">
        <f>AB2131/COUNTIFS($B:$B,$B2131,$C:$C,$C2131,$H:$H,$H2131,$I:$I,$I2131)</f>
        <v>0.08</v>
      </c>
      <c r="L2131" s="81">
        <f t="shared" si="168"/>
        <v>1</v>
      </c>
      <c r="M2131" s="83">
        <f t="shared" si="169"/>
        <v>0</v>
      </c>
      <c r="N2131" s="167"/>
      <c r="AA2131" s="154">
        <f t="shared" si="164"/>
        <v>0.08</v>
      </c>
      <c r="AB2131" s="155">
        <f>VLOOKUP(I2131,'Weights and Confidence'!$D$16:$AC$26,15,FALSE)</f>
        <v>0.08</v>
      </c>
      <c r="AC2131" s="156">
        <f>VLOOKUP(I2131,'Weights and Confidence'!$D$16:$AC$26,16,FALSE)</f>
        <v>1</v>
      </c>
    </row>
    <row r="2132" spans="1:29" x14ac:dyDescent="0.2">
      <c r="A2132" s="76" t="s">
        <v>566</v>
      </c>
      <c r="B2132" s="76" t="s">
        <v>88</v>
      </c>
      <c r="C2132" s="76" t="s">
        <v>311</v>
      </c>
      <c r="D2132" s="76" t="s">
        <v>5</v>
      </c>
      <c r="E2132" s="76" t="s">
        <v>679</v>
      </c>
      <c r="F2132" s="91" t="s">
        <v>312</v>
      </c>
      <c r="G2132" s="76">
        <v>6</v>
      </c>
      <c r="H2132" s="76" t="s">
        <v>17</v>
      </c>
      <c r="I2132" s="76" t="s">
        <v>23</v>
      </c>
      <c r="J2132" s="76">
        <v>0</v>
      </c>
      <c r="K2132" s="78">
        <f>AB2132/COUNTIFS($B:$B,$B2132,$C:$C,$C2132,$H:$H,$H2132,$I:$I,$I2132)</f>
        <v>7.0000000000000007E-2</v>
      </c>
      <c r="L2132" s="80">
        <f t="shared" si="168"/>
        <v>1</v>
      </c>
      <c r="M2132" s="82">
        <f t="shared" si="169"/>
        <v>0</v>
      </c>
      <c r="N2132" s="59"/>
      <c r="AA2132" s="154">
        <f t="shared" si="164"/>
        <v>7.0000000000000007E-2</v>
      </c>
      <c r="AB2132" s="155">
        <f>VLOOKUP(I2132,'Weights and Confidence'!$D$16:$AC$26,15,FALSE)</f>
        <v>7.0000000000000007E-2</v>
      </c>
      <c r="AC2132" s="156">
        <f>VLOOKUP(I2132,'Weights and Confidence'!$D$16:$AC$26,16,FALSE)</f>
        <v>1</v>
      </c>
    </row>
    <row r="2133" spans="1:29" x14ac:dyDescent="0.2">
      <c r="A2133" s="77" t="s">
        <v>566</v>
      </c>
      <c r="B2133" s="77" t="s">
        <v>88</v>
      </c>
      <c r="C2133" s="77" t="s">
        <v>311</v>
      </c>
      <c r="D2133" s="77" t="s">
        <v>5</v>
      </c>
      <c r="E2133" s="77" t="s">
        <v>679</v>
      </c>
      <c r="F2133" s="91" t="s">
        <v>312</v>
      </c>
      <c r="G2133" s="77">
        <v>6</v>
      </c>
      <c r="H2133" s="77" t="s">
        <v>18</v>
      </c>
      <c r="I2133" s="77" t="s">
        <v>23</v>
      </c>
      <c r="J2133" s="77">
        <v>1</v>
      </c>
      <c r="K2133" s="79">
        <f>AB2133/COUNTIFS($B:$B,$B2133,$C:$C,$C2133,$H:$H,$H2133,$I:$I,$I2133)</f>
        <v>7.0000000000000007E-2</v>
      </c>
      <c r="L2133" s="81">
        <f t="shared" si="168"/>
        <v>1</v>
      </c>
      <c r="M2133" s="83">
        <f t="shared" si="169"/>
        <v>7.0000000000000007E-2</v>
      </c>
      <c r="N2133" s="17"/>
      <c r="AA2133" s="154">
        <f t="shared" si="164"/>
        <v>7.0000000000000007E-2</v>
      </c>
      <c r="AB2133" s="155">
        <f>VLOOKUP(I2133,'Weights and Confidence'!$D$16:$AC$26,15,FALSE)</f>
        <v>7.0000000000000007E-2</v>
      </c>
      <c r="AC2133" s="156">
        <f>VLOOKUP(I2133,'Weights and Confidence'!$D$16:$AC$26,16,FALSE)</f>
        <v>1</v>
      </c>
    </row>
    <row r="2134" spans="1:29" x14ac:dyDescent="0.2">
      <c r="A2134" s="76" t="s">
        <v>566</v>
      </c>
      <c r="B2134" s="76" t="s">
        <v>88</v>
      </c>
      <c r="C2134" s="76" t="s">
        <v>311</v>
      </c>
      <c r="D2134" s="76" t="s">
        <v>5</v>
      </c>
      <c r="E2134" s="76" t="s">
        <v>679</v>
      </c>
      <c r="F2134" s="91" t="s">
        <v>312</v>
      </c>
      <c r="G2134" s="76">
        <v>7</v>
      </c>
      <c r="H2134" s="76" t="s">
        <v>17</v>
      </c>
      <c r="I2134" s="76" t="s">
        <v>24</v>
      </c>
      <c r="J2134" s="76">
        <v>0</v>
      </c>
      <c r="K2134" s="78">
        <f>AB2134/COUNTIFS($B:$B,$B2134,$C:$C,$C2134,$H:$H,$H2134,$I:$I,$I2134)</f>
        <v>0.15</v>
      </c>
      <c r="L2134" s="80">
        <f t="shared" si="168"/>
        <v>1</v>
      </c>
      <c r="M2134" s="82">
        <f t="shared" si="169"/>
        <v>0</v>
      </c>
      <c r="N2134" s="59"/>
      <c r="AA2134" s="154">
        <f t="shared" si="164"/>
        <v>0.15</v>
      </c>
      <c r="AB2134" s="155">
        <f>VLOOKUP(I2134,'Weights and Confidence'!$D$16:$AC$26,15,FALSE)</f>
        <v>0.15</v>
      </c>
      <c r="AC2134" s="156">
        <f>VLOOKUP(I2134,'Weights and Confidence'!$D$16:$AC$26,16,FALSE)</f>
        <v>1</v>
      </c>
    </row>
    <row r="2135" spans="1:29" x14ac:dyDescent="0.2">
      <c r="A2135" s="77" t="s">
        <v>566</v>
      </c>
      <c r="B2135" s="77" t="s">
        <v>88</v>
      </c>
      <c r="C2135" s="77" t="s">
        <v>311</v>
      </c>
      <c r="D2135" s="77" t="s">
        <v>5</v>
      </c>
      <c r="E2135" s="77" t="s">
        <v>679</v>
      </c>
      <c r="F2135" s="91" t="s">
        <v>312</v>
      </c>
      <c r="G2135" s="77">
        <v>7</v>
      </c>
      <c r="H2135" s="77" t="s">
        <v>18</v>
      </c>
      <c r="I2135" s="77" t="s">
        <v>24</v>
      </c>
      <c r="J2135" s="77">
        <v>1</v>
      </c>
      <c r="K2135" s="79">
        <f>AB2135/COUNTIFS($B:$B,$B2135,$C:$C,$C2135,$H:$H,$H2135,$I:$I,$I2135)</f>
        <v>0.15</v>
      </c>
      <c r="L2135" s="81">
        <f t="shared" si="168"/>
        <v>1</v>
      </c>
      <c r="M2135" s="83">
        <f t="shared" si="169"/>
        <v>0.15</v>
      </c>
      <c r="N2135" s="84"/>
      <c r="AA2135" s="154">
        <f t="shared" si="164"/>
        <v>0.15</v>
      </c>
      <c r="AB2135" s="155">
        <f>VLOOKUP(I2135,'Weights and Confidence'!$D$16:$AC$26,15,FALSE)</f>
        <v>0.15</v>
      </c>
      <c r="AC2135" s="156">
        <f>VLOOKUP(I2135,'Weights and Confidence'!$D$16:$AC$26,16,FALSE)</f>
        <v>1</v>
      </c>
    </row>
    <row r="2136" spans="1:29" x14ac:dyDescent="0.2">
      <c r="A2136" s="76" t="s">
        <v>566</v>
      </c>
      <c r="B2136" s="76" t="s">
        <v>88</v>
      </c>
      <c r="C2136" s="76" t="s">
        <v>311</v>
      </c>
      <c r="D2136" s="76" t="s">
        <v>5</v>
      </c>
      <c r="E2136" s="76" t="s">
        <v>679</v>
      </c>
      <c r="F2136" s="91" t="s">
        <v>312</v>
      </c>
      <c r="G2136" s="76">
        <v>8</v>
      </c>
      <c r="H2136" s="76" t="s">
        <v>17</v>
      </c>
      <c r="I2136" s="76" t="s">
        <v>25</v>
      </c>
      <c r="J2136" s="76">
        <v>0</v>
      </c>
      <c r="K2136" s="78">
        <f>AB2136/COUNTIFS($B:$B,$B2136,$C:$C,$C2136,$H:$H,$H2136,$I:$I,$I2136)</f>
        <v>0.1</v>
      </c>
      <c r="L2136" s="80">
        <f t="shared" si="168"/>
        <v>1</v>
      </c>
      <c r="M2136" s="82">
        <f t="shared" si="169"/>
        <v>0</v>
      </c>
      <c r="N2136" s="59"/>
      <c r="AA2136" s="154">
        <f t="shared" si="164"/>
        <v>0.1</v>
      </c>
      <c r="AB2136" s="155">
        <f>VLOOKUP(I2136,'Weights and Confidence'!$D$16:$AC$26,15,FALSE)</f>
        <v>0.1</v>
      </c>
      <c r="AC2136" s="156">
        <f>VLOOKUP(I2136,'Weights and Confidence'!$D$16:$AC$26,16,FALSE)</f>
        <v>1</v>
      </c>
    </row>
    <row r="2137" spans="1:29" x14ac:dyDescent="0.2">
      <c r="A2137" s="77" t="s">
        <v>566</v>
      </c>
      <c r="B2137" s="77" t="s">
        <v>88</v>
      </c>
      <c r="C2137" s="77" t="s">
        <v>311</v>
      </c>
      <c r="D2137" s="77" t="s">
        <v>5</v>
      </c>
      <c r="E2137" s="77" t="s">
        <v>679</v>
      </c>
      <c r="F2137" s="91" t="s">
        <v>312</v>
      </c>
      <c r="G2137" s="77">
        <v>8</v>
      </c>
      <c r="H2137" s="77" t="s">
        <v>18</v>
      </c>
      <c r="I2137" s="77" t="s">
        <v>25</v>
      </c>
      <c r="J2137" s="77">
        <v>0</v>
      </c>
      <c r="K2137" s="79">
        <f>AB2137/COUNTIFS($B:$B,$B2137,$C:$C,$C2137,$H:$H,$H2137,$I:$I,$I2137)</f>
        <v>0.1</v>
      </c>
      <c r="L2137" s="81">
        <f t="shared" si="168"/>
        <v>1</v>
      </c>
      <c r="M2137" s="83">
        <f t="shared" si="169"/>
        <v>0</v>
      </c>
      <c r="N2137" s="17"/>
      <c r="AA2137" s="154">
        <f t="shared" si="164"/>
        <v>0.1</v>
      </c>
      <c r="AB2137" s="155">
        <f>VLOOKUP(I2137,'Weights and Confidence'!$D$16:$AC$26,15,FALSE)</f>
        <v>0.1</v>
      </c>
      <c r="AC2137" s="156">
        <f>VLOOKUP(I2137,'Weights and Confidence'!$D$16:$AC$26,16,FALSE)</f>
        <v>1</v>
      </c>
    </row>
    <row r="2138" spans="1:29" x14ac:dyDescent="0.2">
      <c r="A2138" s="76" t="s">
        <v>566</v>
      </c>
      <c r="B2138" s="76" t="s">
        <v>88</v>
      </c>
      <c r="C2138" s="76" t="s">
        <v>311</v>
      </c>
      <c r="D2138" s="76" t="s">
        <v>5</v>
      </c>
      <c r="E2138" s="76" t="s">
        <v>679</v>
      </c>
      <c r="F2138" s="91" t="s">
        <v>312</v>
      </c>
      <c r="G2138" s="76">
        <v>9</v>
      </c>
      <c r="H2138" s="76" t="s">
        <v>17</v>
      </c>
      <c r="I2138" s="76" t="s">
        <v>26</v>
      </c>
      <c r="J2138" s="76">
        <v>0</v>
      </c>
      <c r="K2138" s="78">
        <f>AB2138/COUNTIFS($B:$B,$B2138,$C:$C,$C2138,$H:$H,$H2138,$I:$I,$I2138)</f>
        <v>0.1</v>
      </c>
      <c r="L2138" s="80">
        <f t="shared" si="168"/>
        <v>1</v>
      </c>
      <c r="M2138" s="82">
        <f t="shared" si="169"/>
        <v>0</v>
      </c>
      <c r="N2138" s="59"/>
      <c r="AA2138" s="154">
        <f t="shared" si="164"/>
        <v>0.1</v>
      </c>
      <c r="AB2138" s="155">
        <f>VLOOKUP(I2138,'Weights and Confidence'!$D$16:$AC$26,15,FALSE)</f>
        <v>0.1</v>
      </c>
      <c r="AC2138" s="156">
        <f>VLOOKUP(I2138,'Weights and Confidence'!$D$16:$AC$26,16,FALSE)</f>
        <v>1</v>
      </c>
    </row>
    <row r="2139" spans="1:29" x14ac:dyDescent="0.2">
      <c r="A2139" s="77" t="s">
        <v>566</v>
      </c>
      <c r="B2139" s="77" t="s">
        <v>88</v>
      </c>
      <c r="C2139" s="77" t="s">
        <v>311</v>
      </c>
      <c r="D2139" s="77" t="s">
        <v>5</v>
      </c>
      <c r="E2139" s="77" t="s">
        <v>679</v>
      </c>
      <c r="F2139" s="91" t="s">
        <v>312</v>
      </c>
      <c r="G2139" s="77">
        <v>9</v>
      </c>
      <c r="H2139" s="77" t="s">
        <v>18</v>
      </c>
      <c r="I2139" s="77" t="s">
        <v>26</v>
      </c>
      <c r="J2139" s="77">
        <v>0</v>
      </c>
      <c r="K2139" s="79">
        <f>AB2139/COUNTIFS($B:$B,$B2139,$C:$C,$C2139,$H:$H,$H2139,$I:$I,$I2139)</f>
        <v>0.1</v>
      </c>
      <c r="L2139" s="81">
        <f t="shared" si="168"/>
        <v>1</v>
      </c>
      <c r="M2139" s="83">
        <f t="shared" si="169"/>
        <v>0</v>
      </c>
      <c r="N2139" s="17" t="s">
        <v>680</v>
      </c>
      <c r="AA2139" s="154">
        <f t="shared" si="164"/>
        <v>0.1</v>
      </c>
      <c r="AB2139" s="155">
        <f>VLOOKUP(I2139,'Weights and Confidence'!$D$16:$AC$26,15,FALSE)</f>
        <v>0.1</v>
      </c>
      <c r="AC2139" s="156">
        <f>VLOOKUP(I2139,'Weights and Confidence'!$D$16:$AC$26,16,FALSE)</f>
        <v>1</v>
      </c>
    </row>
    <row r="2140" spans="1:29" ht="17" thickBot="1" x14ac:dyDescent="0.25">
      <c r="A2140" s="76" t="s">
        <v>566</v>
      </c>
      <c r="B2140" s="76" t="s">
        <v>88</v>
      </c>
      <c r="C2140" s="76" t="s">
        <v>311</v>
      </c>
      <c r="D2140" s="76" t="s">
        <v>5</v>
      </c>
      <c r="E2140" s="76" t="s">
        <v>679</v>
      </c>
      <c r="F2140" s="91" t="s">
        <v>312</v>
      </c>
      <c r="G2140" s="76">
        <v>10</v>
      </c>
      <c r="H2140" s="76" t="s">
        <v>17</v>
      </c>
      <c r="I2140" s="76" t="s">
        <v>27</v>
      </c>
      <c r="J2140" s="76">
        <v>1</v>
      </c>
      <c r="K2140" s="78">
        <f>AB2140/COUNTIFS($B:$B,$B2140,$C:$C,$C2140,$H:$H,$H2140,$I:$I,$I2140)</f>
        <v>0.1</v>
      </c>
      <c r="L2140" s="80">
        <f t="shared" si="168"/>
        <v>0.9</v>
      </c>
      <c r="M2140" s="82">
        <f t="shared" si="169"/>
        <v>9.0000000000000011E-2</v>
      </c>
      <c r="N2140" s="59"/>
      <c r="AA2140" s="154">
        <f t="shared" si="164"/>
        <v>0.1</v>
      </c>
      <c r="AB2140" s="155">
        <f>VLOOKUP(I2140,'Weights and Confidence'!$D$16:$AC$26,15,FALSE)</f>
        <v>0.1</v>
      </c>
      <c r="AC2140" s="156">
        <f>VLOOKUP(I2140,'Weights and Confidence'!$D$16:$AC$26,16,FALSE)</f>
        <v>0.9</v>
      </c>
    </row>
    <row r="2141" spans="1:29" ht="17" thickBot="1" x14ac:dyDescent="0.25">
      <c r="A2141" s="77" t="s">
        <v>566</v>
      </c>
      <c r="B2141" s="77" t="s">
        <v>88</v>
      </c>
      <c r="C2141" s="77" t="s">
        <v>311</v>
      </c>
      <c r="D2141" s="77" t="s">
        <v>5</v>
      </c>
      <c r="E2141" s="77" t="s">
        <v>679</v>
      </c>
      <c r="F2141" s="91" t="s">
        <v>312</v>
      </c>
      <c r="G2141" s="77">
        <v>10</v>
      </c>
      <c r="H2141" s="77" t="s">
        <v>18</v>
      </c>
      <c r="I2141" s="77" t="s">
        <v>27</v>
      </c>
      <c r="J2141" s="77">
        <v>1</v>
      </c>
      <c r="K2141" s="79">
        <f>AB2141/COUNTIFS($B:$B,$B2141,$C:$C,$C2141,$H:$H,$H2141,$I:$I,$I2141)</f>
        <v>0.1</v>
      </c>
      <c r="L2141" s="81">
        <f t="shared" si="168"/>
        <v>0.9</v>
      </c>
      <c r="M2141" s="83">
        <f t="shared" si="169"/>
        <v>9.0000000000000011E-2</v>
      </c>
      <c r="N2141" s="161"/>
      <c r="AA2141" s="154">
        <f t="shared" si="164"/>
        <v>0.1</v>
      </c>
      <c r="AB2141" s="155">
        <f>VLOOKUP(I2141,'Weights and Confidence'!$D$16:$AC$26,15,FALSE)</f>
        <v>0.1</v>
      </c>
      <c r="AC2141" s="156">
        <f>VLOOKUP(I2141,'Weights and Confidence'!$D$16:$AC$26,16,FALSE)</f>
        <v>0.9</v>
      </c>
    </row>
    <row r="2142" spans="1:29" x14ac:dyDescent="0.2">
      <c r="A2142" s="76" t="s">
        <v>566</v>
      </c>
      <c r="B2142" s="76" t="s">
        <v>88</v>
      </c>
      <c r="C2142" s="76" t="s">
        <v>311</v>
      </c>
      <c r="D2142" s="76" t="s">
        <v>5</v>
      </c>
      <c r="E2142" s="76" t="s">
        <v>679</v>
      </c>
      <c r="F2142" s="91" t="s">
        <v>312</v>
      </c>
      <c r="G2142" s="76">
        <v>11</v>
      </c>
      <c r="H2142" s="76" t="s">
        <v>17</v>
      </c>
      <c r="I2142" s="76" t="s">
        <v>28</v>
      </c>
      <c r="J2142" s="76">
        <v>1</v>
      </c>
      <c r="K2142" s="78">
        <f>AB2142/COUNTIFS($B:$B,$B2142,$C:$C,$C2142,$H:$H,$H2142,$I:$I,$I2142)</f>
        <v>0.05</v>
      </c>
      <c r="L2142" s="80">
        <f t="shared" si="168"/>
        <v>1</v>
      </c>
      <c r="M2142" s="82">
        <f t="shared" si="169"/>
        <v>0.05</v>
      </c>
      <c r="N2142" s="59"/>
      <c r="AA2142" s="154">
        <f t="shared" si="164"/>
        <v>0.05</v>
      </c>
      <c r="AB2142" s="155">
        <f>VLOOKUP(I2142,'Weights and Confidence'!$D$16:$AC$26,15,FALSE)</f>
        <v>0.05</v>
      </c>
      <c r="AC2142" s="156">
        <f>VLOOKUP(I2142,'Weights and Confidence'!$D$16:$AC$26,16,FALSE)</f>
        <v>1</v>
      </c>
    </row>
    <row r="2143" spans="1:29" ht="17" thickBot="1" x14ac:dyDescent="0.25">
      <c r="A2143" s="98" t="s">
        <v>566</v>
      </c>
      <c r="B2143" s="98" t="s">
        <v>88</v>
      </c>
      <c r="C2143" s="98" t="s">
        <v>311</v>
      </c>
      <c r="D2143" s="98" t="s">
        <v>5</v>
      </c>
      <c r="E2143" s="98" t="s">
        <v>679</v>
      </c>
      <c r="F2143" s="93" t="s">
        <v>312</v>
      </c>
      <c r="G2143" s="98">
        <v>11</v>
      </c>
      <c r="H2143" s="98" t="s">
        <v>18</v>
      </c>
      <c r="I2143" s="98" t="s">
        <v>28</v>
      </c>
      <c r="J2143" s="98">
        <v>0</v>
      </c>
      <c r="K2143" s="99">
        <f>AB2143/COUNTIFS($B:$B,$B2143,$C:$C,$C2143,$H:$H,$H2143,$I:$I,$I2143)</f>
        <v>0.05</v>
      </c>
      <c r="L2143" s="100">
        <f t="shared" si="168"/>
        <v>1</v>
      </c>
      <c r="M2143" s="101">
        <f t="shared" si="169"/>
        <v>0</v>
      </c>
      <c r="N2143" s="22"/>
      <c r="AA2143" s="157">
        <f t="shared" ref="AA2143" si="170">AB2143/COUNTIFS($B:$B,$B2143,$C:$C,$C2143,$H:$H,$H2143,$I:$I,$I2143)</f>
        <v>0.05</v>
      </c>
      <c r="AB2143" s="158">
        <f>VLOOKUP(I2143,'Weights and Confidence'!$D$16:$AC$26,15,FALSE)</f>
        <v>0.05</v>
      </c>
      <c r="AC2143" s="159">
        <f>VLOOKUP(I2143,'Weights and Confidence'!$D$16:$AC$26,16,FALSE)</f>
        <v>1</v>
      </c>
    </row>
    <row r="2144" spans="1:29" ht="17" thickTop="1" x14ac:dyDescent="0.2">
      <c r="A2144" s="86" t="s">
        <v>566</v>
      </c>
      <c r="B2144" s="86" t="s">
        <v>88</v>
      </c>
      <c r="C2144" s="86" t="s">
        <v>606</v>
      </c>
      <c r="D2144" s="86" t="s">
        <v>5</v>
      </c>
      <c r="E2144" s="86" t="s">
        <v>465</v>
      </c>
      <c r="F2144" s="85" t="s">
        <v>683</v>
      </c>
      <c r="G2144" s="86">
        <v>1</v>
      </c>
      <c r="H2144" s="86" t="s">
        <v>17</v>
      </c>
      <c r="I2144" s="86" t="s">
        <v>19</v>
      </c>
      <c r="J2144" s="97">
        <v>1</v>
      </c>
      <c r="K2144" s="87">
        <f>AB2144/COUNTIFS($B:$B,$B2144,$C:$C,$C2144,$H:$H,$H2144,$I:$I,$I2144)</f>
        <v>0.12</v>
      </c>
      <c r="L2144" s="88">
        <f t="shared" ref="L2144:L2165" si="171">AC2144</f>
        <v>1</v>
      </c>
      <c r="M2144" s="89">
        <f t="shared" si="169"/>
        <v>0.12</v>
      </c>
      <c r="N2144" s="90"/>
      <c r="AA2144" s="170">
        <f>AB2144/COUNTIFS($B:$B,$B2144,$C:$C,$C2144,$H:$H,$H2144,$I:$I,$I2144)</f>
        <v>0.12</v>
      </c>
      <c r="AB2144" s="171">
        <f>VLOOKUP(I2144,'Weights and Confidence'!$D$16:$AC$26,15,FALSE)</f>
        <v>0.12</v>
      </c>
      <c r="AC2144" s="172">
        <f>VLOOKUP(I2144,'Weights and Confidence'!$D$16:$AC$26,16,FALSE)</f>
        <v>1</v>
      </c>
    </row>
    <row r="2145" spans="1:29" x14ac:dyDescent="0.2">
      <c r="A2145" s="77" t="s">
        <v>566</v>
      </c>
      <c r="B2145" s="77" t="s">
        <v>88</v>
      </c>
      <c r="C2145" s="77" t="s">
        <v>606</v>
      </c>
      <c r="D2145" s="77" t="s">
        <v>5</v>
      </c>
      <c r="E2145" s="77" t="s">
        <v>465</v>
      </c>
      <c r="F2145" s="91" t="s">
        <v>683</v>
      </c>
      <c r="G2145" s="77">
        <v>1</v>
      </c>
      <c r="H2145" s="77" t="s">
        <v>18</v>
      </c>
      <c r="I2145" s="77" t="s">
        <v>19</v>
      </c>
      <c r="J2145" s="77">
        <v>1</v>
      </c>
      <c r="K2145" s="79">
        <f>AB2145/COUNTIFS($B:$B,$B2145,$C:$C,$C2145,$H:$H,$H2145,$I:$I,$I2145)</f>
        <v>0.12</v>
      </c>
      <c r="L2145" s="81">
        <f t="shared" si="171"/>
        <v>1</v>
      </c>
      <c r="M2145" s="83">
        <f>J2144*K2145*L2145</f>
        <v>0.12</v>
      </c>
      <c r="N2145" s="17"/>
      <c r="AA2145" s="154">
        <f t="shared" ref="AA2145:AA2165" si="172">AB2145/COUNTIFS($B:$B,$B2145,$C:$C,$C2145,$H:$H,$H2145,$I:$I,$I2145)</f>
        <v>0.12</v>
      </c>
      <c r="AB2145" s="155">
        <f>VLOOKUP(I2145,'Weights and Confidence'!$D$16:$AC$26,15,FALSE)</f>
        <v>0.12</v>
      </c>
      <c r="AC2145" s="156">
        <f>VLOOKUP(I2145,'Weights and Confidence'!$D$16:$AC$26,16,FALSE)</f>
        <v>1</v>
      </c>
    </row>
    <row r="2146" spans="1:29" x14ac:dyDescent="0.2">
      <c r="A2146" s="76" t="s">
        <v>566</v>
      </c>
      <c r="B2146" s="76" t="s">
        <v>88</v>
      </c>
      <c r="C2146" s="76" t="s">
        <v>606</v>
      </c>
      <c r="D2146" s="76" t="s">
        <v>5</v>
      </c>
      <c r="E2146" s="76" t="s">
        <v>465</v>
      </c>
      <c r="F2146" s="91" t="s">
        <v>683</v>
      </c>
      <c r="G2146" s="76">
        <v>2</v>
      </c>
      <c r="H2146" s="76" t="s">
        <v>17</v>
      </c>
      <c r="I2146" s="76" t="s">
        <v>20</v>
      </c>
      <c r="J2146" s="76">
        <v>1</v>
      </c>
      <c r="K2146" s="78">
        <f>AB2146/COUNTIFS($B:$B,$B2146,$C:$C,$C2146,$H:$H,$H2146,$I:$I,$I2146)</f>
        <v>0.08</v>
      </c>
      <c r="L2146" s="80">
        <f t="shared" si="171"/>
        <v>0.9</v>
      </c>
      <c r="M2146" s="82">
        <f t="shared" ref="M2146:M2165" si="173">J2146*K2146*L2146</f>
        <v>7.2000000000000008E-2</v>
      </c>
      <c r="N2146" s="59"/>
      <c r="AA2146" s="154">
        <f t="shared" si="172"/>
        <v>0.08</v>
      </c>
      <c r="AB2146" s="155">
        <f>VLOOKUP(I2146,'Weights and Confidence'!$D$16:$AC$26,15,FALSE)</f>
        <v>0.08</v>
      </c>
      <c r="AC2146" s="156">
        <f>VLOOKUP(I2146,'Weights and Confidence'!$D$16:$AC$26,16,FALSE)</f>
        <v>0.9</v>
      </c>
    </row>
    <row r="2147" spans="1:29" x14ac:dyDescent="0.2">
      <c r="A2147" s="77" t="s">
        <v>566</v>
      </c>
      <c r="B2147" s="77" t="s">
        <v>88</v>
      </c>
      <c r="C2147" s="77" t="s">
        <v>606</v>
      </c>
      <c r="D2147" s="77" t="s">
        <v>5</v>
      </c>
      <c r="E2147" s="77" t="s">
        <v>465</v>
      </c>
      <c r="F2147" s="91" t="s">
        <v>683</v>
      </c>
      <c r="G2147" s="77">
        <v>2</v>
      </c>
      <c r="H2147" s="77" t="s">
        <v>18</v>
      </c>
      <c r="I2147" s="77" t="s">
        <v>20</v>
      </c>
      <c r="J2147" s="77">
        <v>0</v>
      </c>
      <c r="K2147" s="79">
        <f>AB2147/COUNTIFS($B:$B,$B2147,$C:$C,$C2147,$H:$H,$H2147,$I:$I,$I2147)</f>
        <v>0.08</v>
      </c>
      <c r="L2147" s="81">
        <f t="shared" si="171"/>
        <v>0.9</v>
      </c>
      <c r="M2147" s="83">
        <f t="shared" si="173"/>
        <v>0</v>
      </c>
      <c r="N2147" s="17"/>
      <c r="AA2147" s="154">
        <f t="shared" si="172"/>
        <v>0.08</v>
      </c>
      <c r="AB2147" s="155">
        <f>VLOOKUP(I2147,'Weights and Confidence'!$D$16:$AC$26,15,FALSE)</f>
        <v>0.08</v>
      </c>
      <c r="AC2147" s="156">
        <f>VLOOKUP(I2147,'Weights and Confidence'!$D$16:$AC$26,16,FALSE)</f>
        <v>0.9</v>
      </c>
    </row>
    <row r="2148" spans="1:29" x14ac:dyDescent="0.2">
      <c r="A2148" s="76" t="s">
        <v>566</v>
      </c>
      <c r="B2148" s="76" t="s">
        <v>88</v>
      </c>
      <c r="C2148" s="76" t="s">
        <v>606</v>
      </c>
      <c r="D2148" s="76" t="s">
        <v>5</v>
      </c>
      <c r="E2148" s="76" t="s">
        <v>465</v>
      </c>
      <c r="F2148" s="91" t="s">
        <v>683</v>
      </c>
      <c r="G2148" s="76">
        <v>3</v>
      </c>
      <c r="H2148" s="76" t="s">
        <v>17</v>
      </c>
      <c r="I2148" s="76" t="s">
        <v>21</v>
      </c>
      <c r="J2148" s="76">
        <v>1</v>
      </c>
      <c r="K2148" s="78">
        <f>AB2148/COUNTIFS($B:$B,$B2148,$C:$C,$C2148,$H:$H,$H2148,$I:$I,$I2148)</f>
        <v>0.05</v>
      </c>
      <c r="L2148" s="80">
        <f t="shared" si="171"/>
        <v>1</v>
      </c>
      <c r="M2148" s="82">
        <f t="shared" si="173"/>
        <v>0.05</v>
      </c>
      <c r="N2148" s="59"/>
      <c r="AA2148" s="154">
        <f t="shared" si="172"/>
        <v>0.05</v>
      </c>
      <c r="AB2148" s="155">
        <f>VLOOKUP(I2148,'Weights and Confidence'!$D$16:$AC$26,15,FALSE)</f>
        <v>0.05</v>
      </c>
      <c r="AC2148" s="156">
        <f>VLOOKUP(I2148,'Weights and Confidence'!$D$16:$AC$26,16,FALSE)</f>
        <v>1</v>
      </c>
    </row>
    <row r="2149" spans="1:29" x14ac:dyDescent="0.2">
      <c r="A2149" s="77" t="s">
        <v>566</v>
      </c>
      <c r="B2149" s="77" t="s">
        <v>88</v>
      </c>
      <c r="C2149" s="77" t="s">
        <v>606</v>
      </c>
      <c r="D2149" s="77" t="s">
        <v>5</v>
      </c>
      <c r="E2149" s="77" t="s">
        <v>465</v>
      </c>
      <c r="F2149" s="91" t="s">
        <v>683</v>
      </c>
      <c r="G2149" s="77">
        <v>3</v>
      </c>
      <c r="H2149" s="77" t="s">
        <v>18</v>
      </c>
      <c r="I2149" s="77" t="s">
        <v>21</v>
      </c>
      <c r="J2149" s="77">
        <v>0</v>
      </c>
      <c r="K2149" s="79">
        <f>AB2149/COUNTIFS($B:$B,$B2149,$C:$C,$C2149,$H:$H,$H2149,$I:$I,$I2149)</f>
        <v>0.05</v>
      </c>
      <c r="L2149" s="81">
        <f t="shared" si="171"/>
        <v>1</v>
      </c>
      <c r="M2149" s="83">
        <f t="shared" si="173"/>
        <v>0</v>
      </c>
      <c r="N2149" s="17" t="s">
        <v>686</v>
      </c>
      <c r="AA2149" s="154">
        <f t="shared" si="172"/>
        <v>0.05</v>
      </c>
      <c r="AB2149" s="155">
        <f>VLOOKUP(I2149,'Weights and Confidence'!$D$16:$AC$26,15,FALSE)</f>
        <v>0.05</v>
      </c>
      <c r="AC2149" s="156">
        <f>VLOOKUP(I2149,'Weights and Confidence'!$D$16:$AC$26,16,FALSE)</f>
        <v>1</v>
      </c>
    </row>
    <row r="2150" spans="1:29" x14ac:dyDescent="0.2">
      <c r="A2150" s="76" t="s">
        <v>566</v>
      </c>
      <c r="B2150" s="76" t="s">
        <v>88</v>
      </c>
      <c r="C2150" s="76" t="s">
        <v>606</v>
      </c>
      <c r="D2150" s="76" t="s">
        <v>5</v>
      </c>
      <c r="E2150" s="76" t="s">
        <v>465</v>
      </c>
      <c r="F2150" s="91" t="s">
        <v>683</v>
      </c>
      <c r="G2150" s="76">
        <v>4</v>
      </c>
      <c r="H2150" s="76" t="s">
        <v>17</v>
      </c>
      <c r="I2150" s="76" t="s">
        <v>22</v>
      </c>
      <c r="J2150" s="76">
        <v>1</v>
      </c>
      <c r="K2150" s="78">
        <f>AB2150/COUNTIFS($B:$B,$B2150,$C:$C,$C2150,$H:$H,$H2150,$I:$I,$I2150)</f>
        <v>0.1</v>
      </c>
      <c r="L2150" s="80">
        <f t="shared" si="171"/>
        <v>1</v>
      </c>
      <c r="M2150" s="82">
        <f t="shared" si="173"/>
        <v>0.1</v>
      </c>
      <c r="N2150" s="17"/>
      <c r="AA2150" s="154">
        <f t="shared" si="172"/>
        <v>0.1</v>
      </c>
      <c r="AB2150" s="155">
        <f>VLOOKUP(I2150,'Weights and Confidence'!$D$16:$AC$26,15,FALSE)</f>
        <v>0.1</v>
      </c>
      <c r="AC2150" s="156">
        <f>VLOOKUP(I2150,'Weights and Confidence'!$D$16:$AC$26,16,FALSE)</f>
        <v>1</v>
      </c>
    </row>
    <row r="2151" spans="1:29" x14ac:dyDescent="0.2">
      <c r="A2151" s="77" t="s">
        <v>566</v>
      </c>
      <c r="B2151" s="77" t="s">
        <v>88</v>
      </c>
      <c r="C2151" s="77" t="s">
        <v>606</v>
      </c>
      <c r="D2151" s="77" t="s">
        <v>5</v>
      </c>
      <c r="E2151" s="77" t="s">
        <v>465</v>
      </c>
      <c r="F2151" s="91" t="s">
        <v>683</v>
      </c>
      <c r="G2151" s="77">
        <v>4</v>
      </c>
      <c r="H2151" s="77" t="s">
        <v>18</v>
      </c>
      <c r="I2151" s="77" t="s">
        <v>22</v>
      </c>
      <c r="J2151" s="77">
        <v>0</v>
      </c>
      <c r="K2151" s="79">
        <f>AB2151/COUNTIFS($B:$B,$B2151,$C:$C,$C2151,$H:$H,$H2151,$I:$I,$I2151)</f>
        <v>0.1</v>
      </c>
      <c r="L2151" s="81">
        <f t="shared" si="171"/>
        <v>1</v>
      </c>
      <c r="M2151" s="83">
        <f t="shared" si="173"/>
        <v>0</v>
      </c>
      <c r="N2151" s="17"/>
      <c r="AA2151" s="154">
        <f t="shared" si="172"/>
        <v>0.1</v>
      </c>
      <c r="AB2151" s="155">
        <f>VLOOKUP(I2151,'Weights and Confidence'!$D$16:$AC$26,15,FALSE)</f>
        <v>0.1</v>
      </c>
      <c r="AC2151" s="156">
        <f>VLOOKUP(I2151,'Weights and Confidence'!$D$16:$AC$26,16,FALSE)</f>
        <v>1</v>
      </c>
    </row>
    <row r="2152" spans="1:29" ht="17" thickBot="1" x14ac:dyDescent="0.25">
      <c r="A2152" s="76" t="s">
        <v>566</v>
      </c>
      <c r="B2152" s="76" t="s">
        <v>88</v>
      </c>
      <c r="C2152" s="76" t="s">
        <v>606</v>
      </c>
      <c r="D2152" s="76" t="s">
        <v>5</v>
      </c>
      <c r="E2152" s="76" t="s">
        <v>465</v>
      </c>
      <c r="F2152" s="91" t="s">
        <v>683</v>
      </c>
      <c r="G2152" s="76">
        <v>5</v>
      </c>
      <c r="H2152" s="76" t="s">
        <v>17</v>
      </c>
      <c r="I2152" s="76" t="s">
        <v>34</v>
      </c>
      <c r="J2152" s="76">
        <v>1</v>
      </c>
      <c r="K2152" s="78">
        <f>AB2152/COUNTIFS($B:$B,$B2152,$C:$C,$C2152,$H:$H,$H2152,$I:$I,$I2152)</f>
        <v>0.08</v>
      </c>
      <c r="L2152" s="80">
        <f t="shared" si="171"/>
        <v>1</v>
      </c>
      <c r="M2152" s="82">
        <f t="shared" si="173"/>
        <v>0.08</v>
      </c>
      <c r="N2152" s="84"/>
      <c r="AA2152" s="154">
        <f t="shared" si="172"/>
        <v>0.08</v>
      </c>
      <c r="AB2152" s="155">
        <f>VLOOKUP(I2152,'Weights and Confidence'!$D$16:$AC$26,15,FALSE)</f>
        <v>0.08</v>
      </c>
      <c r="AC2152" s="156">
        <f>VLOOKUP(I2152,'Weights and Confidence'!$D$16:$AC$26,16,FALSE)</f>
        <v>1</v>
      </c>
    </row>
    <row r="2153" spans="1:29" ht="17" thickBot="1" x14ac:dyDescent="0.25">
      <c r="A2153" s="77" t="s">
        <v>566</v>
      </c>
      <c r="B2153" s="77" t="s">
        <v>88</v>
      </c>
      <c r="C2153" s="77" t="s">
        <v>606</v>
      </c>
      <c r="D2153" s="77" t="s">
        <v>5</v>
      </c>
      <c r="E2153" s="77" t="s">
        <v>465</v>
      </c>
      <c r="F2153" s="91" t="s">
        <v>683</v>
      </c>
      <c r="G2153" s="77">
        <v>5</v>
      </c>
      <c r="H2153" s="77" t="s">
        <v>18</v>
      </c>
      <c r="I2153" s="77" t="s">
        <v>34</v>
      </c>
      <c r="J2153" s="77">
        <v>0</v>
      </c>
      <c r="K2153" s="79">
        <f>AB2153/COUNTIFS($B:$B,$B2153,$C:$C,$C2153,$H:$H,$H2153,$I:$I,$I2153)</f>
        <v>0.08</v>
      </c>
      <c r="L2153" s="81">
        <f t="shared" si="171"/>
        <v>1</v>
      </c>
      <c r="M2153" s="83">
        <f t="shared" si="173"/>
        <v>0</v>
      </c>
      <c r="N2153" s="167"/>
      <c r="AA2153" s="154">
        <f t="shared" si="172"/>
        <v>0.08</v>
      </c>
      <c r="AB2153" s="155">
        <f>VLOOKUP(I2153,'Weights and Confidence'!$D$16:$AC$26,15,FALSE)</f>
        <v>0.08</v>
      </c>
      <c r="AC2153" s="156">
        <f>VLOOKUP(I2153,'Weights and Confidence'!$D$16:$AC$26,16,FALSE)</f>
        <v>1</v>
      </c>
    </row>
    <row r="2154" spans="1:29" x14ac:dyDescent="0.2">
      <c r="A2154" s="76" t="s">
        <v>566</v>
      </c>
      <c r="B2154" s="76" t="s">
        <v>88</v>
      </c>
      <c r="C2154" s="76" t="s">
        <v>606</v>
      </c>
      <c r="D2154" s="76" t="s">
        <v>5</v>
      </c>
      <c r="E2154" s="76" t="s">
        <v>465</v>
      </c>
      <c r="F2154" s="91" t="s">
        <v>683</v>
      </c>
      <c r="G2154" s="76">
        <v>6</v>
      </c>
      <c r="H2154" s="76" t="s">
        <v>17</v>
      </c>
      <c r="I2154" s="76" t="s">
        <v>23</v>
      </c>
      <c r="J2154" s="76">
        <v>1</v>
      </c>
      <c r="K2154" s="78">
        <f>AB2154/COUNTIFS($B:$B,$B2154,$C:$C,$C2154,$H:$H,$H2154,$I:$I,$I2154)</f>
        <v>7.0000000000000007E-2</v>
      </c>
      <c r="L2154" s="80">
        <f t="shared" si="171"/>
        <v>1</v>
      </c>
      <c r="M2154" s="82">
        <f t="shared" si="173"/>
        <v>7.0000000000000007E-2</v>
      </c>
      <c r="N2154" s="59"/>
      <c r="AA2154" s="154">
        <f t="shared" si="172"/>
        <v>7.0000000000000007E-2</v>
      </c>
      <c r="AB2154" s="155">
        <f>VLOOKUP(I2154,'Weights and Confidence'!$D$16:$AC$26,15,FALSE)</f>
        <v>7.0000000000000007E-2</v>
      </c>
      <c r="AC2154" s="156">
        <f>VLOOKUP(I2154,'Weights and Confidence'!$D$16:$AC$26,16,FALSE)</f>
        <v>1</v>
      </c>
    </row>
    <row r="2155" spans="1:29" x14ac:dyDescent="0.2">
      <c r="A2155" s="77" t="s">
        <v>566</v>
      </c>
      <c r="B2155" s="77" t="s">
        <v>88</v>
      </c>
      <c r="C2155" s="77" t="s">
        <v>606</v>
      </c>
      <c r="D2155" s="77" t="s">
        <v>5</v>
      </c>
      <c r="E2155" s="77" t="s">
        <v>465</v>
      </c>
      <c r="F2155" s="91" t="s">
        <v>683</v>
      </c>
      <c r="G2155" s="77">
        <v>6</v>
      </c>
      <c r="H2155" s="77" t="s">
        <v>18</v>
      </c>
      <c r="I2155" s="77" t="s">
        <v>23</v>
      </c>
      <c r="J2155" s="77">
        <v>0</v>
      </c>
      <c r="K2155" s="79">
        <f>AB2155/COUNTIFS($B:$B,$B2155,$C:$C,$C2155,$H:$H,$H2155,$I:$I,$I2155)</f>
        <v>7.0000000000000007E-2</v>
      </c>
      <c r="L2155" s="81">
        <f t="shared" si="171"/>
        <v>1</v>
      </c>
      <c r="M2155" s="83">
        <f t="shared" si="173"/>
        <v>0</v>
      </c>
      <c r="N2155" s="17" t="s">
        <v>684</v>
      </c>
      <c r="AA2155" s="154">
        <f t="shared" si="172"/>
        <v>7.0000000000000007E-2</v>
      </c>
      <c r="AB2155" s="155">
        <f>VLOOKUP(I2155,'Weights and Confidence'!$D$16:$AC$26,15,FALSE)</f>
        <v>7.0000000000000007E-2</v>
      </c>
      <c r="AC2155" s="156">
        <f>VLOOKUP(I2155,'Weights and Confidence'!$D$16:$AC$26,16,FALSE)</f>
        <v>1</v>
      </c>
    </row>
    <row r="2156" spans="1:29" x14ac:dyDescent="0.2">
      <c r="A2156" s="76" t="s">
        <v>566</v>
      </c>
      <c r="B2156" s="76" t="s">
        <v>88</v>
      </c>
      <c r="C2156" s="76" t="s">
        <v>606</v>
      </c>
      <c r="D2156" s="76" t="s">
        <v>5</v>
      </c>
      <c r="E2156" s="76" t="s">
        <v>465</v>
      </c>
      <c r="F2156" s="91" t="s">
        <v>683</v>
      </c>
      <c r="G2156" s="76">
        <v>7</v>
      </c>
      <c r="H2156" s="76" t="s">
        <v>17</v>
      </c>
      <c r="I2156" s="76" t="s">
        <v>24</v>
      </c>
      <c r="J2156" s="76">
        <v>0</v>
      </c>
      <c r="K2156" s="78">
        <f>AB2156/COUNTIFS($B:$B,$B2156,$C:$C,$C2156,$H:$H,$H2156,$I:$I,$I2156)</f>
        <v>0.15</v>
      </c>
      <c r="L2156" s="80">
        <f t="shared" si="171"/>
        <v>1</v>
      </c>
      <c r="M2156" s="82">
        <f t="shared" si="173"/>
        <v>0</v>
      </c>
      <c r="N2156" s="59"/>
      <c r="AA2156" s="154">
        <f t="shared" si="172"/>
        <v>0.15</v>
      </c>
      <c r="AB2156" s="155">
        <f>VLOOKUP(I2156,'Weights and Confidence'!$D$16:$AC$26,15,FALSE)</f>
        <v>0.15</v>
      </c>
      <c r="AC2156" s="156">
        <f>VLOOKUP(I2156,'Weights and Confidence'!$D$16:$AC$26,16,FALSE)</f>
        <v>1</v>
      </c>
    </row>
    <row r="2157" spans="1:29" x14ac:dyDescent="0.2">
      <c r="A2157" s="77" t="s">
        <v>566</v>
      </c>
      <c r="B2157" s="77" t="s">
        <v>88</v>
      </c>
      <c r="C2157" s="77" t="s">
        <v>606</v>
      </c>
      <c r="D2157" s="77" t="s">
        <v>5</v>
      </c>
      <c r="E2157" s="77" t="s">
        <v>465</v>
      </c>
      <c r="F2157" s="91" t="s">
        <v>683</v>
      </c>
      <c r="G2157" s="77">
        <v>7</v>
      </c>
      <c r="H2157" s="77" t="s">
        <v>18</v>
      </c>
      <c r="I2157" s="77" t="s">
        <v>24</v>
      </c>
      <c r="J2157" s="77">
        <v>0</v>
      </c>
      <c r="K2157" s="79">
        <f>AB2157/COUNTIFS($B:$B,$B2157,$C:$C,$C2157,$H:$H,$H2157,$I:$I,$I2157)</f>
        <v>0.15</v>
      </c>
      <c r="L2157" s="81">
        <f t="shared" si="171"/>
        <v>1</v>
      </c>
      <c r="M2157" s="83">
        <f t="shared" si="173"/>
        <v>0</v>
      </c>
      <c r="N2157" s="17" t="s">
        <v>685</v>
      </c>
      <c r="AA2157" s="154">
        <f t="shared" si="172"/>
        <v>0.15</v>
      </c>
      <c r="AB2157" s="155">
        <f>VLOOKUP(I2157,'Weights and Confidence'!$D$16:$AC$26,15,FALSE)</f>
        <v>0.15</v>
      </c>
      <c r="AC2157" s="156">
        <f>VLOOKUP(I2157,'Weights and Confidence'!$D$16:$AC$26,16,FALSE)</f>
        <v>1</v>
      </c>
    </row>
    <row r="2158" spans="1:29" x14ac:dyDescent="0.2">
      <c r="A2158" s="76" t="s">
        <v>566</v>
      </c>
      <c r="B2158" s="76" t="s">
        <v>88</v>
      </c>
      <c r="C2158" s="76" t="s">
        <v>606</v>
      </c>
      <c r="D2158" s="76" t="s">
        <v>5</v>
      </c>
      <c r="E2158" s="76" t="s">
        <v>465</v>
      </c>
      <c r="F2158" s="91" t="s">
        <v>683</v>
      </c>
      <c r="G2158" s="76">
        <v>8</v>
      </c>
      <c r="H2158" s="76" t="s">
        <v>17</v>
      </c>
      <c r="I2158" s="76" t="s">
        <v>25</v>
      </c>
      <c r="J2158" s="76">
        <v>1</v>
      </c>
      <c r="K2158" s="78">
        <f>AB2158/COUNTIFS($B:$B,$B2158,$C:$C,$C2158,$H:$H,$H2158,$I:$I,$I2158)</f>
        <v>0.1</v>
      </c>
      <c r="L2158" s="80">
        <f t="shared" si="171"/>
        <v>1</v>
      </c>
      <c r="M2158" s="82">
        <f t="shared" si="173"/>
        <v>0.1</v>
      </c>
      <c r="N2158" s="59"/>
      <c r="AA2158" s="154">
        <f t="shared" si="172"/>
        <v>0.1</v>
      </c>
      <c r="AB2158" s="155">
        <f>VLOOKUP(I2158,'Weights and Confidence'!$D$16:$AC$26,15,FALSE)</f>
        <v>0.1</v>
      </c>
      <c r="AC2158" s="156">
        <f>VLOOKUP(I2158,'Weights and Confidence'!$D$16:$AC$26,16,FALSE)</f>
        <v>1</v>
      </c>
    </row>
    <row r="2159" spans="1:29" x14ac:dyDescent="0.2">
      <c r="A2159" s="77" t="s">
        <v>566</v>
      </c>
      <c r="B2159" s="77" t="s">
        <v>88</v>
      </c>
      <c r="C2159" s="77" t="s">
        <v>606</v>
      </c>
      <c r="D2159" s="77" t="s">
        <v>5</v>
      </c>
      <c r="E2159" s="77" t="s">
        <v>465</v>
      </c>
      <c r="F2159" s="91" t="s">
        <v>683</v>
      </c>
      <c r="G2159" s="77">
        <v>8</v>
      </c>
      <c r="H2159" s="77" t="s">
        <v>18</v>
      </c>
      <c r="I2159" s="77" t="s">
        <v>25</v>
      </c>
      <c r="J2159" s="77">
        <v>0</v>
      </c>
      <c r="K2159" s="79">
        <f>AB2159/COUNTIFS($B:$B,$B2159,$C:$C,$C2159,$H:$H,$H2159,$I:$I,$I2159)</f>
        <v>0.1</v>
      </c>
      <c r="L2159" s="81">
        <f t="shared" si="171"/>
        <v>1</v>
      </c>
      <c r="M2159" s="83">
        <f t="shared" si="173"/>
        <v>0</v>
      </c>
      <c r="N2159" s="17"/>
      <c r="AA2159" s="154">
        <f t="shared" si="172"/>
        <v>0.1</v>
      </c>
      <c r="AB2159" s="155">
        <f>VLOOKUP(I2159,'Weights and Confidence'!$D$16:$AC$26,15,FALSE)</f>
        <v>0.1</v>
      </c>
      <c r="AC2159" s="156">
        <f>VLOOKUP(I2159,'Weights and Confidence'!$D$16:$AC$26,16,FALSE)</f>
        <v>1</v>
      </c>
    </row>
    <row r="2160" spans="1:29" x14ac:dyDescent="0.2">
      <c r="A2160" s="76" t="s">
        <v>566</v>
      </c>
      <c r="B2160" s="76" t="s">
        <v>88</v>
      </c>
      <c r="C2160" s="76" t="s">
        <v>606</v>
      </c>
      <c r="D2160" s="76" t="s">
        <v>5</v>
      </c>
      <c r="E2160" s="76" t="s">
        <v>465</v>
      </c>
      <c r="F2160" s="91" t="s">
        <v>683</v>
      </c>
      <c r="G2160" s="76">
        <v>9</v>
      </c>
      <c r="H2160" s="76" t="s">
        <v>17</v>
      </c>
      <c r="I2160" s="76" t="s">
        <v>26</v>
      </c>
      <c r="J2160" s="76">
        <v>0</v>
      </c>
      <c r="K2160" s="78">
        <f>AB2160/COUNTIFS($B:$B,$B2160,$C:$C,$C2160,$H:$H,$H2160,$I:$I,$I2160)</f>
        <v>0.1</v>
      </c>
      <c r="L2160" s="80">
        <f t="shared" si="171"/>
        <v>1</v>
      </c>
      <c r="M2160" s="82">
        <f t="shared" si="173"/>
        <v>0</v>
      </c>
      <c r="N2160" s="59"/>
      <c r="AA2160" s="154">
        <f t="shared" si="172"/>
        <v>0.1</v>
      </c>
      <c r="AB2160" s="155">
        <f>VLOOKUP(I2160,'Weights and Confidence'!$D$16:$AC$26,15,FALSE)</f>
        <v>0.1</v>
      </c>
      <c r="AC2160" s="156">
        <f>VLOOKUP(I2160,'Weights and Confidence'!$D$16:$AC$26,16,FALSE)</f>
        <v>1</v>
      </c>
    </row>
    <row r="2161" spans="1:29" x14ac:dyDescent="0.2">
      <c r="A2161" s="77" t="s">
        <v>566</v>
      </c>
      <c r="B2161" s="77" t="s">
        <v>88</v>
      </c>
      <c r="C2161" s="77" t="s">
        <v>606</v>
      </c>
      <c r="D2161" s="77" t="s">
        <v>5</v>
      </c>
      <c r="E2161" s="77" t="s">
        <v>465</v>
      </c>
      <c r="F2161" s="91" t="s">
        <v>683</v>
      </c>
      <c r="G2161" s="77">
        <v>9</v>
      </c>
      <c r="H2161" s="77" t="s">
        <v>18</v>
      </c>
      <c r="I2161" s="77" t="s">
        <v>26</v>
      </c>
      <c r="J2161" s="77">
        <v>0</v>
      </c>
      <c r="K2161" s="79">
        <f>AB2161/COUNTIFS($B:$B,$B2161,$C:$C,$C2161,$H:$H,$H2161,$I:$I,$I2161)</f>
        <v>0.1</v>
      </c>
      <c r="L2161" s="81">
        <f t="shared" si="171"/>
        <v>1</v>
      </c>
      <c r="M2161" s="83">
        <f t="shared" si="173"/>
        <v>0</v>
      </c>
      <c r="N2161" s="17"/>
      <c r="AA2161" s="154">
        <f t="shared" si="172"/>
        <v>0.1</v>
      </c>
      <c r="AB2161" s="155">
        <f>VLOOKUP(I2161,'Weights and Confidence'!$D$16:$AC$26,15,FALSE)</f>
        <v>0.1</v>
      </c>
      <c r="AC2161" s="156">
        <f>VLOOKUP(I2161,'Weights and Confidence'!$D$16:$AC$26,16,FALSE)</f>
        <v>1</v>
      </c>
    </row>
    <row r="2162" spans="1:29" ht="17" thickBot="1" x14ac:dyDescent="0.25">
      <c r="A2162" s="76" t="s">
        <v>566</v>
      </c>
      <c r="B2162" s="76" t="s">
        <v>88</v>
      </c>
      <c r="C2162" s="76" t="s">
        <v>606</v>
      </c>
      <c r="D2162" s="76" t="s">
        <v>5</v>
      </c>
      <c r="E2162" s="76" t="s">
        <v>465</v>
      </c>
      <c r="F2162" s="91" t="s">
        <v>683</v>
      </c>
      <c r="G2162" s="76">
        <v>10</v>
      </c>
      <c r="H2162" s="76" t="s">
        <v>17</v>
      </c>
      <c r="I2162" s="76" t="s">
        <v>27</v>
      </c>
      <c r="J2162" s="76">
        <v>1</v>
      </c>
      <c r="K2162" s="78">
        <f>AB2162/COUNTIFS($B:$B,$B2162,$C:$C,$C2162,$H:$H,$H2162,$I:$I,$I2162)</f>
        <v>0.1</v>
      </c>
      <c r="L2162" s="80">
        <f t="shared" si="171"/>
        <v>0.9</v>
      </c>
      <c r="M2162" s="82">
        <f t="shared" si="173"/>
        <v>9.0000000000000011E-2</v>
      </c>
      <c r="N2162" s="59"/>
      <c r="AA2162" s="154">
        <f t="shared" si="172"/>
        <v>0.1</v>
      </c>
      <c r="AB2162" s="155">
        <f>VLOOKUP(I2162,'Weights and Confidence'!$D$16:$AC$26,15,FALSE)</f>
        <v>0.1</v>
      </c>
      <c r="AC2162" s="156">
        <f>VLOOKUP(I2162,'Weights and Confidence'!$D$16:$AC$26,16,FALSE)</f>
        <v>0.9</v>
      </c>
    </row>
    <row r="2163" spans="1:29" ht="17" thickBot="1" x14ac:dyDescent="0.25">
      <c r="A2163" s="77" t="s">
        <v>566</v>
      </c>
      <c r="B2163" s="77" t="s">
        <v>88</v>
      </c>
      <c r="C2163" s="77" t="s">
        <v>606</v>
      </c>
      <c r="D2163" s="77" t="s">
        <v>5</v>
      </c>
      <c r="E2163" s="77" t="s">
        <v>465</v>
      </c>
      <c r="F2163" s="91" t="s">
        <v>683</v>
      </c>
      <c r="G2163" s="77">
        <v>10</v>
      </c>
      <c r="H2163" s="77" t="s">
        <v>18</v>
      </c>
      <c r="I2163" s="77" t="s">
        <v>27</v>
      </c>
      <c r="J2163" s="77">
        <v>1</v>
      </c>
      <c r="K2163" s="79">
        <f>AB2163/COUNTIFS($B:$B,$B2163,$C:$C,$C2163,$H:$H,$H2163,$I:$I,$I2163)</f>
        <v>0.1</v>
      </c>
      <c r="L2163" s="81">
        <f t="shared" si="171"/>
        <v>0.9</v>
      </c>
      <c r="M2163" s="83">
        <f t="shared" si="173"/>
        <v>9.0000000000000011E-2</v>
      </c>
      <c r="N2163" s="161"/>
      <c r="AA2163" s="154">
        <f t="shared" si="172"/>
        <v>0.1</v>
      </c>
      <c r="AB2163" s="155">
        <f>VLOOKUP(I2163,'Weights and Confidence'!$D$16:$AC$26,15,FALSE)</f>
        <v>0.1</v>
      </c>
      <c r="AC2163" s="156">
        <f>VLOOKUP(I2163,'Weights and Confidence'!$D$16:$AC$26,16,FALSE)</f>
        <v>0.9</v>
      </c>
    </row>
    <row r="2164" spans="1:29" x14ac:dyDescent="0.2">
      <c r="A2164" s="76" t="s">
        <v>566</v>
      </c>
      <c r="B2164" s="76" t="s">
        <v>88</v>
      </c>
      <c r="C2164" s="76" t="s">
        <v>606</v>
      </c>
      <c r="D2164" s="76" t="s">
        <v>5</v>
      </c>
      <c r="E2164" s="76" t="s">
        <v>465</v>
      </c>
      <c r="F2164" s="91" t="s">
        <v>683</v>
      </c>
      <c r="G2164" s="76">
        <v>11</v>
      </c>
      <c r="H2164" s="76" t="s">
        <v>17</v>
      </c>
      <c r="I2164" s="76" t="s">
        <v>28</v>
      </c>
      <c r="J2164" s="76">
        <v>1</v>
      </c>
      <c r="K2164" s="78">
        <f>AB2164/COUNTIFS($B:$B,$B2164,$C:$C,$C2164,$H:$H,$H2164,$I:$I,$I2164)</f>
        <v>0.05</v>
      </c>
      <c r="L2164" s="80">
        <f t="shared" si="171"/>
        <v>1</v>
      </c>
      <c r="M2164" s="82">
        <f t="shared" si="173"/>
        <v>0.05</v>
      </c>
      <c r="N2164" s="59"/>
      <c r="AA2164" s="154">
        <f t="shared" si="172"/>
        <v>0.05</v>
      </c>
      <c r="AB2164" s="155">
        <f>VLOOKUP(I2164,'Weights and Confidence'!$D$16:$AC$26,15,FALSE)</f>
        <v>0.05</v>
      </c>
      <c r="AC2164" s="156">
        <f>VLOOKUP(I2164,'Weights and Confidence'!$D$16:$AC$26,16,FALSE)</f>
        <v>1</v>
      </c>
    </row>
    <row r="2165" spans="1:29" ht="17" thickBot="1" x14ac:dyDescent="0.25">
      <c r="A2165" s="77" t="s">
        <v>566</v>
      </c>
      <c r="B2165" s="77" t="s">
        <v>88</v>
      </c>
      <c r="C2165" s="77" t="s">
        <v>606</v>
      </c>
      <c r="D2165" s="77" t="s">
        <v>5</v>
      </c>
      <c r="E2165" s="77" t="s">
        <v>465</v>
      </c>
      <c r="F2165" s="91" t="s">
        <v>683</v>
      </c>
      <c r="G2165" s="77">
        <v>11</v>
      </c>
      <c r="H2165" s="77" t="s">
        <v>18</v>
      </c>
      <c r="I2165" s="77" t="s">
        <v>28</v>
      </c>
      <c r="J2165" s="77">
        <v>0</v>
      </c>
      <c r="K2165" s="79">
        <f>AB2165/COUNTIFS($B:$B,$B2165,$C:$C,$C2165,$H:$H,$H2165,$I:$I,$I2165)</f>
        <v>0.05</v>
      </c>
      <c r="L2165" s="81">
        <f t="shared" si="171"/>
        <v>1</v>
      </c>
      <c r="M2165" s="83">
        <f t="shared" si="173"/>
        <v>0</v>
      </c>
      <c r="N2165" s="17"/>
      <c r="AA2165" s="157">
        <f t="shared" si="172"/>
        <v>0.05</v>
      </c>
      <c r="AB2165" s="158">
        <f>VLOOKUP(I2165,'Weights and Confidence'!$D$16:$AC$26,15,FALSE)</f>
        <v>0.05</v>
      </c>
      <c r="AC2165" s="159">
        <f>VLOOKUP(I2165,'Weights and Confidence'!$D$16:$AC$26,16,FALSE)</f>
        <v>1</v>
      </c>
    </row>
    <row r="2166" spans="1:29" ht="17" thickTop="1" x14ac:dyDescent="0.2">
      <c r="AA2166" s="143"/>
      <c r="AB2166" s="144"/>
      <c r="AC2166" s="145"/>
    </row>
    <row r="2167" spans="1:29" x14ac:dyDescent="0.2">
      <c r="AA2167" s="146"/>
      <c r="AB2167" s="108"/>
      <c r="AC2167" s="147"/>
    </row>
    <row r="2168" spans="1:29" x14ac:dyDescent="0.2">
      <c r="AA2168" s="146"/>
      <c r="AB2168" s="108"/>
      <c r="AC2168" s="147"/>
    </row>
    <row r="2169" spans="1:29" x14ac:dyDescent="0.2">
      <c r="AA2169" s="146"/>
      <c r="AB2169" s="108"/>
      <c r="AC2169" s="147"/>
    </row>
    <row r="2170" spans="1:29" x14ac:dyDescent="0.2">
      <c r="AA2170" s="146"/>
      <c r="AB2170" s="108"/>
      <c r="AC2170" s="147"/>
    </row>
    <row r="2171" spans="1:29" x14ac:dyDescent="0.2">
      <c r="AA2171" s="146"/>
      <c r="AB2171" s="108"/>
      <c r="AC2171" s="147"/>
    </row>
    <row r="2172" spans="1:29" x14ac:dyDescent="0.2">
      <c r="AA2172" s="146"/>
      <c r="AB2172" s="108"/>
      <c r="AC2172" s="147"/>
    </row>
    <row r="2173" spans="1:29" x14ac:dyDescent="0.2">
      <c r="AA2173" s="146"/>
      <c r="AB2173" s="108"/>
      <c r="AC2173" s="147"/>
    </row>
    <row r="2174" spans="1:29" x14ac:dyDescent="0.2">
      <c r="AA2174" s="146"/>
      <c r="AB2174" s="108"/>
      <c r="AC2174" s="147"/>
    </row>
    <row r="2175" spans="1:29" x14ac:dyDescent="0.2">
      <c r="AA2175" s="146"/>
      <c r="AB2175" s="108"/>
      <c r="AC2175" s="147"/>
    </row>
    <row r="2176" spans="1:29" x14ac:dyDescent="0.2">
      <c r="AA2176" s="146"/>
      <c r="AB2176" s="108"/>
      <c r="AC2176" s="147"/>
    </row>
    <row r="2177" spans="27:29" x14ac:dyDescent="0.2">
      <c r="AA2177" s="146"/>
      <c r="AB2177" s="108"/>
      <c r="AC2177" s="147"/>
    </row>
    <row r="2178" spans="27:29" x14ac:dyDescent="0.2">
      <c r="AA2178" s="146"/>
      <c r="AB2178" s="108"/>
      <c r="AC2178" s="147"/>
    </row>
    <row r="2179" spans="27:29" x14ac:dyDescent="0.2">
      <c r="AA2179" s="146"/>
      <c r="AB2179" s="108"/>
      <c r="AC2179" s="147"/>
    </row>
    <row r="2180" spans="27:29" x14ac:dyDescent="0.2">
      <c r="AA2180" s="146"/>
      <c r="AB2180" s="108"/>
      <c r="AC2180" s="147"/>
    </row>
    <row r="2181" spans="27:29" x14ac:dyDescent="0.2">
      <c r="AA2181" s="146"/>
      <c r="AB2181" s="108"/>
      <c r="AC2181" s="147"/>
    </row>
    <row r="2182" spans="27:29" x14ac:dyDescent="0.2">
      <c r="AA2182" s="146"/>
      <c r="AB2182" s="108"/>
      <c r="AC2182" s="147"/>
    </row>
    <row r="2183" spans="27:29" x14ac:dyDescent="0.2">
      <c r="AA2183" s="146"/>
      <c r="AB2183" s="108"/>
      <c r="AC2183" s="147"/>
    </row>
    <row r="2184" spans="27:29" x14ac:dyDescent="0.2">
      <c r="AA2184" s="146"/>
      <c r="AB2184" s="108"/>
      <c r="AC2184" s="147"/>
    </row>
    <row r="2185" spans="27:29" x14ac:dyDescent="0.2">
      <c r="AA2185" s="146"/>
      <c r="AB2185" s="108"/>
      <c r="AC2185" s="147"/>
    </row>
    <row r="2186" spans="27:29" x14ac:dyDescent="0.2">
      <c r="AA2186" s="146"/>
      <c r="AB2186" s="108"/>
      <c r="AC2186" s="147"/>
    </row>
    <row r="2187" spans="27:29" ht="17" thickBot="1" x14ac:dyDescent="0.25">
      <c r="AA2187" s="140"/>
      <c r="AB2187" s="141"/>
      <c r="AC2187" s="142"/>
    </row>
    <row r="2188" spans="27:29" ht="17" thickTop="1" x14ac:dyDescent="0.2">
      <c r="AA2188" s="143"/>
      <c r="AB2188" s="144"/>
      <c r="AC2188" s="145"/>
    </row>
    <row r="2189" spans="27:29" x14ac:dyDescent="0.2">
      <c r="AA2189" s="146"/>
      <c r="AB2189" s="108"/>
      <c r="AC2189" s="147"/>
    </row>
    <row r="2190" spans="27:29" x14ac:dyDescent="0.2">
      <c r="AA2190" s="146"/>
      <c r="AB2190" s="108"/>
      <c r="AC2190" s="147"/>
    </row>
    <row r="2191" spans="27:29" x14ac:dyDescent="0.2">
      <c r="AA2191" s="146"/>
      <c r="AB2191" s="108"/>
      <c r="AC2191" s="147"/>
    </row>
    <row r="2192" spans="27:29" x14ac:dyDescent="0.2">
      <c r="AA2192" s="146"/>
      <c r="AB2192" s="108"/>
      <c r="AC2192" s="147"/>
    </row>
    <row r="2193" spans="27:29" x14ac:dyDescent="0.2">
      <c r="AA2193" s="146"/>
      <c r="AB2193" s="108"/>
      <c r="AC2193" s="147"/>
    </row>
    <row r="2194" spans="27:29" x14ac:dyDescent="0.2">
      <c r="AA2194" s="146"/>
      <c r="AB2194" s="108"/>
      <c r="AC2194" s="147"/>
    </row>
    <row r="2195" spans="27:29" x14ac:dyDescent="0.2">
      <c r="AA2195" s="146"/>
      <c r="AB2195" s="108"/>
      <c r="AC2195" s="147"/>
    </row>
    <row r="2196" spans="27:29" x14ac:dyDescent="0.2">
      <c r="AA2196" s="146"/>
      <c r="AB2196" s="108"/>
      <c r="AC2196" s="147"/>
    </row>
    <row r="2197" spans="27:29" x14ac:dyDescent="0.2">
      <c r="AA2197" s="146"/>
      <c r="AB2197" s="108"/>
      <c r="AC2197" s="147"/>
    </row>
    <row r="2198" spans="27:29" x14ac:dyDescent="0.2">
      <c r="AA2198" s="146"/>
      <c r="AB2198" s="108"/>
      <c r="AC2198" s="147"/>
    </row>
    <row r="2199" spans="27:29" x14ac:dyDescent="0.2">
      <c r="AA2199" s="146"/>
      <c r="AB2199" s="108"/>
      <c r="AC2199" s="147"/>
    </row>
    <row r="2200" spans="27:29" x14ac:dyDescent="0.2">
      <c r="AA2200" s="146"/>
      <c r="AB2200" s="108"/>
      <c r="AC2200" s="147"/>
    </row>
    <row r="2201" spans="27:29" x14ac:dyDescent="0.2">
      <c r="AA2201" s="146"/>
      <c r="AB2201" s="108"/>
      <c r="AC2201" s="147"/>
    </row>
    <row r="2202" spans="27:29" x14ac:dyDescent="0.2">
      <c r="AA2202" s="146"/>
      <c r="AB2202" s="108"/>
      <c r="AC2202" s="147"/>
    </row>
    <row r="2203" spans="27:29" x14ac:dyDescent="0.2">
      <c r="AA2203" s="146"/>
      <c r="AB2203" s="108"/>
      <c r="AC2203" s="147"/>
    </row>
    <row r="2204" spans="27:29" x14ac:dyDescent="0.2">
      <c r="AA2204" s="146"/>
      <c r="AB2204" s="108"/>
      <c r="AC2204" s="147"/>
    </row>
    <row r="2205" spans="27:29" x14ac:dyDescent="0.2">
      <c r="AA2205" s="146"/>
      <c r="AB2205" s="108"/>
      <c r="AC2205" s="147"/>
    </row>
    <row r="2206" spans="27:29" x14ac:dyDescent="0.2">
      <c r="AA2206" s="146"/>
      <c r="AB2206" s="108"/>
      <c r="AC2206" s="147"/>
    </row>
    <row r="2207" spans="27:29" x14ac:dyDescent="0.2">
      <c r="AA2207" s="146"/>
      <c r="AB2207" s="108"/>
      <c r="AC2207" s="147"/>
    </row>
    <row r="2208" spans="27:29" x14ac:dyDescent="0.2">
      <c r="AA2208" s="146"/>
      <c r="AB2208" s="108"/>
      <c r="AC2208" s="147"/>
    </row>
    <row r="2209" spans="27:29" ht="17" thickBot="1" x14ac:dyDescent="0.25">
      <c r="AA2209" s="140"/>
      <c r="AB2209" s="141"/>
      <c r="AC2209" s="142"/>
    </row>
    <row r="2210" spans="27:29" ht="17" thickTop="1" x14ac:dyDescent="0.2">
      <c r="AA2210" s="143"/>
      <c r="AB2210" s="144"/>
      <c r="AC2210" s="145"/>
    </row>
    <row r="2211" spans="27:29" x14ac:dyDescent="0.2">
      <c r="AA2211" s="146"/>
      <c r="AB2211" s="108"/>
      <c r="AC2211" s="147"/>
    </row>
    <row r="2212" spans="27:29" x14ac:dyDescent="0.2">
      <c r="AA2212" s="146"/>
      <c r="AB2212" s="108"/>
      <c r="AC2212" s="147"/>
    </row>
    <row r="2213" spans="27:29" x14ac:dyDescent="0.2">
      <c r="AA2213" s="146"/>
      <c r="AB2213" s="108"/>
      <c r="AC2213" s="147"/>
    </row>
    <row r="2214" spans="27:29" x14ac:dyDescent="0.2">
      <c r="AA2214" s="146"/>
      <c r="AB2214" s="108"/>
      <c r="AC2214" s="147"/>
    </row>
    <row r="2215" spans="27:29" x14ac:dyDescent="0.2">
      <c r="AA2215" s="146"/>
      <c r="AB2215" s="108"/>
      <c r="AC2215" s="147"/>
    </row>
    <row r="2216" spans="27:29" x14ac:dyDescent="0.2">
      <c r="AA2216" s="146"/>
      <c r="AB2216" s="108"/>
      <c r="AC2216" s="147"/>
    </row>
    <row r="2217" spans="27:29" x14ac:dyDescent="0.2">
      <c r="AA2217" s="146"/>
      <c r="AB2217" s="108"/>
      <c r="AC2217" s="147"/>
    </row>
    <row r="2218" spans="27:29" x14ac:dyDescent="0.2">
      <c r="AA2218" s="146"/>
      <c r="AB2218" s="108"/>
      <c r="AC2218" s="147"/>
    </row>
    <row r="2219" spans="27:29" x14ac:dyDescent="0.2">
      <c r="AA2219" s="146"/>
      <c r="AB2219" s="108"/>
      <c r="AC2219" s="147"/>
    </row>
    <row r="2220" spans="27:29" x14ac:dyDescent="0.2">
      <c r="AA2220" s="146"/>
      <c r="AB2220" s="108"/>
      <c r="AC2220" s="147"/>
    </row>
    <row r="2221" spans="27:29" x14ac:dyDescent="0.2">
      <c r="AA2221" s="146"/>
      <c r="AB2221" s="108"/>
      <c r="AC2221" s="147"/>
    </row>
    <row r="2222" spans="27:29" x14ac:dyDescent="0.2">
      <c r="AA2222" s="146"/>
      <c r="AB2222" s="108"/>
      <c r="AC2222" s="147"/>
    </row>
    <row r="2223" spans="27:29" x14ac:dyDescent="0.2">
      <c r="AA2223" s="146"/>
      <c r="AB2223" s="108"/>
      <c r="AC2223" s="147"/>
    </row>
    <row r="2224" spans="27:29" x14ac:dyDescent="0.2">
      <c r="AA2224" s="146"/>
      <c r="AB2224" s="108"/>
      <c r="AC2224" s="147"/>
    </row>
    <row r="2225" spans="27:29" x14ac:dyDescent="0.2">
      <c r="AA2225" s="146"/>
      <c r="AB2225" s="108"/>
      <c r="AC2225" s="147"/>
    </row>
    <row r="2226" spans="27:29" x14ac:dyDescent="0.2">
      <c r="AA2226" s="146"/>
      <c r="AB2226" s="108"/>
      <c r="AC2226" s="147"/>
    </row>
    <row r="2227" spans="27:29" x14ac:dyDescent="0.2">
      <c r="AA2227" s="146"/>
      <c r="AB2227" s="108"/>
      <c r="AC2227" s="147"/>
    </row>
    <row r="2228" spans="27:29" x14ac:dyDescent="0.2">
      <c r="AA2228" s="146"/>
      <c r="AB2228" s="108"/>
      <c r="AC2228" s="147"/>
    </row>
    <row r="2229" spans="27:29" x14ac:dyDescent="0.2">
      <c r="AA2229" s="146"/>
      <c r="AB2229" s="108"/>
      <c r="AC2229" s="147"/>
    </row>
    <row r="2230" spans="27:29" x14ac:dyDescent="0.2">
      <c r="AA2230" s="146"/>
      <c r="AB2230" s="108"/>
      <c r="AC2230" s="147"/>
    </row>
    <row r="2231" spans="27:29" ht="17" thickBot="1" x14ac:dyDescent="0.25">
      <c r="AA2231" s="140"/>
      <c r="AB2231" s="141"/>
      <c r="AC2231" s="142"/>
    </row>
    <row r="2232" spans="27:29" ht="17" thickTop="1" x14ac:dyDescent="0.2">
      <c r="AA2232" s="143"/>
      <c r="AB2232" s="144"/>
      <c r="AC2232" s="145"/>
    </row>
    <row r="2233" spans="27:29" x14ac:dyDescent="0.2">
      <c r="AA2233" s="146"/>
      <c r="AB2233" s="108"/>
      <c r="AC2233" s="147"/>
    </row>
    <row r="2234" spans="27:29" x14ac:dyDescent="0.2">
      <c r="AA2234" s="146"/>
      <c r="AB2234" s="108"/>
      <c r="AC2234" s="147"/>
    </row>
    <row r="2235" spans="27:29" x14ac:dyDescent="0.2">
      <c r="AA2235" s="146"/>
      <c r="AB2235" s="108"/>
      <c r="AC2235" s="147"/>
    </row>
    <row r="2236" spans="27:29" x14ac:dyDescent="0.2">
      <c r="AA2236" s="146"/>
      <c r="AB2236" s="108"/>
      <c r="AC2236" s="147"/>
    </row>
    <row r="2237" spans="27:29" x14ac:dyDescent="0.2">
      <c r="AA2237" s="146"/>
      <c r="AB2237" s="108"/>
      <c r="AC2237" s="147"/>
    </row>
    <row r="2238" spans="27:29" x14ac:dyDescent="0.2">
      <c r="AA2238" s="146"/>
      <c r="AB2238" s="108"/>
      <c r="AC2238" s="147"/>
    </row>
    <row r="2239" spans="27:29" x14ac:dyDescent="0.2">
      <c r="AA2239" s="146"/>
      <c r="AB2239" s="108"/>
      <c r="AC2239" s="147"/>
    </row>
    <row r="2240" spans="27:29" x14ac:dyDescent="0.2">
      <c r="AA2240" s="146"/>
      <c r="AB2240" s="108"/>
      <c r="AC2240" s="147"/>
    </row>
    <row r="2241" spans="27:29" x14ac:dyDescent="0.2">
      <c r="AA2241" s="146"/>
      <c r="AB2241" s="108"/>
      <c r="AC2241" s="147"/>
    </row>
    <row r="2242" spans="27:29" x14ac:dyDescent="0.2">
      <c r="AA2242" s="146"/>
      <c r="AB2242" s="108"/>
      <c r="AC2242" s="147"/>
    </row>
    <row r="2243" spans="27:29" x14ac:dyDescent="0.2">
      <c r="AA2243" s="146"/>
      <c r="AB2243" s="108"/>
      <c r="AC2243" s="147"/>
    </row>
    <row r="2244" spans="27:29" x14ac:dyDescent="0.2">
      <c r="AA2244" s="146"/>
      <c r="AB2244" s="108"/>
      <c r="AC2244" s="147"/>
    </row>
    <row r="2245" spans="27:29" x14ac:dyDescent="0.2">
      <c r="AA2245" s="146"/>
      <c r="AB2245" s="108"/>
      <c r="AC2245" s="147"/>
    </row>
    <row r="2246" spans="27:29" x14ac:dyDescent="0.2">
      <c r="AA2246" s="146"/>
      <c r="AB2246" s="108"/>
      <c r="AC2246" s="147"/>
    </row>
    <row r="2247" spans="27:29" x14ac:dyDescent="0.2">
      <c r="AA2247" s="146"/>
      <c r="AB2247" s="108"/>
      <c r="AC2247" s="147"/>
    </row>
    <row r="2248" spans="27:29" x14ac:dyDescent="0.2">
      <c r="AA2248" s="146"/>
      <c r="AB2248" s="108"/>
      <c r="AC2248" s="147"/>
    </row>
    <row r="2249" spans="27:29" x14ac:dyDescent="0.2">
      <c r="AA2249" s="146"/>
      <c r="AB2249" s="108"/>
      <c r="AC2249" s="147"/>
    </row>
    <row r="2250" spans="27:29" x14ac:dyDescent="0.2">
      <c r="AA2250" s="146"/>
      <c r="AB2250" s="108"/>
      <c r="AC2250" s="147"/>
    </row>
    <row r="2251" spans="27:29" x14ac:dyDescent="0.2">
      <c r="AA2251" s="146"/>
      <c r="AB2251" s="108"/>
      <c r="AC2251" s="147"/>
    </row>
    <row r="2252" spans="27:29" x14ac:dyDescent="0.2">
      <c r="AA2252" s="146"/>
      <c r="AB2252" s="108"/>
      <c r="AC2252" s="147"/>
    </row>
    <row r="2253" spans="27:29" ht="17" thickBot="1" x14ac:dyDescent="0.25">
      <c r="AA2253" s="140"/>
      <c r="AB2253" s="141"/>
      <c r="AC2253" s="142"/>
    </row>
    <row r="2254" spans="27:29" ht="17" thickTop="1" x14ac:dyDescent="0.2">
      <c r="AA2254" s="143"/>
      <c r="AB2254" s="144"/>
      <c r="AC2254" s="145"/>
    </row>
    <row r="2255" spans="27:29" x14ac:dyDescent="0.2">
      <c r="AA2255" s="146"/>
      <c r="AB2255" s="108"/>
      <c r="AC2255" s="147"/>
    </row>
    <row r="2256" spans="27:29" x14ac:dyDescent="0.2">
      <c r="AA2256" s="146"/>
      <c r="AB2256" s="108"/>
      <c r="AC2256" s="147"/>
    </row>
    <row r="2257" spans="27:29" x14ac:dyDescent="0.2">
      <c r="AA2257" s="146"/>
      <c r="AB2257" s="108"/>
      <c r="AC2257" s="147"/>
    </row>
    <row r="2258" spans="27:29" x14ac:dyDescent="0.2">
      <c r="AA2258" s="146"/>
      <c r="AB2258" s="108"/>
      <c r="AC2258" s="147"/>
    </row>
    <row r="2259" spans="27:29" x14ac:dyDescent="0.2">
      <c r="AA2259" s="146"/>
      <c r="AB2259" s="108"/>
      <c r="AC2259" s="147"/>
    </row>
    <row r="2260" spans="27:29" x14ac:dyDescent="0.2">
      <c r="AA2260" s="146"/>
      <c r="AB2260" s="108"/>
      <c r="AC2260" s="147"/>
    </row>
    <row r="2261" spans="27:29" x14ac:dyDescent="0.2">
      <c r="AA2261" s="146"/>
      <c r="AB2261" s="108"/>
      <c r="AC2261" s="147"/>
    </row>
    <row r="2262" spans="27:29" x14ac:dyDescent="0.2">
      <c r="AA2262" s="146"/>
      <c r="AB2262" s="108"/>
      <c r="AC2262" s="147"/>
    </row>
    <row r="2263" spans="27:29" x14ac:dyDescent="0.2">
      <c r="AA2263" s="146"/>
      <c r="AB2263" s="108"/>
      <c r="AC2263" s="147"/>
    </row>
    <row r="2264" spans="27:29" x14ac:dyDescent="0.2">
      <c r="AA2264" s="146"/>
      <c r="AB2264" s="108"/>
      <c r="AC2264" s="147"/>
    </row>
    <row r="2265" spans="27:29" x14ac:dyDescent="0.2">
      <c r="AA2265" s="146"/>
      <c r="AB2265" s="108"/>
      <c r="AC2265" s="147"/>
    </row>
    <row r="2266" spans="27:29" x14ac:dyDescent="0.2">
      <c r="AA2266" s="146"/>
      <c r="AB2266" s="108"/>
      <c r="AC2266" s="147"/>
    </row>
    <row r="2267" spans="27:29" x14ac:dyDescent="0.2">
      <c r="AA2267" s="146"/>
      <c r="AB2267" s="108"/>
      <c r="AC2267" s="147"/>
    </row>
    <row r="2268" spans="27:29" x14ac:dyDescent="0.2">
      <c r="AA2268" s="146"/>
      <c r="AB2268" s="108"/>
      <c r="AC2268" s="147"/>
    </row>
    <row r="2269" spans="27:29" x14ac:dyDescent="0.2">
      <c r="AA2269" s="146"/>
      <c r="AB2269" s="108"/>
      <c r="AC2269" s="147"/>
    </row>
    <row r="2270" spans="27:29" x14ac:dyDescent="0.2">
      <c r="AA2270" s="146"/>
      <c r="AB2270" s="108"/>
      <c r="AC2270" s="147"/>
    </row>
    <row r="2271" spans="27:29" x14ac:dyDescent="0.2">
      <c r="AA2271" s="146"/>
      <c r="AB2271" s="108"/>
      <c r="AC2271" s="147"/>
    </row>
    <row r="2272" spans="27:29" x14ac:dyDescent="0.2">
      <c r="AA2272" s="146"/>
      <c r="AB2272" s="108"/>
      <c r="AC2272" s="147"/>
    </row>
    <row r="2273" spans="27:29" x14ac:dyDescent="0.2">
      <c r="AA2273" s="146"/>
      <c r="AB2273" s="108"/>
      <c r="AC2273" s="147"/>
    </row>
    <row r="2274" spans="27:29" x14ac:dyDescent="0.2">
      <c r="AA2274" s="146"/>
      <c r="AB2274" s="108"/>
      <c r="AC2274" s="147"/>
    </row>
    <row r="2275" spans="27:29" ht="17" thickBot="1" x14ac:dyDescent="0.25">
      <c r="AA2275" s="140"/>
      <c r="AB2275" s="141"/>
      <c r="AC2275" s="142"/>
    </row>
    <row r="2276" spans="27:29" ht="17" thickTop="1" x14ac:dyDescent="0.2">
      <c r="AA2276" s="143"/>
      <c r="AB2276" s="144"/>
      <c r="AC2276" s="145"/>
    </row>
    <row r="2277" spans="27:29" x14ac:dyDescent="0.2">
      <c r="AA2277" s="146"/>
      <c r="AB2277" s="108"/>
      <c r="AC2277" s="147"/>
    </row>
    <row r="2278" spans="27:29" x14ac:dyDescent="0.2">
      <c r="AA2278" s="146"/>
      <c r="AB2278" s="108"/>
      <c r="AC2278" s="147"/>
    </row>
    <row r="2279" spans="27:29" x14ac:dyDescent="0.2">
      <c r="AA2279" s="146"/>
      <c r="AB2279" s="108"/>
      <c r="AC2279" s="147"/>
    </row>
    <row r="2280" spans="27:29" x14ac:dyDescent="0.2">
      <c r="AA2280" s="146"/>
      <c r="AB2280" s="108"/>
      <c r="AC2280" s="147"/>
    </row>
    <row r="2281" spans="27:29" x14ac:dyDescent="0.2">
      <c r="AA2281" s="146"/>
      <c r="AB2281" s="108"/>
      <c r="AC2281" s="147"/>
    </row>
    <row r="2282" spans="27:29" x14ac:dyDescent="0.2">
      <c r="AA2282" s="146"/>
      <c r="AB2282" s="108"/>
      <c r="AC2282" s="147"/>
    </row>
    <row r="2283" spans="27:29" x14ac:dyDescent="0.2">
      <c r="AA2283" s="146"/>
      <c r="AB2283" s="108"/>
      <c r="AC2283" s="147"/>
    </row>
    <row r="2284" spans="27:29" x14ac:dyDescent="0.2">
      <c r="AA2284" s="146"/>
      <c r="AB2284" s="108"/>
      <c r="AC2284" s="147"/>
    </row>
    <row r="2285" spans="27:29" x14ac:dyDescent="0.2">
      <c r="AA2285" s="146"/>
      <c r="AB2285" s="108"/>
      <c r="AC2285" s="147"/>
    </row>
    <row r="2286" spans="27:29" x14ac:dyDescent="0.2">
      <c r="AA2286" s="146"/>
      <c r="AB2286" s="108"/>
      <c r="AC2286" s="147"/>
    </row>
    <row r="2287" spans="27:29" x14ac:dyDescent="0.2">
      <c r="AA2287" s="146"/>
      <c r="AB2287" s="108"/>
      <c r="AC2287" s="147"/>
    </row>
    <row r="2288" spans="27:29" x14ac:dyDescent="0.2">
      <c r="AA2288" s="146"/>
      <c r="AB2288" s="108"/>
      <c r="AC2288" s="147"/>
    </row>
    <row r="2289" spans="27:29" x14ac:dyDescent="0.2">
      <c r="AA2289" s="146"/>
      <c r="AB2289" s="108"/>
      <c r="AC2289" s="147"/>
    </row>
    <row r="2290" spans="27:29" x14ac:dyDescent="0.2">
      <c r="AA2290" s="146"/>
      <c r="AB2290" s="108"/>
      <c r="AC2290" s="147"/>
    </row>
    <row r="2291" spans="27:29" x14ac:dyDescent="0.2">
      <c r="AA2291" s="146"/>
      <c r="AB2291" s="108"/>
      <c r="AC2291" s="147"/>
    </row>
    <row r="2292" spans="27:29" x14ac:dyDescent="0.2">
      <c r="AA2292" s="146"/>
      <c r="AB2292" s="108"/>
      <c r="AC2292" s="147"/>
    </row>
    <row r="2293" spans="27:29" x14ac:dyDescent="0.2">
      <c r="AA2293" s="146"/>
      <c r="AB2293" s="108"/>
      <c r="AC2293" s="147"/>
    </row>
    <row r="2294" spans="27:29" x14ac:dyDescent="0.2">
      <c r="AA2294" s="146"/>
      <c r="AB2294" s="108"/>
      <c r="AC2294" s="147"/>
    </row>
    <row r="2295" spans="27:29" x14ac:dyDescent="0.2">
      <c r="AA2295" s="146"/>
      <c r="AB2295" s="108"/>
      <c r="AC2295" s="147"/>
    </row>
    <row r="2296" spans="27:29" x14ac:dyDescent="0.2">
      <c r="AA2296" s="146"/>
      <c r="AB2296" s="108"/>
      <c r="AC2296" s="147"/>
    </row>
    <row r="2297" spans="27:29" ht="17" thickBot="1" x14ac:dyDescent="0.25">
      <c r="AA2297" s="148"/>
      <c r="AB2297" s="112"/>
      <c r="AC2297" s="149"/>
    </row>
    <row r="2298" spans="27:29" x14ac:dyDescent="0.2">
      <c r="AA2298" s="146"/>
      <c r="AB2298" s="108"/>
      <c r="AC2298" s="147"/>
    </row>
    <row r="2299" spans="27:29" x14ac:dyDescent="0.2">
      <c r="AA2299" s="146"/>
      <c r="AB2299" s="108"/>
      <c r="AC2299" s="147"/>
    </row>
    <row r="2300" spans="27:29" x14ac:dyDescent="0.2">
      <c r="AA2300" s="146"/>
      <c r="AB2300" s="108"/>
      <c r="AC2300" s="147"/>
    </row>
    <row r="2301" spans="27:29" x14ac:dyDescent="0.2">
      <c r="AA2301" s="146"/>
      <c r="AB2301" s="108"/>
      <c r="AC2301" s="147"/>
    </row>
    <row r="2302" spans="27:29" x14ac:dyDescent="0.2">
      <c r="AA2302" s="146"/>
      <c r="AB2302" s="108"/>
      <c r="AC2302" s="147"/>
    </row>
    <row r="2303" spans="27:29" x14ac:dyDescent="0.2">
      <c r="AA2303" s="146"/>
      <c r="AB2303" s="108"/>
      <c r="AC2303" s="147"/>
    </row>
    <row r="2304" spans="27:29" x14ac:dyDescent="0.2">
      <c r="AA2304" s="146"/>
      <c r="AB2304" s="108"/>
      <c r="AC2304" s="147"/>
    </row>
    <row r="2305" spans="27:29" x14ac:dyDescent="0.2">
      <c r="AA2305" s="146"/>
      <c r="AB2305" s="108"/>
      <c r="AC2305" s="147"/>
    </row>
    <row r="2306" spans="27:29" x14ac:dyDescent="0.2">
      <c r="AA2306" s="146"/>
      <c r="AB2306" s="108"/>
      <c r="AC2306" s="147"/>
    </row>
    <row r="2307" spans="27:29" x14ac:dyDescent="0.2">
      <c r="AA2307" s="146"/>
      <c r="AB2307" s="108"/>
      <c r="AC2307" s="147"/>
    </row>
    <row r="2308" spans="27:29" x14ac:dyDescent="0.2">
      <c r="AA2308" s="146"/>
      <c r="AB2308" s="108"/>
      <c r="AC2308" s="147"/>
    </row>
    <row r="2309" spans="27:29" x14ac:dyDescent="0.2">
      <c r="AA2309" s="146"/>
      <c r="AB2309" s="108"/>
      <c r="AC2309" s="147"/>
    </row>
    <row r="2310" spans="27:29" x14ac:dyDescent="0.2">
      <c r="AA2310" s="146"/>
      <c r="AB2310" s="108"/>
      <c r="AC2310" s="147"/>
    </row>
    <row r="2311" spans="27:29" x14ac:dyDescent="0.2">
      <c r="AA2311" s="146"/>
      <c r="AB2311" s="108"/>
      <c r="AC2311" s="147"/>
    </row>
    <row r="2312" spans="27:29" x14ac:dyDescent="0.2">
      <c r="AA2312" s="146"/>
      <c r="AB2312" s="108"/>
      <c r="AC2312" s="147"/>
    </row>
    <row r="2313" spans="27:29" x14ac:dyDescent="0.2">
      <c r="AA2313" s="146"/>
      <c r="AB2313" s="108"/>
      <c r="AC2313" s="147"/>
    </row>
    <row r="2314" spans="27:29" x14ac:dyDescent="0.2">
      <c r="AA2314" s="146"/>
      <c r="AB2314" s="108"/>
      <c r="AC2314" s="147"/>
    </row>
    <row r="2315" spans="27:29" x14ac:dyDescent="0.2">
      <c r="AA2315" s="146"/>
      <c r="AB2315" s="108"/>
      <c r="AC2315" s="147"/>
    </row>
    <row r="2316" spans="27:29" x14ac:dyDescent="0.2">
      <c r="AA2316" s="146"/>
      <c r="AB2316" s="108"/>
      <c r="AC2316" s="147"/>
    </row>
    <row r="2317" spans="27:29" x14ac:dyDescent="0.2">
      <c r="AA2317" s="146"/>
      <c r="AB2317" s="108"/>
      <c r="AC2317" s="147"/>
    </row>
    <row r="2318" spans="27:29" x14ac:dyDescent="0.2">
      <c r="AA2318" s="146"/>
      <c r="AB2318" s="108"/>
      <c r="AC2318" s="147"/>
    </row>
    <row r="2319" spans="27:29" ht="17" thickBot="1" x14ac:dyDescent="0.25">
      <c r="AA2319" s="140"/>
      <c r="AB2319" s="141"/>
      <c r="AC2319" s="142"/>
    </row>
    <row r="2320" spans="27:29" ht="17" thickTop="1" x14ac:dyDescent="0.2">
      <c r="AA2320" s="146"/>
      <c r="AB2320" s="108"/>
      <c r="AC2320" s="147"/>
    </row>
    <row r="2321" spans="27:29" x14ac:dyDescent="0.2">
      <c r="AA2321" s="146"/>
      <c r="AB2321" s="108"/>
      <c r="AC2321" s="147"/>
    </row>
    <row r="2322" spans="27:29" x14ac:dyDescent="0.2">
      <c r="AA2322" s="146"/>
      <c r="AB2322" s="108"/>
      <c r="AC2322" s="147"/>
    </row>
    <row r="2323" spans="27:29" x14ac:dyDescent="0.2">
      <c r="AA2323" s="146"/>
      <c r="AB2323" s="108"/>
      <c r="AC2323" s="147"/>
    </row>
    <row r="2324" spans="27:29" x14ac:dyDescent="0.2">
      <c r="AA2324" s="146"/>
      <c r="AB2324" s="108"/>
      <c r="AC2324" s="147"/>
    </row>
    <row r="2325" spans="27:29" x14ac:dyDescent="0.2">
      <c r="AA2325" s="146"/>
      <c r="AB2325" s="108"/>
      <c r="AC2325" s="147"/>
    </row>
    <row r="2326" spans="27:29" x14ac:dyDescent="0.2">
      <c r="AA2326" s="146"/>
      <c r="AB2326" s="108"/>
      <c r="AC2326" s="147"/>
    </row>
    <row r="2327" spans="27:29" x14ac:dyDescent="0.2">
      <c r="AA2327" s="146"/>
      <c r="AB2327" s="108"/>
      <c r="AC2327" s="147"/>
    </row>
    <row r="2328" spans="27:29" x14ac:dyDescent="0.2">
      <c r="AA2328" s="146"/>
      <c r="AB2328" s="108"/>
      <c r="AC2328" s="147"/>
    </row>
    <row r="2329" spans="27:29" x14ac:dyDescent="0.2">
      <c r="AA2329" s="146"/>
      <c r="AB2329" s="108"/>
      <c r="AC2329" s="147"/>
    </row>
    <row r="2330" spans="27:29" x14ac:dyDescent="0.2">
      <c r="AA2330" s="146"/>
      <c r="AB2330" s="108"/>
      <c r="AC2330" s="147"/>
    </row>
    <row r="2331" spans="27:29" x14ac:dyDescent="0.2">
      <c r="AA2331" s="146"/>
      <c r="AB2331" s="108"/>
      <c r="AC2331" s="147"/>
    </row>
    <row r="2332" spans="27:29" x14ac:dyDescent="0.2">
      <c r="AA2332" s="146"/>
      <c r="AB2332" s="108"/>
      <c r="AC2332" s="147"/>
    </row>
    <row r="2333" spans="27:29" x14ac:dyDescent="0.2">
      <c r="AA2333" s="146"/>
      <c r="AB2333" s="108"/>
      <c r="AC2333" s="147"/>
    </row>
    <row r="2334" spans="27:29" x14ac:dyDescent="0.2">
      <c r="AA2334" s="146"/>
      <c r="AB2334" s="108"/>
      <c r="AC2334" s="147"/>
    </row>
    <row r="2335" spans="27:29" x14ac:dyDescent="0.2">
      <c r="AA2335" s="146"/>
      <c r="AB2335" s="108"/>
      <c r="AC2335" s="147"/>
    </row>
    <row r="2336" spans="27:29" x14ac:dyDescent="0.2">
      <c r="AA2336" s="146"/>
      <c r="AB2336" s="108"/>
      <c r="AC2336" s="147"/>
    </row>
    <row r="2337" spans="27:29" x14ac:dyDescent="0.2">
      <c r="AA2337" s="146"/>
      <c r="AB2337" s="108"/>
      <c r="AC2337" s="147"/>
    </row>
    <row r="2338" spans="27:29" x14ac:dyDescent="0.2">
      <c r="AA2338" s="146"/>
      <c r="AB2338" s="108"/>
      <c r="AC2338" s="147"/>
    </row>
    <row r="2339" spans="27:29" x14ac:dyDescent="0.2">
      <c r="AA2339" s="146"/>
      <c r="AB2339" s="108"/>
      <c r="AC2339" s="147"/>
    </row>
    <row r="2340" spans="27:29" x14ac:dyDescent="0.2">
      <c r="AA2340" s="146"/>
      <c r="AB2340" s="108"/>
      <c r="AC2340" s="147"/>
    </row>
    <row r="2341" spans="27:29" ht="17" thickBot="1" x14ac:dyDescent="0.25">
      <c r="AA2341" s="140"/>
      <c r="AB2341" s="141"/>
      <c r="AC2341" s="142"/>
    </row>
    <row r="2342" spans="27:29" ht="17" thickTop="1" x14ac:dyDescent="0.2">
      <c r="AA2342" s="146"/>
      <c r="AB2342" s="108"/>
      <c r="AC2342" s="147"/>
    </row>
    <row r="2343" spans="27:29" x14ac:dyDescent="0.2">
      <c r="AA2343" s="146"/>
      <c r="AB2343" s="108"/>
      <c r="AC2343" s="147"/>
    </row>
    <row r="2344" spans="27:29" x14ac:dyDescent="0.2">
      <c r="AA2344" s="146"/>
      <c r="AB2344" s="108"/>
      <c r="AC2344" s="147"/>
    </row>
    <row r="2345" spans="27:29" x14ac:dyDescent="0.2">
      <c r="AA2345" s="146"/>
      <c r="AB2345" s="108"/>
      <c r="AC2345" s="147"/>
    </row>
    <row r="2346" spans="27:29" x14ac:dyDescent="0.2">
      <c r="AA2346" s="146"/>
      <c r="AB2346" s="108"/>
      <c r="AC2346" s="147"/>
    </row>
    <row r="2347" spans="27:29" x14ac:dyDescent="0.2">
      <c r="AA2347" s="146"/>
      <c r="AB2347" s="108"/>
      <c r="AC2347" s="147"/>
    </row>
    <row r="2348" spans="27:29" x14ac:dyDescent="0.2">
      <c r="AA2348" s="146"/>
      <c r="AB2348" s="108"/>
      <c r="AC2348" s="147"/>
    </row>
    <row r="2349" spans="27:29" x14ac:dyDescent="0.2">
      <c r="AA2349" s="146"/>
      <c r="AB2349" s="108"/>
      <c r="AC2349" s="147"/>
    </row>
    <row r="2350" spans="27:29" x14ac:dyDescent="0.2">
      <c r="AA2350" s="146"/>
      <c r="AB2350" s="108"/>
      <c r="AC2350" s="147"/>
    </row>
    <row r="2351" spans="27:29" x14ac:dyDescent="0.2">
      <c r="AA2351" s="146"/>
      <c r="AB2351" s="108"/>
      <c r="AC2351" s="147"/>
    </row>
    <row r="2352" spans="27:29" x14ac:dyDescent="0.2">
      <c r="AA2352" s="146"/>
      <c r="AB2352" s="108"/>
      <c r="AC2352" s="147"/>
    </row>
    <row r="2353" spans="27:29" x14ac:dyDescent="0.2">
      <c r="AA2353" s="146"/>
      <c r="AB2353" s="108"/>
      <c r="AC2353" s="147"/>
    </row>
    <row r="2354" spans="27:29" x14ac:dyDescent="0.2">
      <c r="AA2354" s="146"/>
      <c r="AB2354" s="108"/>
      <c r="AC2354" s="147"/>
    </row>
    <row r="2355" spans="27:29" x14ac:dyDescent="0.2">
      <c r="AA2355" s="146"/>
      <c r="AB2355" s="108"/>
      <c r="AC2355" s="147"/>
    </row>
    <row r="2356" spans="27:29" x14ac:dyDescent="0.2">
      <c r="AA2356" s="146"/>
      <c r="AB2356" s="108"/>
      <c r="AC2356" s="147"/>
    </row>
    <row r="2357" spans="27:29" x14ac:dyDescent="0.2">
      <c r="AA2357" s="146"/>
      <c r="AB2357" s="108"/>
      <c r="AC2357" s="147"/>
    </row>
    <row r="2358" spans="27:29" x14ac:dyDescent="0.2">
      <c r="AA2358" s="146"/>
      <c r="AB2358" s="108"/>
      <c r="AC2358" s="147"/>
    </row>
    <row r="2359" spans="27:29" x14ac:dyDescent="0.2">
      <c r="AA2359" s="146"/>
      <c r="AB2359" s="108"/>
      <c r="AC2359" s="147"/>
    </row>
    <row r="2360" spans="27:29" x14ac:dyDescent="0.2">
      <c r="AA2360" s="146"/>
      <c r="AB2360" s="108"/>
      <c r="AC2360" s="147"/>
    </row>
    <row r="2361" spans="27:29" x14ac:dyDescent="0.2">
      <c r="AA2361" s="146"/>
      <c r="AB2361" s="108"/>
      <c r="AC2361" s="147"/>
    </row>
    <row r="2362" spans="27:29" x14ac:dyDescent="0.2">
      <c r="AA2362" s="146"/>
      <c r="AB2362" s="108"/>
      <c r="AC2362" s="147"/>
    </row>
    <row r="2363" spans="27:29" ht="17" thickBot="1" x14ac:dyDescent="0.25">
      <c r="AA2363" s="140"/>
      <c r="AB2363" s="141"/>
      <c r="AC2363" s="142"/>
    </row>
    <row r="2364" spans="27:29" ht="17" thickTop="1" x14ac:dyDescent="0.2">
      <c r="AA2364" s="146"/>
      <c r="AB2364" s="108"/>
      <c r="AC2364" s="147"/>
    </row>
    <row r="2365" spans="27:29" x14ac:dyDescent="0.2">
      <c r="AA2365" s="146"/>
      <c r="AB2365" s="108"/>
      <c r="AC2365" s="147"/>
    </row>
    <row r="2366" spans="27:29" x14ac:dyDescent="0.2">
      <c r="AA2366" s="146"/>
      <c r="AB2366" s="108"/>
      <c r="AC2366" s="147"/>
    </row>
    <row r="2367" spans="27:29" x14ac:dyDescent="0.2">
      <c r="AA2367" s="146"/>
      <c r="AB2367" s="108"/>
      <c r="AC2367" s="147"/>
    </row>
    <row r="2368" spans="27:29" x14ac:dyDescent="0.2">
      <c r="AA2368" s="146"/>
      <c r="AB2368" s="108"/>
      <c r="AC2368" s="147"/>
    </row>
    <row r="2369" spans="27:29" x14ac:dyDescent="0.2">
      <c r="AA2369" s="146"/>
      <c r="AB2369" s="108"/>
      <c r="AC2369" s="147"/>
    </row>
    <row r="2370" spans="27:29" x14ac:dyDescent="0.2">
      <c r="AA2370" s="146"/>
      <c r="AB2370" s="108"/>
      <c r="AC2370" s="147"/>
    </row>
    <row r="2371" spans="27:29" x14ac:dyDescent="0.2">
      <c r="AA2371" s="146"/>
      <c r="AB2371" s="108"/>
      <c r="AC2371" s="147"/>
    </row>
    <row r="2372" spans="27:29" x14ac:dyDescent="0.2">
      <c r="AA2372" s="146"/>
      <c r="AB2372" s="108"/>
      <c r="AC2372" s="147"/>
    </row>
    <row r="2373" spans="27:29" x14ac:dyDescent="0.2">
      <c r="AA2373" s="146"/>
      <c r="AB2373" s="108"/>
      <c r="AC2373" s="147"/>
    </row>
    <row r="2374" spans="27:29" x14ac:dyDescent="0.2">
      <c r="AA2374" s="146"/>
      <c r="AB2374" s="108"/>
      <c r="AC2374" s="147"/>
    </row>
    <row r="2375" spans="27:29" x14ac:dyDescent="0.2">
      <c r="AA2375" s="146"/>
      <c r="AB2375" s="108"/>
      <c r="AC2375" s="147"/>
    </row>
    <row r="2376" spans="27:29" x14ac:dyDescent="0.2">
      <c r="AA2376" s="146"/>
      <c r="AB2376" s="108"/>
      <c r="AC2376" s="147"/>
    </row>
    <row r="2377" spans="27:29" x14ac:dyDescent="0.2">
      <c r="AA2377" s="146"/>
      <c r="AB2377" s="108"/>
      <c r="AC2377" s="147"/>
    </row>
    <row r="2378" spans="27:29" x14ac:dyDescent="0.2">
      <c r="AA2378" s="146"/>
      <c r="AB2378" s="108"/>
      <c r="AC2378" s="147"/>
    </row>
    <row r="2379" spans="27:29" x14ac:dyDescent="0.2">
      <c r="AA2379" s="146"/>
      <c r="AB2379" s="108"/>
      <c r="AC2379" s="147"/>
    </row>
    <row r="2380" spans="27:29" x14ac:dyDescent="0.2">
      <c r="AA2380" s="146"/>
      <c r="AB2380" s="108"/>
      <c r="AC2380" s="147"/>
    </row>
    <row r="2381" spans="27:29" x14ac:dyDescent="0.2">
      <c r="AA2381" s="146"/>
      <c r="AB2381" s="108"/>
      <c r="AC2381" s="147"/>
    </row>
    <row r="2382" spans="27:29" x14ac:dyDescent="0.2">
      <c r="AA2382" s="146"/>
      <c r="AB2382" s="108"/>
      <c r="AC2382" s="147"/>
    </row>
    <row r="2383" spans="27:29" x14ac:dyDescent="0.2">
      <c r="AA2383" s="146"/>
      <c r="AB2383" s="108"/>
      <c r="AC2383" s="147"/>
    </row>
    <row r="2384" spans="27:29" x14ac:dyDescent="0.2">
      <c r="AA2384" s="146"/>
      <c r="AB2384" s="108"/>
      <c r="AC2384" s="147"/>
    </row>
    <row r="2385" spans="27:29" ht="17" thickBot="1" x14ac:dyDescent="0.25">
      <c r="AA2385" s="140"/>
      <c r="AB2385" s="141"/>
      <c r="AC2385" s="142"/>
    </row>
    <row r="2386" spans="27:29" ht="17" thickTop="1" x14ac:dyDescent="0.2">
      <c r="AA2386" s="146"/>
      <c r="AB2386" s="108"/>
      <c r="AC2386" s="147"/>
    </row>
    <row r="2387" spans="27:29" x14ac:dyDescent="0.2">
      <c r="AA2387" s="146"/>
      <c r="AB2387" s="108"/>
      <c r="AC2387" s="147"/>
    </row>
    <row r="2388" spans="27:29" x14ac:dyDescent="0.2">
      <c r="AA2388" s="146"/>
      <c r="AB2388" s="108"/>
      <c r="AC2388" s="147"/>
    </row>
    <row r="2389" spans="27:29" x14ac:dyDescent="0.2">
      <c r="AA2389" s="146"/>
      <c r="AB2389" s="108"/>
      <c r="AC2389" s="147"/>
    </row>
    <row r="2390" spans="27:29" x14ac:dyDescent="0.2">
      <c r="AA2390" s="146"/>
      <c r="AB2390" s="108"/>
      <c r="AC2390" s="147"/>
    </row>
    <row r="2391" spans="27:29" x14ac:dyDescent="0.2">
      <c r="AA2391" s="146"/>
      <c r="AB2391" s="108"/>
      <c r="AC2391" s="147"/>
    </row>
    <row r="2392" spans="27:29" x14ac:dyDescent="0.2">
      <c r="AA2392" s="146"/>
      <c r="AB2392" s="108"/>
      <c r="AC2392" s="147"/>
    </row>
    <row r="2393" spans="27:29" x14ac:dyDescent="0.2">
      <c r="AA2393" s="146"/>
      <c r="AB2393" s="108"/>
      <c r="AC2393" s="147"/>
    </row>
    <row r="2394" spans="27:29" x14ac:dyDescent="0.2">
      <c r="AA2394" s="146"/>
      <c r="AB2394" s="108"/>
      <c r="AC2394" s="147"/>
    </row>
    <row r="2395" spans="27:29" x14ac:dyDescent="0.2">
      <c r="AA2395" s="146"/>
      <c r="AB2395" s="108"/>
      <c r="AC2395" s="147"/>
    </row>
    <row r="2396" spans="27:29" x14ac:dyDescent="0.2">
      <c r="AA2396" s="146"/>
      <c r="AB2396" s="108"/>
      <c r="AC2396" s="147"/>
    </row>
    <row r="2397" spans="27:29" x14ac:dyDescent="0.2">
      <c r="AA2397" s="146"/>
      <c r="AB2397" s="108"/>
      <c r="AC2397" s="147"/>
    </row>
    <row r="2398" spans="27:29" x14ac:dyDescent="0.2">
      <c r="AA2398" s="146"/>
      <c r="AB2398" s="108"/>
      <c r="AC2398" s="147"/>
    </row>
    <row r="2399" spans="27:29" x14ac:dyDescent="0.2">
      <c r="AA2399" s="146"/>
      <c r="AB2399" s="108"/>
      <c r="AC2399" s="147"/>
    </row>
    <row r="2400" spans="27:29" x14ac:dyDescent="0.2">
      <c r="AA2400" s="146"/>
      <c r="AB2400" s="108"/>
      <c r="AC2400" s="147"/>
    </row>
    <row r="2401" spans="27:29" x14ac:dyDescent="0.2">
      <c r="AA2401" s="146"/>
      <c r="AB2401" s="108"/>
      <c r="AC2401" s="147"/>
    </row>
    <row r="2402" spans="27:29" x14ac:dyDescent="0.2">
      <c r="AA2402" s="146"/>
      <c r="AB2402" s="108"/>
      <c r="AC2402" s="147"/>
    </row>
    <row r="2403" spans="27:29" x14ac:dyDescent="0.2">
      <c r="AA2403" s="146"/>
      <c r="AB2403" s="108"/>
      <c r="AC2403" s="147"/>
    </row>
    <row r="2404" spans="27:29" x14ac:dyDescent="0.2">
      <c r="AA2404" s="146"/>
      <c r="AB2404" s="108"/>
      <c r="AC2404" s="147"/>
    </row>
    <row r="2405" spans="27:29" x14ac:dyDescent="0.2">
      <c r="AA2405" s="146"/>
      <c r="AB2405" s="108"/>
      <c r="AC2405" s="147"/>
    </row>
    <row r="2406" spans="27:29" x14ac:dyDescent="0.2">
      <c r="AA2406" s="146"/>
      <c r="AB2406" s="108"/>
      <c r="AC2406" s="147"/>
    </row>
    <row r="2407" spans="27:29" ht="17" thickBot="1" x14ac:dyDescent="0.25">
      <c r="AA2407" s="140"/>
      <c r="AB2407" s="141"/>
      <c r="AC2407" s="142"/>
    </row>
    <row r="2408" spans="27:29" ht="17" thickTop="1" x14ac:dyDescent="0.2">
      <c r="AA2408" s="146"/>
      <c r="AB2408" s="108"/>
      <c r="AC2408" s="147"/>
    </row>
    <row r="2409" spans="27:29" x14ac:dyDescent="0.2">
      <c r="AA2409" s="146"/>
      <c r="AB2409" s="108"/>
      <c r="AC2409" s="147"/>
    </row>
    <row r="2410" spans="27:29" x14ac:dyDescent="0.2">
      <c r="AA2410" s="146"/>
      <c r="AB2410" s="108"/>
      <c r="AC2410" s="147"/>
    </row>
    <row r="2411" spans="27:29" x14ac:dyDescent="0.2">
      <c r="AA2411" s="146"/>
      <c r="AB2411" s="108"/>
      <c r="AC2411" s="147"/>
    </row>
    <row r="2412" spans="27:29" x14ac:dyDescent="0.2">
      <c r="AA2412" s="146"/>
      <c r="AB2412" s="108"/>
      <c r="AC2412" s="147"/>
    </row>
    <row r="2413" spans="27:29" x14ac:dyDescent="0.2">
      <c r="AA2413" s="146"/>
      <c r="AB2413" s="108"/>
      <c r="AC2413" s="147"/>
    </row>
    <row r="2414" spans="27:29" x14ac:dyDescent="0.2">
      <c r="AA2414" s="146"/>
      <c r="AB2414" s="108"/>
      <c r="AC2414" s="147"/>
    </row>
    <row r="2415" spans="27:29" x14ac:dyDescent="0.2">
      <c r="AA2415" s="146"/>
      <c r="AB2415" s="108"/>
      <c r="AC2415" s="147"/>
    </row>
    <row r="2416" spans="27:29" x14ac:dyDescent="0.2">
      <c r="AA2416" s="146"/>
      <c r="AB2416" s="108"/>
      <c r="AC2416" s="147"/>
    </row>
    <row r="2417" spans="27:29" x14ac:dyDescent="0.2">
      <c r="AA2417" s="146"/>
      <c r="AB2417" s="108"/>
      <c r="AC2417" s="147"/>
    </row>
    <row r="2418" spans="27:29" x14ac:dyDescent="0.2">
      <c r="AA2418" s="146"/>
      <c r="AB2418" s="108"/>
      <c r="AC2418" s="147"/>
    </row>
    <row r="2419" spans="27:29" x14ac:dyDescent="0.2">
      <c r="AA2419" s="146"/>
      <c r="AB2419" s="108"/>
      <c r="AC2419" s="147"/>
    </row>
    <row r="2420" spans="27:29" x14ac:dyDescent="0.2">
      <c r="AA2420" s="146"/>
      <c r="AB2420" s="108"/>
      <c r="AC2420" s="147"/>
    </row>
    <row r="2421" spans="27:29" x14ac:dyDescent="0.2">
      <c r="AA2421" s="146"/>
      <c r="AB2421" s="108"/>
      <c r="AC2421" s="147"/>
    </row>
    <row r="2422" spans="27:29" x14ac:dyDescent="0.2">
      <c r="AA2422" s="146"/>
      <c r="AB2422" s="108"/>
      <c r="AC2422" s="147"/>
    </row>
    <row r="2423" spans="27:29" x14ac:dyDescent="0.2">
      <c r="AA2423" s="146"/>
      <c r="AB2423" s="108"/>
      <c r="AC2423" s="147"/>
    </row>
    <row r="2424" spans="27:29" x14ac:dyDescent="0.2">
      <c r="AA2424" s="146"/>
      <c r="AB2424" s="108"/>
      <c r="AC2424" s="147"/>
    </row>
    <row r="2425" spans="27:29" x14ac:dyDescent="0.2">
      <c r="AA2425" s="146"/>
      <c r="AB2425" s="108"/>
      <c r="AC2425" s="147"/>
    </row>
    <row r="2426" spans="27:29" x14ac:dyDescent="0.2">
      <c r="AA2426" s="146"/>
      <c r="AB2426" s="108"/>
      <c r="AC2426" s="147"/>
    </row>
    <row r="2427" spans="27:29" x14ac:dyDescent="0.2">
      <c r="AA2427" s="146"/>
      <c r="AB2427" s="108"/>
      <c r="AC2427" s="147"/>
    </row>
    <row r="2428" spans="27:29" x14ac:dyDescent="0.2">
      <c r="AA2428" s="146"/>
      <c r="AB2428" s="108"/>
      <c r="AC2428" s="147"/>
    </row>
    <row r="2429" spans="27:29" ht="17" thickBot="1" x14ac:dyDescent="0.25">
      <c r="AA2429" s="140"/>
      <c r="AB2429" s="141"/>
      <c r="AC2429" s="142"/>
    </row>
    <row r="2430" spans="27:29" ht="17" thickTop="1" x14ac:dyDescent="0.2">
      <c r="AA2430" s="146"/>
      <c r="AB2430" s="108"/>
      <c r="AC2430" s="147"/>
    </row>
    <row r="2431" spans="27:29" x14ac:dyDescent="0.2">
      <c r="AA2431" s="146"/>
      <c r="AB2431" s="108"/>
      <c r="AC2431" s="147"/>
    </row>
    <row r="2432" spans="27:29" x14ac:dyDescent="0.2">
      <c r="AA2432" s="146"/>
      <c r="AB2432" s="108"/>
      <c r="AC2432" s="147"/>
    </row>
    <row r="2433" spans="27:29" x14ac:dyDescent="0.2">
      <c r="AA2433" s="146"/>
      <c r="AB2433" s="108"/>
      <c r="AC2433" s="147"/>
    </row>
    <row r="2434" spans="27:29" x14ac:dyDescent="0.2">
      <c r="AA2434" s="146"/>
      <c r="AB2434" s="108"/>
      <c r="AC2434" s="147"/>
    </row>
    <row r="2435" spans="27:29" x14ac:dyDescent="0.2">
      <c r="AA2435" s="146"/>
      <c r="AB2435" s="108"/>
      <c r="AC2435" s="147"/>
    </row>
    <row r="2436" spans="27:29" x14ac:dyDescent="0.2">
      <c r="AA2436" s="146"/>
      <c r="AB2436" s="108"/>
      <c r="AC2436" s="147"/>
    </row>
    <row r="2437" spans="27:29" x14ac:dyDescent="0.2">
      <c r="AA2437" s="146"/>
      <c r="AB2437" s="108"/>
      <c r="AC2437" s="147"/>
    </row>
    <row r="2438" spans="27:29" x14ac:dyDescent="0.2">
      <c r="AA2438" s="146"/>
      <c r="AB2438" s="108"/>
      <c r="AC2438" s="147"/>
    </row>
    <row r="2439" spans="27:29" x14ac:dyDescent="0.2">
      <c r="AA2439" s="146"/>
      <c r="AB2439" s="108"/>
      <c r="AC2439" s="147"/>
    </row>
    <row r="2440" spans="27:29" x14ac:dyDescent="0.2">
      <c r="AA2440" s="146"/>
      <c r="AB2440" s="108"/>
      <c r="AC2440" s="147"/>
    </row>
    <row r="2441" spans="27:29" x14ac:dyDescent="0.2">
      <c r="AA2441" s="146"/>
      <c r="AB2441" s="108"/>
      <c r="AC2441" s="147"/>
    </row>
    <row r="2442" spans="27:29" x14ac:dyDescent="0.2">
      <c r="AA2442" s="146"/>
      <c r="AB2442" s="108"/>
      <c r="AC2442" s="147"/>
    </row>
    <row r="2443" spans="27:29" x14ac:dyDescent="0.2">
      <c r="AA2443" s="146"/>
      <c r="AB2443" s="108"/>
      <c r="AC2443" s="147"/>
    </row>
    <row r="2444" spans="27:29" x14ac:dyDescent="0.2">
      <c r="AA2444" s="146"/>
      <c r="AB2444" s="108"/>
      <c r="AC2444" s="147"/>
    </row>
    <row r="2445" spans="27:29" x14ac:dyDescent="0.2">
      <c r="AA2445" s="146"/>
      <c r="AB2445" s="108"/>
      <c r="AC2445" s="147"/>
    </row>
    <row r="2446" spans="27:29" x14ac:dyDescent="0.2">
      <c r="AA2446" s="146"/>
      <c r="AB2446" s="108"/>
      <c r="AC2446" s="147"/>
    </row>
    <row r="2447" spans="27:29" x14ac:dyDescent="0.2">
      <c r="AA2447" s="146"/>
      <c r="AB2447" s="108"/>
      <c r="AC2447" s="147"/>
    </row>
    <row r="2448" spans="27:29" x14ac:dyDescent="0.2">
      <c r="AA2448" s="146"/>
      <c r="AB2448" s="108"/>
      <c r="AC2448" s="147"/>
    </row>
    <row r="2449" spans="27:29" x14ac:dyDescent="0.2">
      <c r="AA2449" s="146"/>
      <c r="AB2449" s="108"/>
      <c r="AC2449" s="147"/>
    </row>
    <row r="2450" spans="27:29" x14ac:dyDescent="0.2">
      <c r="AA2450" s="146"/>
      <c r="AB2450" s="108"/>
      <c r="AC2450" s="147"/>
    </row>
    <row r="2451" spans="27:29" ht="17" thickBot="1" x14ac:dyDescent="0.25">
      <c r="AA2451" s="140"/>
      <c r="AB2451" s="141"/>
      <c r="AC2451" s="142"/>
    </row>
    <row r="2452" spans="27:29" ht="17" thickTop="1" x14ac:dyDescent="0.2">
      <c r="AA2452" s="146"/>
      <c r="AB2452" s="108"/>
      <c r="AC2452" s="147"/>
    </row>
    <row r="2453" spans="27:29" x14ac:dyDescent="0.2">
      <c r="AA2453" s="146"/>
      <c r="AB2453" s="108"/>
      <c r="AC2453" s="147"/>
    </row>
    <row r="2454" spans="27:29" x14ac:dyDescent="0.2">
      <c r="AA2454" s="146"/>
      <c r="AB2454" s="108"/>
      <c r="AC2454" s="147"/>
    </row>
    <row r="2455" spans="27:29" x14ac:dyDescent="0.2">
      <c r="AA2455" s="146"/>
      <c r="AB2455" s="108"/>
      <c r="AC2455" s="147"/>
    </row>
    <row r="2456" spans="27:29" x14ac:dyDescent="0.2">
      <c r="AA2456" s="146"/>
      <c r="AB2456" s="108"/>
      <c r="AC2456" s="147"/>
    </row>
    <row r="2457" spans="27:29" x14ac:dyDescent="0.2">
      <c r="AA2457" s="146"/>
      <c r="AB2457" s="108"/>
      <c r="AC2457" s="147"/>
    </row>
    <row r="2458" spans="27:29" x14ac:dyDescent="0.2">
      <c r="AA2458" s="146"/>
      <c r="AB2458" s="108"/>
      <c r="AC2458" s="147"/>
    </row>
    <row r="2459" spans="27:29" x14ac:dyDescent="0.2">
      <c r="AA2459" s="146"/>
      <c r="AB2459" s="108"/>
      <c r="AC2459" s="147"/>
    </row>
    <row r="2460" spans="27:29" x14ac:dyDescent="0.2">
      <c r="AA2460" s="146"/>
      <c r="AB2460" s="108"/>
      <c r="AC2460" s="147"/>
    </row>
    <row r="2461" spans="27:29" x14ac:dyDescent="0.2">
      <c r="AA2461" s="146"/>
      <c r="AB2461" s="108"/>
      <c r="AC2461" s="147"/>
    </row>
    <row r="2462" spans="27:29" x14ac:dyDescent="0.2">
      <c r="AA2462" s="146"/>
      <c r="AB2462" s="108"/>
      <c r="AC2462" s="147"/>
    </row>
    <row r="2463" spans="27:29" x14ac:dyDescent="0.2">
      <c r="AA2463" s="146"/>
      <c r="AB2463" s="108"/>
      <c r="AC2463" s="147"/>
    </row>
    <row r="2464" spans="27:29" x14ac:dyDescent="0.2">
      <c r="AA2464" s="146"/>
      <c r="AB2464" s="108"/>
      <c r="AC2464" s="147"/>
    </row>
    <row r="2465" spans="27:29" x14ac:dyDescent="0.2">
      <c r="AA2465" s="146"/>
      <c r="AB2465" s="108"/>
      <c r="AC2465" s="147"/>
    </row>
    <row r="2466" spans="27:29" x14ac:dyDescent="0.2">
      <c r="AA2466" s="146"/>
      <c r="AB2466" s="108"/>
      <c r="AC2466" s="147"/>
    </row>
    <row r="2467" spans="27:29" x14ac:dyDescent="0.2">
      <c r="AA2467" s="146"/>
      <c r="AB2467" s="108"/>
      <c r="AC2467" s="147"/>
    </row>
    <row r="2468" spans="27:29" x14ac:dyDescent="0.2">
      <c r="AA2468" s="146"/>
      <c r="AB2468" s="108"/>
      <c r="AC2468" s="147"/>
    </row>
    <row r="2469" spans="27:29" x14ac:dyDescent="0.2">
      <c r="AA2469" s="146"/>
      <c r="AB2469" s="108"/>
      <c r="AC2469" s="147"/>
    </row>
    <row r="2470" spans="27:29" x14ac:dyDescent="0.2">
      <c r="AA2470" s="146"/>
      <c r="AB2470" s="108"/>
      <c r="AC2470" s="147"/>
    </row>
    <row r="2471" spans="27:29" x14ac:dyDescent="0.2">
      <c r="AA2471" s="146"/>
      <c r="AB2471" s="108"/>
      <c r="AC2471" s="147"/>
    </row>
    <row r="2472" spans="27:29" x14ac:dyDescent="0.2">
      <c r="AA2472" s="146"/>
      <c r="AB2472" s="108"/>
      <c r="AC2472" s="147"/>
    </row>
    <row r="2473" spans="27:29" ht="17" thickBot="1" x14ac:dyDescent="0.25">
      <c r="AA2473" s="140"/>
      <c r="AB2473" s="141"/>
      <c r="AC2473" s="142"/>
    </row>
    <row r="2474" spans="27:29" ht="17" thickTop="1" x14ac:dyDescent="0.2">
      <c r="AA2474" s="146"/>
      <c r="AB2474" s="108"/>
      <c r="AC2474" s="147"/>
    </row>
    <row r="2475" spans="27:29" x14ac:dyDescent="0.2">
      <c r="AA2475" s="146"/>
      <c r="AB2475" s="108"/>
      <c r="AC2475" s="147"/>
    </row>
    <row r="2476" spans="27:29" x14ac:dyDescent="0.2">
      <c r="AA2476" s="146"/>
      <c r="AB2476" s="108"/>
      <c r="AC2476" s="147"/>
    </row>
    <row r="2477" spans="27:29" x14ac:dyDescent="0.2">
      <c r="AA2477" s="146"/>
      <c r="AB2477" s="108"/>
      <c r="AC2477" s="147"/>
    </row>
    <row r="2478" spans="27:29" x14ac:dyDescent="0.2">
      <c r="AA2478" s="146"/>
      <c r="AB2478" s="108"/>
      <c r="AC2478" s="147"/>
    </row>
    <row r="2479" spans="27:29" x14ac:dyDescent="0.2">
      <c r="AA2479" s="146"/>
      <c r="AB2479" s="108"/>
      <c r="AC2479" s="147"/>
    </row>
    <row r="2480" spans="27:29" x14ac:dyDescent="0.2">
      <c r="AA2480" s="146"/>
      <c r="AB2480" s="108"/>
      <c r="AC2480" s="147"/>
    </row>
    <row r="2481" spans="27:29" x14ac:dyDescent="0.2">
      <c r="AA2481" s="146"/>
      <c r="AB2481" s="108"/>
      <c r="AC2481" s="147"/>
    </row>
    <row r="2482" spans="27:29" x14ac:dyDescent="0.2">
      <c r="AA2482" s="146"/>
      <c r="AB2482" s="108"/>
      <c r="AC2482" s="147"/>
    </row>
    <row r="2483" spans="27:29" x14ac:dyDescent="0.2">
      <c r="AA2483" s="146"/>
      <c r="AB2483" s="108"/>
      <c r="AC2483" s="147"/>
    </row>
    <row r="2484" spans="27:29" x14ac:dyDescent="0.2">
      <c r="AA2484" s="146"/>
      <c r="AB2484" s="108"/>
      <c r="AC2484" s="147"/>
    </row>
    <row r="2485" spans="27:29" x14ac:dyDescent="0.2">
      <c r="AA2485" s="146"/>
      <c r="AB2485" s="108"/>
      <c r="AC2485" s="147"/>
    </row>
    <row r="2486" spans="27:29" x14ac:dyDescent="0.2">
      <c r="AA2486" s="146"/>
      <c r="AB2486" s="108"/>
      <c r="AC2486" s="147"/>
    </row>
    <row r="2487" spans="27:29" x14ac:dyDescent="0.2">
      <c r="AA2487" s="146"/>
      <c r="AB2487" s="108"/>
      <c r="AC2487" s="147"/>
    </row>
    <row r="2488" spans="27:29" x14ac:dyDescent="0.2">
      <c r="AA2488" s="146"/>
      <c r="AB2488" s="108"/>
      <c r="AC2488" s="147"/>
    </row>
    <row r="2489" spans="27:29" x14ac:dyDescent="0.2">
      <c r="AA2489" s="146"/>
      <c r="AB2489" s="108"/>
      <c r="AC2489" s="147"/>
    </row>
    <row r="2490" spans="27:29" x14ac:dyDescent="0.2">
      <c r="AA2490" s="146"/>
      <c r="AB2490" s="108"/>
      <c r="AC2490" s="147"/>
    </row>
    <row r="2491" spans="27:29" x14ac:dyDescent="0.2">
      <c r="AA2491" s="146"/>
      <c r="AB2491" s="108"/>
      <c r="AC2491" s="147"/>
    </row>
    <row r="2492" spans="27:29" x14ac:dyDescent="0.2">
      <c r="AA2492" s="146"/>
      <c r="AB2492" s="108"/>
      <c r="AC2492" s="147"/>
    </row>
    <row r="2493" spans="27:29" x14ac:dyDescent="0.2">
      <c r="AA2493" s="146"/>
      <c r="AB2493" s="108"/>
      <c r="AC2493" s="147"/>
    </row>
    <row r="2494" spans="27:29" x14ac:dyDescent="0.2">
      <c r="AA2494" s="146"/>
      <c r="AB2494" s="108"/>
      <c r="AC2494" s="147"/>
    </row>
    <row r="2495" spans="27:29" ht="17" thickBot="1" x14ac:dyDescent="0.25">
      <c r="AA2495" s="140"/>
      <c r="AB2495" s="141"/>
      <c r="AC2495" s="142"/>
    </row>
    <row r="2496" spans="27:29" ht="17" thickTop="1" x14ac:dyDescent="0.2">
      <c r="AA2496" s="146"/>
      <c r="AB2496" s="108"/>
      <c r="AC2496" s="147"/>
    </row>
    <row r="2497" spans="27:29" x14ac:dyDescent="0.2">
      <c r="AA2497" s="146"/>
      <c r="AB2497" s="108"/>
      <c r="AC2497" s="147"/>
    </row>
    <row r="2498" spans="27:29" x14ac:dyDescent="0.2">
      <c r="AA2498" s="146"/>
      <c r="AB2498" s="108"/>
      <c r="AC2498" s="147"/>
    </row>
    <row r="2499" spans="27:29" x14ac:dyDescent="0.2">
      <c r="AA2499" s="146"/>
      <c r="AB2499" s="108"/>
      <c r="AC2499" s="147"/>
    </row>
    <row r="2500" spans="27:29" x14ac:dyDescent="0.2">
      <c r="AA2500" s="146"/>
      <c r="AB2500" s="108"/>
      <c r="AC2500" s="147"/>
    </row>
    <row r="2501" spans="27:29" x14ac:dyDescent="0.2">
      <c r="AA2501" s="146"/>
      <c r="AB2501" s="108"/>
      <c r="AC2501" s="147"/>
    </row>
    <row r="2502" spans="27:29" x14ac:dyDescent="0.2">
      <c r="AA2502" s="146"/>
      <c r="AB2502" s="108"/>
      <c r="AC2502" s="147"/>
    </row>
    <row r="2503" spans="27:29" x14ac:dyDescent="0.2">
      <c r="AA2503" s="146"/>
      <c r="AB2503" s="108"/>
      <c r="AC2503" s="147"/>
    </row>
    <row r="2504" spans="27:29" x14ac:dyDescent="0.2">
      <c r="AA2504" s="146"/>
      <c r="AB2504" s="108"/>
      <c r="AC2504" s="147"/>
    </row>
    <row r="2505" spans="27:29" x14ac:dyDescent="0.2">
      <c r="AA2505" s="146"/>
      <c r="AB2505" s="108"/>
      <c r="AC2505" s="147"/>
    </row>
    <row r="2506" spans="27:29" x14ac:dyDescent="0.2">
      <c r="AA2506" s="146"/>
      <c r="AB2506" s="108"/>
      <c r="AC2506" s="147"/>
    </row>
    <row r="2507" spans="27:29" x14ac:dyDescent="0.2">
      <c r="AA2507" s="146"/>
      <c r="AB2507" s="108"/>
      <c r="AC2507" s="147"/>
    </row>
    <row r="2508" spans="27:29" x14ac:dyDescent="0.2">
      <c r="AA2508" s="146"/>
      <c r="AB2508" s="108"/>
      <c r="AC2508" s="147"/>
    </row>
    <row r="2509" spans="27:29" x14ac:dyDescent="0.2">
      <c r="AA2509" s="146"/>
      <c r="AB2509" s="108"/>
      <c r="AC2509" s="147"/>
    </row>
    <row r="2510" spans="27:29" x14ac:dyDescent="0.2">
      <c r="AA2510" s="146"/>
      <c r="AB2510" s="108"/>
      <c r="AC2510" s="147"/>
    </row>
    <row r="2511" spans="27:29" x14ac:dyDescent="0.2">
      <c r="AA2511" s="146"/>
      <c r="AB2511" s="108"/>
      <c r="AC2511" s="147"/>
    </row>
    <row r="2512" spans="27:29" x14ac:dyDescent="0.2">
      <c r="AA2512" s="146"/>
      <c r="AB2512" s="108"/>
      <c r="AC2512" s="147"/>
    </row>
    <row r="2513" spans="27:29" x14ac:dyDescent="0.2">
      <c r="AA2513" s="146"/>
      <c r="AB2513" s="108"/>
      <c r="AC2513" s="147"/>
    </row>
    <row r="2514" spans="27:29" x14ac:dyDescent="0.2">
      <c r="AA2514" s="146"/>
      <c r="AB2514" s="108"/>
      <c r="AC2514" s="147"/>
    </row>
    <row r="2515" spans="27:29" x14ac:dyDescent="0.2">
      <c r="AA2515" s="146"/>
      <c r="AB2515" s="108"/>
      <c r="AC2515" s="147"/>
    </row>
    <row r="2516" spans="27:29" x14ac:dyDescent="0.2">
      <c r="AA2516" s="146"/>
      <c r="AB2516" s="108"/>
      <c r="AC2516" s="147"/>
    </row>
    <row r="2517" spans="27:29" ht="17" thickBot="1" x14ac:dyDescent="0.25">
      <c r="AA2517" s="140"/>
      <c r="AB2517" s="141"/>
      <c r="AC2517" s="142"/>
    </row>
    <row r="2518" spans="27:29" ht="17" thickTop="1" x14ac:dyDescent="0.2">
      <c r="AA2518" s="146"/>
      <c r="AB2518" s="108"/>
      <c r="AC2518" s="147"/>
    </row>
    <row r="2519" spans="27:29" x14ac:dyDescent="0.2">
      <c r="AA2519" s="146"/>
      <c r="AB2519" s="108"/>
      <c r="AC2519" s="147"/>
    </row>
    <row r="2520" spans="27:29" x14ac:dyDescent="0.2">
      <c r="AA2520" s="146"/>
      <c r="AB2520" s="108"/>
      <c r="AC2520" s="147"/>
    </row>
    <row r="2521" spans="27:29" x14ac:dyDescent="0.2">
      <c r="AA2521" s="146"/>
      <c r="AB2521" s="108"/>
      <c r="AC2521" s="147"/>
    </row>
    <row r="2522" spans="27:29" x14ac:dyDescent="0.2">
      <c r="AA2522" s="146"/>
      <c r="AB2522" s="108"/>
      <c r="AC2522" s="147"/>
    </row>
    <row r="2523" spans="27:29" x14ac:dyDescent="0.2">
      <c r="AA2523" s="146"/>
      <c r="AB2523" s="108"/>
      <c r="AC2523" s="147"/>
    </row>
    <row r="2524" spans="27:29" x14ac:dyDescent="0.2">
      <c r="AA2524" s="146"/>
      <c r="AB2524" s="108"/>
      <c r="AC2524" s="147"/>
    </row>
    <row r="2525" spans="27:29" x14ac:dyDescent="0.2">
      <c r="AA2525" s="146"/>
      <c r="AB2525" s="108"/>
      <c r="AC2525" s="147"/>
    </row>
    <row r="2526" spans="27:29" x14ac:dyDescent="0.2">
      <c r="AA2526" s="146"/>
      <c r="AB2526" s="108"/>
      <c r="AC2526" s="147"/>
    </row>
    <row r="2527" spans="27:29" x14ac:dyDescent="0.2">
      <c r="AA2527" s="146"/>
      <c r="AB2527" s="108"/>
      <c r="AC2527" s="147"/>
    </row>
    <row r="2528" spans="27:29" x14ac:dyDescent="0.2">
      <c r="AA2528" s="146"/>
      <c r="AB2528" s="108"/>
      <c r="AC2528" s="147"/>
    </row>
    <row r="2529" spans="27:29" x14ac:dyDescent="0.2">
      <c r="AA2529" s="146"/>
      <c r="AB2529" s="108"/>
      <c r="AC2529" s="147"/>
    </row>
    <row r="2530" spans="27:29" x14ac:dyDescent="0.2">
      <c r="AA2530" s="146"/>
      <c r="AB2530" s="108"/>
      <c r="AC2530" s="147"/>
    </row>
    <row r="2531" spans="27:29" x14ac:dyDescent="0.2">
      <c r="AA2531" s="146"/>
      <c r="AB2531" s="108"/>
      <c r="AC2531" s="147"/>
    </row>
    <row r="2532" spans="27:29" x14ac:dyDescent="0.2">
      <c r="AA2532" s="146"/>
      <c r="AB2532" s="108"/>
      <c r="AC2532" s="147"/>
    </row>
    <row r="2533" spans="27:29" x14ac:dyDescent="0.2">
      <c r="AA2533" s="146"/>
      <c r="AB2533" s="108"/>
      <c r="AC2533" s="147"/>
    </row>
    <row r="2534" spans="27:29" x14ac:dyDescent="0.2">
      <c r="AA2534" s="146"/>
      <c r="AB2534" s="108"/>
      <c r="AC2534" s="147"/>
    </row>
    <row r="2535" spans="27:29" x14ac:dyDescent="0.2">
      <c r="AA2535" s="146"/>
      <c r="AB2535" s="108"/>
      <c r="AC2535" s="147"/>
    </row>
    <row r="2536" spans="27:29" x14ac:dyDescent="0.2">
      <c r="AA2536" s="146"/>
      <c r="AB2536" s="108"/>
      <c r="AC2536" s="147"/>
    </row>
    <row r="2537" spans="27:29" x14ac:dyDescent="0.2">
      <c r="AA2537" s="146"/>
      <c r="AB2537" s="108"/>
      <c r="AC2537" s="147"/>
    </row>
    <row r="2538" spans="27:29" x14ac:dyDescent="0.2">
      <c r="AA2538" s="146"/>
      <c r="AB2538" s="108"/>
      <c r="AC2538" s="147"/>
    </row>
    <row r="2539" spans="27:29" ht="17" thickBot="1" x14ac:dyDescent="0.25">
      <c r="AA2539" s="140"/>
      <c r="AB2539" s="141"/>
      <c r="AC2539" s="142"/>
    </row>
    <row r="2540" spans="27:29" ht="17" thickTop="1" x14ac:dyDescent="0.2">
      <c r="AA2540" s="146"/>
      <c r="AB2540" s="108"/>
      <c r="AC2540" s="147"/>
    </row>
    <row r="2541" spans="27:29" x14ac:dyDescent="0.2">
      <c r="AA2541" s="146"/>
      <c r="AB2541" s="108"/>
      <c r="AC2541" s="147"/>
    </row>
    <row r="2542" spans="27:29" x14ac:dyDescent="0.2">
      <c r="AA2542" s="146"/>
      <c r="AB2542" s="108"/>
      <c r="AC2542" s="147"/>
    </row>
    <row r="2543" spans="27:29" x14ac:dyDescent="0.2">
      <c r="AA2543" s="146"/>
      <c r="AB2543" s="108"/>
      <c r="AC2543" s="147"/>
    </row>
    <row r="2544" spans="27:29" x14ac:dyDescent="0.2">
      <c r="AA2544" s="146"/>
      <c r="AB2544" s="108"/>
      <c r="AC2544" s="147"/>
    </row>
    <row r="2545" spans="27:29" x14ac:dyDescent="0.2">
      <c r="AA2545" s="146"/>
      <c r="AB2545" s="108"/>
      <c r="AC2545" s="147"/>
    </row>
    <row r="2546" spans="27:29" x14ac:dyDescent="0.2">
      <c r="AA2546" s="146"/>
      <c r="AB2546" s="108"/>
      <c r="AC2546" s="147"/>
    </row>
    <row r="2547" spans="27:29" x14ac:dyDescent="0.2">
      <c r="AA2547" s="146"/>
      <c r="AB2547" s="108"/>
      <c r="AC2547" s="147"/>
    </row>
    <row r="2548" spans="27:29" x14ac:dyDescent="0.2">
      <c r="AA2548" s="146"/>
      <c r="AB2548" s="108"/>
      <c r="AC2548" s="147"/>
    </row>
    <row r="2549" spans="27:29" x14ac:dyDescent="0.2">
      <c r="AA2549" s="146"/>
      <c r="AB2549" s="108"/>
      <c r="AC2549" s="147"/>
    </row>
    <row r="2550" spans="27:29" x14ac:dyDescent="0.2">
      <c r="AA2550" s="146"/>
      <c r="AB2550" s="108"/>
      <c r="AC2550" s="147"/>
    </row>
    <row r="2551" spans="27:29" x14ac:dyDescent="0.2">
      <c r="AA2551" s="146"/>
      <c r="AB2551" s="108"/>
      <c r="AC2551" s="147"/>
    </row>
    <row r="2552" spans="27:29" x14ac:dyDescent="0.2">
      <c r="AA2552" s="146"/>
      <c r="AB2552" s="108"/>
      <c r="AC2552" s="147"/>
    </row>
    <row r="2553" spans="27:29" x14ac:dyDescent="0.2">
      <c r="AA2553" s="146"/>
      <c r="AB2553" s="108"/>
      <c r="AC2553" s="147"/>
    </row>
    <row r="2554" spans="27:29" x14ac:dyDescent="0.2">
      <c r="AA2554" s="146"/>
      <c r="AB2554" s="108"/>
      <c r="AC2554" s="147"/>
    </row>
    <row r="2555" spans="27:29" x14ac:dyDescent="0.2">
      <c r="AA2555" s="146"/>
      <c r="AB2555" s="108"/>
      <c r="AC2555" s="147"/>
    </row>
    <row r="2556" spans="27:29" x14ac:dyDescent="0.2">
      <c r="AA2556" s="146"/>
      <c r="AB2556" s="108"/>
      <c r="AC2556" s="147"/>
    </row>
    <row r="2557" spans="27:29" x14ac:dyDescent="0.2">
      <c r="AA2557" s="146"/>
      <c r="AB2557" s="108"/>
      <c r="AC2557" s="147"/>
    </row>
    <row r="2558" spans="27:29" x14ac:dyDescent="0.2">
      <c r="AA2558" s="146"/>
      <c r="AB2558" s="108"/>
      <c r="AC2558" s="147"/>
    </row>
    <row r="2559" spans="27:29" x14ac:dyDescent="0.2">
      <c r="AA2559" s="146"/>
      <c r="AB2559" s="108"/>
      <c r="AC2559" s="147"/>
    </row>
    <row r="2560" spans="27:29" x14ac:dyDescent="0.2">
      <c r="AA2560" s="146"/>
      <c r="AB2560" s="108"/>
      <c r="AC2560" s="147"/>
    </row>
    <row r="2561" spans="27:29" ht="17" thickBot="1" x14ac:dyDescent="0.25">
      <c r="AA2561" s="140"/>
      <c r="AB2561" s="141"/>
      <c r="AC2561" s="142"/>
    </row>
    <row r="2562" spans="27:29" ht="17" thickTop="1" x14ac:dyDescent="0.2">
      <c r="AA2562" s="146"/>
      <c r="AB2562" s="108"/>
      <c r="AC2562" s="147"/>
    </row>
    <row r="2563" spans="27:29" x14ac:dyDescent="0.2">
      <c r="AA2563" s="146"/>
      <c r="AB2563" s="108"/>
      <c r="AC2563" s="147"/>
    </row>
    <row r="2564" spans="27:29" x14ac:dyDescent="0.2">
      <c r="AA2564" s="146"/>
      <c r="AB2564" s="108"/>
      <c r="AC2564" s="147"/>
    </row>
    <row r="2565" spans="27:29" x14ac:dyDescent="0.2">
      <c r="AA2565" s="146"/>
      <c r="AB2565" s="108"/>
      <c r="AC2565" s="147"/>
    </row>
    <row r="2566" spans="27:29" x14ac:dyDescent="0.2">
      <c r="AA2566" s="146"/>
      <c r="AB2566" s="108"/>
      <c r="AC2566" s="147"/>
    </row>
    <row r="2567" spans="27:29" x14ac:dyDescent="0.2">
      <c r="AA2567" s="146"/>
      <c r="AB2567" s="108"/>
      <c r="AC2567" s="147"/>
    </row>
    <row r="2568" spans="27:29" x14ac:dyDescent="0.2">
      <c r="AA2568" s="146"/>
      <c r="AB2568" s="108"/>
      <c r="AC2568" s="147"/>
    </row>
    <row r="2569" spans="27:29" x14ac:dyDescent="0.2">
      <c r="AA2569" s="146"/>
      <c r="AB2569" s="108"/>
      <c r="AC2569" s="147"/>
    </row>
    <row r="2570" spans="27:29" x14ac:dyDescent="0.2">
      <c r="AA2570" s="146"/>
      <c r="AB2570" s="108"/>
      <c r="AC2570" s="147"/>
    </row>
    <row r="2571" spans="27:29" x14ac:dyDescent="0.2">
      <c r="AA2571" s="146"/>
      <c r="AB2571" s="108"/>
      <c r="AC2571" s="147"/>
    </row>
    <row r="2572" spans="27:29" x14ac:dyDescent="0.2">
      <c r="AA2572" s="146"/>
      <c r="AB2572" s="108"/>
      <c r="AC2572" s="147"/>
    </row>
    <row r="2573" spans="27:29" x14ac:dyDescent="0.2">
      <c r="AA2573" s="146"/>
      <c r="AB2573" s="108"/>
      <c r="AC2573" s="147"/>
    </row>
    <row r="2574" spans="27:29" x14ac:dyDescent="0.2">
      <c r="AA2574" s="146"/>
      <c r="AB2574" s="108"/>
      <c r="AC2574" s="147"/>
    </row>
    <row r="2575" spans="27:29" x14ac:dyDescent="0.2">
      <c r="AA2575" s="146"/>
      <c r="AB2575" s="108"/>
      <c r="AC2575" s="147"/>
    </row>
    <row r="2576" spans="27:29" x14ac:dyDescent="0.2">
      <c r="AA2576" s="146"/>
      <c r="AB2576" s="108"/>
      <c r="AC2576" s="147"/>
    </row>
    <row r="2577" spans="27:29" x14ac:dyDescent="0.2">
      <c r="AA2577" s="146"/>
      <c r="AB2577" s="108"/>
      <c r="AC2577" s="147"/>
    </row>
    <row r="2578" spans="27:29" x14ac:dyDescent="0.2">
      <c r="AA2578" s="146"/>
      <c r="AB2578" s="108"/>
      <c r="AC2578" s="147"/>
    </row>
    <row r="2579" spans="27:29" x14ac:dyDescent="0.2">
      <c r="AA2579" s="146"/>
      <c r="AB2579" s="108"/>
      <c r="AC2579" s="147"/>
    </row>
    <row r="2580" spans="27:29" x14ac:dyDescent="0.2">
      <c r="AA2580" s="146"/>
      <c r="AB2580" s="108"/>
      <c r="AC2580" s="147"/>
    </row>
    <row r="2581" spans="27:29" x14ac:dyDescent="0.2">
      <c r="AA2581" s="146"/>
      <c r="AB2581" s="108"/>
      <c r="AC2581" s="147"/>
    </row>
    <row r="2582" spans="27:29" x14ac:dyDescent="0.2">
      <c r="AA2582" s="146"/>
      <c r="AB2582" s="108"/>
      <c r="AC2582" s="147"/>
    </row>
    <row r="2583" spans="27:29" ht="17" thickBot="1" x14ac:dyDescent="0.25">
      <c r="AA2583" s="140"/>
      <c r="AB2583" s="141"/>
      <c r="AC2583" s="142"/>
    </row>
    <row r="2584" spans="27:29" ht="17" thickTop="1" x14ac:dyDescent="0.2">
      <c r="AA2584" s="146"/>
      <c r="AB2584" s="108"/>
      <c r="AC2584" s="147"/>
    </row>
    <row r="2585" spans="27:29" x14ac:dyDescent="0.2">
      <c r="AA2585" s="146"/>
      <c r="AB2585" s="108"/>
      <c r="AC2585" s="147"/>
    </row>
    <row r="2586" spans="27:29" x14ac:dyDescent="0.2">
      <c r="AA2586" s="146"/>
      <c r="AB2586" s="108"/>
      <c r="AC2586" s="147"/>
    </row>
    <row r="2587" spans="27:29" x14ac:dyDescent="0.2">
      <c r="AA2587" s="146"/>
      <c r="AB2587" s="108"/>
      <c r="AC2587" s="147"/>
    </row>
    <row r="2588" spans="27:29" x14ac:dyDescent="0.2">
      <c r="AA2588" s="146"/>
      <c r="AB2588" s="108"/>
      <c r="AC2588" s="147"/>
    </row>
    <row r="2589" spans="27:29" x14ac:dyDescent="0.2">
      <c r="AA2589" s="146"/>
      <c r="AB2589" s="108"/>
      <c r="AC2589" s="147"/>
    </row>
    <row r="2590" spans="27:29" x14ac:dyDescent="0.2">
      <c r="AA2590" s="146"/>
      <c r="AB2590" s="108"/>
      <c r="AC2590" s="147"/>
    </row>
    <row r="2591" spans="27:29" x14ac:dyDescent="0.2">
      <c r="AA2591" s="146"/>
      <c r="AB2591" s="108"/>
      <c r="AC2591" s="147"/>
    </row>
    <row r="2592" spans="27:29" x14ac:dyDescent="0.2">
      <c r="AA2592" s="146"/>
      <c r="AB2592" s="108"/>
      <c r="AC2592" s="147"/>
    </row>
    <row r="2593" spans="27:29" x14ac:dyDescent="0.2">
      <c r="AA2593" s="146"/>
      <c r="AB2593" s="108"/>
      <c r="AC2593" s="147"/>
    </row>
    <row r="2594" spans="27:29" x14ac:dyDescent="0.2">
      <c r="AA2594" s="146"/>
      <c r="AB2594" s="108"/>
      <c r="AC2594" s="147"/>
    </row>
    <row r="2595" spans="27:29" x14ac:dyDescent="0.2">
      <c r="AA2595" s="146"/>
      <c r="AB2595" s="108"/>
      <c r="AC2595" s="147"/>
    </row>
    <row r="2596" spans="27:29" x14ac:dyDescent="0.2">
      <c r="AA2596" s="146"/>
      <c r="AB2596" s="108"/>
      <c r="AC2596" s="147"/>
    </row>
    <row r="2597" spans="27:29" x14ac:dyDescent="0.2">
      <c r="AA2597" s="146"/>
      <c r="AB2597" s="108"/>
      <c r="AC2597" s="147"/>
    </row>
    <row r="2598" spans="27:29" x14ac:dyDescent="0.2">
      <c r="AA2598" s="146"/>
      <c r="AB2598" s="108"/>
      <c r="AC2598" s="147"/>
    </row>
    <row r="2599" spans="27:29" x14ac:dyDescent="0.2">
      <c r="AA2599" s="146"/>
      <c r="AB2599" s="108"/>
      <c r="AC2599" s="147"/>
    </row>
    <row r="2600" spans="27:29" x14ac:dyDescent="0.2">
      <c r="AA2600" s="146"/>
      <c r="AB2600" s="108"/>
      <c r="AC2600" s="147"/>
    </row>
    <row r="2601" spans="27:29" x14ac:dyDescent="0.2">
      <c r="AA2601" s="146"/>
      <c r="AB2601" s="108"/>
      <c r="AC2601" s="147"/>
    </row>
    <row r="2602" spans="27:29" x14ac:dyDescent="0.2">
      <c r="AA2602" s="146"/>
      <c r="AB2602" s="108"/>
      <c r="AC2602" s="147"/>
    </row>
    <row r="2603" spans="27:29" x14ac:dyDescent="0.2">
      <c r="AA2603" s="146"/>
      <c r="AB2603" s="108"/>
      <c r="AC2603" s="147"/>
    </row>
    <row r="2604" spans="27:29" x14ac:dyDescent="0.2">
      <c r="AA2604" s="146"/>
      <c r="AB2604" s="108"/>
      <c r="AC2604" s="147"/>
    </row>
    <row r="2605" spans="27:29" ht="17" thickBot="1" x14ac:dyDescent="0.25">
      <c r="AA2605" s="140"/>
      <c r="AB2605" s="141"/>
      <c r="AC2605" s="142"/>
    </row>
    <row r="2606" spans="27:29" ht="17" thickTop="1" x14ac:dyDescent="0.2">
      <c r="AA2606" s="146"/>
      <c r="AB2606" s="108"/>
      <c r="AC2606" s="147"/>
    </row>
    <row r="2607" spans="27:29" x14ac:dyDescent="0.2">
      <c r="AA2607" s="146"/>
      <c r="AB2607" s="108"/>
      <c r="AC2607" s="147"/>
    </row>
    <row r="2608" spans="27:29" x14ac:dyDescent="0.2">
      <c r="AA2608" s="146"/>
      <c r="AB2608" s="108"/>
      <c r="AC2608" s="147"/>
    </row>
    <row r="2609" spans="27:29" x14ac:dyDescent="0.2">
      <c r="AA2609" s="146"/>
      <c r="AB2609" s="108"/>
      <c r="AC2609" s="147"/>
    </row>
    <row r="2610" spans="27:29" x14ac:dyDescent="0.2">
      <c r="AA2610" s="146"/>
      <c r="AB2610" s="108"/>
      <c r="AC2610" s="147"/>
    </row>
    <row r="2611" spans="27:29" x14ac:dyDescent="0.2">
      <c r="AA2611" s="146"/>
      <c r="AB2611" s="108"/>
      <c r="AC2611" s="147"/>
    </row>
    <row r="2612" spans="27:29" x14ac:dyDescent="0.2">
      <c r="AA2612" s="146"/>
      <c r="AB2612" s="108"/>
      <c r="AC2612" s="147"/>
    </row>
    <row r="2613" spans="27:29" x14ac:dyDescent="0.2">
      <c r="AA2613" s="146"/>
      <c r="AB2613" s="108"/>
      <c r="AC2613" s="147"/>
    </row>
    <row r="2614" spans="27:29" x14ac:dyDescent="0.2">
      <c r="AA2614" s="146"/>
      <c r="AB2614" s="108"/>
      <c r="AC2614" s="147"/>
    </row>
    <row r="2615" spans="27:29" x14ac:dyDescent="0.2">
      <c r="AA2615" s="146"/>
      <c r="AB2615" s="108"/>
      <c r="AC2615" s="147"/>
    </row>
    <row r="2616" spans="27:29" x14ac:dyDescent="0.2">
      <c r="AA2616" s="146"/>
      <c r="AB2616" s="108"/>
      <c r="AC2616" s="147"/>
    </row>
    <row r="2617" spans="27:29" x14ac:dyDescent="0.2">
      <c r="AA2617" s="146"/>
      <c r="AB2617" s="108"/>
      <c r="AC2617" s="147"/>
    </row>
    <row r="2618" spans="27:29" x14ac:dyDescent="0.2">
      <c r="AA2618" s="146"/>
      <c r="AB2618" s="108"/>
      <c r="AC2618" s="147"/>
    </row>
    <row r="2619" spans="27:29" x14ac:dyDescent="0.2">
      <c r="AA2619" s="146"/>
      <c r="AB2619" s="108"/>
      <c r="AC2619" s="147"/>
    </row>
    <row r="2620" spans="27:29" x14ac:dyDescent="0.2">
      <c r="AA2620" s="146"/>
      <c r="AB2620" s="108"/>
      <c r="AC2620" s="147"/>
    </row>
    <row r="2621" spans="27:29" x14ac:dyDescent="0.2">
      <c r="AA2621" s="146"/>
      <c r="AB2621" s="108"/>
      <c r="AC2621" s="147"/>
    </row>
    <row r="2622" spans="27:29" x14ac:dyDescent="0.2">
      <c r="AA2622" s="146"/>
      <c r="AB2622" s="108"/>
      <c r="AC2622" s="147"/>
    </row>
    <row r="2623" spans="27:29" x14ac:dyDescent="0.2">
      <c r="AA2623" s="146"/>
      <c r="AB2623" s="108"/>
      <c r="AC2623" s="147"/>
    </row>
    <row r="2624" spans="27:29" x14ac:dyDescent="0.2">
      <c r="AA2624" s="146"/>
      <c r="AB2624" s="108"/>
      <c r="AC2624" s="147"/>
    </row>
    <row r="2625" spans="27:29" x14ac:dyDescent="0.2">
      <c r="AA2625" s="146"/>
      <c r="AB2625" s="108"/>
      <c r="AC2625" s="147"/>
    </row>
    <row r="2626" spans="27:29" x14ac:dyDescent="0.2">
      <c r="AA2626" s="146"/>
      <c r="AB2626" s="108"/>
      <c r="AC2626" s="147"/>
    </row>
    <row r="2627" spans="27:29" ht="17" thickBot="1" x14ac:dyDescent="0.25">
      <c r="AA2627" s="140"/>
      <c r="AB2627" s="141"/>
      <c r="AC2627" s="142"/>
    </row>
    <row r="2628" spans="27:29" ht="17" thickTop="1" x14ac:dyDescent="0.2">
      <c r="AA2628" s="146"/>
      <c r="AB2628" s="108"/>
      <c r="AC2628" s="147"/>
    </row>
    <row r="2629" spans="27:29" x14ac:dyDescent="0.2">
      <c r="AA2629" s="146"/>
      <c r="AB2629" s="108"/>
      <c r="AC2629" s="147"/>
    </row>
    <row r="2630" spans="27:29" x14ac:dyDescent="0.2">
      <c r="AA2630" s="146"/>
      <c r="AB2630" s="108"/>
      <c r="AC2630" s="147"/>
    </row>
    <row r="2631" spans="27:29" x14ac:dyDescent="0.2">
      <c r="AA2631" s="146"/>
      <c r="AB2631" s="108"/>
      <c r="AC2631" s="147"/>
    </row>
    <row r="2632" spans="27:29" x14ac:dyDescent="0.2">
      <c r="AA2632" s="146"/>
      <c r="AB2632" s="108"/>
      <c r="AC2632" s="147"/>
    </row>
    <row r="2633" spans="27:29" x14ac:dyDescent="0.2">
      <c r="AA2633" s="146"/>
      <c r="AB2633" s="108"/>
      <c r="AC2633" s="147"/>
    </row>
    <row r="2634" spans="27:29" x14ac:dyDescent="0.2">
      <c r="AA2634" s="146"/>
      <c r="AB2634" s="108"/>
      <c r="AC2634" s="147"/>
    </row>
    <row r="2635" spans="27:29" x14ac:dyDescent="0.2">
      <c r="AA2635" s="146"/>
      <c r="AB2635" s="108"/>
      <c r="AC2635" s="147"/>
    </row>
    <row r="2636" spans="27:29" x14ac:dyDescent="0.2">
      <c r="AA2636" s="146"/>
      <c r="AB2636" s="108"/>
      <c r="AC2636" s="147"/>
    </row>
    <row r="2637" spans="27:29" x14ac:dyDescent="0.2">
      <c r="AA2637" s="146"/>
      <c r="AB2637" s="108"/>
      <c r="AC2637" s="147"/>
    </row>
    <row r="2638" spans="27:29" x14ac:dyDescent="0.2">
      <c r="AA2638" s="146"/>
      <c r="AB2638" s="108"/>
      <c r="AC2638" s="147"/>
    </row>
    <row r="2639" spans="27:29" x14ac:dyDescent="0.2">
      <c r="AA2639" s="146"/>
      <c r="AB2639" s="108"/>
      <c r="AC2639" s="147"/>
    </row>
    <row r="2640" spans="27:29" x14ac:dyDescent="0.2">
      <c r="AA2640" s="146"/>
      <c r="AB2640" s="108"/>
      <c r="AC2640" s="147"/>
    </row>
    <row r="2641" spans="27:29" x14ac:dyDescent="0.2">
      <c r="AA2641" s="146"/>
      <c r="AB2641" s="108"/>
      <c r="AC2641" s="147"/>
    </row>
    <row r="2642" spans="27:29" x14ac:dyDescent="0.2">
      <c r="AA2642" s="146"/>
      <c r="AB2642" s="108"/>
      <c r="AC2642" s="147"/>
    </row>
    <row r="2643" spans="27:29" x14ac:dyDescent="0.2">
      <c r="AA2643" s="146"/>
      <c r="AB2643" s="108"/>
      <c r="AC2643" s="147"/>
    </row>
    <row r="2644" spans="27:29" x14ac:dyDescent="0.2">
      <c r="AA2644" s="146"/>
      <c r="AB2644" s="108"/>
      <c r="AC2644" s="147"/>
    </row>
    <row r="2645" spans="27:29" x14ac:dyDescent="0.2">
      <c r="AA2645" s="146"/>
      <c r="AB2645" s="108"/>
      <c r="AC2645" s="147"/>
    </row>
    <row r="2646" spans="27:29" x14ac:dyDescent="0.2">
      <c r="AA2646" s="146"/>
      <c r="AB2646" s="108"/>
      <c r="AC2646" s="147"/>
    </row>
    <row r="2647" spans="27:29" x14ac:dyDescent="0.2">
      <c r="AA2647" s="146"/>
      <c r="AB2647" s="108"/>
      <c r="AC2647" s="147"/>
    </row>
    <row r="2648" spans="27:29" x14ac:dyDescent="0.2">
      <c r="AA2648" s="146"/>
      <c r="AB2648" s="108"/>
      <c r="AC2648" s="147"/>
    </row>
    <row r="2649" spans="27:29" ht="17" thickBot="1" x14ac:dyDescent="0.25">
      <c r="AA2649" s="140"/>
      <c r="AB2649" s="141"/>
      <c r="AC2649" s="142"/>
    </row>
    <row r="2650" spans="27:29" ht="17" thickTop="1" x14ac:dyDescent="0.2">
      <c r="AA2650" s="143"/>
      <c r="AB2650" s="144"/>
      <c r="AC2650" s="145"/>
    </row>
    <row r="2651" spans="27:29" x14ac:dyDescent="0.2">
      <c r="AA2651" s="146"/>
      <c r="AB2651" s="108"/>
      <c r="AC2651" s="147"/>
    </row>
    <row r="2652" spans="27:29" x14ac:dyDescent="0.2">
      <c r="AA2652" s="146"/>
      <c r="AB2652" s="108"/>
      <c r="AC2652" s="147"/>
    </row>
    <row r="2653" spans="27:29" x14ac:dyDescent="0.2">
      <c r="AA2653" s="146"/>
      <c r="AB2653" s="108"/>
      <c r="AC2653" s="147"/>
    </row>
    <row r="2654" spans="27:29" x14ac:dyDescent="0.2">
      <c r="AA2654" s="146"/>
      <c r="AB2654" s="108"/>
      <c r="AC2654" s="147"/>
    </row>
    <row r="2655" spans="27:29" x14ac:dyDescent="0.2">
      <c r="AA2655" s="146"/>
      <c r="AB2655" s="108"/>
      <c r="AC2655" s="147"/>
    </row>
    <row r="2656" spans="27:29" x14ac:dyDescent="0.2">
      <c r="AA2656" s="146"/>
      <c r="AB2656" s="108"/>
      <c r="AC2656" s="147"/>
    </row>
    <row r="2657" spans="27:29" x14ac:dyDescent="0.2">
      <c r="AA2657" s="146"/>
      <c r="AB2657" s="108"/>
      <c r="AC2657" s="147"/>
    </row>
    <row r="2658" spans="27:29" x14ac:dyDescent="0.2">
      <c r="AA2658" s="146"/>
      <c r="AB2658" s="108"/>
      <c r="AC2658" s="147"/>
    </row>
    <row r="2659" spans="27:29" x14ac:dyDescent="0.2">
      <c r="AA2659" s="146"/>
      <c r="AB2659" s="108"/>
      <c r="AC2659" s="147"/>
    </row>
    <row r="2660" spans="27:29" x14ac:dyDescent="0.2">
      <c r="AA2660" s="146"/>
      <c r="AB2660" s="108"/>
      <c r="AC2660" s="147"/>
    </row>
    <row r="2661" spans="27:29" x14ac:dyDescent="0.2">
      <c r="AA2661" s="146"/>
      <c r="AB2661" s="108"/>
      <c r="AC2661" s="147"/>
    </row>
    <row r="2662" spans="27:29" x14ac:dyDescent="0.2">
      <c r="AA2662" s="146"/>
      <c r="AB2662" s="108"/>
      <c r="AC2662" s="147"/>
    </row>
    <row r="2663" spans="27:29" x14ac:dyDescent="0.2">
      <c r="AA2663" s="146"/>
      <c r="AB2663" s="108"/>
      <c r="AC2663" s="147"/>
    </row>
    <row r="2664" spans="27:29" x14ac:dyDescent="0.2">
      <c r="AA2664" s="146"/>
      <c r="AB2664" s="108"/>
      <c r="AC2664" s="147"/>
    </row>
    <row r="2665" spans="27:29" x14ac:dyDescent="0.2">
      <c r="AA2665" s="146"/>
      <c r="AB2665" s="108"/>
      <c r="AC2665" s="147"/>
    </row>
    <row r="2666" spans="27:29" x14ac:dyDescent="0.2">
      <c r="AA2666" s="146"/>
      <c r="AB2666" s="108"/>
      <c r="AC2666" s="147"/>
    </row>
    <row r="2667" spans="27:29" x14ac:dyDescent="0.2">
      <c r="AA2667" s="146"/>
      <c r="AB2667" s="108"/>
      <c r="AC2667" s="147"/>
    </row>
    <row r="2668" spans="27:29" x14ac:dyDescent="0.2">
      <c r="AA2668" s="146"/>
      <c r="AB2668" s="108"/>
      <c r="AC2668" s="147"/>
    </row>
    <row r="2669" spans="27:29" x14ac:dyDescent="0.2">
      <c r="AA2669" s="146"/>
      <c r="AB2669" s="108"/>
      <c r="AC2669" s="147"/>
    </row>
    <row r="2670" spans="27:29" x14ac:dyDescent="0.2">
      <c r="AA2670" s="146"/>
      <c r="AB2670" s="108"/>
      <c r="AC2670" s="147"/>
    </row>
    <row r="2671" spans="27:29" ht="17" thickBot="1" x14ac:dyDescent="0.25">
      <c r="AA2671" s="148"/>
      <c r="AB2671" s="112"/>
      <c r="AC2671" s="149"/>
    </row>
    <row r="2672" spans="27:29" x14ac:dyDescent="0.2">
      <c r="AA2672" s="146"/>
      <c r="AB2672" s="108"/>
      <c r="AC2672" s="147"/>
    </row>
    <row r="2673" spans="27:29" x14ac:dyDescent="0.2">
      <c r="AA2673" s="146"/>
      <c r="AB2673" s="108"/>
      <c r="AC2673" s="147"/>
    </row>
    <row r="2674" spans="27:29" x14ac:dyDescent="0.2">
      <c r="AA2674" s="146"/>
      <c r="AB2674" s="108"/>
      <c r="AC2674" s="147"/>
    </row>
    <row r="2675" spans="27:29" x14ac:dyDescent="0.2">
      <c r="AA2675" s="146"/>
      <c r="AB2675" s="108"/>
      <c r="AC2675" s="147"/>
    </row>
    <row r="2676" spans="27:29" x14ac:dyDescent="0.2">
      <c r="AA2676" s="146"/>
      <c r="AB2676" s="108"/>
      <c r="AC2676" s="147"/>
    </row>
    <row r="2677" spans="27:29" x14ac:dyDescent="0.2">
      <c r="AA2677" s="146"/>
      <c r="AB2677" s="108"/>
      <c r="AC2677" s="147"/>
    </row>
    <row r="2678" spans="27:29" x14ac:dyDescent="0.2">
      <c r="AA2678" s="146"/>
      <c r="AB2678" s="108"/>
      <c r="AC2678" s="147"/>
    </row>
    <row r="2679" spans="27:29" x14ac:dyDescent="0.2">
      <c r="AA2679" s="146"/>
      <c r="AB2679" s="108"/>
      <c r="AC2679" s="147"/>
    </row>
    <row r="2680" spans="27:29" x14ac:dyDescent="0.2">
      <c r="AA2680" s="146"/>
      <c r="AB2680" s="108"/>
      <c r="AC2680" s="147"/>
    </row>
    <row r="2681" spans="27:29" x14ac:dyDescent="0.2">
      <c r="AA2681" s="146"/>
      <c r="AB2681" s="108"/>
      <c r="AC2681" s="147"/>
    </row>
    <row r="2682" spans="27:29" x14ac:dyDescent="0.2">
      <c r="AA2682" s="146"/>
      <c r="AB2682" s="108"/>
      <c r="AC2682" s="147"/>
    </row>
    <row r="2683" spans="27:29" x14ac:dyDescent="0.2">
      <c r="AA2683" s="146"/>
      <c r="AB2683" s="108"/>
      <c r="AC2683" s="147"/>
    </row>
    <row r="2684" spans="27:29" x14ac:dyDescent="0.2">
      <c r="AA2684" s="146"/>
      <c r="AB2684" s="108"/>
      <c r="AC2684" s="147"/>
    </row>
    <row r="2685" spans="27:29" x14ac:dyDescent="0.2">
      <c r="AA2685" s="146"/>
      <c r="AB2685" s="108"/>
      <c r="AC2685" s="147"/>
    </row>
    <row r="2686" spans="27:29" x14ac:dyDescent="0.2">
      <c r="AA2686" s="146"/>
      <c r="AB2686" s="108"/>
      <c r="AC2686" s="147"/>
    </row>
    <row r="2687" spans="27:29" x14ac:dyDescent="0.2">
      <c r="AA2687" s="146"/>
      <c r="AB2687" s="108"/>
      <c r="AC2687" s="147"/>
    </row>
    <row r="2688" spans="27:29" x14ac:dyDescent="0.2">
      <c r="AA2688" s="146"/>
      <c r="AB2688" s="108"/>
      <c r="AC2688" s="147"/>
    </row>
    <row r="2689" spans="27:29" x14ac:dyDescent="0.2">
      <c r="AA2689" s="146"/>
      <c r="AB2689" s="108"/>
      <c r="AC2689" s="147"/>
    </row>
    <row r="2690" spans="27:29" x14ac:dyDescent="0.2">
      <c r="AA2690" s="146"/>
      <c r="AB2690" s="108"/>
      <c r="AC2690" s="147"/>
    </row>
    <row r="2691" spans="27:29" x14ac:dyDescent="0.2">
      <c r="AA2691" s="146"/>
      <c r="AB2691" s="108"/>
      <c r="AC2691" s="147"/>
    </row>
    <row r="2692" spans="27:29" x14ac:dyDescent="0.2">
      <c r="AA2692" s="146"/>
      <c r="AB2692" s="108"/>
      <c r="AC2692" s="147"/>
    </row>
    <row r="2693" spans="27:29" ht="17" thickBot="1" x14ac:dyDescent="0.25">
      <c r="AA2693" s="140"/>
      <c r="AB2693" s="141"/>
      <c r="AC2693" s="142"/>
    </row>
    <row r="2694" spans="27:29" ht="17" thickTop="1" x14ac:dyDescent="0.2">
      <c r="AA2694" s="146"/>
      <c r="AB2694" s="108"/>
      <c r="AC2694" s="147"/>
    </row>
    <row r="2695" spans="27:29" x14ac:dyDescent="0.2">
      <c r="AA2695" s="146"/>
      <c r="AB2695" s="108"/>
      <c r="AC2695" s="147"/>
    </row>
    <row r="2696" spans="27:29" x14ac:dyDescent="0.2">
      <c r="AA2696" s="146"/>
      <c r="AB2696" s="108"/>
      <c r="AC2696" s="147"/>
    </row>
    <row r="2697" spans="27:29" x14ac:dyDescent="0.2">
      <c r="AA2697" s="146"/>
      <c r="AB2697" s="108"/>
      <c r="AC2697" s="147"/>
    </row>
    <row r="2698" spans="27:29" x14ac:dyDescent="0.2">
      <c r="AA2698" s="146"/>
      <c r="AB2698" s="108"/>
      <c r="AC2698" s="147"/>
    </row>
    <row r="2699" spans="27:29" x14ac:dyDescent="0.2">
      <c r="AA2699" s="146"/>
      <c r="AB2699" s="108"/>
      <c r="AC2699" s="147"/>
    </row>
    <row r="2700" spans="27:29" x14ac:dyDescent="0.2">
      <c r="AA2700" s="146"/>
      <c r="AB2700" s="108"/>
      <c r="AC2700" s="147"/>
    </row>
    <row r="2701" spans="27:29" x14ac:dyDescent="0.2">
      <c r="AA2701" s="146"/>
      <c r="AB2701" s="108"/>
      <c r="AC2701" s="147"/>
    </row>
    <row r="2702" spans="27:29" x14ac:dyDescent="0.2">
      <c r="AA2702" s="146"/>
      <c r="AB2702" s="108"/>
      <c r="AC2702" s="147"/>
    </row>
    <row r="2703" spans="27:29" x14ac:dyDescent="0.2">
      <c r="AA2703" s="146"/>
      <c r="AB2703" s="108"/>
      <c r="AC2703" s="147"/>
    </row>
    <row r="2704" spans="27:29" x14ac:dyDescent="0.2">
      <c r="AA2704" s="146"/>
      <c r="AB2704" s="108"/>
      <c r="AC2704" s="147"/>
    </row>
    <row r="2705" spans="27:29" x14ac:dyDescent="0.2">
      <c r="AA2705" s="146"/>
      <c r="AB2705" s="108"/>
      <c r="AC2705" s="147"/>
    </row>
    <row r="2706" spans="27:29" x14ac:dyDescent="0.2">
      <c r="AA2706" s="146"/>
      <c r="AB2706" s="108"/>
      <c r="AC2706" s="147"/>
    </row>
    <row r="2707" spans="27:29" x14ac:dyDescent="0.2">
      <c r="AA2707" s="146"/>
      <c r="AB2707" s="108"/>
      <c r="AC2707" s="147"/>
    </row>
    <row r="2708" spans="27:29" x14ac:dyDescent="0.2">
      <c r="AA2708" s="146"/>
      <c r="AB2708" s="108"/>
      <c r="AC2708" s="147"/>
    </row>
    <row r="2709" spans="27:29" x14ac:dyDescent="0.2">
      <c r="AA2709" s="146"/>
      <c r="AB2709" s="108"/>
      <c r="AC2709" s="147"/>
    </row>
    <row r="2710" spans="27:29" x14ac:dyDescent="0.2">
      <c r="AA2710" s="146"/>
      <c r="AB2710" s="108"/>
      <c r="AC2710" s="147"/>
    </row>
    <row r="2711" spans="27:29" x14ac:dyDescent="0.2">
      <c r="AA2711" s="146"/>
      <c r="AB2711" s="108"/>
      <c r="AC2711" s="147"/>
    </row>
    <row r="2712" spans="27:29" x14ac:dyDescent="0.2">
      <c r="AA2712" s="146"/>
      <c r="AB2712" s="108"/>
      <c r="AC2712" s="147"/>
    </row>
    <row r="2713" spans="27:29" x14ac:dyDescent="0.2">
      <c r="AA2713" s="146"/>
      <c r="AB2713" s="108"/>
      <c r="AC2713" s="147"/>
    </row>
    <row r="2714" spans="27:29" x14ac:dyDescent="0.2">
      <c r="AA2714" s="146"/>
      <c r="AB2714" s="108"/>
      <c r="AC2714" s="147"/>
    </row>
    <row r="2715" spans="27:29" ht="17" thickBot="1" x14ac:dyDescent="0.25">
      <c r="AA2715" s="140"/>
      <c r="AB2715" s="141"/>
      <c r="AC2715" s="142"/>
    </row>
    <row r="2716" spans="27:29" ht="17" thickTop="1" x14ac:dyDescent="0.2">
      <c r="AA2716" s="146"/>
      <c r="AB2716" s="108"/>
      <c r="AC2716" s="147"/>
    </row>
    <row r="2717" spans="27:29" x14ac:dyDescent="0.2">
      <c r="AA2717" s="146"/>
      <c r="AB2717" s="108"/>
      <c r="AC2717" s="147"/>
    </row>
    <row r="2718" spans="27:29" x14ac:dyDescent="0.2">
      <c r="AA2718" s="146"/>
      <c r="AB2718" s="108"/>
      <c r="AC2718" s="147"/>
    </row>
    <row r="2719" spans="27:29" x14ac:dyDescent="0.2">
      <c r="AA2719" s="146"/>
      <c r="AB2719" s="108"/>
      <c r="AC2719" s="147"/>
    </row>
    <row r="2720" spans="27:29" x14ac:dyDescent="0.2">
      <c r="AA2720" s="146"/>
      <c r="AB2720" s="108"/>
      <c r="AC2720" s="147"/>
    </row>
    <row r="2721" spans="27:29" x14ac:dyDescent="0.2">
      <c r="AA2721" s="146"/>
      <c r="AB2721" s="108"/>
      <c r="AC2721" s="147"/>
    </row>
    <row r="2722" spans="27:29" x14ac:dyDescent="0.2">
      <c r="AA2722" s="146"/>
      <c r="AB2722" s="108"/>
      <c r="AC2722" s="147"/>
    </row>
    <row r="2723" spans="27:29" x14ac:dyDescent="0.2">
      <c r="AA2723" s="146"/>
      <c r="AB2723" s="108"/>
      <c r="AC2723" s="147"/>
    </row>
    <row r="2724" spans="27:29" x14ac:dyDescent="0.2">
      <c r="AA2724" s="146"/>
      <c r="AB2724" s="108"/>
      <c r="AC2724" s="147"/>
    </row>
    <row r="2725" spans="27:29" x14ac:dyDescent="0.2">
      <c r="AA2725" s="146"/>
      <c r="AB2725" s="108"/>
      <c r="AC2725" s="147"/>
    </row>
    <row r="2726" spans="27:29" x14ac:dyDescent="0.2">
      <c r="AA2726" s="146"/>
      <c r="AB2726" s="108"/>
      <c r="AC2726" s="147"/>
    </row>
    <row r="2727" spans="27:29" x14ac:dyDescent="0.2">
      <c r="AA2727" s="146"/>
      <c r="AB2727" s="108"/>
      <c r="AC2727" s="147"/>
    </row>
    <row r="2728" spans="27:29" x14ac:dyDescent="0.2">
      <c r="AA2728" s="146"/>
      <c r="AB2728" s="108"/>
      <c r="AC2728" s="147"/>
    </row>
    <row r="2729" spans="27:29" x14ac:dyDescent="0.2">
      <c r="AA2729" s="146"/>
      <c r="AB2729" s="108"/>
      <c r="AC2729" s="147"/>
    </row>
    <row r="2730" spans="27:29" x14ac:dyDescent="0.2">
      <c r="AA2730" s="146"/>
      <c r="AB2730" s="108"/>
      <c r="AC2730" s="147"/>
    </row>
    <row r="2731" spans="27:29" x14ac:dyDescent="0.2">
      <c r="AA2731" s="146"/>
      <c r="AB2731" s="108"/>
      <c r="AC2731" s="147"/>
    </row>
    <row r="2732" spans="27:29" x14ac:dyDescent="0.2">
      <c r="AA2732" s="146"/>
      <c r="AB2732" s="108"/>
      <c r="AC2732" s="147"/>
    </row>
    <row r="2733" spans="27:29" x14ac:dyDescent="0.2">
      <c r="AA2733" s="146"/>
      <c r="AB2733" s="108"/>
      <c r="AC2733" s="147"/>
    </row>
    <row r="2734" spans="27:29" x14ac:dyDescent="0.2">
      <c r="AA2734" s="146"/>
      <c r="AB2734" s="108"/>
      <c r="AC2734" s="147"/>
    </row>
    <row r="2735" spans="27:29" x14ac:dyDescent="0.2">
      <c r="AA2735" s="146"/>
      <c r="AB2735" s="108"/>
      <c r="AC2735" s="147"/>
    </row>
    <row r="2736" spans="27:29" x14ac:dyDescent="0.2">
      <c r="AA2736" s="146"/>
      <c r="AB2736" s="108"/>
      <c r="AC2736" s="147"/>
    </row>
    <row r="2737" spans="27:29" ht="17" thickBot="1" x14ac:dyDescent="0.25">
      <c r="AA2737" s="140"/>
      <c r="AB2737" s="141"/>
      <c r="AC2737" s="142"/>
    </row>
    <row r="2738" spans="27:29" ht="17" thickTop="1" x14ac:dyDescent="0.2">
      <c r="AA2738" s="146"/>
      <c r="AB2738" s="108"/>
      <c r="AC2738" s="147"/>
    </row>
    <row r="2739" spans="27:29" x14ac:dyDescent="0.2">
      <c r="AA2739" s="146"/>
      <c r="AB2739" s="108"/>
      <c r="AC2739" s="147"/>
    </row>
    <row r="2740" spans="27:29" x14ac:dyDescent="0.2">
      <c r="AA2740" s="146"/>
      <c r="AB2740" s="108"/>
      <c r="AC2740" s="147"/>
    </row>
    <row r="2741" spans="27:29" x14ac:dyDescent="0.2">
      <c r="AA2741" s="146"/>
      <c r="AB2741" s="108"/>
      <c r="AC2741" s="147"/>
    </row>
    <row r="2742" spans="27:29" x14ac:dyDescent="0.2">
      <c r="AA2742" s="146"/>
      <c r="AB2742" s="108"/>
      <c r="AC2742" s="147"/>
    </row>
    <row r="2743" spans="27:29" x14ac:dyDescent="0.2">
      <c r="AA2743" s="146"/>
      <c r="AB2743" s="108"/>
      <c r="AC2743" s="147"/>
    </row>
    <row r="2744" spans="27:29" x14ac:dyDescent="0.2">
      <c r="AA2744" s="146"/>
      <c r="AB2744" s="108"/>
      <c r="AC2744" s="147"/>
    </row>
    <row r="2745" spans="27:29" x14ac:dyDescent="0.2">
      <c r="AA2745" s="146"/>
      <c r="AB2745" s="108"/>
      <c r="AC2745" s="147"/>
    </row>
    <row r="2746" spans="27:29" x14ac:dyDescent="0.2">
      <c r="AA2746" s="146"/>
      <c r="AB2746" s="108"/>
      <c r="AC2746" s="147"/>
    </row>
    <row r="2747" spans="27:29" x14ac:dyDescent="0.2">
      <c r="AA2747" s="146"/>
      <c r="AB2747" s="108"/>
      <c r="AC2747" s="147"/>
    </row>
    <row r="2748" spans="27:29" x14ac:dyDescent="0.2">
      <c r="AA2748" s="146"/>
      <c r="AB2748" s="108"/>
      <c r="AC2748" s="147"/>
    </row>
    <row r="2749" spans="27:29" x14ac:dyDescent="0.2">
      <c r="AA2749" s="146"/>
      <c r="AB2749" s="108"/>
      <c r="AC2749" s="147"/>
    </row>
    <row r="2750" spans="27:29" x14ac:dyDescent="0.2">
      <c r="AA2750" s="146"/>
      <c r="AB2750" s="108"/>
      <c r="AC2750" s="147"/>
    </row>
    <row r="2751" spans="27:29" x14ac:dyDescent="0.2">
      <c r="AA2751" s="146"/>
      <c r="AB2751" s="108"/>
      <c r="AC2751" s="147"/>
    </row>
    <row r="2752" spans="27:29" x14ac:dyDescent="0.2">
      <c r="AA2752" s="146"/>
      <c r="AB2752" s="108"/>
      <c r="AC2752" s="147"/>
    </row>
    <row r="2753" spans="27:29" x14ac:dyDescent="0.2">
      <c r="AA2753" s="146"/>
      <c r="AB2753" s="108"/>
      <c r="AC2753" s="147"/>
    </row>
    <row r="2754" spans="27:29" x14ac:dyDescent="0.2">
      <c r="AA2754" s="146"/>
      <c r="AB2754" s="108"/>
      <c r="AC2754" s="147"/>
    </row>
    <row r="2755" spans="27:29" x14ac:dyDescent="0.2">
      <c r="AA2755" s="146"/>
      <c r="AB2755" s="108"/>
      <c r="AC2755" s="147"/>
    </row>
    <row r="2756" spans="27:29" x14ac:dyDescent="0.2">
      <c r="AA2756" s="146"/>
      <c r="AB2756" s="108"/>
      <c r="AC2756" s="147"/>
    </row>
    <row r="2757" spans="27:29" x14ac:dyDescent="0.2">
      <c r="AA2757" s="146"/>
      <c r="AB2757" s="108"/>
      <c r="AC2757" s="147"/>
    </row>
    <row r="2758" spans="27:29" x14ac:dyDescent="0.2">
      <c r="AA2758" s="146"/>
      <c r="AB2758" s="108"/>
      <c r="AC2758" s="147"/>
    </row>
    <row r="2759" spans="27:29" ht="17" thickBot="1" x14ac:dyDescent="0.25">
      <c r="AA2759" s="140"/>
      <c r="AB2759" s="141"/>
      <c r="AC2759" s="142"/>
    </row>
    <row r="2760" spans="27:29" ht="17" thickTop="1" x14ac:dyDescent="0.2">
      <c r="AA2760" s="146"/>
      <c r="AB2760" s="108"/>
      <c r="AC2760" s="147"/>
    </row>
    <row r="2761" spans="27:29" x14ac:dyDescent="0.2">
      <c r="AA2761" s="146"/>
      <c r="AB2761" s="108"/>
      <c r="AC2761" s="147"/>
    </row>
    <row r="2762" spans="27:29" x14ac:dyDescent="0.2">
      <c r="AA2762" s="146"/>
      <c r="AB2762" s="108"/>
      <c r="AC2762" s="147"/>
    </row>
    <row r="2763" spans="27:29" x14ac:dyDescent="0.2">
      <c r="AA2763" s="146"/>
      <c r="AB2763" s="108"/>
      <c r="AC2763" s="147"/>
    </row>
    <row r="2764" spans="27:29" x14ac:dyDescent="0.2">
      <c r="AA2764" s="146"/>
      <c r="AB2764" s="108"/>
      <c r="AC2764" s="147"/>
    </row>
    <row r="2765" spans="27:29" x14ac:dyDescent="0.2">
      <c r="AA2765" s="146"/>
      <c r="AB2765" s="108"/>
      <c r="AC2765" s="147"/>
    </row>
    <row r="2766" spans="27:29" x14ac:dyDescent="0.2">
      <c r="AA2766" s="146"/>
      <c r="AB2766" s="108"/>
      <c r="AC2766" s="147"/>
    </row>
    <row r="2767" spans="27:29" x14ac:dyDescent="0.2">
      <c r="AA2767" s="146"/>
      <c r="AB2767" s="108"/>
      <c r="AC2767" s="147"/>
    </row>
    <row r="2768" spans="27:29" x14ac:dyDescent="0.2">
      <c r="AA2768" s="146"/>
      <c r="AB2768" s="108"/>
      <c r="AC2768" s="147"/>
    </row>
    <row r="2769" spans="27:29" x14ac:dyDescent="0.2">
      <c r="AA2769" s="146"/>
      <c r="AB2769" s="108"/>
      <c r="AC2769" s="147"/>
    </row>
    <row r="2770" spans="27:29" x14ac:dyDescent="0.2">
      <c r="AA2770" s="146"/>
      <c r="AB2770" s="108"/>
      <c r="AC2770" s="147"/>
    </row>
    <row r="2771" spans="27:29" x14ac:dyDescent="0.2">
      <c r="AA2771" s="146"/>
      <c r="AB2771" s="108"/>
      <c r="AC2771" s="147"/>
    </row>
    <row r="2772" spans="27:29" x14ac:dyDescent="0.2">
      <c r="AA2772" s="146"/>
      <c r="AB2772" s="108"/>
      <c r="AC2772" s="147"/>
    </row>
    <row r="2773" spans="27:29" x14ac:dyDescent="0.2">
      <c r="AA2773" s="146"/>
      <c r="AB2773" s="108"/>
      <c r="AC2773" s="147"/>
    </row>
    <row r="2774" spans="27:29" x14ac:dyDescent="0.2">
      <c r="AA2774" s="146"/>
      <c r="AB2774" s="108"/>
      <c r="AC2774" s="147"/>
    </row>
    <row r="2775" spans="27:29" x14ac:dyDescent="0.2">
      <c r="AA2775" s="146"/>
      <c r="AB2775" s="108"/>
      <c r="AC2775" s="147"/>
    </row>
    <row r="2776" spans="27:29" x14ac:dyDescent="0.2">
      <c r="AA2776" s="146"/>
      <c r="AB2776" s="108"/>
      <c r="AC2776" s="147"/>
    </row>
    <row r="2777" spans="27:29" x14ac:dyDescent="0.2">
      <c r="AA2777" s="146"/>
      <c r="AB2777" s="108"/>
      <c r="AC2777" s="147"/>
    </row>
    <row r="2778" spans="27:29" x14ac:dyDescent="0.2">
      <c r="AA2778" s="146"/>
      <c r="AB2778" s="108"/>
      <c r="AC2778" s="147"/>
    </row>
    <row r="2779" spans="27:29" x14ac:dyDescent="0.2">
      <c r="AA2779" s="146"/>
      <c r="AB2779" s="108"/>
      <c r="AC2779" s="147"/>
    </row>
    <row r="2780" spans="27:29" x14ac:dyDescent="0.2">
      <c r="AA2780" s="146"/>
      <c r="AB2780" s="108"/>
      <c r="AC2780" s="147"/>
    </row>
    <row r="2781" spans="27:29" ht="17" thickBot="1" x14ac:dyDescent="0.25">
      <c r="AA2781" s="140"/>
      <c r="AB2781" s="141"/>
      <c r="AC2781" s="142"/>
    </row>
    <row r="2782" spans="27:29" ht="17" thickTop="1" x14ac:dyDescent="0.2">
      <c r="AA2782" s="146"/>
      <c r="AB2782" s="108"/>
      <c r="AC2782" s="147"/>
    </row>
    <row r="2783" spans="27:29" x14ac:dyDescent="0.2">
      <c r="AA2783" s="146"/>
      <c r="AB2783" s="108"/>
      <c r="AC2783" s="147"/>
    </row>
    <row r="2784" spans="27:29" x14ac:dyDescent="0.2">
      <c r="AA2784" s="146"/>
      <c r="AB2784" s="108"/>
      <c r="AC2784" s="147"/>
    </row>
    <row r="2785" spans="27:29" x14ac:dyDescent="0.2">
      <c r="AA2785" s="146"/>
      <c r="AB2785" s="108"/>
      <c r="AC2785" s="147"/>
    </row>
    <row r="2786" spans="27:29" x14ac:dyDescent="0.2">
      <c r="AA2786" s="146"/>
      <c r="AB2786" s="108"/>
      <c r="AC2786" s="147"/>
    </row>
    <row r="2787" spans="27:29" x14ac:dyDescent="0.2">
      <c r="AA2787" s="146"/>
      <c r="AB2787" s="108"/>
      <c r="AC2787" s="147"/>
    </row>
    <row r="2788" spans="27:29" x14ac:dyDescent="0.2">
      <c r="AA2788" s="146"/>
      <c r="AB2788" s="108"/>
      <c r="AC2788" s="147"/>
    </row>
    <row r="2789" spans="27:29" x14ac:dyDescent="0.2">
      <c r="AA2789" s="146"/>
      <c r="AB2789" s="108"/>
      <c r="AC2789" s="147"/>
    </row>
    <row r="2790" spans="27:29" x14ac:dyDescent="0.2">
      <c r="AA2790" s="146"/>
      <c r="AB2790" s="108"/>
      <c r="AC2790" s="147"/>
    </row>
    <row r="2791" spans="27:29" x14ac:dyDescent="0.2">
      <c r="AA2791" s="146"/>
      <c r="AB2791" s="108"/>
      <c r="AC2791" s="147"/>
    </row>
    <row r="2792" spans="27:29" x14ac:dyDescent="0.2">
      <c r="AA2792" s="146"/>
      <c r="AB2792" s="108"/>
      <c r="AC2792" s="147"/>
    </row>
    <row r="2793" spans="27:29" x14ac:dyDescent="0.2">
      <c r="AA2793" s="146"/>
      <c r="AB2793" s="108"/>
      <c r="AC2793" s="147"/>
    </row>
    <row r="2794" spans="27:29" x14ac:dyDescent="0.2">
      <c r="AA2794" s="146"/>
      <c r="AB2794" s="108"/>
      <c r="AC2794" s="147"/>
    </row>
    <row r="2795" spans="27:29" x14ac:dyDescent="0.2">
      <c r="AA2795" s="146"/>
      <c r="AB2795" s="108"/>
      <c r="AC2795" s="147"/>
    </row>
    <row r="2796" spans="27:29" x14ac:dyDescent="0.2">
      <c r="AA2796" s="146"/>
      <c r="AB2796" s="108"/>
      <c r="AC2796" s="147"/>
    </row>
    <row r="2797" spans="27:29" x14ac:dyDescent="0.2">
      <c r="AA2797" s="146"/>
      <c r="AB2797" s="108"/>
      <c r="AC2797" s="147"/>
    </row>
    <row r="2798" spans="27:29" x14ac:dyDescent="0.2">
      <c r="AA2798" s="146"/>
      <c r="AB2798" s="108"/>
      <c r="AC2798" s="147"/>
    </row>
    <row r="2799" spans="27:29" x14ac:dyDescent="0.2">
      <c r="AA2799" s="146"/>
      <c r="AB2799" s="108"/>
      <c r="AC2799" s="147"/>
    </row>
    <row r="2800" spans="27:29" x14ac:dyDescent="0.2">
      <c r="AA2800" s="146"/>
      <c r="AB2800" s="108"/>
      <c r="AC2800" s="147"/>
    </row>
    <row r="2801" spans="27:29" x14ac:dyDescent="0.2">
      <c r="AA2801" s="146"/>
      <c r="AB2801" s="108"/>
      <c r="AC2801" s="147"/>
    </row>
    <row r="2802" spans="27:29" x14ac:dyDescent="0.2">
      <c r="AA2802" s="146"/>
      <c r="AB2802" s="108"/>
      <c r="AC2802" s="147"/>
    </row>
    <row r="2803" spans="27:29" ht="17" thickBot="1" x14ac:dyDescent="0.25">
      <c r="AA2803" s="140"/>
      <c r="AB2803" s="141"/>
      <c r="AC2803" s="142"/>
    </row>
    <row r="2804" spans="27:29" ht="17" thickTop="1" x14ac:dyDescent="0.2">
      <c r="AA2804" s="146"/>
      <c r="AB2804" s="108"/>
      <c r="AC2804" s="147"/>
    </row>
    <row r="2805" spans="27:29" x14ac:dyDescent="0.2">
      <c r="AA2805" s="146"/>
      <c r="AB2805" s="108"/>
      <c r="AC2805" s="147"/>
    </row>
    <row r="2806" spans="27:29" x14ac:dyDescent="0.2">
      <c r="AA2806" s="146"/>
      <c r="AB2806" s="108"/>
      <c r="AC2806" s="147"/>
    </row>
    <row r="2807" spans="27:29" x14ac:dyDescent="0.2">
      <c r="AA2807" s="146"/>
      <c r="AB2807" s="108"/>
      <c r="AC2807" s="147"/>
    </row>
    <row r="2808" spans="27:29" x14ac:dyDescent="0.2">
      <c r="AA2808" s="146"/>
      <c r="AB2808" s="108"/>
      <c r="AC2808" s="147"/>
    </row>
    <row r="2809" spans="27:29" x14ac:dyDescent="0.2">
      <c r="AA2809" s="146"/>
      <c r="AB2809" s="108"/>
      <c r="AC2809" s="147"/>
    </row>
    <row r="2810" spans="27:29" x14ac:dyDescent="0.2">
      <c r="AA2810" s="146"/>
      <c r="AB2810" s="108"/>
      <c r="AC2810" s="147"/>
    </row>
    <row r="2811" spans="27:29" x14ac:dyDescent="0.2">
      <c r="AA2811" s="146"/>
      <c r="AB2811" s="108"/>
      <c r="AC2811" s="147"/>
    </row>
    <row r="2812" spans="27:29" x14ac:dyDescent="0.2">
      <c r="AA2812" s="146"/>
      <c r="AB2812" s="108"/>
      <c r="AC2812" s="147"/>
    </row>
    <row r="2813" spans="27:29" x14ac:dyDescent="0.2">
      <c r="AA2813" s="146"/>
      <c r="AB2813" s="108"/>
      <c r="AC2813" s="147"/>
    </row>
    <row r="2814" spans="27:29" x14ac:dyDescent="0.2">
      <c r="AA2814" s="146"/>
      <c r="AB2814" s="108"/>
      <c r="AC2814" s="147"/>
    </row>
    <row r="2815" spans="27:29" x14ac:dyDescent="0.2">
      <c r="AA2815" s="146"/>
      <c r="AB2815" s="108"/>
      <c r="AC2815" s="147"/>
    </row>
    <row r="2816" spans="27:29" x14ac:dyDescent="0.2">
      <c r="AA2816" s="146"/>
      <c r="AB2816" s="108"/>
      <c r="AC2816" s="147"/>
    </row>
    <row r="2817" spans="27:29" x14ac:dyDescent="0.2">
      <c r="AA2817" s="146"/>
      <c r="AB2817" s="108"/>
      <c r="AC2817" s="147"/>
    </row>
    <row r="2818" spans="27:29" x14ac:dyDescent="0.2">
      <c r="AA2818" s="146"/>
      <c r="AB2818" s="108"/>
      <c r="AC2818" s="147"/>
    </row>
    <row r="2819" spans="27:29" x14ac:dyDescent="0.2">
      <c r="AA2819" s="146"/>
      <c r="AB2819" s="108"/>
      <c r="AC2819" s="147"/>
    </row>
    <row r="2820" spans="27:29" x14ac:dyDescent="0.2">
      <c r="AA2820" s="146"/>
      <c r="AB2820" s="108"/>
      <c r="AC2820" s="147"/>
    </row>
    <row r="2821" spans="27:29" x14ac:dyDescent="0.2">
      <c r="AA2821" s="146"/>
      <c r="AB2821" s="108"/>
      <c r="AC2821" s="147"/>
    </row>
    <row r="2822" spans="27:29" x14ac:dyDescent="0.2">
      <c r="AA2822" s="146"/>
      <c r="AB2822" s="108"/>
      <c r="AC2822" s="147"/>
    </row>
    <row r="2823" spans="27:29" x14ac:dyDescent="0.2">
      <c r="AA2823" s="146"/>
      <c r="AB2823" s="108"/>
      <c r="AC2823" s="147"/>
    </row>
    <row r="2824" spans="27:29" x14ac:dyDescent="0.2">
      <c r="AA2824" s="146"/>
      <c r="AB2824" s="108"/>
      <c r="AC2824" s="147"/>
    </row>
    <row r="2825" spans="27:29" ht="17" thickBot="1" x14ac:dyDescent="0.25">
      <c r="AA2825" s="140"/>
      <c r="AB2825" s="141"/>
      <c r="AC2825" s="142"/>
    </row>
    <row r="2826" spans="27:29" ht="17" thickTop="1" x14ac:dyDescent="0.2">
      <c r="AA2826" s="146"/>
      <c r="AB2826" s="108"/>
      <c r="AC2826" s="147"/>
    </row>
    <row r="2827" spans="27:29" x14ac:dyDescent="0.2">
      <c r="AA2827" s="146"/>
      <c r="AB2827" s="108"/>
      <c r="AC2827" s="147"/>
    </row>
    <row r="2828" spans="27:29" x14ac:dyDescent="0.2">
      <c r="AA2828" s="146"/>
      <c r="AB2828" s="108"/>
      <c r="AC2828" s="147"/>
    </row>
    <row r="2829" spans="27:29" x14ac:dyDescent="0.2">
      <c r="AA2829" s="146"/>
      <c r="AB2829" s="108"/>
      <c r="AC2829" s="147"/>
    </row>
    <row r="2830" spans="27:29" x14ac:dyDescent="0.2">
      <c r="AA2830" s="146"/>
      <c r="AB2830" s="108"/>
      <c r="AC2830" s="147"/>
    </row>
    <row r="2831" spans="27:29" x14ac:dyDescent="0.2">
      <c r="AA2831" s="146"/>
      <c r="AB2831" s="108"/>
      <c r="AC2831" s="147"/>
    </row>
    <row r="2832" spans="27:29" x14ac:dyDescent="0.2">
      <c r="AA2832" s="146"/>
      <c r="AB2832" s="108"/>
      <c r="AC2832" s="147"/>
    </row>
    <row r="2833" spans="27:29" x14ac:dyDescent="0.2">
      <c r="AA2833" s="146"/>
      <c r="AB2833" s="108"/>
      <c r="AC2833" s="147"/>
    </row>
    <row r="2834" spans="27:29" x14ac:dyDescent="0.2">
      <c r="AA2834" s="146"/>
      <c r="AB2834" s="108"/>
      <c r="AC2834" s="147"/>
    </row>
    <row r="2835" spans="27:29" x14ac:dyDescent="0.2">
      <c r="AA2835" s="146"/>
      <c r="AB2835" s="108"/>
      <c r="AC2835" s="147"/>
    </row>
    <row r="2836" spans="27:29" x14ac:dyDescent="0.2">
      <c r="AA2836" s="146"/>
      <c r="AB2836" s="108"/>
      <c r="AC2836" s="147"/>
    </row>
    <row r="2837" spans="27:29" x14ac:dyDescent="0.2">
      <c r="AA2837" s="146"/>
      <c r="AB2837" s="108"/>
      <c r="AC2837" s="147"/>
    </row>
    <row r="2838" spans="27:29" x14ac:dyDescent="0.2">
      <c r="AA2838" s="146"/>
      <c r="AB2838" s="108"/>
      <c r="AC2838" s="147"/>
    </row>
    <row r="2839" spans="27:29" x14ac:dyDescent="0.2">
      <c r="AA2839" s="146"/>
      <c r="AB2839" s="108"/>
      <c r="AC2839" s="147"/>
    </row>
    <row r="2840" spans="27:29" x14ac:dyDescent="0.2">
      <c r="AA2840" s="146"/>
      <c r="AB2840" s="108"/>
      <c r="AC2840" s="147"/>
    </row>
    <row r="2841" spans="27:29" x14ac:dyDescent="0.2">
      <c r="AA2841" s="146"/>
      <c r="AB2841" s="108"/>
      <c r="AC2841" s="147"/>
    </row>
    <row r="2842" spans="27:29" x14ac:dyDescent="0.2">
      <c r="AA2842" s="146"/>
      <c r="AB2842" s="108"/>
      <c r="AC2842" s="147"/>
    </row>
    <row r="2843" spans="27:29" x14ac:dyDescent="0.2">
      <c r="AA2843" s="146"/>
      <c r="AB2843" s="108"/>
      <c r="AC2843" s="147"/>
    </row>
    <row r="2844" spans="27:29" x14ac:dyDescent="0.2">
      <c r="AA2844" s="146"/>
      <c r="AB2844" s="108"/>
      <c r="AC2844" s="147"/>
    </row>
    <row r="2845" spans="27:29" x14ac:dyDescent="0.2">
      <c r="AA2845" s="146"/>
      <c r="AB2845" s="108"/>
      <c r="AC2845" s="147"/>
    </row>
    <row r="2846" spans="27:29" x14ac:dyDescent="0.2">
      <c r="AA2846" s="146"/>
      <c r="AB2846" s="108"/>
      <c r="AC2846" s="147"/>
    </row>
    <row r="2847" spans="27:29" ht="17" thickBot="1" x14ac:dyDescent="0.25">
      <c r="AA2847" s="140"/>
      <c r="AB2847" s="141"/>
      <c r="AC2847" s="142"/>
    </row>
    <row r="2848" spans="27:29" ht="17" thickTop="1" x14ac:dyDescent="0.2">
      <c r="AA2848" s="146"/>
      <c r="AB2848" s="108"/>
      <c r="AC2848" s="147"/>
    </row>
    <row r="2849" spans="27:29" x14ac:dyDescent="0.2">
      <c r="AA2849" s="146"/>
      <c r="AB2849" s="108"/>
      <c r="AC2849" s="147"/>
    </row>
    <row r="2850" spans="27:29" x14ac:dyDescent="0.2">
      <c r="AA2850" s="146"/>
      <c r="AB2850" s="108"/>
      <c r="AC2850" s="147"/>
    </row>
    <row r="2851" spans="27:29" x14ac:dyDescent="0.2">
      <c r="AA2851" s="146"/>
      <c r="AB2851" s="108"/>
      <c r="AC2851" s="147"/>
    </row>
    <row r="2852" spans="27:29" x14ac:dyDescent="0.2">
      <c r="AA2852" s="146"/>
      <c r="AB2852" s="108"/>
      <c r="AC2852" s="147"/>
    </row>
    <row r="2853" spans="27:29" x14ac:dyDescent="0.2">
      <c r="AA2853" s="146"/>
      <c r="AB2853" s="108"/>
      <c r="AC2853" s="147"/>
    </row>
    <row r="2854" spans="27:29" x14ac:dyDescent="0.2">
      <c r="AA2854" s="146"/>
      <c r="AB2854" s="108"/>
      <c r="AC2854" s="147"/>
    </row>
    <row r="2855" spans="27:29" x14ac:dyDescent="0.2">
      <c r="AA2855" s="146"/>
      <c r="AB2855" s="108"/>
      <c r="AC2855" s="147"/>
    </row>
    <row r="2856" spans="27:29" x14ac:dyDescent="0.2">
      <c r="AA2856" s="146"/>
      <c r="AB2856" s="108"/>
      <c r="AC2856" s="147"/>
    </row>
    <row r="2857" spans="27:29" x14ac:dyDescent="0.2">
      <c r="AA2857" s="146"/>
      <c r="AB2857" s="108"/>
      <c r="AC2857" s="147"/>
    </row>
    <row r="2858" spans="27:29" x14ac:dyDescent="0.2">
      <c r="AA2858" s="146"/>
      <c r="AB2858" s="108"/>
      <c r="AC2858" s="147"/>
    </row>
    <row r="2859" spans="27:29" x14ac:dyDescent="0.2">
      <c r="AA2859" s="146"/>
      <c r="AB2859" s="108"/>
      <c r="AC2859" s="147"/>
    </row>
    <row r="2860" spans="27:29" x14ac:dyDescent="0.2">
      <c r="AA2860" s="146"/>
      <c r="AB2860" s="108"/>
      <c r="AC2860" s="147"/>
    </row>
    <row r="2861" spans="27:29" x14ac:dyDescent="0.2">
      <c r="AA2861" s="146"/>
      <c r="AB2861" s="108"/>
      <c r="AC2861" s="147"/>
    </row>
    <row r="2862" spans="27:29" x14ac:dyDescent="0.2">
      <c r="AA2862" s="146"/>
      <c r="AB2862" s="108"/>
      <c r="AC2862" s="147"/>
    </row>
    <row r="2863" spans="27:29" x14ac:dyDescent="0.2">
      <c r="AA2863" s="146"/>
      <c r="AB2863" s="108"/>
      <c r="AC2863" s="147"/>
    </row>
    <row r="2864" spans="27:29" x14ac:dyDescent="0.2">
      <c r="AA2864" s="146"/>
      <c r="AB2864" s="108"/>
      <c r="AC2864" s="147"/>
    </row>
    <row r="2865" spans="27:29" x14ac:dyDescent="0.2">
      <c r="AA2865" s="146"/>
      <c r="AB2865" s="108"/>
      <c r="AC2865" s="147"/>
    </row>
    <row r="2866" spans="27:29" x14ac:dyDescent="0.2">
      <c r="AA2866" s="146"/>
      <c r="AB2866" s="108"/>
      <c r="AC2866" s="147"/>
    </row>
    <row r="2867" spans="27:29" x14ac:dyDescent="0.2">
      <c r="AA2867" s="146"/>
      <c r="AB2867" s="108"/>
      <c r="AC2867" s="147"/>
    </row>
    <row r="2868" spans="27:29" x14ac:dyDescent="0.2">
      <c r="AA2868" s="146"/>
      <c r="AB2868" s="108"/>
      <c r="AC2868" s="147"/>
    </row>
    <row r="2869" spans="27:29" ht="17" thickBot="1" x14ac:dyDescent="0.25">
      <c r="AA2869" s="140"/>
      <c r="AB2869" s="141"/>
      <c r="AC2869" s="142"/>
    </row>
    <row r="2870" spans="27:29" ht="17" thickTop="1" x14ac:dyDescent="0.2">
      <c r="AA2870" s="146"/>
      <c r="AB2870" s="108"/>
      <c r="AC2870" s="147"/>
    </row>
    <row r="2871" spans="27:29" x14ac:dyDescent="0.2">
      <c r="AA2871" s="146"/>
      <c r="AB2871" s="108"/>
      <c r="AC2871" s="147"/>
    </row>
    <row r="2872" spans="27:29" x14ac:dyDescent="0.2">
      <c r="AA2872" s="146"/>
      <c r="AB2872" s="108"/>
      <c r="AC2872" s="147"/>
    </row>
    <row r="2873" spans="27:29" x14ac:dyDescent="0.2">
      <c r="AA2873" s="146"/>
      <c r="AB2873" s="108"/>
      <c r="AC2873" s="147"/>
    </row>
    <row r="2874" spans="27:29" x14ac:dyDescent="0.2">
      <c r="AA2874" s="146"/>
      <c r="AB2874" s="108"/>
      <c r="AC2874" s="147"/>
    </row>
    <row r="2875" spans="27:29" x14ac:dyDescent="0.2">
      <c r="AA2875" s="146"/>
      <c r="AB2875" s="108"/>
      <c r="AC2875" s="147"/>
    </row>
    <row r="2876" spans="27:29" x14ac:dyDescent="0.2">
      <c r="AA2876" s="146"/>
      <c r="AB2876" s="108"/>
      <c r="AC2876" s="147"/>
    </row>
    <row r="2877" spans="27:29" x14ac:dyDescent="0.2">
      <c r="AA2877" s="146"/>
      <c r="AB2877" s="108"/>
      <c r="AC2877" s="147"/>
    </row>
    <row r="2878" spans="27:29" x14ac:dyDescent="0.2">
      <c r="AA2878" s="146"/>
      <c r="AB2878" s="108"/>
      <c r="AC2878" s="147"/>
    </row>
    <row r="2879" spans="27:29" x14ac:dyDescent="0.2">
      <c r="AA2879" s="146"/>
      <c r="AB2879" s="108"/>
      <c r="AC2879" s="147"/>
    </row>
    <row r="2880" spans="27:29" x14ac:dyDescent="0.2">
      <c r="AA2880" s="146"/>
      <c r="AB2880" s="108"/>
      <c r="AC2880" s="147"/>
    </row>
    <row r="2881" spans="27:29" x14ac:dyDescent="0.2">
      <c r="AA2881" s="146"/>
      <c r="AB2881" s="108"/>
      <c r="AC2881" s="147"/>
    </row>
    <row r="2882" spans="27:29" x14ac:dyDescent="0.2">
      <c r="AA2882" s="146"/>
      <c r="AB2882" s="108"/>
      <c r="AC2882" s="147"/>
    </row>
    <row r="2883" spans="27:29" x14ac:dyDescent="0.2">
      <c r="AA2883" s="146"/>
      <c r="AB2883" s="108"/>
      <c r="AC2883" s="147"/>
    </row>
    <row r="2884" spans="27:29" x14ac:dyDescent="0.2">
      <c r="AA2884" s="146"/>
      <c r="AB2884" s="108"/>
      <c r="AC2884" s="147"/>
    </row>
    <row r="2885" spans="27:29" x14ac:dyDescent="0.2">
      <c r="AA2885" s="146"/>
      <c r="AB2885" s="108"/>
      <c r="AC2885" s="147"/>
    </row>
    <row r="2886" spans="27:29" x14ac:dyDescent="0.2">
      <c r="AA2886" s="146"/>
      <c r="AB2886" s="108"/>
      <c r="AC2886" s="147"/>
    </row>
    <row r="2887" spans="27:29" x14ac:dyDescent="0.2">
      <c r="AA2887" s="146"/>
      <c r="AB2887" s="108"/>
      <c r="AC2887" s="147"/>
    </row>
    <row r="2888" spans="27:29" x14ac:dyDescent="0.2">
      <c r="AA2888" s="146"/>
      <c r="AB2888" s="108"/>
      <c r="AC2888" s="147"/>
    </row>
    <row r="2889" spans="27:29" x14ac:dyDescent="0.2">
      <c r="AA2889" s="146"/>
      <c r="AB2889" s="108"/>
      <c r="AC2889" s="147"/>
    </row>
    <row r="2890" spans="27:29" x14ac:dyDescent="0.2">
      <c r="AA2890" s="146"/>
      <c r="AB2890" s="108"/>
      <c r="AC2890" s="147"/>
    </row>
    <row r="2891" spans="27:29" ht="17" thickBot="1" x14ac:dyDescent="0.25">
      <c r="AA2891" s="140"/>
      <c r="AB2891" s="141"/>
      <c r="AC2891" s="142"/>
    </row>
    <row r="2892" spans="27:29" ht="17" thickTop="1" x14ac:dyDescent="0.2">
      <c r="AA2892" s="146"/>
      <c r="AB2892" s="108"/>
      <c r="AC2892" s="147"/>
    </row>
    <row r="2893" spans="27:29" x14ac:dyDescent="0.2">
      <c r="AA2893" s="146"/>
      <c r="AB2893" s="108"/>
      <c r="AC2893" s="147"/>
    </row>
    <row r="2894" spans="27:29" x14ac:dyDescent="0.2">
      <c r="AA2894" s="146"/>
      <c r="AB2894" s="108"/>
      <c r="AC2894" s="147"/>
    </row>
    <row r="2895" spans="27:29" x14ac:dyDescent="0.2">
      <c r="AA2895" s="146"/>
      <c r="AB2895" s="108"/>
      <c r="AC2895" s="147"/>
    </row>
    <row r="2896" spans="27:29" x14ac:dyDescent="0.2">
      <c r="AA2896" s="146"/>
      <c r="AB2896" s="108"/>
      <c r="AC2896" s="147"/>
    </row>
    <row r="2897" spans="27:29" x14ac:dyDescent="0.2">
      <c r="AA2897" s="146"/>
      <c r="AB2897" s="108"/>
      <c r="AC2897" s="147"/>
    </row>
    <row r="2898" spans="27:29" x14ac:dyDescent="0.2">
      <c r="AA2898" s="146"/>
      <c r="AB2898" s="108"/>
      <c r="AC2898" s="147"/>
    </row>
    <row r="2899" spans="27:29" x14ac:dyDescent="0.2">
      <c r="AA2899" s="146"/>
      <c r="AB2899" s="108"/>
      <c r="AC2899" s="147"/>
    </row>
    <row r="2900" spans="27:29" x14ac:dyDescent="0.2">
      <c r="AA2900" s="146"/>
      <c r="AB2900" s="108"/>
      <c r="AC2900" s="147"/>
    </row>
    <row r="2901" spans="27:29" x14ac:dyDescent="0.2">
      <c r="AA2901" s="146"/>
      <c r="AB2901" s="108"/>
      <c r="AC2901" s="147"/>
    </row>
    <row r="2902" spans="27:29" x14ac:dyDescent="0.2">
      <c r="AA2902" s="146"/>
      <c r="AB2902" s="108"/>
      <c r="AC2902" s="147"/>
    </row>
    <row r="2903" spans="27:29" x14ac:dyDescent="0.2">
      <c r="AA2903" s="146"/>
      <c r="AB2903" s="108"/>
      <c r="AC2903" s="147"/>
    </row>
    <row r="2904" spans="27:29" x14ac:dyDescent="0.2">
      <c r="AA2904" s="146"/>
      <c r="AB2904" s="108"/>
      <c r="AC2904" s="147"/>
    </row>
    <row r="2905" spans="27:29" x14ac:dyDescent="0.2">
      <c r="AA2905" s="146"/>
      <c r="AB2905" s="108"/>
      <c r="AC2905" s="147"/>
    </row>
    <row r="2906" spans="27:29" x14ac:dyDescent="0.2">
      <c r="AA2906" s="146"/>
      <c r="AB2906" s="108"/>
      <c r="AC2906" s="147"/>
    </row>
    <row r="2907" spans="27:29" x14ac:dyDescent="0.2">
      <c r="AA2907" s="146"/>
      <c r="AB2907" s="108"/>
      <c r="AC2907" s="147"/>
    </row>
    <row r="2908" spans="27:29" x14ac:dyDescent="0.2">
      <c r="AA2908" s="146"/>
      <c r="AB2908" s="108"/>
      <c r="AC2908" s="147"/>
    </row>
    <row r="2909" spans="27:29" x14ac:dyDescent="0.2">
      <c r="AA2909" s="146"/>
      <c r="AB2909" s="108"/>
      <c r="AC2909" s="147"/>
    </row>
    <row r="2910" spans="27:29" x14ac:dyDescent="0.2">
      <c r="AA2910" s="146"/>
      <c r="AB2910" s="108"/>
      <c r="AC2910" s="147"/>
    </row>
    <row r="2911" spans="27:29" x14ac:dyDescent="0.2">
      <c r="AA2911" s="146"/>
      <c r="AB2911" s="108"/>
      <c r="AC2911" s="147"/>
    </row>
    <row r="2912" spans="27:29" x14ac:dyDescent="0.2">
      <c r="AA2912" s="146"/>
      <c r="AB2912" s="108"/>
      <c r="AC2912" s="147"/>
    </row>
    <row r="2913" spans="27:29" ht="17" thickBot="1" x14ac:dyDescent="0.25">
      <c r="AA2913" s="140"/>
      <c r="AB2913" s="141"/>
      <c r="AC2913" s="142"/>
    </row>
    <row r="2914" spans="27:29" ht="17" thickTop="1" x14ac:dyDescent="0.2">
      <c r="AA2914" s="146"/>
      <c r="AB2914" s="108"/>
      <c r="AC2914" s="147"/>
    </row>
    <row r="2915" spans="27:29" x14ac:dyDescent="0.2">
      <c r="AA2915" s="146"/>
      <c r="AB2915" s="108"/>
      <c r="AC2915" s="147"/>
    </row>
    <row r="2916" spans="27:29" x14ac:dyDescent="0.2">
      <c r="AA2916" s="146"/>
      <c r="AB2916" s="108"/>
      <c r="AC2916" s="147"/>
    </row>
    <row r="2917" spans="27:29" x14ac:dyDescent="0.2">
      <c r="AA2917" s="146"/>
      <c r="AB2917" s="108"/>
      <c r="AC2917" s="147"/>
    </row>
    <row r="2918" spans="27:29" x14ac:dyDescent="0.2">
      <c r="AA2918" s="146"/>
      <c r="AB2918" s="108"/>
      <c r="AC2918" s="147"/>
    </row>
    <row r="2919" spans="27:29" x14ac:dyDescent="0.2">
      <c r="AA2919" s="146"/>
      <c r="AB2919" s="108"/>
      <c r="AC2919" s="147"/>
    </row>
    <row r="2920" spans="27:29" x14ac:dyDescent="0.2">
      <c r="AA2920" s="146"/>
      <c r="AB2920" s="108"/>
      <c r="AC2920" s="147"/>
    </row>
    <row r="2921" spans="27:29" x14ac:dyDescent="0.2">
      <c r="AA2921" s="146"/>
      <c r="AB2921" s="108"/>
      <c r="AC2921" s="147"/>
    </row>
    <row r="2922" spans="27:29" x14ac:dyDescent="0.2">
      <c r="AA2922" s="146"/>
      <c r="AB2922" s="108"/>
      <c r="AC2922" s="147"/>
    </row>
    <row r="2923" spans="27:29" x14ac:dyDescent="0.2">
      <c r="AA2923" s="146"/>
      <c r="AB2923" s="108"/>
      <c r="AC2923" s="147"/>
    </row>
    <row r="2924" spans="27:29" x14ac:dyDescent="0.2">
      <c r="AA2924" s="146"/>
      <c r="AB2924" s="108"/>
      <c r="AC2924" s="147"/>
    </row>
    <row r="2925" spans="27:29" x14ac:dyDescent="0.2">
      <c r="AA2925" s="146"/>
      <c r="AB2925" s="108"/>
      <c r="AC2925" s="147"/>
    </row>
    <row r="2926" spans="27:29" x14ac:dyDescent="0.2">
      <c r="AA2926" s="146"/>
      <c r="AB2926" s="108"/>
      <c r="AC2926" s="147"/>
    </row>
    <row r="2927" spans="27:29" x14ac:dyDescent="0.2">
      <c r="AA2927" s="146"/>
      <c r="AB2927" s="108"/>
      <c r="AC2927" s="147"/>
    </row>
    <row r="2928" spans="27:29" x14ac:dyDescent="0.2">
      <c r="AA2928" s="146"/>
      <c r="AB2928" s="108"/>
      <c r="AC2928" s="147"/>
    </row>
    <row r="2929" spans="27:29" x14ac:dyDescent="0.2">
      <c r="AA2929" s="146"/>
      <c r="AB2929" s="108"/>
      <c r="AC2929" s="147"/>
    </row>
    <row r="2930" spans="27:29" x14ac:dyDescent="0.2">
      <c r="AA2930" s="146"/>
      <c r="AB2930" s="108"/>
      <c r="AC2930" s="147"/>
    </row>
    <row r="2931" spans="27:29" x14ac:dyDescent="0.2">
      <c r="AA2931" s="146"/>
      <c r="AB2931" s="108"/>
      <c r="AC2931" s="147"/>
    </row>
    <row r="2932" spans="27:29" x14ac:dyDescent="0.2">
      <c r="AA2932" s="146"/>
      <c r="AB2932" s="108"/>
      <c r="AC2932" s="147"/>
    </row>
    <row r="2933" spans="27:29" x14ac:dyDescent="0.2">
      <c r="AA2933" s="146"/>
      <c r="AB2933" s="108"/>
      <c r="AC2933" s="147"/>
    </row>
    <row r="2934" spans="27:29" x14ac:dyDescent="0.2">
      <c r="AA2934" s="146"/>
      <c r="AB2934" s="108"/>
      <c r="AC2934" s="147"/>
    </row>
    <row r="2935" spans="27:29" ht="17" thickBot="1" x14ac:dyDescent="0.25">
      <c r="AA2935" s="140"/>
      <c r="AB2935" s="141"/>
      <c r="AC2935" s="142"/>
    </row>
    <row r="2936" spans="27:29" ht="17" thickTop="1" x14ac:dyDescent="0.2">
      <c r="AA2936" s="146"/>
      <c r="AB2936" s="108"/>
      <c r="AC2936" s="147"/>
    </row>
    <row r="2937" spans="27:29" x14ac:dyDescent="0.2">
      <c r="AA2937" s="146"/>
      <c r="AB2937" s="108"/>
      <c r="AC2937" s="147"/>
    </row>
    <row r="2938" spans="27:29" x14ac:dyDescent="0.2">
      <c r="AA2938" s="146"/>
      <c r="AB2938" s="108"/>
      <c r="AC2938" s="147"/>
    </row>
    <row r="2939" spans="27:29" x14ac:dyDescent="0.2">
      <c r="AA2939" s="146"/>
      <c r="AB2939" s="108"/>
      <c r="AC2939" s="147"/>
    </row>
    <row r="2940" spans="27:29" x14ac:dyDescent="0.2">
      <c r="AA2940" s="146"/>
      <c r="AB2940" s="108"/>
      <c r="AC2940" s="147"/>
    </row>
    <row r="2941" spans="27:29" x14ac:dyDescent="0.2">
      <c r="AA2941" s="146"/>
      <c r="AB2941" s="108"/>
      <c r="AC2941" s="147"/>
    </row>
    <row r="2942" spans="27:29" x14ac:dyDescent="0.2">
      <c r="AA2942" s="146"/>
      <c r="AB2942" s="108"/>
      <c r="AC2942" s="147"/>
    </row>
    <row r="2943" spans="27:29" x14ac:dyDescent="0.2">
      <c r="AA2943" s="146"/>
      <c r="AB2943" s="108"/>
      <c r="AC2943" s="147"/>
    </row>
    <row r="2944" spans="27:29" x14ac:dyDescent="0.2">
      <c r="AA2944" s="146"/>
      <c r="AB2944" s="108"/>
      <c r="AC2944" s="147"/>
    </row>
    <row r="2945" spans="27:29" x14ac:dyDescent="0.2">
      <c r="AA2945" s="146"/>
      <c r="AB2945" s="108"/>
      <c r="AC2945" s="147"/>
    </row>
    <row r="2946" spans="27:29" x14ac:dyDescent="0.2">
      <c r="AA2946" s="146"/>
      <c r="AB2946" s="108"/>
      <c r="AC2946" s="147"/>
    </row>
    <row r="2947" spans="27:29" x14ac:dyDescent="0.2">
      <c r="AA2947" s="146"/>
      <c r="AB2947" s="108"/>
      <c r="AC2947" s="147"/>
    </row>
    <row r="2948" spans="27:29" x14ac:dyDescent="0.2">
      <c r="AA2948" s="146"/>
      <c r="AB2948" s="108"/>
      <c r="AC2948" s="147"/>
    </row>
    <row r="2949" spans="27:29" x14ac:dyDescent="0.2">
      <c r="AA2949" s="146"/>
      <c r="AB2949" s="108"/>
      <c r="AC2949" s="147"/>
    </row>
    <row r="2950" spans="27:29" x14ac:dyDescent="0.2">
      <c r="AA2950" s="146"/>
      <c r="AB2950" s="108"/>
      <c r="AC2950" s="147"/>
    </row>
    <row r="2951" spans="27:29" x14ac:dyDescent="0.2">
      <c r="AA2951" s="146"/>
      <c r="AB2951" s="108"/>
      <c r="AC2951" s="147"/>
    </row>
    <row r="2952" spans="27:29" x14ac:dyDescent="0.2">
      <c r="AA2952" s="146"/>
      <c r="AB2952" s="108"/>
      <c r="AC2952" s="147"/>
    </row>
    <row r="2953" spans="27:29" x14ac:dyDescent="0.2">
      <c r="AA2953" s="146"/>
      <c r="AB2953" s="108"/>
      <c r="AC2953" s="147"/>
    </row>
    <row r="2954" spans="27:29" x14ac:dyDescent="0.2">
      <c r="AA2954" s="146"/>
      <c r="AB2954" s="108"/>
      <c r="AC2954" s="147"/>
    </row>
    <row r="2955" spans="27:29" x14ac:dyDescent="0.2">
      <c r="AA2955" s="146"/>
      <c r="AB2955" s="108"/>
      <c r="AC2955" s="147"/>
    </row>
    <row r="2956" spans="27:29" x14ac:dyDescent="0.2">
      <c r="AA2956" s="146"/>
      <c r="AB2956" s="108"/>
      <c r="AC2956" s="147"/>
    </row>
    <row r="2957" spans="27:29" ht="17" thickBot="1" x14ac:dyDescent="0.25">
      <c r="AA2957" s="140"/>
      <c r="AB2957" s="141"/>
      <c r="AC2957" s="142"/>
    </row>
    <row r="2958" spans="27:29" ht="17" thickTop="1" x14ac:dyDescent="0.2">
      <c r="AA2958" s="146"/>
      <c r="AB2958" s="108"/>
      <c r="AC2958" s="147"/>
    </row>
    <row r="2959" spans="27:29" x14ac:dyDescent="0.2">
      <c r="AA2959" s="146"/>
      <c r="AB2959" s="108"/>
      <c r="AC2959" s="147"/>
    </row>
    <row r="2960" spans="27:29" x14ac:dyDescent="0.2">
      <c r="AA2960" s="146"/>
      <c r="AB2960" s="108"/>
      <c r="AC2960" s="147"/>
    </row>
    <row r="2961" spans="27:29" x14ac:dyDescent="0.2">
      <c r="AA2961" s="146"/>
      <c r="AB2961" s="108"/>
      <c r="AC2961" s="147"/>
    </row>
    <row r="2962" spans="27:29" x14ac:dyDescent="0.2">
      <c r="AA2962" s="146"/>
      <c r="AB2962" s="108"/>
      <c r="AC2962" s="147"/>
    </row>
    <row r="2963" spans="27:29" x14ac:dyDescent="0.2">
      <c r="AA2963" s="146"/>
      <c r="AB2963" s="108"/>
      <c r="AC2963" s="147"/>
    </row>
    <row r="2964" spans="27:29" x14ac:dyDescent="0.2">
      <c r="AA2964" s="146"/>
      <c r="AB2964" s="108"/>
      <c r="AC2964" s="147"/>
    </row>
    <row r="2965" spans="27:29" x14ac:dyDescent="0.2">
      <c r="AA2965" s="146"/>
      <c r="AB2965" s="108"/>
      <c r="AC2965" s="147"/>
    </row>
    <row r="2966" spans="27:29" x14ac:dyDescent="0.2">
      <c r="AA2966" s="146"/>
      <c r="AB2966" s="108"/>
      <c r="AC2966" s="147"/>
    </row>
    <row r="2967" spans="27:29" x14ac:dyDescent="0.2">
      <c r="AA2967" s="146"/>
      <c r="AB2967" s="108"/>
      <c r="AC2967" s="147"/>
    </row>
    <row r="2968" spans="27:29" x14ac:dyDescent="0.2">
      <c r="AA2968" s="146"/>
      <c r="AB2968" s="108"/>
      <c r="AC2968" s="147"/>
    </row>
    <row r="2969" spans="27:29" x14ac:dyDescent="0.2">
      <c r="AA2969" s="146"/>
      <c r="AB2969" s="108"/>
      <c r="AC2969" s="147"/>
    </row>
    <row r="2970" spans="27:29" x14ac:dyDescent="0.2">
      <c r="AA2970" s="146"/>
      <c r="AB2970" s="108"/>
      <c r="AC2970" s="147"/>
    </row>
    <row r="2971" spans="27:29" x14ac:dyDescent="0.2">
      <c r="AA2971" s="146"/>
      <c r="AB2971" s="108"/>
      <c r="AC2971" s="147"/>
    </row>
    <row r="2972" spans="27:29" x14ac:dyDescent="0.2">
      <c r="AA2972" s="146"/>
      <c r="AB2972" s="108"/>
      <c r="AC2972" s="147"/>
    </row>
    <row r="2973" spans="27:29" x14ac:dyDescent="0.2">
      <c r="AA2973" s="146"/>
      <c r="AB2973" s="108"/>
      <c r="AC2973" s="147"/>
    </row>
    <row r="2974" spans="27:29" x14ac:dyDescent="0.2">
      <c r="AA2974" s="146"/>
      <c r="AB2974" s="108"/>
      <c r="AC2974" s="147"/>
    </row>
    <row r="2975" spans="27:29" x14ac:dyDescent="0.2">
      <c r="AA2975" s="146"/>
      <c r="AB2975" s="108"/>
      <c r="AC2975" s="147"/>
    </row>
    <row r="2976" spans="27:29" x14ac:dyDescent="0.2">
      <c r="AA2976" s="146"/>
      <c r="AB2976" s="108"/>
      <c r="AC2976" s="147"/>
    </row>
    <row r="2977" spans="27:29" x14ac:dyDescent="0.2">
      <c r="AA2977" s="146"/>
      <c r="AB2977" s="108"/>
      <c r="AC2977" s="147"/>
    </row>
    <row r="2978" spans="27:29" x14ac:dyDescent="0.2">
      <c r="AA2978" s="146"/>
      <c r="AB2978" s="108"/>
      <c r="AC2978" s="147"/>
    </row>
    <row r="2979" spans="27:29" ht="17" thickBot="1" x14ac:dyDescent="0.25">
      <c r="AA2979" s="140"/>
      <c r="AB2979" s="141"/>
      <c r="AC2979" s="142"/>
    </row>
    <row r="2980" spans="27:29" ht="17" thickTop="1" x14ac:dyDescent="0.2">
      <c r="AA2980" s="146"/>
      <c r="AB2980" s="108"/>
      <c r="AC2980" s="147"/>
    </row>
    <row r="2981" spans="27:29" x14ac:dyDescent="0.2">
      <c r="AA2981" s="146"/>
      <c r="AB2981" s="108"/>
      <c r="AC2981" s="147"/>
    </row>
    <row r="2982" spans="27:29" x14ac:dyDescent="0.2">
      <c r="AA2982" s="146"/>
      <c r="AB2982" s="108"/>
      <c r="AC2982" s="147"/>
    </row>
    <row r="2983" spans="27:29" x14ac:dyDescent="0.2">
      <c r="AA2983" s="146"/>
      <c r="AB2983" s="108"/>
      <c r="AC2983" s="147"/>
    </row>
    <row r="2984" spans="27:29" x14ac:dyDescent="0.2">
      <c r="AA2984" s="146"/>
      <c r="AB2984" s="108"/>
      <c r="AC2984" s="147"/>
    </row>
    <row r="2985" spans="27:29" x14ac:dyDescent="0.2">
      <c r="AA2985" s="146"/>
      <c r="AB2985" s="108"/>
      <c r="AC2985" s="147"/>
    </row>
    <row r="2986" spans="27:29" x14ac:dyDescent="0.2">
      <c r="AA2986" s="146"/>
      <c r="AB2986" s="108"/>
      <c r="AC2986" s="147"/>
    </row>
    <row r="2987" spans="27:29" x14ac:dyDescent="0.2">
      <c r="AA2987" s="146"/>
      <c r="AB2987" s="108"/>
      <c r="AC2987" s="147"/>
    </row>
    <row r="2988" spans="27:29" x14ac:dyDescent="0.2">
      <c r="AA2988" s="146"/>
      <c r="AB2988" s="108"/>
      <c r="AC2988" s="147"/>
    </row>
    <row r="2989" spans="27:29" x14ac:dyDescent="0.2">
      <c r="AA2989" s="146"/>
      <c r="AB2989" s="108"/>
      <c r="AC2989" s="147"/>
    </row>
    <row r="2990" spans="27:29" x14ac:dyDescent="0.2">
      <c r="AA2990" s="146"/>
      <c r="AB2990" s="108"/>
      <c r="AC2990" s="147"/>
    </row>
    <row r="2991" spans="27:29" x14ac:dyDescent="0.2">
      <c r="AA2991" s="146"/>
      <c r="AB2991" s="108"/>
      <c r="AC2991" s="147"/>
    </row>
    <row r="2992" spans="27:29" x14ac:dyDescent="0.2">
      <c r="AA2992" s="146"/>
      <c r="AB2992" s="108"/>
      <c r="AC2992" s="147"/>
    </row>
    <row r="2993" spans="27:29" x14ac:dyDescent="0.2">
      <c r="AA2993" s="146"/>
      <c r="AB2993" s="108"/>
      <c r="AC2993" s="147"/>
    </row>
    <row r="2994" spans="27:29" x14ac:dyDescent="0.2">
      <c r="AA2994" s="146"/>
      <c r="AB2994" s="108"/>
      <c r="AC2994" s="147"/>
    </row>
    <row r="2995" spans="27:29" x14ac:dyDescent="0.2">
      <c r="AA2995" s="146"/>
      <c r="AB2995" s="108"/>
      <c r="AC2995" s="147"/>
    </row>
    <row r="2996" spans="27:29" x14ac:dyDescent="0.2">
      <c r="AA2996" s="146"/>
      <c r="AB2996" s="108"/>
      <c r="AC2996" s="147"/>
    </row>
    <row r="2997" spans="27:29" x14ac:dyDescent="0.2">
      <c r="AA2997" s="146"/>
      <c r="AB2997" s="108"/>
      <c r="AC2997" s="147"/>
    </row>
    <row r="2998" spans="27:29" x14ac:dyDescent="0.2">
      <c r="AA2998" s="146"/>
      <c r="AB2998" s="108"/>
      <c r="AC2998" s="147"/>
    </row>
    <row r="2999" spans="27:29" x14ac:dyDescent="0.2">
      <c r="AA2999" s="146"/>
      <c r="AB2999" s="108"/>
      <c r="AC2999" s="147"/>
    </row>
    <row r="3000" spans="27:29" x14ac:dyDescent="0.2">
      <c r="AA3000" s="146"/>
      <c r="AB3000" s="108"/>
      <c r="AC3000" s="147"/>
    </row>
    <row r="3001" spans="27:29" ht="17" thickBot="1" x14ac:dyDescent="0.25">
      <c r="AA3001" s="140"/>
      <c r="AB3001" s="141"/>
      <c r="AC3001" s="142"/>
    </row>
    <row r="3002" spans="27:29" ht="17" thickTop="1" x14ac:dyDescent="0.2">
      <c r="AA3002" s="146"/>
      <c r="AB3002" s="108"/>
      <c r="AC3002" s="147"/>
    </row>
    <row r="3003" spans="27:29" x14ac:dyDescent="0.2">
      <c r="AA3003" s="146"/>
      <c r="AB3003" s="108"/>
      <c r="AC3003" s="147"/>
    </row>
    <row r="3004" spans="27:29" x14ac:dyDescent="0.2">
      <c r="AA3004" s="146"/>
      <c r="AB3004" s="108"/>
      <c r="AC3004" s="147"/>
    </row>
    <row r="3005" spans="27:29" x14ac:dyDescent="0.2">
      <c r="AA3005" s="146"/>
      <c r="AB3005" s="108"/>
      <c r="AC3005" s="147"/>
    </row>
    <row r="3006" spans="27:29" x14ac:dyDescent="0.2">
      <c r="AA3006" s="146"/>
      <c r="AB3006" s="108"/>
      <c r="AC3006" s="147"/>
    </row>
    <row r="3007" spans="27:29" x14ac:dyDescent="0.2">
      <c r="AA3007" s="146"/>
      <c r="AB3007" s="108"/>
      <c r="AC3007" s="147"/>
    </row>
    <row r="3008" spans="27:29" x14ac:dyDescent="0.2">
      <c r="AA3008" s="146"/>
      <c r="AB3008" s="108"/>
      <c r="AC3008" s="147"/>
    </row>
    <row r="3009" spans="27:29" x14ac:dyDescent="0.2">
      <c r="AA3009" s="146"/>
      <c r="AB3009" s="108"/>
      <c r="AC3009" s="147"/>
    </row>
    <row r="3010" spans="27:29" x14ac:dyDescent="0.2">
      <c r="AA3010" s="146"/>
      <c r="AB3010" s="108"/>
      <c r="AC3010" s="147"/>
    </row>
    <row r="3011" spans="27:29" x14ac:dyDescent="0.2">
      <c r="AA3011" s="146"/>
      <c r="AB3011" s="108"/>
      <c r="AC3011" s="147"/>
    </row>
    <row r="3012" spans="27:29" x14ac:dyDescent="0.2">
      <c r="AA3012" s="146"/>
      <c r="AB3012" s="108"/>
      <c r="AC3012" s="147"/>
    </row>
    <row r="3013" spans="27:29" x14ac:dyDescent="0.2">
      <c r="AA3013" s="146"/>
      <c r="AB3013" s="108"/>
      <c r="AC3013" s="147"/>
    </row>
    <row r="3014" spans="27:29" x14ac:dyDescent="0.2">
      <c r="AA3014" s="146"/>
      <c r="AB3014" s="108"/>
      <c r="AC3014" s="147"/>
    </row>
    <row r="3015" spans="27:29" x14ac:dyDescent="0.2">
      <c r="AA3015" s="146"/>
      <c r="AB3015" s="108"/>
      <c r="AC3015" s="147"/>
    </row>
    <row r="3016" spans="27:29" x14ac:dyDescent="0.2">
      <c r="AA3016" s="146"/>
      <c r="AB3016" s="108"/>
      <c r="AC3016" s="147"/>
    </row>
    <row r="3017" spans="27:29" x14ac:dyDescent="0.2">
      <c r="AA3017" s="146"/>
      <c r="AB3017" s="108"/>
      <c r="AC3017" s="147"/>
    </row>
    <row r="3018" spans="27:29" x14ac:dyDescent="0.2">
      <c r="AA3018" s="146"/>
      <c r="AB3018" s="108"/>
      <c r="AC3018" s="147"/>
    </row>
    <row r="3019" spans="27:29" x14ac:dyDescent="0.2">
      <c r="AA3019" s="146"/>
      <c r="AB3019" s="108"/>
      <c r="AC3019" s="147"/>
    </row>
    <row r="3020" spans="27:29" x14ac:dyDescent="0.2">
      <c r="AA3020" s="146"/>
      <c r="AB3020" s="108"/>
      <c r="AC3020" s="147"/>
    </row>
    <row r="3021" spans="27:29" x14ac:dyDescent="0.2">
      <c r="AA3021" s="146"/>
      <c r="AB3021" s="108"/>
      <c r="AC3021" s="147"/>
    </row>
    <row r="3022" spans="27:29" x14ac:dyDescent="0.2">
      <c r="AA3022" s="146"/>
      <c r="AB3022" s="108"/>
      <c r="AC3022" s="147"/>
    </row>
    <row r="3023" spans="27:29" ht="17" thickBot="1" x14ac:dyDescent="0.25">
      <c r="AA3023" s="140"/>
      <c r="AB3023" s="141"/>
      <c r="AC3023" s="142"/>
    </row>
    <row r="3024" spans="27:29" ht="17" thickTop="1" x14ac:dyDescent="0.2">
      <c r="AA3024" s="146"/>
      <c r="AB3024" s="108"/>
      <c r="AC3024" s="147"/>
    </row>
    <row r="3025" spans="27:29" x14ac:dyDescent="0.2">
      <c r="AA3025" s="146"/>
      <c r="AB3025" s="108"/>
      <c r="AC3025" s="147"/>
    </row>
    <row r="3026" spans="27:29" x14ac:dyDescent="0.2">
      <c r="AA3026" s="146"/>
      <c r="AB3026" s="108"/>
      <c r="AC3026" s="147"/>
    </row>
    <row r="3027" spans="27:29" x14ac:dyDescent="0.2">
      <c r="AA3027" s="146"/>
      <c r="AB3027" s="108"/>
      <c r="AC3027" s="147"/>
    </row>
    <row r="3028" spans="27:29" x14ac:dyDescent="0.2">
      <c r="AA3028" s="146"/>
      <c r="AB3028" s="108"/>
      <c r="AC3028" s="147"/>
    </row>
    <row r="3029" spans="27:29" x14ac:dyDescent="0.2">
      <c r="AA3029" s="146"/>
      <c r="AB3029" s="108"/>
      <c r="AC3029" s="147"/>
    </row>
    <row r="3030" spans="27:29" x14ac:dyDescent="0.2">
      <c r="AA3030" s="146"/>
      <c r="AB3030" s="108"/>
      <c r="AC3030" s="147"/>
    </row>
    <row r="3031" spans="27:29" x14ac:dyDescent="0.2">
      <c r="AA3031" s="146"/>
      <c r="AB3031" s="108"/>
      <c r="AC3031" s="147"/>
    </row>
    <row r="3032" spans="27:29" x14ac:dyDescent="0.2">
      <c r="AA3032" s="146"/>
      <c r="AB3032" s="108"/>
      <c r="AC3032" s="147"/>
    </row>
    <row r="3033" spans="27:29" x14ac:dyDescent="0.2">
      <c r="AA3033" s="146"/>
      <c r="AB3033" s="108"/>
      <c r="AC3033" s="147"/>
    </row>
    <row r="3034" spans="27:29" x14ac:dyDescent="0.2">
      <c r="AA3034" s="146"/>
      <c r="AB3034" s="108"/>
      <c r="AC3034" s="147"/>
    </row>
    <row r="3035" spans="27:29" x14ac:dyDescent="0.2">
      <c r="AA3035" s="146"/>
      <c r="AB3035" s="108"/>
      <c r="AC3035" s="147"/>
    </row>
    <row r="3036" spans="27:29" x14ac:dyDescent="0.2">
      <c r="AA3036" s="146"/>
      <c r="AB3036" s="108"/>
      <c r="AC3036" s="147"/>
    </row>
    <row r="3037" spans="27:29" x14ac:dyDescent="0.2">
      <c r="AA3037" s="146"/>
      <c r="AB3037" s="108"/>
      <c r="AC3037" s="147"/>
    </row>
    <row r="3038" spans="27:29" x14ac:dyDescent="0.2">
      <c r="AA3038" s="146"/>
      <c r="AB3038" s="108"/>
      <c r="AC3038" s="147"/>
    </row>
    <row r="3039" spans="27:29" x14ac:dyDescent="0.2">
      <c r="AA3039" s="146"/>
      <c r="AB3039" s="108"/>
      <c r="AC3039" s="147"/>
    </row>
    <row r="3040" spans="27:29" x14ac:dyDescent="0.2">
      <c r="AA3040" s="146"/>
      <c r="AB3040" s="108"/>
      <c r="AC3040" s="147"/>
    </row>
    <row r="3041" spans="27:29" x14ac:dyDescent="0.2">
      <c r="AA3041" s="146"/>
      <c r="AB3041" s="108"/>
      <c r="AC3041" s="147"/>
    </row>
    <row r="3042" spans="27:29" x14ac:dyDescent="0.2">
      <c r="AA3042" s="146"/>
      <c r="AB3042" s="108"/>
      <c r="AC3042" s="147"/>
    </row>
    <row r="3043" spans="27:29" x14ac:dyDescent="0.2">
      <c r="AA3043" s="146"/>
      <c r="AB3043" s="108"/>
      <c r="AC3043" s="147"/>
    </row>
    <row r="3044" spans="27:29" x14ac:dyDescent="0.2">
      <c r="AA3044" s="146"/>
      <c r="AB3044" s="108"/>
      <c r="AC3044" s="147"/>
    </row>
    <row r="3045" spans="27:29" ht="17" thickBot="1" x14ac:dyDescent="0.25">
      <c r="AA3045" s="148"/>
      <c r="AB3045" s="112"/>
      <c r="AC3045" s="149"/>
    </row>
    <row r="3046" spans="27:29" x14ac:dyDescent="0.2">
      <c r="AA3046" s="154"/>
      <c r="AB3046" s="155"/>
      <c r="AC3046" s="156"/>
    </row>
    <row r="3047" spans="27:29" x14ac:dyDescent="0.2">
      <c r="AA3047" s="154"/>
      <c r="AB3047" s="155"/>
      <c r="AC3047" s="156"/>
    </row>
    <row r="3048" spans="27:29" x14ac:dyDescent="0.2">
      <c r="AA3048" s="154"/>
      <c r="AB3048" s="155"/>
      <c r="AC3048" s="156"/>
    </row>
    <row r="3049" spans="27:29" x14ac:dyDescent="0.2">
      <c r="AA3049" s="154"/>
      <c r="AB3049" s="155"/>
      <c r="AC3049" s="156"/>
    </row>
    <row r="3050" spans="27:29" x14ac:dyDescent="0.2">
      <c r="AA3050" s="154"/>
      <c r="AB3050" s="155"/>
      <c r="AC3050" s="156"/>
    </row>
    <row r="3051" spans="27:29" x14ac:dyDescent="0.2">
      <c r="AA3051" s="154"/>
      <c r="AB3051" s="155"/>
      <c r="AC3051" s="156"/>
    </row>
    <row r="3052" spans="27:29" x14ac:dyDescent="0.2">
      <c r="AA3052" s="154"/>
      <c r="AB3052" s="155"/>
      <c r="AC3052" s="156"/>
    </row>
    <row r="3053" spans="27:29" x14ac:dyDescent="0.2">
      <c r="AA3053" s="154"/>
      <c r="AB3053" s="155"/>
      <c r="AC3053" s="156"/>
    </row>
    <row r="3054" spans="27:29" x14ac:dyDescent="0.2">
      <c r="AA3054" s="154"/>
      <c r="AB3054" s="155"/>
      <c r="AC3054" s="156"/>
    </row>
    <row r="3055" spans="27:29" x14ac:dyDescent="0.2">
      <c r="AA3055" s="154"/>
      <c r="AB3055" s="155"/>
      <c r="AC3055" s="156"/>
    </row>
    <row r="3056" spans="27:29" x14ac:dyDescent="0.2">
      <c r="AA3056" s="154"/>
      <c r="AB3056" s="155"/>
      <c r="AC3056" s="156"/>
    </row>
    <row r="3057" spans="27:29" x14ac:dyDescent="0.2">
      <c r="AA3057" s="154"/>
      <c r="AB3057" s="155"/>
      <c r="AC3057" s="156"/>
    </row>
    <row r="3058" spans="27:29" x14ac:dyDescent="0.2">
      <c r="AA3058" s="154"/>
      <c r="AB3058" s="155"/>
      <c r="AC3058" s="156"/>
    </row>
    <row r="3059" spans="27:29" x14ac:dyDescent="0.2">
      <c r="AA3059" s="154"/>
      <c r="AB3059" s="155"/>
      <c r="AC3059" s="156"/>
    </row>
    <row r="3060" spans="27:29" x14ac:dyDescent="0.2">
      <c r="AA3060" s="154"/>
      <c r="AB3060" s="155"/>
      <c r="AC3060" s="156"/>
    </row>
    <row r="3061" spans="27:29" x14ac:dyDescent="0.2">
      <c r="AA3061" s="154"/>
      <c r="AB3061" s="155"/>
      <c r="AC3061" s="156"/>
    </row>
    <row r="3062" spans="27:29" x14ac:dyDescent="0.2">
      <c r="AA3062" s="154"/>
      <c r="AB3062" s="155"/>
      <c r="AC3062" s="156"/>
    </row>
    <row r="3063" spans="27:29" x14ac:dyDescent="0.2">
      <c r="AA3063" s="154"/>
      <c r="AB3063" s="155"/>
      <c r="AC3063" s="156"/>
    </row>
    <row r="3064" spans="27:29" x14ac:dyDescent="0.2">
      <c r="AA3064" s="154"/>
      <c r="AB3064" s="155"/>
      <c r="AC3064" s="156"/>
    </row>
    <row r="3065" spans="27:29" x14ac:dyDescent="0.2">
      <c r="AA3065" s="154"/>
      <c r="AB3065" s="155"/>
      <c r="AC3065" s="156"/>
    </row>
    <row r="3066" spans="27:29" x14ac:dyDescent="0.2">
      <c r="AA3066" s="154"/>
      <c r="AB3066" s="155"/>
      <c r="AC3066" s="156"/>
    </row>
    <row r="3067" spans="27:29" x14ac:dyDescent="0.2">
      <c r="AA3067" s="154"/>
      <c r="AB3067" s="155"/>
      <c r="AC3067" s="156"/>
    </row>
    <row r="3068" spans="27:29" x14ac:dyDescent="0.2">
      <c r="AA3068" s="154"/>
      <c r="AB3068" s="155"/>
      <c r="AC3068" s="156"/>
    </row>
    <row r="3069" spans="27:29" ht="17" thickBot="1" x14ac:dyDescent="0.25">
      <c r="AA3069" s="157"/>
      <c r="AB3069" s="158"/>
      <c r="AC3069" s="159"/>
    </row>
    <row r="3070" spans="27:29" ht="17" thickTop="1" x14ac:dyDescent="0.2">
      <c r="AA3070" s="154"/>
      <c r="AB3070" s="155"/>
      <c r="AC3070" s="156"/>
    </row>
    <row r="3071" spans="27:29" x14ac:dyDescent="0.2">
      <c r="AA3071" s="154"/>
      <c r="AB3071" s="155"/>
      <c r="AC3071" s="156"/>
    </row>
    <row r="3072" spans="27:29" x14ac:dyDescent="0.2">
      <c r="AA3072" s="154"/>
      <c r="AB3072" s="155"/>
      <c r="AC3072" s="156"/>
    </row>
    <row r="3073" spans="27:29" x14ac:dyDescent="0.2">
      <c r="AA3073" s="154"/>
      <c r="AB3073" s="155"/>
      <c r="AC3073" s="156"/>
    </row>
    <row r="3074" spans="27:29" x14ac:dyDescent="0.2">
      <c r="AA3074" s="154"/>
      <c r="AB3074" s="155"/>
      <c r="AC3074" s="156"/>
    </row>
    <row r="3075" spans="27:29" x14ac:dyDescent="0.2">
      <c r="AA3075" s="154"/>
      <c r="AB3075" s="155"/>
      <c r="AC3075" s="156"/>
    </row>
    <row r="3076" spans="27:29" x14ac:dyDescent="0.2">
      <c r="AA3076" s="154"/>
      <c r="AB3076" s="155"/>
      <c r="AC3076" s="156"/>
    </row>
    <row r="3077" spans="27:29" x14ac:dyDescent="0.2">
      <c r="AA3077" s="154"/>
      <c r="AB3077" s="155"/>
      <c r="AC3077" s="156"/>
    </row>
    <row r="3078" spans="27:29" x14ac:dyDescent="0.2">
      <c r="AA3078" s="154"/>
      <c r="AB3078" s="155"/>
      <c r="AC3078" s="156"/>
    </row>
    <row r="3079" spans="27:29" x14ac:dyDescent="0.2">
      <c r="AA3079" s="154"/>
      <c r="AB3079" s="155"/>
      <c r="AC3079" s="156"/>
    </row>
    <row r="3080" spans="27:29" x14ac:dyDescent="0.2">
      <c r="AA3080" s="154"/>
      <c r="AB3080" s="155"/>
      <c r="AC3080" s="156"/>
    </row>
    <row r="3081" spans="27:29" x14ac:dyDescent="0.2">
      <c r="AA3081" s="154"/>
      <c r="AB3081" s="155"/>
      <c r="AC3081" s="156"/>
    </row>
    <row r="3082" spans="27:29" x14ac:dyDescent="0.2">
      <c r="AA3082" s="154"/>
      <c r="AB3082" s="155"/>
      <c r="AC3082" s="156"/>
    </row>
    <row r="3083" spans="27:29" x14ac:dyDescent="0.2">
      <c r="AA3083" s="154"/>
      <c r="AB3083" s="155"/>
      <c r="AC3083" s="156"/>
    </row>
    <row r="3084" spans="27:29" x14ac:dyDescent="0.2">
      <c r="AA3084" s="154"/>
      <c r="AB3084" s="155"/>
      <c r="AC3084" s="156"/>
    </row>
    <row r="3085" spans="27:29" x14ac:dyDescent="0.2">
      <c r="AA3085" s="154"/>
      <c r="AB3085" s="155"/>
      <c r="AC3085" s="156"/>
    </row>
    <row r="3086" spans="27:29" x14ac:dyDescent="0.2">
      <c r="AA3086" s="154"/>
      <c r="AB3086" s="155"/>
      <c r="AC3086" s="156"/>
    </row>
    <row r="3087" spans="27:29" x14ac:dyDescent="0.2">
      <c r="AA3087" s="154"/>
      <c r="AB3087" s="155"/>
      <c r="AC3087" s="156"/>
    </row>
    <row r="3088" spans="27:29" x14ac:dyDescent="0.2">
      <c r="AA3088" s="154"/>
      <c r="AB3088" s="155"/>
      <c r="AC3088" s="156"/>
    </row>
    <row r="3089" spans="27:29" x14ac:dyDescent="0.2">
      <c r="AA3089" s="154"/>
      <c r="AB3089" s="155"/>
      <c r="AC3089" s="156"/>
    </row>
    <row r="3090" spans="27:29" x14ac:dyDescent="0.2">
      <c r="AA3090" s="154"/>
      <c r="AB3090" s="155"/>
      <c r="AC3090" s="156"/>
    </row>
    <row r="3091" spans="27:29" x14ac:dyDescent="0.2">
      <c r="AA3091" s="154"/>
      <c r="AB3091" s="155"/>
      <c r="AC3091" s="156"/>
    </row>
    <row r="3092" spans="27:29" x14ac:dyDescent="0.2">
      <c r="AA3092" s="154"/>
      <c r="AB3092" s="155"/>
      <c r="AC3092" s="156"/>
    </row>
    <row r="3093" spans="27:29" ht="17" thickBot="1" x14ac:dyDescent="0.25">
      <c r="AA3093" s="157"/>
      <c r="AB3093" s="158"/>
      <c r="AC3093" s="159"/>
    </row>
    <row r="3094" spans="27:29" ht="17" thickTop="1" x14ac:dyDescent="0.2"/>
  </sheetData>
  <phoneticPr fontId="6" type="noConversion"/>
  <hyperlinks>
    <hyperlink ref="D1260" r:id="rId1" display="L@" xr:uid="{BB85C2C4-6EC0-6141-99CE-87C147A8B2BB}"/>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E2E20-CD3E-7D43-A549-90209D9CC7DE}">
  <dimension ref="D21:Q23"/>
  <sheetViews>
    <sheetView workbookViewId="0">
      <selection activeCell="C23" sqref="C23"/>
    </sheetView>
  </sheetViews>
  <sheetFormatPr baseColWidth="10" defaultRowHeight="16" x14ac:dyDescent="0.2"/>
  <sheetData>
    <row r="21" spans="4:17" x14ac:dyDescent="0.2">
      <c r="D21" s="164" t="s">
        <v>633</v>
      </c>
      <c r="E21" s="164"/>
      <c r="F21" s="164" t="s">
        <v>634</v>
      </c>
      <c r="G21" s="164"/>
      <c r="H21" s="164" t="s">
        <v>635</v>
      </c>
      <c r="I21" s="164"/>
      <c r="J21" s="164" t="s">
        <v>636</v>
      </c>
      <c r="K21" s="164"/>
      <c r="L21" s="164" t="s">
        <v>637</v>
      </c>
      <c r="M21" s="164"/>
      <c r="N21" s="164" t="s">
        <v>638</v>
      </c>
      <c r="O21" s="164"/>
      <c r="P21" s="164" t="s">
        <v>639</v>
      </c>
      <c r="Q21" s="164"/>
    </row>
    <row r="22" spans="4:17" x14ac:dyDescent="0.2">
      <c r="D22" s="9" t="s">
        <v>1</v>
      </c>
      <c r="E22" s="9" t="s">
        <v>0</v>
      </c>
      <c r="F22" s="9" t="s">
        <v>86</v>
      </c>
      <c r="G22" s="9" t="s">
        <v>187</v>
      </c>
      <c r="H22" s="9" t="s">
        <v>87</v>
      </c>
      <c r="I22" s="165" t="s">
        <v>188</v>
      </c>
      <c r="J22" s="9" t="s">
        <v>88</v>
      </c>
      <c r="K22" s="9" t="s">
        <v>189</v>
      </c>
      <c r="L22" s="9" t="s">
        <v>630</v>
      </c>
      <c r="M22" s="9" t="s">
        <v>631</v>
      </c>
      <c r="N22" s="9" t="s">
        <v>91</v>
      </c>
      <c r="O22" s="9" t="s">
        <v>190</v>
      </c>
      <c r="P22" s="9" t="s">
        <v>632</v>
      </c>
      <c r="Q22" s="165" t="s">
        <v>191</v>
      </c>
    </row>
    <row r="23" spans="4:17" x14ac:dyDescent="0.2">
      <c r="D23" s="166"/>
      <c r="E23" s="166"/>
      <c r="F23" s="166"/>
      <c r="G23" s="166"/>
    </row>
  </sheetData>
  <mergeCells count="7">
    <mergeCell ref="P21:Q21"/>
    <mergeCell ref="D21:E21"/>
    <mergeCell ref="F21:G21"/>
    <mergeCell ref="H21:I21"/>
    <mergeCell ref="J21:K21"/>
    <mergeCell ref="L21:M21"/>
    <mergeCell ref="N21:O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68DB3-591E-C44F-B3C6-5FBBE94486E3}">
  <dimension ref="D13:AC26"/>
  <sheetViews>
    <sheetView topLeftCell="L6" workbookViewId="0">
      <selection activeCell="AC24" sqref="AC24"/>
    </sheetView>
  </sheetViews>
  <sheetFormatPr baseColWidth="10" defaultRowHeight="16" x14ac:dyDescent="0.2"/>
  <cols>
    <col min="5" max="5" width="51.33203125" bestFit="1" customWidth="1"/>
  </cols>
  <sheetData>
    <row r="13" spans="4:29" x14ac:dyDescent="0.2">
      <c r="D13">
        <v>1</v>
      </c>
      <c r="E13">
        <v>2</v>
      </c>
      <c r="F13">
        <v>3</v>
      </c>
      <c r="G13">
        <f>F13+1</f>
        <v>4</v>
      </c>
      <c r="H13">
        <f t="shared" ref="H13:AC13" si="0">G13+1</f>
        <v>5</v>
      </c>
      <c r="I13">
        <f t="shared" si="0"/>
        <v>6</v>
      </c>
      <c r="J13">
        <f t="shared" si="0"/>
        <v>7</v>
      </c>
      <c r="K13">
        <f t="shared" si="0"/>
        <v>8</v>
      </c>
      <c r="L13">
        <f t="shared" si="0"/>
        <v>9</v>
      </c>
      <c r="M13">
        <f t="shared" si="0"/>
        <v>10</v>
      </c>
      <c r="N13">
        <f t="shared" si="0"/>
        <v>11</v>
      </c>
      <c r="O13">
        <f t="shared" si="0"/>
        <v>12</v>
      </c>
      <c r="P13">
        <f t="shared" si="0"/>
        <v>13</v>
      </c>
      <c r="Q13">
        <f t="shared" si="0"/>
        <v>14</v>
      </c>
      <c r="R13">
        <f t="shared" si="0"/>
        <v>15</v>
      </c>
      <c r="S13">
        <f t="shared" si="0"/>
        <v>16</v>
      </c>
      <c r="T13">
        <f t="shared" si="0"/>
        <v>17</v>
      </c>
      <c r="U13">
        <f t="shared" si="0"/>
        <v>18</v>
      </c>
      <c r="V13">
        <f t="shared" si="0"/>
        <v>19</v>
      </c>
      <c r="W13">
        <f t="shared" si="0"/>
        <v>20</v>
      </c>
      <c r="X13">
        <f t="shared" si="0"/>
        <v>21</v>
      </c>
      <c r="Y13">
        <f t="shared" si="0"/>
        <v>22</v>
      </c>
      <c r="Z13">
        <f t="shared" si="0"/>
        <v>23</v>
      </c>
      <c r="AA13">
        <f t="shared" si="0"/>
        <v>24</v>
      </c>
      <c r="AB13">
        <f t="shared" si="0"/>
        <v>25</v>
      </c>
      <c r="AC13">
        <f t="shared" si="0"/>
        <v>26</v>
      </c>
    </row>
    <row r="14" spans="4:29" ht="17" thickBot="1" x14ac:dyDescent="0.25">
      <c r="D14" t="s">
        <v>42</v>
      </c>
    </row>
    <row r="15" spans="4:29" x14ac:dyDescent="0.2">
      <c r="F15" s="103" t="s">
        <v>1</v>
      </c>
      <c r="G15" s="104"/>
      <c r="H15" s="104" t="s">
        <v>186</v>
      </c>
      <c r="I15" s="105"/>
      <c r="J15" s="103" t="s">
        <v>86</v>
      </c>
      <c r="K15" s="104"/>
      <c r="L15" s="104" t="s">
        <v>187</v>
      </c>
      <c r="M15" s="105"/>
      <c r="N15" s="114" t="s">
        <v>87</v>
      </c>
      <c r="O15" s="115"/>
      <c r="P15" s="173" t="s">
        <v>188</v>
      </c>
      <c r="Q15" s="174"/>
      <c r="R15" s="114" t="s">
        <v>88</v>
      </c>
      <c r="S15" s="115"/>
      <c r="T15" s="122" t="s">
        <v>189</v>
      </c>
      <c r="U15" s="123"/>
      <c r="V15" s="124" t="s">
        <v>89</v>
      </c>
      <c r="W15" s="122"/>
      <c r="X15" s="122" t="s">
        <v>190</v>
      </c>
      <c r="Y15" s="123"/>
      <c r="Z15" s="124" t="s">
        <v>91</v>
      </c>
      <c r="AA15" s="122"/>
      <c r="AB15" s="122" t="s">
        <v>191</v>
      </c>
      <c r="AC15" s="123"/>
    </row>
    <row r="16" spans="4:29" x14ac:dyDescent="0.2">
      <c r="D16" t="s">
        <v>19</v>
      </c>
      <c r="E16" t="s">
        <v>30</v>
      </c>
      <c r="F16" s="106">
        <v>0.12</v>
      </c>
      <c r="G16" s="107">
        <v>1</v>
      </c>
      <c r="H16" s="108">
        <v>0.12</v>
      </c>
      <c r="I16" s="109">
        <v>1</v>
      </c>
      <c r="J16" s="106">
        <v>0.12</v>
      </c>
      <c r="K16" s="107">
        <v>1</v>
      </c>
      <c r="L16" s="106">
        <v>0.12</v>
      </c>
      <c r="M16" s="107">
        <v>1</v>
      </c>
      <c r="N16" s="116">
        <v>0.12</v>
      </c>
      <c r="O16" s="117">
        <v>1</v>
      </c>
      <c r="P16" s="116">
        <v>0.12</v>
      </c>
      <c r="Q16" s="118">
        <v>1</v>
      </c>
      <c r="R16" s="116">
        <v>0.12</v>
      </c>
      <c r="S16" s="117">
        <v>1</v>
      </c>
      <c r="T16" s="125">
        <v>0.12</v>
      </c>
      <c r="U16" s="126">
        <v>1</v>
      </c>
      <c r="V16" s="125">
        <v>0.12</v>
      </c>
      <c r="W16" s="126">
        <v>1</v>
      </c>
      <c r="X16" s="125">
        <v>0.12</v>
      </c>
      <c r="Y16" s="126">
        <v>1</v>
      </c>
      <c r="Z16" s="125">
        <v>0.12</v>
      </c>
      <c r="AA16" s="126">
        <v>1</v>
      </c>
      <c r="AB16" s="125">
        <v>0.12</v>
      </c>
      <c r="AC16" s="126">
        <v>1</v>
      </c>
    </row>
    <row r="17" spans="4:29" x14ac:dyDescent="0.2">
      <c r="D17" t="s">
        <v>20</v>
      </c>
      <c r="E17" t="s">
        <v>31</v>
      </c>
      <c r="F17" s="106">
        <v>0.08</v>
      </c>
      <c r="G17" s="107">
        <v>0.8</v>
      </c>
      <c r="H17" s="108">
        <v>0.08</v>
      </c>
      <c r="I17" s="109">
        <v>0.8</v>
      </c>
      <c r="J17" s="106">
        <v>0.08</v>
      </c>
      <c r="K17" s="107">
        <v>0.8</v>
      </c>
      <c r="L17" s="106">
        <v>0.08</v>
      </c>
      <c r="M17" s="107">
        <v>0.8</v>
      </c>
      <c r="N17" s="116">
        <v>0.08</v>
      </c>
      <c r="O17" s="117">
        <v>0.9</v>
      </c>
      <c r="P17" s="116">
        <v>0.08</v>
      </c>
      <c r="Q17" s="118">
        <v>0.9</v>
      </c>
      <c r="R17" s="116">
        <v>0.08</v>
      </c>
      <c r="S17" s="117">
        <v>0.9</v>
      </c>
      <c r="T17" s="125">
        <v>0.08</v>
      </c>
      <c r="U17" s="126">
        <v>1</v>
      </c>
      <c r="V17" s="125">
        <v>0.08</v>
      </c>
      <c r="W17" s="126">
        <v>1</v>
      </c>
      <c r="X17" s="125">
        <v>0.08</v>
      </c>
      <c r="Y17" s="126">
        <v>1</v>
      </c>
      <c r="Z17" s="125">
        <v>0.08</v>
      </c>
      <c r="AA17" s="126">
        <v>1</v>
      </c>
      <c r="AB17" s="125">
        <v>0.08</v>
      </c>
      <c r="AC17" s="126">
        <v>1</v>
      </c>
    </row>
    <row r="18" spans="4:29" x14ac:dyDescent="0.2">
      <c r="D18" t="s">
        <v>21</v>
      </c>
      <c r="E18" t="s">
        <v>32</v>
      </c>
      <c r="F18" s="106">
        <v>0.05</v>
      </c>
      <c r="G18" s="107">
        <v>1</v>
      </c>
      <c r="H18" s="108">
        <v>0.05</v>
      </c>
      <c r="I18" s="109">
        <v>1</v>
      </c>
      <c r="J18" s="106">
        <v>0.05</v>
      </c>
      <c r="K18" s="107">
        <v>1</v>
      </c>
      <c r="L18" s="106">
        <v>0.05</v>
      </c>
      <c r="M18" s="107">
        <v>1</v>
      </c>
      <c r="N18" s="116">
        <v>0.05</v>
      </c>
      <c r="O18" s="117">
        <v>1</v>
      </c>
      <c r="P18" s="116">
        <v>0.05</v>
      </c>
      <c r="Q18" s="118">
        <v>1</v>
      </c>
      <c r="R18" s="116">
        <v>0.05</v>
      </c>
      <c r="S18" s="117">
        <v>1</v>
      </c>
      <c r="T18" s="125">
        <v>0.05</v>
      </c>
      <c r="U18" s="126">
        <v>1</v>
      </c>
      <c r="V18" s="125">
        <v>0.05</v>
      </c>
      <c r="W18" s="126">
        <v>1</v>
      </c>
      <c r="X18" s="125">
        <v>0.05</v>
      </c>
      <c r="Y18" s="126">
        <v>1</v>
      </c>
      <c r="Z18" s="125">
        <v>0.05</v>
      </c>
      <c r="AA18" s="126">
        <v>1</v>
      </c>
      <c r="AB18" s="125">
        <v>0.05</v>
      </c>
      <c r="AC18" s="126">
        <v>1</v>
      </c>
    </row>
    <row r="19" spans="4:29" x14ac:dyDescent="0.2">
      <c r="D19" t="s">
        <v>22</v>
      </c>
      <c r="E19" t="s">
        <v>33</v>
      </c>
      <c r="F19" s="106">
        <v>0.14000000000000001</v>
      </c>
      <c r="G19" s="107">
        <v>1</v>
      </c>
      <c r="H19" s="108">
        <v>0.14000000000000001</v>
      </c>
      <c r="I19" s="109">
        <v>1</v>
      </c>
      <c r="J19" s="106">
        <v>0.14000000000000001</v>
      </c>
      <c r="K19" s="107">
        <v>1</v>
      </c>
      <c r="L19" s="106">
        <v>0.14000000000000001</v>
      </c>
      <c r="M19" s="107">
        <v>1</v>
      </c>
      <c r="N19" s="116">
        <v>0.1</v>
      </c>
      <c r="O19" s="117">
        <v>1</v>
      </c>
      <c r="P19" s="116">
        <v>0.1</v>
      </c>
      <c r="Q19" s="118">
        <v>1</v>
      </c>
      <c r="R19" s="116">
        <v>0.1</v>
      </c>
      <c r="S19" s="117">
        <v>1</v>
      </c>
      <c r="T19" s="125">
        <v>0.1</v>
      </c>
      <c r="U19" s="126">
        <v>1</v>
      </c>
      <c r="V19" s="125">
        <v>0.1</v>
      </c>
      <c r="W19" s="126">
        <v>1</v>
      </c>
      <c r="X19" s="125">
        <v>0.1</v>
      </c>
      <c r="Y19" s="126">
        <v>1</v>
      </c>
      <c r="Z19" s="125">
        <v>0.1</v>
      </c>
      <c r="AA19" s="126">
        <v>1</v>
      </c>
      <c r="AB19" s="125">
        <v>0.1</v>
      </c>
      <c r="AC19" s="126">
        <v>1</v>
      </c>
    </row>
    <row r="20" spans="4:29" x14ac:dyDescent="0.2">
      <c r="D20" t="s">
        <v>34</v>
      </c>
      <c r="E20" t="s">
        <v>35</v>
      </c>
      <c r="F20" s="106">
        <v>0</v>
      </c>
      <c r="G20" s="107">
        <v>0</v>
      </c>
      <c r="H20" s="108">
        <v>0</v>
      </c>
      <c r="I20" s="109">
        <v>0</v>
      </c>
      <c r="J20" s="106">
        <v>0</v>
      </c>
      <c r="K20" s="107">
        <v>0</v>
      </c>
      <c r="L20" s="106">
        <v>0</v>
      </c>
      <c r="M20" s="107">
        <v>0</v>
      </c>
      <c r="N20" s="116">
        <v>0.08</v>
      </c>
      <c r="O20" s="117">
        <v>1</v>
      </c>
      <c r="P20" s="116">
        <v>0.08</v>
      </c>
      <c r="Q20" s="118">
        <v>1</v>
      </c>
      <c r="R20" s="116">
        <v>0.08</v>
      </c>
      <c r="S20" s="117">
        <v>1</v>
      </c>
      <c r="T20" s="125">
        <v>0.08</v>
      </c>
      <c r="U20" s="126">
        <v>1</v>
      </c>
      <c r="V20" s="125">
        <v>0.08</v>
      </c>
      <c r="W20" s="126">
        <v>1</v>
      </c>
      <c r="X20" s="125">
        <v>0.08</v>
      </c>
      <c r="Y20" s="126">
        <v>1</v>
      </c>
      <c r="Z20" s="125">
        <v>0.08</v>
      </c>
      <c r="AA20" s="126">
        <v>1</v>
      </c>
      <c r="AB20" s="125">
        <v>0.08</v>
      </c>
      <c r="AC20" s="126">
        <v>1</v>
      </c>
    </row>
    <row r="21" spans="4:29" x14ac:dyDescent="0.2">
      <c r="D21" t="s">
        <v>23</v>
      </c>
      <c r="E21" t="s">
        <v>36</v>
      </c>
      <c r="F21" s="106">
        <v>0.11</v>
      </c>
      <c r="G21" s="107">
        <v>1</v>
      </c>
      <c r="H21" s="108">
        <v>0.11</v>
      </c>
      <c r="I21" s="109">
        <v>1</v>
      </c>
      <c r="J21" s="106">
        <v>0.11</v>
      </c>
      <c r="K21" s="107">
        <v>1</v>
      </c>
      <c r="L21" s="106">
        <v>0.11</v>
      </c>
      <c r="M21" s="107">
        <v>1</v>
      </c>
      <c r="N21" s="116">
        <v>7.0000000000000007E-2</v>
      </c>
      <c r="O21" s="117">
        <v>1</v>
      </c>
      <c r="P21" s="116">
        <v>7.0000000000000007E-2</v>
      </c>
      <c r="Q21" s="118">
        <v>1</v>
      </c>
      <c r="R21" s="116">
        <v>7.0000000000000007E-2</v>
      </c>
      <c r="S21" s="117">
        <v>1</v>
      </c>
      <c r="T21" s="125">
        <v>7.0000000000000007E-2</v>
      </c>
      <c r="U21" s="126">
        <v>1</v>
      </c>
      <c r="V21" s="125">
        <v>7.0000000000000007E-2</v>
      </c>
      <c r="W21" s="126">
        <v>1</v>
      </c>
      <c r="X21" s="125">
        <v>7.0000000000000007E-2</v>
      </c>
      <c r="Y21" s="126">
        <v>1</v>
      </c>
      <c r="Z21" s="125">
        <v>7.0000000000000007E-2</v>
      </c>
      <c r="AA21" s="126">
        <v>1</v>
      </c>
      <c r="AB21" s="125">
        <v>7.0000000000000007E-2</v>
      </c>
      <c r="AC21" s="126">
        <v>1</v>
      </c>
    </row>
    <row r="22" spans="4:29" x14ac:dyDescent="0.2">
      <c r="D22" t="s">
        <v>24</v>
      </c>
      <c r="E22" t="s">
        <v>37</v>
      </c>
      <c r="F22" s="106">
        <v>0.15</v>
      </c>
      <c r="G22" s="107">
        <v>1</v>
      </c>
      <c r="H22" s="108">
        <v>0.15</v>
      </c>
      <c r="I22" s="109">
        <v>1</v>
      </c>
      <c r="J22" s="106">
        <v>0.15</v>
      </c>
      <c r="K22" s="107">
        <v>1</v>
      </c>
      <c r="L22" s="106">
        <v>0.15</v>
      </c>
      <c r="M22" s="107">
        <v>1</v>
      </c>
      <c r="N22" s="116">
        <v>0.15</v>
      </c>
      <c r="O22" s="117">
        <v>1</v>
      </c>
      <c r="P22" s="116">
        <v>0.15</v>
      </c>
      <c r="Q22" s="118">
        <v>1</v>
      </c>
      <c r="R22" s="116">
        <v>0.15</v>
      </c>
      <c r="S22" s="117">
        <v>1</v>
      </c>
      <c r="T22" s="125">
        <v>0.15</v>
      </c>
      <c r="U22" s="126">
        <v>1</v>
      </c>
      <c r="V22" s="125">
        <v>0.15</v>
      </c>
      <c r="W22" s="126">
        <v>1</v>
      </c>
      <c r="X22" s="125">
        <v>0.15</v>
      </c>
      <c r="Y22" s="126">
        <v>1</v>
      </c>
      <c r="Z22" s="125">
        <v>0.15</v>
      </c>
      <c r="AA22" s="126">
        <v>1</v>
      </c>
      <c r="AB22" s="125">
        <v>0.15</v>
      </c>
      <c r="AC22" s="126">
        <v>1</v>
      </c>
    </row>
    <row r="23" spans="4:29" x14ac:dyDescent="0.2">
      <c r="D23" t="s">
        <v>25</v>
      </c>
      <c r="E23" t="s">
        <v>38</v>
      </c>
      <c r="F23" s="106">
        <v>0.1</v>
      </c>
      <c r="G23" s="107">
        <v>1</v>
      </c>
      <c r="H23" s="108">
        <v>0.1</v>
      </c>
      <c r="I23" s="109">
        <v>1</v>
      </c>
      <c r="J23" s="106">
        <v>0.1</v>
      </c>
      <c r="K23" s="107">
        <v>1</v>
      </c>
      <c r="L23" s="106">
        <v>0.1</v>
      </c>
      <c r="M23" s="107">
        <v>1</v>
      </c>
      <c r="N23" s="116">
        <v>0.1</v>
      </c>
      <c r="O23" s="117">
        <v>1</v>
      </c>
      <c r="P23" s="116">
        <v>0.1</v>
      </c>
      <c r="Q23" s="118">
        <v>1</v>
      </c>
      <c r="R23" s="116">
        <v>0.1</v>
      </c>
      <c r="S23" s="117">
        <v>1</v>
      </c>
      <c r="T23" s="125">
        <v>0.1</v>
      </c>
      <c r="U23" s="126">
        <v>1</v>
      </c>
      <c r="V23" s="125">
        <v>0.1</v>
      </c>
      <c r="W23" s="126">
        <v>1</v>
      </c>
      <c r="X23" s="125">
        <v>0.1</v>
      </c>
      <c r="Y23" s="126">
        <v>1</v>
      </c>
      <c r="Z23" s="125">
        <v>0.1</v>
      </c>
      <c r="AA23" s="126">
        <v>1</v>
      </c>
      <c r="AB23" s="125">
        <v>0.1</v>
      </c>
      <c r="AC23" s="126">
        <v>1</v>
      </c>
    </row>
    <row r="24" spans="4:29" x14ac:dyDescent="0.2">
      <c r="D24" t="s">
        <v>26</v>
      </c>
      <c r="E24" t="s">
        <v>39</v>
      </c>
      <c r="F24" s="106">
        <v>0.1</v>
      </c>
      <c r="G24" s="107">
        <v>1</v>
      </c>
      <c r="H24" s="108">
        <v>0.1</v>
      </c>
      <c r="I24" s="109">
        <v>1</v>
      </c>
      <c r="J24" s="106">
        <v>0.1</v>
      </c>
      <c r="K24" s="107">
        <v>1</v>
      </c>
      <c r="L24" s="106">
        <v>0.1</v>
      </c>
      <c r="M24" s="107">
        <v>1</v>
      </c>
      <c r="N24" s="116">
        <v>0.1</v>
      </c>
      <c r="O24" s="117">
        <v>1</v>
      </c>
      <c r="P24" s="116">
        <v>0.1</v>
      </c>
      <c r="Q24" s="118">
        <v>1</v>
      </c>
      <c r="R24" s="116">
        <v>0.1</v>
      </c>
      <c r="S24" s="117">
        <v>1</v>
      </c>
      <c r="T24" s="125">
        <v>0.1</v>
      </c>
      <c r="U24" s="126">
        <v>1</v>
      </c>
      <c r="V24" s="125">
        <v>0.1</v>
      </c>
      <c r="W24" s="126">
        <v>1</v>
      </c>
      <c r="X24" s="125">
        <v>0.1</v>
      </c>
      <c r="Y24" s="126">
        <v>1</v>
      </c>
      <c r="Z24" s="125">
        <v>0.1</v>
      </c>
      <c r="AA24" s="126">
        <v>1</v>
      </c>
      <c r="AB24" s="125">
        <v>0.1</v>
      </c>
      <c r="AC24" s="126">
        <v>1</v>
      </c>
    </row>
    <row r="25" spans="4:29" x14ac:dyDescent="0.2">
      <c r="D25" t="s">
        <v>27</v>
      </c>
      <c r="E25" t="s">
        <v>40</v>
      </c>
      <c r="F25" s="106">
        <v>0.1</v>
      </c>
      <c r="G25" s="107">
        <v>0.85</v>
      </c>
      <c r="H25" s="108">
        <v>0.1</v>
      </c>
      <c r="I25" s="109">
        <v>0.85</v>
      </c>
      <c r="J25" s="106">
        <v>0.1</v>
      </c>
      <c r="K25" s="107">
        <v>0.85</v>
      </c>
      <c r="L25" s="106">
        <v>0.1</v>
      </c>
      <c r="M25" s="107">
        <v>0.85</v>
      </c>
      <c r="N25" s="116">
        <v>0.1</v>
      </c>
      <c r="O25" s="117">
        <v>0.9</v>
      </c>
      <c r="P25" s="116">
        <v>0.1</v>
      </c>
      <c r="Q25" s="118">
        <v>0.9</v>
      </c>
      <c r="R25" s="116">
        <v>0.1</v>
      </c>
      <c r="S25" s="117">
        <v>0.9</v>
      </c>
      <c r="T25" s="125">
        <v>0.1</v>
      </c>
      <c r="U25" s="126">
        <v>1</v>
      </c>
      <c r="V25" s="125">
        <v>0.1</v>
      </c>
      <c r="W25" s="126">
        <v>1</v>
      </c>
      <c r="X25" s="125">
        <v>0.1</v>
      </c>
      <c r="Y25" s="126">
        <v>1</v>
      </c>
      <c r="Z25" s="125">
        <v>0.1</v>
      </c>
      <c r="AA25" s="126">
        <v>1</v>
      </c>
      <c r="AB25" s="125">
        <v>0.1</v>
      </c>
      <c r="AC25" s="126">
        <v>1</v>
      </c>
    </row>
    <row r="26" spans="4:29" ht="17" thickBot="1" x14ac:dyDescent="0.25">
      <c r="D26" t="s">
        <v>28</v>
      </c>
      <c r="E26" t="s">
        <v>41</v>
      </c>
      <c r="F26" s="110">
        <v>0.05</v>
      </c>
      <c r="G26" s="111">
        <v>1</v>
      </c>
      <c r="H26" s="112">
        <v>0.05</v>
      </c>
      <c r="I26" s="113">
        <v>1</v>
      </c>
      <c r="J26" s="110">
        <v>0.05</v>
      </c>
      <c r="K26" s="111">
        <v>1</v>
      </c>
      <c r="L26" s="110">
        <v>0.05</v>
      </c>
      <c r="M26" s="111">
        <v>1</v>
      </c>
      <c r="N26" s="119">
        <v>0.05</v>
      </c>
      <c r="O26" s="120">
        <v>1</v>
      </c>
      <c r="P26" s="119">
        <v>0.05</v>
      </c>
      <c r="Q26" s="121">
        <v>1</v>
      </c>
      <c r="R26" s="119">
        <v>0.05</v>
      </c>
      <c r="S26" s="120">
        <v>1</v>
      </c>
      <c r="T26" s="127">
        <v>0.05</v>
      </c>
      <c r="U26" s="128">
        <v>1</v>
      </c>
      <c r="V26" s="127">
        <v>0.05</v>
      </c>
      <c r="W26" s="128">
        <v>1</v>
      </c>
      <c r="X26" s="127">
        <v>0.05</v>
      </c>
      <c r="Y26" s="128">
        <v>1</v>
      </c>
      <c r="Z26" s="127">
        <v>0.05</v>
      </c>
      <c r="AA26" s="128">
        <v>1</v>
      </c>
      <c r="AB26" s="127">
        <v>0.05</v>
      </c>
      <c r="AC26" s="128">
        <v>1</v>
      </c>
    </row>
  </sheetData>
  <mergeCells count="12">
    <mergeCell ref="F15:G15"/>
    <mergeCell ref="H15:I15"/>
    <mergeCell ref="J15:K15"/>
    <mergeCell ref="L15:M15"/>
    <mergeCell ref="N15:O15"/>
    <mergeCell ref="Z15:AA15"/>
    <mergeCell ref="AB15:AC15"/>
    <mergeCell ref="P15:Q15"/>
    <mergeCell ref="R15:S15"/>
    <mergeCell ref="T15:U15"/>
    <mergeCell ref="V15:W15"/>
    <mergeCell ref="X15:Y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98E9-4A65-B241-A426-256887840C62}">
  <dimension ref="A2:Q39"/>
  <sheetViews>
    <sheetView topLeftCell="I20" zoomScale="138" workbookViewId="0">
      <selection activeCell="T29" sqref="T29"/>
    </sheetView>
  </sheetViews>
  <sheetFormatPr baseColWidth="10" defaultRowHeight="16" x14ac:dyDescent="0.2"/>
  <cols>
    <col min="1" max="1" width="16.83203125" bestFit="1" customWidth="1"/>
    <col min="2" max="2" width="16" bestFit="1" customWidth="1"/>
    <col min="3" max="3" width="7" bestFit="1" customWidth="1"/>
    <col min="4" max="4" width="10.5" bestFit="1" customWidth="1"/>
  </cols>
  <sheetData>
    <row r="2" spans="1:4" x14ac:dyDescent="0.2">
      <c r="A2" s="12" t="s">
        <v>2</v>
      </c>
      <c r="B2" t="s">
        <v>1</v>
      </c>
    </row>
    <row r="4" spans="1:4" x14ac:dyDescent="0.2">
      <c r="A4" s="12" t="s">
        <v>95</v>
      </c>
      <c r="B4" s="12" t="s">
        <v>96</v>
      </c>
    </row>
    <row r="5" spans="1:4" x14ac:dyDescent="0.2">
      <c r="A5" s="12" t="s">
        <v>93</v>
      </c>
      <c r="B5" t="s">
        <v>17</v>
      </c>
      <c r="C5" t="s">
        <v>18</v>
      </c>
      <c r="D5" t="s">
        <v>94</v>
      </c>
    </row>
    <row r="6" spans="1:4" x14ac:dyDescent="0.2">
      <c r="A6" s="13" t="s">
        <v>15</v>
      </c>
      <c r="B6" s="8">
        <v>9</v>
      </c>
      <c r="C6" s="8">
        <v>10</v>
      </c>
      <c r="D6" s="8">
        <v>19</v>
      </c>
    </row>
    <row r="7" spans="1:4" x14ac:dyDescent="0.2">
      <c r="A7" s="13" t="s">
        <v>44</v>
      </c>
      <c r="B7" s="8">
        <v>3</v>
      </c>
      <c r="C7" s="8">
        <v>10</v>
      </c>
      <c r="D7" s="8">
        <v>13</v>
      </c>
    </row>
    <row r="8" spans="1:4" x14ac:dyDescent="0.2">
      <c r="A8" s="13" t="s">
        <v>47</v>
      </c>
      <c r="B8" s="8">
        <v>8</v>
      </c>
      <c r="C8" s="8">
        <v>9</v>
      </c>
      <c r="D8" s="8">
        <v>17</v>
      </c>
    </row>
    <row r="9" spans="1:4" x14ac:dyDescent="0.2">
      <c r="A9" s="13" t="s">
        <v>48</v>
      </c>
      <c r="B9" s="8">
        <v>1</v>
      </c>
      <c r="C9" s="8">
        <v>4</v>
      </c>
      <c r="D9" s="8">
        <v>5</v>
      </c>
    </row>
    <row r="10" spans="1:4" x14ac:dyDescent="0.2">
      <c r="A10" s="13" t="s">
        <v>50</v>
      </c>
      <c r="B10" s="8">
        <v>9</v>
      </c>
      <c r="C10" s="8">
        <v>10</v>
      </c>
      <c r="D10" s="8">
        <v>19</v>
      </c>
    </row>
    <row r="11" spans="1:4" x14ac:dyDescent="0.2">
      <c r="A11" s="13" t="s">
        <v>52</v>
      </c>
      <c r="B11" s="8">
        <v>11</v>
      </c>
      <c r="C11" s="8">
        <v>8</v>
      </c>
      <c r="D11" s="8">
        <v>19</v>
      </c>
    </row>
    <row r="12" spans="1:4" x14ac:dyDescent="0.2">
      <c r="A12" s="13" t="s">
        <v>54</v>
      </c>
      <c r="B12" s="8">
        <v>-6</v>
      </c>
      <c r="C12" s="8">
        <v>5</v>
      </c>
      <c r="D12" s="8">
        <v>-1</v>
      </c>
    </row>
    <row r="13" spans="1:4" x14ac:dyDescent="0.2">
      <c r="A13" s="13" t="s">
        <v>55</v>
      </c>
      <c r="B13" s="8">
        <v>11</v>
      </c>
      <c r="C13" s="8">
        <v>11</v>
      </c>
      <c r="D13" s="8">
        <v>22</v>
      </c>
    </row>
    <row r="14" spans="1:4" x14ac:dyDescent="0.2">
      <c r="A14" s="13" t="s">
        <v>57</v>
      </c>
      <c r="B14" s="8">
        <v>-5</v>
      </c>
      <c r="C14" s="8">
        <v>-5</v>
      </c>
      <c r="D14" s="8">
        <v>-10</v>
      </c>
    </row>
    <row r="15" spans="1:4" x14ac:dyDescent="0.2">
      <c r="A15" s="13" t="s">
        <v>59</v>
      </c>
      <c r="B15" s="8">
        <v>11</v>
      </c>
      <c r="C15" s="8">
        <v>11</v>
      </c>
      <c r="D15" s="8">
        <v>22</v>
      </c>
    </row>
    <row r="16" spans="1:4" x14ac:dyDescent="0.2">
      <c r="A16" s="13" t="s">
        <v>61</v>
      </c>
      <c r="B16" s="8">
        <v>0</v>
      </c>
      <c r="C16" s="8">
        <v>-4</v>
      </c>
      <c r="D16" s="8">
        <v>-4</v>
      </c>
    </row>
    <row r="17" spans="1:17" x14ac:dyDescent="0.2">
      <c r="A17" s="13" t="s">
        <v>63</v>
      </c>
      <c r="B17" s="8">
        <v>-3</v>
      </c>
      <c r="C17" s="8">
        <v>-7</v>
      </c>
      <c r="D17" s="8">
        <v>-10</v>
      </c>
    </row>
    <row r="18" spans="1:17" x14ac:dyDescent="0.2">
      <c r="A18" s="13" t="s">
        <v>66</v>
      </c>
      <c r="B18" s="8">
        <v>6</v>
      </c>
      <c r="C18" s="8">
        <v>1</v>
      </c>
      <c r="D18" s="8">
        <v>7</v>
      </c>
      <c r="G18" t="s">
        <v>2</v>
      </c>
      <c r="H18" t="s">
        <v>1</v>
      </c>
      <c r="L18" t="s">
        <v>2</v>
      </c>
      <c r="M18" t="s">
        <v>1</v>
      </c>
    </row>
    <row r="19" spans="1:17" x14ac:dyDescent="0.2">
      <c r="A19" s="13" t="s">
        <v>68</v>
      </c>
      <c r="B19" s="8">
        <v>-4</v>
      </c>
      <c r="C19" s="8">
        <v>-8</v>
      </c>
      <c r="D19" s="8">
        <v>-12</v>
      </c>
    </row>
    <row r="20" spans="1:17" x14ac:dyDescent="0.2">
      <c r="A20" s="13" t="s">
        <v>70</v>
      </c>
      <c r="B20" s="8">
        <v>5</v>
      </c>
      <c r="C20" s="8">
        <v>7</v>
      </c>
      <c r="D20" s="8">
        <v>12</v>
      </c>
      <c r="G20" t="s">
        <v>95</v>
      </c>
      <c r="H20" t="s">
        <v>96</v>
      </c>
      <c r="L20" t="s">
        <v>95</v>
      </c>
      <c r="M20" t="s">
        <v>96</v>
      </c>
    </row>
    <row r="21" spans="1:17" x14ac:dyDescent="0.2">
      <c r="A21" s="13" t="s">
        <v>72</v>
      </c>
      <c r="B21" s="8">
        <v>-5</v>
      </c>
      <c r="C21" s="8">
        <v>-1</v>
      </c>
      <c r="D21" s="8">
        <v>-6</v>
      </c>
      <c r="H21" t="s">
        <v>17</v>
      </c>
      <c r="I21" t="s">
        <v>18</v>
      </c>
      <c r="J21" t="s">
        <v>94</v>
      </c>
      <c r="M21" t="s">
        <v>17</v>
      </c>
      <c r="N21" t="s">
        <v>18</v>
      </c>
      <c r="O21" t="s">
        <v>94</v>
      </c>
    </row>
    <row r="22" spans="1:17" x14ac:dyDescent="0.2">
      <c r="A22" s="13" t="s">
        <v>94</v>
      </c>
      <c r="B22" s="8">
        <v>51</v>
      </c>
      <c r="C22" s="8">
        <v>61</v>
      </c>
      <c r="D22" s="8">
        <v>112</v>
      </c>
      <c r="G22" t="s">
        <v>15</v>
      </c>
      <c r="H22">
        <v>9</v>
      </c>
      <c r="I22">
        <v>10</v>
      </c>
      <c r="J22">
        <v>19</v>
      </c>
      <c r="K22">
        <f>J22/2</f>
        <v>9.5</v>
      </c>
      <c r="L22" t="s">
        <v>15</v>
      </c>
      <c r="M22">
        <v>0.78649999999999998</v>
      </c>
      <c r="N22">
        <v>0.91899999999999993</v>
      </c>
      <c r="O22">
        <v>1.7054999999999998</v>
      </c>
      <c r="P22">
        <f>O22/2</f>
        <v>0.8527499999999999</v>
      </c>
      <c r="Q22">
        <f>P22*10</f>
        <v>8.5274999999999999</v>
      </c>
    </row>
    <row r="23" spans="1:17" x14ac:dyDescent="0.2">
      <c r="G23" t="s">
        <v>44</v>
      </c>
      <c r="H23">
        <v>3</v>
      </c>
      <c r="I23">
        <v>10</v>
      </c>
      <c r="J23">
        <v>13</v>
      </c>
      <c r="K23">
        <f t="shared" ref="K23:K38" si="0">J23/2</f>
        <v>6.5</v>
      </c>
      <c r="L23" t="s">
        <v>44</v>
      </c>
      <c r="M23">
        <v>0.23399999999999999</v>
      </c>
      <c r="N23">
        <v>0.91899999999999993</v>
      </c>
      <c r="O23">
        <v>1.153</v>
      </c>
      <c r="P23">
        <f t="shared" ref="P23:P38" si="1">O23/2</f>
        <v>0.57650000000000001</v>
      </c>
      <c r="Q23">
        <f t="shared" ref="Q23:Q37" si="2">P23*10</f>
        <v>5.7650000000000006</v>
      </c>
    </row>
    <row r="24" spans="1:17" x14ac:dyDescent="0.2">
      <c r="G24" t="s">
        <v>47</v>
      </c>
      <c r="H24">
        <v>8</v>
      </c>
      <c r="I24">
        <v>9</v>
      </c>
      <c r="J24">
        <v>17</v>
      </c>
      <c r="K24">
        <f t="shared" si="0"/>
        <v>8.5</v>
      </c>
      <c r="L24" t="s">
        <v>47</v>
      </c>
      <c r="M24">
        <v>0.67899999999999994</v>
      </c>
      <c r="N24">
        <v>0.81899999999999995</v>
      </c>
      <c r="O24">
        <v>1.4979999999999998</v>
      </c>
      <c r="P24">
        <f t="shared" si="1"/>
        <v>0.74899999999999989</v>
      </c>
      <c r="Q24">
        <f t="shared" si="2"/>
        <v>7.4899999999999984</v>
      </c>
    </row>
    <row r="25" spans="1:17" x14ac:dyDescent="0.2">
      <c r="G25" t="s">
        <v>48</v>
      </c>
      <c r="H25">
        <v>1</v>
      </c>
      <c r="I25">
        <v>4</v>
      </c>
      <c r="J25">
        <v>5</v>
      </c>
      <c r="K25">
        <f t="shared" si="0"/>
        <v>2.5</v>
      </c>
      <c r="L25" t="s">
        <v>48</v>
      </c>
      <c r="M25">
        <v>-0.12499999999999997</v>
      </c>
      <c r="N25">
        <v>0.36899999999999994</v>
      </c>
      <c r="O25">
        <v>0.24399999999999997</v>
      </c>
      <c r="P25">
        <f t="shared" si="1"/>
        <v>0.12199999999999998</v>
      </c>
      <c r="Q25">
        <f t="shared" si="2"/>
        <v>1.2199999999999998</v>
      </c>
    </row>
    <row r="26" spans="1:17" x14ac:dyDescent="0.2">
      <c r="G26" t="s">
        <v>50</v>
      </c>
      <c r="H26">
        <v>9</v>
      </c>
      <c r="I26">
        <v>10</v>
      </c>
      <c r="J26">
        <v>19</v>
      </c>
      <c r="K26">
        <f t="shared" si="0"/>
        <v>9.5</v>
      </c>
      <c r="L26" t="s">
        <v>50</v>
      </c>
      <c r="M26">
        <v>0.77899999999999991</v>
      </c>
      <c r="N26">
        <v>0.91899999999999993</v>
      </c>
      <c r="O26">
        <v>1.698</v>
      </c>
      <c r="P26">
        <f t="shared" si="1"/>
        <v>0.84899999999999998</v>
      </c>
      <c r="Q26">
        <f t="shared" si="2"/>
        <v>8.49</v>
      </c>
    </row>
    <row r="27" spans="1:17" x14ac:dyDescent="0.2">
      <c r="G27" t="s">
        <v>52</v>
      </c>
      <c r="H27">
        <v>11</v>
      </c>
      <c r="I27">
        <v>8</v>
      </c>
      <c r="J27">
        <v>19</v>
      </c>
      <c r="K27">
        <f t="shared" si="0"/>
        <v>9.5</v>
      </c>
      <c r="L27" t="s">
        <v>52</v>
      </c>
      <c r="M27">
        <v>0.96899999999999997</v>
      </c>
      <c r="N27">
        <v>0.70899999999999996</v>
      </c>
      <c r="O27">
        <v>1.6779999999999999</v>
      </c>
      <c r="P27">
        <f t="shared" si="1"/>
        <v>0.83899999999999997</v>
      </c>
      <c r="Q27">
        <f t="shared" si="2"/>
        <v>8.39</v>
      </c>
    </row>
    <row r="28" spans="1:17" x14ac:dyDescent="0.2">
      <c r="G28" t="s">
        <v>54</v>
      </c>
      <c r="H28">
        <v>-6</v>
      </c>
      <c r="I28">
        <v>5</v>
      </c>
      <c r="J28">
        <v>-1</v>
      </c>
      <c r="K28">
        <f t="shared" si="0"/>
        <v>-0.5</v>
      </c>
      <c r="L28" t="s">
        <v>54</v>
      </c>
      <c r="M28">
        <v>-0.55649999999999999</v>
      </c>
      <c r="N28">
        <v>0.46649999999999997</v>
      </c>
      <c r="O28">
        <v>-9.0000000000000024E-2</v>
      </c>
      <c r="P28">
        <f t="shared" si="1"/>
        <v>-4.5000000000000012E-2</v>
      </c>
      <c r="Q28">
        <f t="shared" si="2"/>
        <v>-0.45000000000000012</v>
      </c>
    </row>
    <row r="29" spans="1:17" x14ac:dyDescent="0.2">
      <c r="G29" t="s">
        <v>55</v>
      </c>
      <c r="H29">
        <v>11</v>
      </c>
      <c r="I29">
        <v>11</v>
      </c>
      <c r="J29">
        <v>22</v>
      </c>
      <c r="K29">
        <f t="shared" si="0"/>
        <v>11</v>
      </c>
      <c r="L29" t="s">
        <v>55</v>
      </c>
      <c r="M29">
        <v>0.96899999999999997</v>
      </c>
      <c r="N29">
        <v>0.96899999999999997</v>
      </c>
      <c r="O29">
        <v>1.9379999999999999</v>
      </c>
      <c r="P29">
        <f t="shared" si="1"/>
        <v>0.96899999999999997</v>
      </c>
      <c r="Q29">
        <f t="shared" si="2"/>
        <v>9.69</v>
      </c>
    </row>
    <row r="30" spans="1:17" x14ac:dyDescent="0.2">
      <c r="G30" t="s">
        <v>57</v>
      </c>
      <c r="H30">
        <v>-5</v>
      </c>
      <c r="I30">
        <v>-5</v>
      </c>
      <c r="J30">
        <v>-10</v>
      </c>
      <c r="K30">
        <f t="shared" si="0"/>
        <v>-5</v>
      </c>
      <c r="L30" t="s">
        <v>57</v>
      </c>
      <c r="M30">
        <v>-0.54</v>
      </c>
      <c r="N30">
        <v>-0.48000000000000004</v>
      </c>
      <c r="O30">
        <v>-1.02</v>
      </c>
      <c r="P30">
        <f t="shared" si="1"/>
        <v>-0.51</v>
      </c>
      <c r="Q30">
        <f t="shared" si="2"/>
        <v>-5.0999999999999996</v>
      </c>
    </row>
    <row r="31" spans="1:17" x14ac:dyDescent="0.2">
      <c r="G31" t="s">
        <v>59</v>
      </c>
      <c r="H31">
        <v>11</v>
      </c>
      <c r="I31">
        <v>11</v>
      </c>
      <c r="J31">
        <v>22</v>
      </c>
      <c r="K31">
        <f t="shared" si="0"/>
        <v>11</v>
      </c>
      <c r="L31" t="s">
        <v>59</v>
      </c>
      <c r="M31">
        <v>0.96899999999999997</v>
      </c>
      <c r="N31">
        <v>0.96899999999999997</v>
      </c>
      <c r="O31">
        <v>1.9379999999999999</v>
      </c>
      <c r="P31">
        <f t="shared" si="1"/>
        <v>0.96899999999999997</v>
      </c>
      <c r="Q31">
        <f t="shared" si="2"/>
        <v>9.69</v>
      </c>
    </row>
    <row r="32" spans="1:17" x14ac:dyDescent="0.2">
      <c r="G32" t="s">
        <v>61</v>
      </c>
      <c r="H32">
        <v>0</v>
      </c>
      <c r="I32">
        <v>-4</v>
      </c>
      <c r="J32">
        <v>-4</v>
      </c>
      <c r="K32">
        <f t="shared" si="0"/>
        <v>-2</v>
      </c>
      <c r="L32" t="s">
        <v>61</v>
      </c>
      <c r="M32">
        <v>0.15750000000000003</v>
      </c>
      <c r="N32">
        <v>-0.33250000000000002</v>
      </c>
      <c r="O32">
        <v>-0.17499999999999999</v>
      </c>
      <c r="P32">
        <f t="shared" si="1"/>
        <v>-8.7499999999999994E-2</v>
      </c>
      <c r="Q32">
        <f t="shared" si="2"/>
        <v>-0.875</v>
      </c>
    </row>
    <row r="33" spans="7:17" x14ac:dyDescent="0.2">
      <c r="G33" t="s">
        <v>63</v>
      </c>
      <c r="H33">
        <v>-3</v>
      </c>
      <c r="I33">
        <v>-7</v>
      </c>
      <c r="J33">
        <v>-10</v>
      </c>
      <c r="K33">
        <f t="shared" si="0"/>
        <v>-5</v>
      </c>
      <c r="L33" t="s">
        <v>63</v>
      </c>
      <c r="M33">
        <v>-0.29250000000000004</v>
      </c>
      <c r="N33">
        <v>-0.6925</v>
      </c>
      <c r="O33">
        <v>-0.9850000000000001</v>
      </c>
      <c r="P33">
        <f t="shared" si="1"/>
        <v>-0.49250000000000005</v>
      </c>
      <c r="Q33">
        <f t="shared" si="2"/>
        <v>-4.9250000000000007</v>
      </c>
    </row>
    <row r="34" spans="7:17" x14ac:dyDescent="0.2">
      <c r="G34" t="s">
        <v>66</v>
      </c>
      <c r="H34">
        <v>6</v>
      </c>
      <c r="I34">
        <v>1</v>
      </c>
      <c r="J34">
        <v>7</v>
      </c>
      <c r="K34">
        <f t="shared" si="0"/>
        <v>3.5</v>
      </c>
      <c r="L34" t="s">
        <v>66</v>
      </c>
      <c r="M34">
        <v>0.57000000000000006</v>
      </c>
      <c r="N34">
        <v>-5.5000000000000007E-2</v>
      </c>
      <c r="O34">
        <v>0.51500000000000001</v>
      </c>
      <c r="P34">
        <f t="shared" si="1"/>
        <v>0.25750000000000001</v>
      </c>
      <c r="Q34">
        <f t="shared" si="2"/>
        <v>2.5750000000000002</v>
      </c>
    </row>
    <row r="35" spans="7:17" x14ac:dyDescent="0.2">
      <c r="G35" t="s">
        <v>68</v>
      </c>
      <c r="H35">
        <v>-4</v>
      </c>
      <c r="I35">
        <v>-8</v>
      </c>
      <c r="J35">
        <v>-12</v>
      </c>
      <c r="K35">
        <f t="shared" si="0"/>
        <v>-6</v>
      </c>
      <c r="L35" t="s">
        <v>68</v>
      </c>
      <c r="M35">
        <v>-0.52</v>
      </c>
      <c r="N35">
        <v>-0.73499999999999999</v>
      </c>
      <c r="P35">
        <f t="shared" si="1"/>
        <v>0</v>
      </c>
      <c r="Q35">
        <f t="shared" si="2"/>
        <v>0</v>
      </c>
    </row>
    <row r="36" spans="7:17" x14ac:dyDescent="0.2">
      <c r="G36" t="s">
        <v>70</v>
      </c>
      <c r="H36">
        <v>5</v>
      </c>
      <c r="I36">
        <v>7</v>
      </c>
      <c r="J36">
        <v>12</v>
      </c>
      <c r="K36">
        <f t="shared" si="0"/>
        <v>6</v>
      </c>
      <c r="L36" t="s">
        <v>70</v>
      </c>
      <c r="M36">
        <v>0.33499999999999996</v>
      </c>
      <c r="N36">
        <v>0.66899999999999993</v>
      </c>
      <c r="O36">
        <v>1.004</v>
      </c>
      <c r="P36">
        <f t="shared" si="1"/>
        <v>0.502</v>
      </c>
      <c r="Q36">
        <f t="shared" si="2"/>
        <v>5.0199999999999996</v>
      </c>
    </row>
    <row r="37" spans="7:17" x14ac:dyDescent="0.2">
      <c r="G37" t="s">
        <v>72</v>
      </c>
      <c r="H37">
        <v>-5</v>
      </c>
      <c r="I37">
        <v>-1</v>
      </c>
      <c r="J37">
        <v>-6</v>
      </c>
      <c r="K37">
        <f t="shared" si="0"/>
        <v>-3</v>
      </c>
      <c r="L37" t="s">
        <v>72</v>
      </c>
      <c r="M37">
        <v>-0.41499999999999998</v>
      </c>
      <c r="N37">
        <v>-6.6000000000000017E-2</v>
      </c>
      <c r="O37">
        <v>-0.48099999999999998</v>
      </c>
      <c r="P37">
        <f t="shared" si="1"/>
        <v>-0.24049999999999999</v>
      </c>
      <c r="Q37">
        <f t="shared" si="2"/>
        <v>-2.4049999999999998</v>
      </c>
    </row>
    <row r="38" spans="7:17" x14ac:dyDescent="0.2">
      <c r="G38" t="s">
        <v>94</v>
      </c>
      <c r="H38">
        <v>51</v>
      </c>
      <c r="I38">
        <v>61</v>
      </c>
      <c r="J38">
        <v>112</v>
      </c>
      <c r="K38">
        <f t="shared" si="0"/>
        <v>56</v>
      </c>
      <c r="L38" t="s">
        <v>94</v>
      </c>
      <c r="M38">
        <v>3.9989999999999988</v>
      </c>
      <c r="N38">
        <v>5.3665000000000003</v>
      </c>
      <c r="O38">
        <v>9.3655000000000008</v>
      </c>
      <c r="P38">
        <f t="shared" si="1"/>
        <v>4.6827500000000004</v>
      </c>
    </row>
    <row r="39" spans="7:17" x14ac:dyDescent="0.2">
      <c r="H39">
        <f>SUM(H22:H37)</f>
        <v>51</v>
      </c>
      <c r="I39">
        <f>SUM(I22:I37)</f>
        <v>61</v>
      </c>
      <c r="J39">
        <f>SUM(J22:J37)</f>
        <v>112</v>
      </c>
      <c r="M39">
        <f t="shared" ref="M39:O39" si="3">SUM(M22:M37)</f>
        <v>3.9989999999999988</v>
      </c>
      <c r="N39">
        <f t="shared" si="3"/>
        <v>5.3665000000000003</v>
      </c>
      <c r="O39">
        <f t="shared" si="3"/>
        <v>10.6205</v>
      </c>
      <c r="P39">
        <f>SUM(P22:P37)</f>
        <v>5.3102499999999999</v>
      </c>
      <c r="Q39">
        <f>SUM(Q22:Q37)</f>
        <v>53.102499999999992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C62E-081D-7542-95C6-2385BC3F0D56}">
  <dimension ref="A1:X1127"/>
  <sheetViews>
    <sheetView topLeftCell="A1108" zoomScale="91" workbookViewId="0">
      <selection activeCell="H5" sqref="H5"/>
    </sheetView>
  </sheetViews>
  <sheetFormatPr baseColWidth="10" defaultRowHeight="16" x14ac:dyDescent="0.2"/>
  <cols>
    <col min="1" max="1" width="9.83203125" customWidth="1"/>
    <col min="2" max="2" width="11.83203125" customWidth="1"/>
    <col min="3" max="3" width="14.5" customWidth="1"/>
    <col min="5" max="5" width="19.33203125" customWidth="1"/>
    <col min="6" max="6" width="13.6640625" customWidth="1"/>
    <col min="7" max="7" width="14.5" customWidth="1"/>
    <col min="9" max="9" width="14.6640625" customWidth="1"/>
    <col min="10" max="10" width="17.1640625" customWidth="1"/>
    <col min="11" max="11" width="16.33203125" customWidth="1"/>
    <col min="12" max="12" width="13.33203125" customWidth="1"/>
    <col min="13" max="13" width="13.1640625" customWidth="1"/>
  </cols>
  <sheetData>
    <row r="1" spans="1:19" x14ac:dyDescent="0.2">
      <c r="O1" s="6"/>
      <c r="P1" s="6"/>
      <c r="Q1" s="6"/>
      <c r="R1" s="6"/>
      <c r="S1" s="6"/>
    </row>
    <row r="2" spans="1:19" x14ac:dyDescent="0.2">
      <c r="O2" s="6"/>
      <c r="P2" s="6"/>
      <c r="Q2" s="6"/>
    </row>
    <row r="5" spans="1:19" ht="17" thickBot="1" x14ac:dyDescent="0.25">
      <c r="A5" s="62" t="s">
        <v>11</v>
      </c>
      <c r="B5" s="62" t="s">
        <v>2</v>
      </c>
      <c r="C5" s="63" t="s">
        <v>3</v>
      </c>
      <c r="D5" s="63" t="s">
        <v>4</v>
      </c>
      <c r="E5" s="63" t="s">
        <v>101</v>
      </c>
      <c r="F5" s="63" t="s">
        <v>12</v>
      </c>
      <c r="G5" s="63" t="s">
        <v>7</v>
      </c>
      <c r="H5" s="63" t="s">
        <v>6</v>
      </c>
      <c r="I5" s="63" t="s">
        <v>13</v>
      </c>
      <c r="J5" s="63" t="s">
        <v>8</v>
      </c>
      <c r="K5" s="63" t="s">
        <v>43</v>
      </c>
      <c r="L5" s="63" t="s">
        <v>9</v>
      </c>
      <c r="M5" s="63" t="s">
        <v>29</v>
      </c>
      <c r="N5" s="63" t="s">
        <v>10</v>
      </c>
    </row>
    <row r="6" spans="1:19" x14ac:dyDescent="0.2">
      <c r="A6" s="29" t="s">
        <v>14</v>
      </c>
      <c r="B6" s="29" t="s">
        <v>1</v>
      </c>
      <c r="C6" s="29" t="s">
        <v>15</v>
      </c>
      <c r="D6" s="29" t="s">
        <v>5</v>
      </c>
      <c r="E6" s="30" t="s">
        <v>102</v>
      </c>
      <c r="F6" s="30" t="s">
        <v>16</v>
      </c>
      <c r="G6" s="29">
        <v>1</v>
      </c>
      <c r="H6" s="29" t="s">
        <v>17</v>
      </c>
      <c r="I6" s="29" t="s">
        <v>19</v>
      </c>
      <c r="J6" s="29">
        <v>1</v>
      </c>
      <c r="K6" s="31">
        <f>VLOOKUP(I6,'Weights and Confidence'!$D$16:$AC$26,5,FALSE)/COUNTIFS($B:$B,$B6,$C:$C,$C6,$H:$H,$H6,$I:$I,$I6)</f>
        <v>0.12</v>
      </c>
      <c r="L6" s="32">
        <f>VLOOKUP(I6,'Weights and Confidence'!$D$16:$AC$26,6,FALSE)</f>
        <v>1</v>
      </c>
      <c r="M6" s="33">
        <f>tScores4[[#This Row],[Raw_Rating_Text]]</f>
        <v>1</v>
      </c>
      <c r="N6" s="29"/>
      <c r="O6">
        <f>tScores4[[#This Row],[Raw_Rating_Text]]+J8+J10+J12+J14+J16+J18+J20+J22+J24+J26</f>
        <v>9</v>
      </c>
      <c r="Q6" s="8"/>
      <c r="R6" s="8"/>
    </row>
    <row r="7" spans="1:19" x14ac:dyDescent="0.2">
      <c r="A7" s="34" t="s">
        <v>14</v>
      </c>
      <c r="B7" s="34" t="s">
        <v>1</v>
      </c>
      <c r="C7" s="34" t="s">
        <v>15</v>
      </c>
      <c r="D7" s="34" t="s">
        <v>5</v>
      </c>
      <c r="E7" s="34" t="s">
        <v>102</v>
      </c>
      <c r="F7" s="34" t="s">
        <v>16</v>
      </c>
      <c r="G7" s="34">
        <v>1</v>
      </c>
      <c r="H7" s="34" t="s">
        <v>18</v>
      </c>
      <c r="I7" s="34" t="s">
        <v>19</v>
      </c>
      <c r="J7" s="34">
        <v>1</v>
      </c>
      <c r="K7" s="35">
        <f>VLOOKUP(I7,'Weights and Confidence'!$D$16:$AC$26,5,FALSE)/COUNTIFS($B:$B,$B7,$C:$C,$C7,$H:$H,$H7,$I:$I,$I7)</f>
        <v>0.12</v>
      </c>
      <c r="L7" s="36">
        <f>VLOOKUP(I7,'Weights and Confidence'!$D$16:$AC$26,6,FALSE)</f>
        <v>1</v>
      </c>
      <c r="M7" s="37">
        <f>tScores4[[#This Row],[Raw_Rating_Text]]</f>
        <v>1</v>
      </c>
      <c r="N7" s="34"/>
      <c r="O7">
        <f>tScores4[[#This Row],[Raw_Rating_Text]]+J9+J11+J13+J15+J17+J19+J21+J23+J25+J27</f>
        <v>10</v>
      </c>
      <c r="Q7" s="8"/>
      <c r="R7" s="8"/>
    </row>
    <row r="8" spans="1:19" x14ac:dyDescent="0.2">
      <c r="A8" s="38" t="s">
        <v>14</v>
      </c>
      <c r="B8" s="38" t="s">
        <v>1</v>
      </c>
      <c r="C8" s="38" t="s">
        <v>15</v>
      </c>
      <c r="D8" s="38" t="s">
        <v>5</v>
      </c>
      <c r="E8" s="38" t="s">
        <v>102</v>
      </c>
      <c r="F8" s="38" t="s">
        <v>16</v>
      </c>
      <c r="G8" s="38">
        <v>2</v>
      </c>
      <c r="H8" s="38" t="s">
        <v>17</v>
      </c>
      <c r="I8" s="38" t="s">
        <v>20</v>
      </c>
      <c r="J8" s="38">
        <v>1</v>
      </c>
      <c r="K8" s="39">
        <f>VLOOKUP(I8,'Weights and Confidence'!$D$16:$AC$26,5,FALSE)/COUNTIFS($B:$B,$B8,$C:$C,$C8,$H:$H,$H8,$I:$I,$I8)</f>
        <v>0.08</v>
      </c>
      <c r="L8" s="40">
        <f>VLOOKUP(I8,'Weights and Confidence'!$D$16:$AC$26,6,FALSE)</f>
        <v>0.8</v>
      </c>
      <c r="M8" s="41">
        <f>tScores4[[#This Row],[Raw_Rating_Text]]</f>
        <v>1</v>
      </c>
      <c r="N8" s="38"/>
    </row>
    <row r="9" spans="1:19" x14ac:dyDescent="0.2">
      <c r="A9" s="34" t="s">
        <v>14</v>
      </c>
      <c r="B9" s="34" t="s">
        <v>1</v>
      </c>
      <c r="C9" s="34" t="s">
        <v>15</v>
      </c>
      <c r="D9" s="34" t="s">
        <v>5</v>
      </c>
      <c r="E9" s="34" t="s">
        <v>102</v>
      </c>
      <c r="F9" s="34" t="s">
        <v>16</v>
      </c>
      <c r="G9" s="34">
        <v>2</v>
      </c>
      <c r="H9" s="34" t="s">
        <v>18</v>
      </c>
      <c r="I9" s="34" t="s">
        <v>20</v>
      </c>
      <c r="J9" s="34">
        <v>1</v>
      </c>
      <c r="K9" s="35">
        <f>VLOOKUP(I9,'Weights and Confidence'!$D$16:$AC$26,5,FALSE)/COUNTIFS($B:$B,$B9,$C:$C,$C9,$H:$H,$H9,$I:$I,$I9)</f>
        <v>0.08</v>
      </c>
      <c r="L9" s="36">
        <f>VLOOKUP(I9,'Weights and Confidence'!$D$16:$AC$26,6,FALSE)</f>
        <v>0.8</v>
      </c>
      <c r="M9" s="37">
        <f>tScores4[[#This Row],[Raw_Rating_Text]]</f>
        <v>1</v>
      </c>
      <c r="N9" s="34"/>
    </row>
    <row r="10" spans="1:19" x14ac:dyDescent="0.2">
      <c r="A10" s="38" t="s">
        <v>14</v>
      </c>
      <c r="B10" s="38" t="s">
        <v>1</v>
      </c>
      <c r="C10" s="38" t="s">
        <v>15</v>
      </c>
      <c r="D10" s="38" t="s">
        <v>5</v>
      </c>
      <c r="E10" s="38" t="s">
        <v>102</v>
      </c>
      <c r="F10" s="38" t="s">
        <v>16</v>
      </c>
      <c r="G10" s="38">
        <v>3</v>
      </c>
      <c r="H10" s="38" t="s">
        <v>17</v>
      </c>
      <c r="I10" s="38" t="s">
        <v>21</v>
      </c>
      <c r="J10" s="38">
        <v>1</v>
      </c>
      <c r="K10" s="39">
        <f>VLOOKUP(I10,'Weights and Confidence'!$D$16:$AC$26,5,FALSE)/COUNTIFS($B:$B,$B10,$C:$C,$C10,$H:$H,$H10,$I:$I,$I10)</f>
        <v>0.05</v>
      </c>
      <c r="L10" s="40">
        <f>VLOOKUP(I10,'Weights and Confidence'!$D$16:$AC$26,6,FALSE)</f>
        <v>1</v>
      </c>
      <c r="M10" s="41">
        <f>tScores4[[#This Row],[Raw_Rating_Text]]</f>
        <v>1</v>
      </c>
      <c r="N10" s="38"/>
    </row>
    <row r="11" spans="1:19" x14ac:dyDescent="0.2">
      <c r="A11" s="34" t="s">
        <v>14</v>
      </c>
      <c r="B11" s="34" t="s">
        <v>1</v>
      </c>
      <c r="C11" s="34" t="s">
        <v>15</v>
      </c>
      <c r="D11" s="34" t="s">
        <v>5</v>
      </c>
      <c r="E11" s="34" t="s">
        <v>102</v>
      </c>
      <c r="F11" s="34" t="s">
        <v>16</v>
      </c>
      <c r="G11" s="34">
        <v>3</v>
      </c>
      <c r="H11" s="34" t="s">
        <v>18</v>
      </c>
      <c r="I11" s="34" t="s">
        <v>21</v>
      </c>
      <c r="J11" s="34">
        <v>1</v>
      </c>
      <c r="K11" s="35">
        <f>VLOOKUP(I11,'Weights and Confidence'!$D$16:$AC$26,5,FALSE)/COUNTIFS($B:$B,$B11,$C:$C,$C11,$H:$H,$H11,$I:$I,$I11)</f>
        <v>0.05</v>
      </c>
      <c r="L11" s="36">
        <f>VLOOKUP(I11,'Weights and Confidence'!$D$16:$AC$26,6,FALSE)</f>
        <v>1</v>
      </c>
      <c r="M11" s="37">
        <f>tScores4[[#This Row],[Raw_Rating_Text]]</f>
        <v>1</v>
      </c>
      <c r="N11" s="34"/>
      <c r="R11" s="7"/>
    </row>
    <row r="12" spans="1:19" x14ac:dyDescent="0.2">
      <c r="A12" s="38" t="s">
        <v>14</v>
      </c>
      <c r="B12" s="38" t="s">
        <v>1</v>
      </c>
      <c r="C12" s="38" t="s">
        <v>15</v>
      </c>
      <c r="D12" s="38" t="s">
        <v>5</v>
      </c>
      <c r="E12" s="38" t="s">
        <v>102</v>
      </c>
      <c r="F12" s="38" t="s">
        <v>16</v>
      </c>
      <c r="G12" s="38">
        <v>4</v>
      </c>
      <c r="H12" s="38" t="s">
        <v>17</v>
      </c>
      <c r="I12" s="38" t="s">
        <v>22</v>
      </c>
      <c r="J12" s="38">
        <v>0</v>
      </c>
      <c r="K12" s="39">
        <f>VLOOKUP(I12,'Weights and Confidence'!$D$16:$AC$26,5,FALSE)/COUNTIFS($B:$B,$B12,$C:$C,$C12,$H:$H,$H12,$I:$I,$I12)</f>
        <v>0.14000000000000001</v>
      </c>
      <c r="L12" s="40">
        <f>VLOOKUP(I12,'Weights and Confidence'!$D$16:$AC$26,6,FALSE)</f>
        <v>1</v>
      </c>
      <c r="M12" s="41">
        <f>tScores4[[#This Row],[Raw_Rating_Text]]</f>
        <v>0</v>
      </c>
      <c r="N12" s="38"/>
      <c r="R12" s="7"/>
    </row>
    <row r="13" spans="1:19" x14ac:dyDescent="0.2">
      <c r="A13" s="34" t="s">
        <v>14</v>
      </c>
      <c r="B13" s="34" t="s">
        <v>1</v>
      </c>
      <c r="C13" s="34" t="s">
        <v>15</v>
      </c>
      <c r="D13" s="34" t="s">
        <v>5</v>
      </c>
      <c r="E13" s="34" t="s">
        <v>102</v>
      </c>
      <c r="F13" s="34" t="s">
        <v>16</v>
      </c>
      <c r="G13" s="34">
        <v>4</v>
      </c>
      <c r="H13" s="34" t="s">
        <v>18</v>
      </c>
      <c r="I13" s="34" t="s">
        <v>22</v>
      </c>
      <c r="J13" s="34">
        <v>1</v>
      </c>
      <c r="K13" s="35">
        <f>VLOOKUP(I13,'Weights and Confidence'!$D$16:$AC$26,5,FALSE)/COUNTIFS($B:$B,$B13,$C:$C,$C13,$H:$H,$H13,$I:$I,$I13)</f>
        <v>0.14000000000000001</v>
      </c>
      <c r="L13" s="36">
        <f>VLOOKUP(I13,'Weights and Confidence'!$D$16:$AC$26,6,FALSE)</f>
        <v>1</v>
      </c>
      <c r="M13" s="37">
        <f>tScores4[[#This Row],[Raw_Rating_Text]]</f>
        <v>1</v>
      </c>
      <c r="N13" s="34"/>
      <c r="R13" s="7"/>
    </row>
    <row r="14" spans="1:19" x14ac:dyDescent="0.2">
      <c r="A14" s="38" t="s">
        <v>14</v>
      </c>
      <c r="B14" s="38" t="s">
        <v>1</v>
      </c>
      <c r="C14" s="38" t="s">
        <v>15</v>
      </c>
      <c r="D14" s="38" t="s">
        <v>5</v>
      </c>
      <c r="E14" s="38" t="s">
        <v>102</v>
      </c>
      <c r="F14" s="38" t="s">
        <v>16</v>
      </c>
      <c r="G14" s="38">
        <v>5</v>
      </c>
      <c r="H14" s="38" t="s">
        <v>17</v>
      </c>
      <c r="I14" s="38" t="s">
        <v>23</v>
      </c>
      <c r="J14" s="38">
        <v>1</v>
      </c>
      <c r="K14" s="39">
        <f>VLOOKUP(I14,'Weights and Confidence'!$D$16:$AC$26,5,FALSE)/COUNTIFS($B:$B,$B14,$C:$C,$C14,$H:$H,$H14,$I:$I,$I14)</f>
        <v>0.11</v>
      </c>
      <c r="L14" s="40">
        <f>VLOOKUP(I14,'Weights and Confidence'!$D$16:$AC$26,6,FALSE)</f>
        <v>1</v>
      </c>
      <c r="M14" s="41">
        <f>tScores4[[#This Row],[Raw_Rating_Text]]</f>
        <v>1</v>
      </c>
      <c r="N14" s="38"/>
      <c r="R14" s="7"/>
    </row>
    <row r="15" spans="1:19" x14ac:dyDescent="0.2">
      <c r="A15" s="34" t="s">
        <v>14</v>
      </c>
      <c r="B15" s="34" t="s">
        <v>1</v>
      </c>
      <c r="C15" s="34" t="s">
        <v>15</v>
      </c>
      <c r="D15" s="34" t="s">
        <v>5</v>
      </c>
      <c r="E15" s="34" t="s">
        <v>102</v>
      </c>
      <c r="F15" s="34" t="s">
        <v>16</v>
      </c>
      <c r="G15" s="34">
        <v>5</v>
      </c>
      <c r="H15" s="34" t="s">
        <v>18</v>
      </c>
      <c r="I15" s="34" t="s">
        <v>23</v>
      </c>
      <c r="J15" s="34">
        <v>1</v>
      </c>
      <c r="K15" s="35">
        <f>VLOOKUP(I15,'Weights and Confidence'!$D$16:$AC$26,5,FALSE)/COUNTIFS($B:$B,$B15,$C:$C,$C15,$H:$H,$H15,$I:$I,$I15)</f>
        <v>0.11</v>
      </c>
      <c r="L15" s="36">
        <f>VLOOKUP(I15,'Weights and Confidence'!$D$16:$AC$26,6,FALSE)</f>
        <v>1</v>
      </c>
      <c r="M15" s="37">
        <f>tScores4[[#This Row],[Raw_Rating_Text]]</f>
        <v>1</v>
      </c>
      <c r="N15" s="34"/>
      <c r="R15" s="7"/>
    </row>
    <row r="16" spans="1:19" x14ac:dyDescent="0.2">
      <c r="A16" s="38" t="s">
        <v>14</v>
      </c>
      <c r="B16" s="38" t="s">
        <v>1</v>
      </c>
      <c r="C16" s="38" t="s">
        <v>15</v>
      </c>
      <c r="D16" s="38" t="s">
        <v>5</v>
      </c>
      <c r="E16" s="38" t="s">
        <v>102</v>
      </c>
      <c r="F16" s="38" t="s">
        <v>16</v>
      </c>
      <c r="G16" s="38">
        <v>6</v>
      </c>
      <c r="H16" s="38" t="s">
        <v>17</v>
      </c>
      <c r="I16" s="38" t="s">
        <v>24</v>
      </c>
      <c r="J16" s="38">
        <v>1</v>
      </c>
      <c r="K16" s="39">
        <f>VLOOKUP(I16,'Weights and Confidence'!$D$16:$AC$26,5,FALSE)/COUNTIFS($B:$B,$B16,$C:$C,$C16,$H:$H,$H16,$I:$I,$I16)</f>
        <v>0.15</v>
      </c>
      <c r="L16" s="40">
        <f>VLOOKUP(I16,'Weights and Confidence'!$D$16:$AC$26,6,FALSE)</f>
        <v>1</v>
      </c>
      <c r="M16" s="41">
        <f>tScores4[[#This Row],[Raw_Rating_Text]]</f>
        <v>1</v>
      </c>
      <c r="N16" s="38"/>
      <c r="R16" s="7"/>
    </row>
    <row r="17" spans="1:18" x14ac:dyDescent="0.2">
      <c r="A17" s="34" t="s">
        <v>14</v>
      </c>
      <c r="B17" s="34" t="s">
        <v>1</v>
      </c>
      <c r="C17" s="34" t="s">
        <v>15</v>
      </c>
      <c r="D17" s="34" t="s">
        <v>5</v>
      </c>
      <c r="E17" s="34" t="s">
        <v>102</v>
      </c>
      <c r="F17" s="34" t="s">
        <v>16</v>
      </c>
      <c r="G17" s="34">
        <v>6</v>
      </c>
      <c r="H17" s="34" t="s">
        <v>18</v>
      </c>
      <c r="I17" s="34" t="s">
        <v>24</v>
      </c>
      <c r="J17" s="34">
        <v>1</v>
      </c>
      <c r="K17" s="35">
        <f>VLOOKUP(I17,'Weights and Confidence'!$D$16:$AC$26,5,FALSE)/COUNTIFS($B:$B,$B17,$C:$C,$C17,$H:$H,$H17,$I:$I,$I17)</f>
        <v>0.15</v>
      </c>
      <c r="L17" s="36">
        <f>VLOOKUP(I17,'Weights and Confidence'!$D$16:$AC$26,6,FALSE)</f>
        <v>1</v>
      </c>
      <c r="M17" s="37">
        <f>tScores4[[#This Row],[Raw_Rating_Text]]</f>
        <v>1</v>
      </c>
      <c r="N17" s="34"/>
      <c r="R17" s="7"/>
    </row>
    <row r="18" spans="1:18" x14ac:dyDescent="0.2">
      <c r="A18" s="38" t="s">
        <v>14</v>
      </c>
      <c r="B18" s="38" t="s">
        <v>1</v>
      </c>
      <c r="C18" s="38" t="s">
        <v>15</v>
      </c>
      <c r="D18" s="38" t="s">
        <v>5</v>
      </c>
      <c r="E18" s="38" t="s">
        <v>102</v>
      </c>
      <c r="F18" s="38" t="s">
        <v>16</v>
      </c>
      <c r="G18" s="38">
        <v>7</v>
      </c>
      <c r="H18" s="38" t="s">
        <v>17</v>
      </c>
      <c r="I18" s="38" t="s">
        <v>25</v>
      </c>
      <c r="J18" s="38">
        <v>1</v>
      </c>
      <c r="K18" s="39">
        <f>VLOOKUP(I18,'Weights and Confidence'!$D$16:$AC$26,5,FALSE)/COUNTIFS($B:$B,$B18,$C:$C,$C18,$H:$H,$H18,$I:$I,$I18)</f>
        <v>0.1</v>
      </c>
      <c r="L18" s="40">
        <f>VLOOKUP(I18,'Weights and Confidence'!$D$16:$AC$26,6,FALSE)</f>
        <v>1</v>
      </c>
      <c r="M18" s="41">
        <f>tScores4[[#This Row],[Raw_Rating_Text]]</f>
        <v>1</v>
      </c>
      <c r="N18" s="38"/>
      <c r="R18" s="7"/>
    </row>
    <row r="19" spans="1:18" x14ac:dyDescent="0.2">
      <c r="A19" s="34" t="s">
        <v>14</v>
      </c>
      <c r="B19" s="34" t="s">
        <v>1</v>
      </c>
      <c r="C19" s="34" t="s">
        <v>15</v>
      </c>
      <c r="D19" s="34" t="s">
        <v>5</v>
      </c>
      <c r="E19" s="34" t="s">
        <v>102</v>
      </c>
      <c r="F19" s="34" t="s">
        <v>16</v>
      </c>
      <c r="G19" s="34">
        <v>7</v>
      </c>
      <c r="H19" s="34" t="s">
        <v>18</v>
      </c>
      <c r="I19" s="34" t="s">
        <v>25</v>
      </c>
      <c r="J19" s="34">
        <v>1</v>
      </c>
      <c r="K19" s="35">
        <f>VLOOKUP(I19,'Weights and Confidence'!$D$16:$AC$26,5,FALSE)/COUNTIFS($B:$B,$B19,$C:$C,$C19,$H:$H,$H19,$I:$I,$I19)</f>
        <v>0.1</v>
      </c>
      <c r="L19" s="36">
        <f>VLOOKUP(I19,'Weights and Confidence'!$D$16:$AC$26,6,FALSE)</f>
        <v>1</v>
      </c>
      <c r="M19" s="37">
        <f>tScores4[[#This Row],[Raw_Rating_Text]]</f>
        <v>1</v>
      </c>
      <c r="N19" s="34"/>
      <c r="R19" s="7"/>
    </row>
    <row r="20" spans="1:18" x14ac:dyDescent="0.2">
      <c r="A20" s="38" t="s">
        <v>14</v>
      </c>
      <c r="B20" s="38" t="s">
        <v>1</v>
      </c>
      <c r="C20" s="38" t="s">
        <v>15</v>
      </c>
      <c r="D20" s="38" t="s">
        <v>5</v>
      </c>
      <c r="E20" s="38" t="s">
        <v>102</v>
      </c>
      <c r="F20" s="38" t="s">
        <v>16</v>
      </c>
      <c r="G20" s="38">
        <v>8</v>
      </c>
      <c r="H20" s="38" t="s">
        <v>17</v>
      </c>
      <c r="I20" s="38" t="s">
        <v>26</v>
      </c>
      <c r="J20" s="38">
        <v>1</v>
      </c>
      <c r="K20" s="39">
        <f>VLOOKUP(I20,'Weights and Confidence'!$D$16:$AC$26,5,FALSE)/COUNTIFS($B:$B,$B20,$C:$C,$C20,$H:$H,$H20,$I:$I,$I20)</f>
        <v>0.1</v>
      </c>
      <c r="L20" s="40">
        <f>VLOOKUP(I20,'Weights and Confidence'!$D$16:$AC$26,6,FALSE)</f>
        <v>1</v>
      </c>
      <c r="M20" s="41">
        <f>tScores4[[#This Row],[Raw_Rating_Text]]</f>
        <v>1</v>
      </c>
      <c r="N20" s="38"/>
      <c r="R20" s="7"/>
    </row>
    <row r="21" spans="1:18" x14ac:dyDescent="0.2">
      <c r="A21" s="34" t="s">
        <v>14</v>
      </c>
      <c r="B21" s="34" t="s">
        <v>1</v>
      </c>
      <c r="C21" s="34" t="s">
        <v>15</v>
      </c>
      <c r="D21" s="34" t="s">
        <v>5</v>
      </c>
      <c r="E21" s="34" t="s">
        <v>102</v>
      </c>
      <c r="F21" s="34" t="s">
        <v>16</v>
      </c>
      <c r="G21" s="34">
        <v>8</v>
      </c>
      <c r="H21" s="34" t="s">
        <v>18</v>
      </c>
      <c r="I21" s="34" t="s">
        <v>26</v>
      </c>
      <c r="J21" s="34">
        <v>1</v>
      </c>
      <c r="K21" s="35">
        <f>VLOOKUP(I21,'Weights and Confidence'!$D$16:$AC$26,5,FALSE)/COUNTIFS($B:$B,$B21,$C:$C,$C21,$H:$H,$H21,$I:$I,$I21)</f>
        <v>0.1</v>
      </c>
      <c r="L21" s="36">
        <f>VLOOKUP(I21,'Weights and Confidence'!$D$16:$AC$26,6,FALSE)</f>
        <v>1</v>
      </c>
      <c r="M21" s="37">
        <f>tScores4[[#This Row],[Raw_Rating_Text]]</f>
        <v>1</v>
      </c>
      <c r="N21" s="34"/>
      <c r="R21" s="7"/>
    </row>
    <row r="22" spans="1:18" x14ac:dyDescent="0.2">
      <c r="A22" s="38" t="s">
        <v>14</v>
      </c>
      <c r="B22" s="38" t="s">
        <v>1</v>
      </c>
      <c r="C22" s="38" t="s">
        <v>15</v>
      </c>
      <c r="D22" s="38" t="s">
        <v>5</v>
      </c>
      <c r="E22" s="38" t="s">
        <v>102</v>
      </c>
      <c r="F22" s="38" t="s">
        <v>16</v>
      </c>
      <c r="G22" s="38">
        <v>9</v>
      </c>
      <c r="H22" s="38" t="s">
        <v>17</v>
      </c>
      <c r="I22" s="38" t="s">
        <v>27</v>
      </c>
      <c r="J22" s="38">
        <v>1</v>
      </c>
      <c r="K22" s="39">
        <f>VLOOKUP(I22,'Weights and Confidence'!$D$16:$AC$26,5,FALSE)/COUNTIFS($B:$B,$B22,$C:$C,$C22,$H:$H,$H22,$I:$I,$I22)</f>
        <v>0.05</v>
      </c>
      <c r="L22" s="40">
        <f>VLOOKUP(I22,'Weights and Confidence'!$D$16:$AC$26,6,FALSE)</f>
        <v>0.85</v>
      </c>
      <c r="M22" s="41">
        <f>tScores4[[#This Row],[Raw_Rating_Text]]</f>
        <v>1</v>
      </c>
      <c r="N22" s="38"/>
    </row>
    <row r="23" spans="1:18" x14ac:dyDescent="0.2">
      <c r="A23" s="34" t="s">
        <v>14</v>
      </c>
      <c r="B23" s="34" t="s">
        <v>1</v>
      </c>
      <c r="C23" s="34" t="s">
        <v>15</v>
      </c>
      <c r="D23" s="34" t="s">
        <v>5</v>
      </c>
      <c r="E23" s="34" t="s">
        <v>102</v>
      </c>
      <c r="F23" s="34" t="s">
        <v>16</v>
      </c>
      <c r="G23" s="34">
        <v>9</v>
      </c>
      <c r="H23" s="34" t="s">
        <v>18</v>
      </c>
      <c r="I23" s="34" t="s">
        <v>27</v>
      </c>
      <c r="J23" s="34">
        <v>1</v>
      </c>
      <c r="K23" s="35">
        <f>VLOOKUP(I23,'Weights and Confidence'!$D$16:$AC$26,5,FALSE)/COUNTIFS($B:$B,$B23,$C:$C,$C23,$H:$H,$H23,$I:$I,$I23)</f>
        <v>0.05</v>
      </c>
      <c r="L23" s="36">
        <f>VLOOKUP(I23,'Weights and Confidence'!$D$16:$AC$26,6,FALSE)</f>
        <v>0.85</v>
      </c>
      <c r="M23" s="37">
        <f>tScores4[[#This Row],[Raw_Rating_Text]]</f>
        <v>1</v>
      </c>
      <c r="N23" s="34"/>
    </row>
    <row r="24" spans="1:18" x14ac:dyDescent="0.2">
      <c r="A24" s="38" t="s">
        <v>14</v>
      </c>
      <c r="B24" s="38" t="s">
        <v>1</v>
      </c>
      <c r="C24" s="38" t="s">
        <v>15</v>
      </c>
      <c r="D24" s="38" t="s">
        <v>5</v>
      </c>
      <c r="E24" s="38" t="s">
        <v>102</v>
      </c>
      <c r="F24" s="38" t="s">
        <v>16</v>
      </c>
      <c r="G24" s="38">
        <v>10</v>
      </c>
      <c r="H24" s="38" t="s">
        <v>17</v>
      </c>
      <c r="I24" s="38" t="s">
        <v>27</v>
      </c>
      <c r="J24" s="38">
        <v>0</v>
      </c>
      <c r="K24" s="39">
        <f>VLOOKUP(I24,'Weights and Confidence'!$D$16:$AC$26,5,FALSE)/COUNTIFS($B:$B,$B24,$C:$C,$C24,$H:$H,$H24,$I:$I,$I24)</f>
        <v>0.05</v>
      </c>
      <c r="L24" s="40">
        <f>VLOOKUP(I24,'Weights and Confidence'!$D$16:$AC$26,6,FALSE)</f>
        <v>0.85</v>
      </c>
      <c r="M24" s="41">
        <f>tScores4[[#This Row],[Raw_Rating_Text]]</f>
        <v>0</v>
      </c>
      <c r="N24" s="38"/>
    </row>
    <row r="25" spans="1:18" x14ac:dyDescent="0.2">
      <c r="A25" s="34" t="s">
        <v>14</v>
      </c>
      <c r="B25" s="34" t="s">
        <v>1</v>
      </c>
      <c r="C25" s="34" t="s">
        <v>15</v>
      </c>
      <c r="D25" s="34" t="s">
        <v>5</v>
      </c>
      <c r="E25" s="34" t="s">
        <v>102</v>
      </c>
      <c r="F25" s="34" t="s">
        <v>16</v>
      </c>
      <c r="G25" s="34">
        <v>10</v>
      </c>
      <c r="H25" s="34" t="s">
        <v>18</v>
      </c>
      <c r="I25" s="34" t="s">
        <v>27</v>
      </c>
      <c r="J25" s="34">
        <v>1</v>
      </c>
      <c r="K25" s="35">
        <f>VLOOKUP(I25,'Weights and Confidence'!$D$16:$AC$26,5,FALSE)/COUNTIFS($B:$B,$B25,$C:$C,$C25,$H:$H,$H25,$I:$I,$I25)</f>
        <v>0.05</v>
      </c>
      <c r="L25" s="36">
        <f>VLOOKUP(I25,'Weights and Confidence'!$D$16:$AC$26,6,FALSE)</f>
        <v>0.85</v>
      </c>
      <c r="M25" s="37">
        <f>tScores4[[#This Row],[Raw_Rating_Text]]</f>
        <v>1</v>
      </c>
      <c r="N25" s="34"/>
    </row>
    <row r="26" spans="1:18" x14ac:dyDescent="0.2">
      <c r="A26" s="38" t="s">
        <v>14</v>
      </c>
      <c r="B26" s="38" t="s">
        <v>1</v>
      </c>
      <c r="C26" s="38" t="s">
        <v>15</v>
      </c>
      <c r="D26" s="38" t="s">
        <v>5</v>
      </c>
      <c r="E26" s="38" t="s">
        <v>102</v>
      </c>
      <c r="F26" s="38" t="s">
        <v>16</v>
      </c>
      <c r="G26" s="38">
        <v>11</v>
      </c>
      <c r="H26" s="38" t="s">
        <v>17</v>
      </c>
      <c r="I26" s="38" t="s">
        <v>28</v>
      </c>
      <c r="J26" s="38">
        <v>1</v>
      </c>
      <c r="K26" s="39">
        <f>VLOOKUP(I26,'Weights and Confidence'!$D$16:$AC$26,5,FALSE)/COUNTIFS($B:$B,$B26,$C:$C,$C26,$H:$H,$H26,$I:$I,$I26)</f>
        <v>0.05</v>
      </c>
      <c r="L26" s="40">
        <f>VLOOKUP(I26,'Weights and Confidence'!$D$16:$AC$26,6,FALSE)</f>
        <v>1</v>
      </c>
      <c r="M26" s="41">
        <f>tScores4[[#This Row],[Raw_Rating_Text]]</f>
        <v>1</v>
      </c>
      <c r="N26" s="38"/>
    </row>
    <row r="27" spans="1:18" ht="17" thickBot="1" x14ac:dyDescent="0.25">
      <c r="A27" s="34" t="s">
        <v>14</v>
      </c>
      <c r="B27" s="34" t="s">
        <v>1</v>
      </c>
      <c r="C27" s="34" t="s">
        <v>15</v>
      </c>
      <c r="D27" s="34" t="s">
        <v>5</v>
      </c>
      <c r="E27" s="34" t="s">
        <v>102</v>
      </c>
      <c r="F27" s="34" t="s">
        <v>16</v>
      </c>
      <c r="G27" s="34">
        <v>11</v>
      </c>
      <c r="H27" s="34" t="s">
        <v>18</v>
      </c>
      <c r="I27" s="34" t="s">
        <v>28</v>
      </c>
      <c r="J27" s="34">
        <v>0</v>
      </c>
      <c r="K27" s="35">
        <f>VLOOKUP(I27,'Weights and Confidence'!$D$16:$AC$26,5,FALSE)/COUNTIFS($B:$B,$B27,$C:$C,$C27,$H:$H,$H27,$I:$I,$I27)</f>
        <v>0.05</v>
      </c>
      <c r="L27" s="36">
        <f>VLOOKUP(I27,'Weights and Confidence'!$D$16:$AC$26,6,FALSE)</f>
        <v>1</v>
      </c>
      <c r="M27" s="37">
        <f>tScores4[[#This Row],[Raw_Rating_Text]]</f>
        <v>0</v>
      </c>
      <c r="N27" s="34"/>
    </row>
    <row r="28" spans="1:18" ht="17" thickTop="1" x14ac:dyDescent="0.2">
      <c r="A28" s="42" t="s">
        <v>14</v>
      </c>
      <c r="B28" s="42" t="s">
        <v>1</v>
      </c>
      <c r="C28" s="42" t="s">
        <v>44</v>
      </c>
      <c r="D28" s="42" t="s">
        <v>5</v>
      </c>
      <c r="E28" s="43" t="s">
        <v>103</v>
      </c>
      <c r="F28" s="43" t="s">
        <v>45</v>
      </c>
      <c r="G28" s="42">
        <v>1</v>
      </c>
      <c r="H28" s="42" t="s">
        <v>17</v>
      </c>
      <c r="I28" s="42" t="s">
        <v>19</v>
      </c>
      <c r="J28" s="42">
        <v>1</v>
      </c>
      <c r="K28" s="44">
        <f>VLOOKUP(I28,'Weights and Confidence'!$D$16:$AC$26,5,FALSE)/COUNTIFS($B:$B,$B28,$C:$C,$C28,$H:$H,$H28,$I:$I,$I28)</f>
        <v>0.12</v>
      </c>
      <c r="L28" s="45">
        <f>VLOOKUP(I28,'Weights and Confidence'!$D$16:$AC$26,6,FALSE)</f>
        <v>1</v>
      </c>
      <c r="M28" s="46">
        <f>tScores4[[#This Row],[Raw_Rating_Text]]</f>
        <v>1</v>
      </c>
      <c r="N28" s="42"/>
      <c r="O28">
        <f>tScores4[[#This Row],[Raw_Rating_Text]]+J30+J32+J34+J36+J38+J40+J42+J44+J46+J48</f>
        <v>3</v>
      </c>
    </row>
    <row r="29" spans="1:18" x14ac:dyDescent="0.2">
      <c r="A29" s="34" t="s">
        <v>14</v>
      </c>
      <c r="B29" s="34" t="s">
        <v>1</v>
      </c>
      <c r="C29" s="34" t="s">
        <v>44</v>
      </c>
      <c r="D29" s="34" t="s">
        <v>5</v>
      </c>
      <c r="E29" s="34" t="s">
        <v>103</v>
      </c>
      <c r="F29" s="34" t="s">
        <v>45</v>
      </c>
      <c r="G29" s="34">
        <v>1</v>
      </c>
      <c r="H29" s="34" t="s">
        <v>18</v>
      </c>
      <c r="I29" s="34" t="s">
        <v>19</v>
      </c>
      <c r="J29" s="34">
        <v>1</v>
      </c>
      <c r="K29" s="35">
        <f>VLOOKUP(I29,'Weights and Confidence'!$D$16:$AC$26,5,FALSE)/COUNTIFS($B:$B,$B29,$C:$C,$C29,$H:$H,$H29,$I:$I,$I29)</f>
        <v>0.12</v>
      </c>
      <c r="L29" s="36">
        <f>VLOOKUP(I29,'Weights and Confidence'!$D$16:$AC$26,6,FALSE)</f>
        <v>1</v>
      </c>
      <c r="M29" s="37">
        <f>tScores4[[#This Row],[Raw_Rating_Text]]</f>
        <v>1</v>
      </c>
      <c r="N29" s="34"/>
      <c r="O29">
        <f>tScores4[[#This Row],[Raw_Rating_Text]]+J31+J33+J35+J37+J39+J41+J43+J45+J47+J49</f>
        <v>10</v>
      </c>
    </row>
    <row r="30" spans="1:18" x14ac:dyDescent="0.2">
      <c r="A30" s="38" t="s">
        <v>14</v>
      </c>
      <c r="B30" s="38" t="s">
        <v>1</v>
      </c>
      <c r="C30" s="38" t="s">
        <v>44</v>
      </c>
      <c r="D30" s="38" t="s">
        <v>5</v>
      </c>
      <c r="E30" s="38" t="s">
        <v>103</v>
      </c>
      <c r="F30" s="38" t="s">
        <v>45</v>
      </c>
      <c r="G30" s="38">
        <v>2</v>
      </c>
      <c r="H30" s="38" t="s">
        <v>17</v>
      </c>
      <c r="I30" s="38" t="s">
        <v>20</v>
      </c>
      <c r="J30" s="38">
        <v>1</v>
      </c>
      <c r="K30" s="39">
        <f>VLOOKUP(I30,'Weights and Confidence'!$D$16:$AC$26,5,FALSE)/COUNTIFS($B:$B,$B30,$C:$C,$C30,$H:$H,$H30,$I:$I,$I30)</f>
        <v>0.08</v>
      </c>
      <c r="L30" s="40">
        <f>VLOOKUP(I30,'Weights and Confidence'!$D$16:$AC$26,6,FALSE)</f>
        <v>0.8</v>
      </c>
      <c r="M30" s="41">
        <f>tScores4[[#This Row],[Raw_Rating_Text]]</f>
        <v>1</v>
      </c>
      <c r="N30" s="38"/>
    </row>
    <row r="31" spans="1:18" x14ac:dyDescent="0.2">
      <c r="A31" s="34" t="s">
        <v>14</v>
      </c>
      <c r="B31" s="34" t="s">
        <v>1</v>
      </c>
      <c r="C31" s="34" t="s">
        <v>44</v>
      </c>
      <c r="D31" s="34" t="s">
        <v>5</v>
      </c>
      <c r="E31" s="34" t="s">
        <v>103</v>
      </c>
      <c r="F31" s="34" t="s">
        <v>45</v>
      </c>
      <c r="G31" s="34">
        <v>2</v>
      </c>
      <c r="H31" s="34" t="s">
        <v>18</v>
      </c>
      <c r="I31" s="34" t="s">
        <v>20</v>
      </c>
      <c r="J31" s="34">
        <v>1</v>
      </c>
      <c r="K31" s="35">
        <f>VLOOKUP(I31,'Weights and Confidence'!$D$16:$AC$26,5,FALSE)/COUNTIFS($B:$B,$B31,$C:$C,$C31,$H:$H,$H31,$I:$I,$I31)</f>
        <v>0.08</v>
      </c>
      <c r="L31" s="36">
        <f>VLOOKUP(I31,'Weights and Confidence'!$D$16:$AC$26,6,FALSE)</f>
        <v>0.8</v>
      </c>
      <c r="M31" s="37">
        <f>tScores4[[#This Row],[Raw_Rating_Text]]</f>
        <v>1</v>
      </c>
      <c r="N31" s="34"/>
    </row>
    <row r="32" spans="1:18" x14ac:dyDescent="0.2">
      <c r="A32" s="38" t="s">
        <v>14</v>
      </c>
      <c r="B32" s="38" t="s">
        <v>1</v>
      </c>
      <c r="C32" s="38" t="s">
        <v>44</v>
      </c>
      <c r="D32" s="38" t="s">
        <v>5</v>
      </c>
      <c r="E32" s="38" t="s">
        <v>103</v>
      </c>
      <c r="F32" s="38" t="s">
        <v>45</v>
      </c>
      <c r="G32" s="38">
        <v>3</v>
      </c>
      <c r="H32" s="38" t="s">
        <v>17</v>
      </c>
      <c r="I32" s="38" t="s">
        <v>21</v>
      </c>
      <c r="J32" s="38">
        <v>1</v>
      </c>
      <c r="K32" s="39">
        <f>VLOOKUP(I32,'Weights and Confidence'!$D$16:$AC$26,5,FALSE)/COUNTIFS($B:$B,$B32,$C:$C,$C32,$H:$H,$H32,$I:$I,$I32)</f>
        <v>0.05</v>
      </c>
      <c r="L32" s="40">
        <f>VLOOKUP(I32,'Weights and Confidence'!$D$16:$AC$26,6,FALSE)</f>
        <v>1</v>
      </c>
      <c r="M32" s="41">
        <f>tScores4[[#This Row],[Raw_Rating_Text]]</f>
        <v>1</v>
      </c>
      <c r="N32" s="38"/>
    </row>
    <row r="33" spans="1:14" x14ac:dyDescent="0.2">
      <c r="A33" s="34" t="s">
        <v>14</v>
      </c>
      <c r="B33" s="34" t="s">
        <v>1</v>
      </c>
      <c r="C33" s="34" t="s">
        <v>44</v>
      </c>
      <c r="D33" s="34" t="s">
        <v>5</v>
      </c>
      <c r="E33" s="34" t="s">
        <v>103</v>
      </c>
      <c r="F33" s="34" t="s">
        <v>45</v>
      </c>
      <c r="G33" s="34">
        <v>3</v>
      </c>
      <c r="H33" s="34" t="s">
        <v>18</v>
      </c>
      <c r="I33" s="34" t="s">
        <v>21</v>
      </c>
      <c r="J33" s="34">
        <v>1</v>
      </c>
      <c r="K33" s="35">
        <f>VLOOKUP(I33,'Weights and Confidence'!$D$16:$AC$26,5,FALSE)/COUNTIFS($B:$B,$B33,$C:$C,$C33,$H:$H,$H33,$I:$I,$I33)</f>
        <v>0.05</v>
      </c>
      <c r="L33" s="36">
        <f>VLOOKUP(I33,'Weights and Confidence'!$D$16:$AC$26,6,FALSE)</f>
        <v>1</v>
      </c>
      <c r="M33" s="37">
        <f>tScores4[[#This Row],[Raw_Rating_Text]]</f>
        <v>1</v>
      </c>
      <c r="N33" s="34"/>
    </row>
    <row r="34" spans="1:14" x14ac:dyDescent="0.2">
      <c r="A34" s="38" t="s">
        <v>14</v>
      </c>
      <c r="B34" s="38" t="s">
        <v>1</v>
      </c>
      <c r="C34" s="38" t="s">
        <v>44</v>
      </c>
      <c r="D34" s="38" t="s">
        <v>5</v>
      </c>
      <c r="E34" s="38" t="s">
        <v>103</v>
      </c>
      <c r="F34" s="38" t="s">
        <v>45</v>
      </c>
      <c r="G34" s="38">
        <v>4</v>
      </c>
      <c r="H34" s="38" t="s">
        <v>17</v>
      </c>
      <c r="I34" s="38" t="s">
        <v>22</v>
      </c>
      <c r="J34" s="38">
        <v>0</v>
      </c>
      <c r="K34" s="39">
        <f>VLOOKUP(I34,'Weights and Confidence'!$D$16:$AC$26,5,FALSE)/COUNTIFS($B:$B,$B34,$C:$C,$C34,$H:$H,$H34,$I:$I,$I34)</f>
        <v>0.14000000000000001</v>
      </c>
      <c r="L34" s="40">
        <f>VLOOKUP(I34,'Weights and Confidence'!$D$16:$AC$26,6,FALSE)</f>
        <v>1</v>
      </c>
      <c r="M34" s="41">
        <f>tScores4[[#This Row],[Raw_Rating_Text]]</f>
        <v>0</v>
      </c>
      <c r="N34" s="38"/>
    </row>
    <row r="35" spans="1:14" x14ac:dyDescent="0.2">
      <c r="A35" s="34" t="s">
        <v>14</v>
      </c>
      <c r="B35" s="34" t="s">
        <v>1</v>
      </c>
      <c r="C35" s="34" t="s">
        <v>44</v>
      </c>
      <c r="D35" s="34" t="s">
        <v>5</v>
      </c>
      <c r="E35" s="34" t="s">
        <v>103</v>
      </c>
      <c r="F35" s="34" t="s">
        <v>45</v>
      </c>
      <c r="G35" s="34">
        <v>4</v>
      </c>
      <c r="H35" s="34" t="s">
        <v>18</v>
      </c>
      <c r="I35" s="34" t="s">
        <v>22</v>
      </c>
      <c r="J35" s="34">
        <v>1</v>
      </c>
      <c r="K35" s="35">
        <f>VLOOKUP(I35,'Weights and Confidence'!$D$16:$AC$26,5,FALSE)/COUNTIFS($B:$B,$B35,$C:$C,$C35,$H:$H,$H35,$I:$I,$I35)</f>
        <v>0.14000000000000001</v>
      </c>
      <c r="L35" s="36">
        <f>VLOOKUP(I35,'Weights and Confidence'!$D$16:$AC$26,6,FALSE)</f>
        <v>1</v>
      </c>
      <c r="M35" s="37">
        <f>tScores4[[#This Row],[Raw_Rating_Text]]</f>
        <v>1</v>
      </c>
      <c r="N35" s="34"/>
    </row>
    <row r="36" spans="1:14" x14ac:dyDescent="0.2">
      <c r="A36" s="38" t="s">
        <v>14</v>
      </c>
      <c r="B36" s="38" t="s">
        <v>1</v>
      </c>
      <c r="C36" s="38" t="s">
        <v>44</v>
      </c>
      <c r="D36" s="38" t="s">
        <v>5</v>
      </c>
      <c r="E36" s="38" t="s">
        <v>103</v>
      </c>
      <c r="F36" s="38" t="s">
        <v>45</v>
      </c>
      <c r="G36" s="38">
        <v>5</v>
      </c>
      <c r="H36" s="38" t="s">
        <v>17</v>
      </c>
      <c r="I36" s="38" t="s">
        <v>23</v>
      </c>
      <c r="J36" s="38">
        <v>0</v>
      </c>
      <c r="K36" s="39">
        <f>VLOOKUP(I36,'Weights and Confidence'!$D$16:$AC$26,5,FALSE)/COUNTIFS($B:$B,$B36,$C:$C,$C36,$H:$H,$H36,$I:$I,$I36)</f>
        <v>0.11</v>
      </c>
      <c r="L36" s="40">
        <f>VLOOKUP(I36,'Weights and Confidence'!$D$16:$AC$26,6,FALSE)</f>
        <v>1</v>
      </c>
      <c r="M36" s="41">
        <f>tScores4[[#This Row],[Raw_Rating_Text]]</f>
        <v>0</v>
      </c>
      <c r="N36" s="38"/>
    </row>
    <row r="37" spans="1:14" x14ac:dyDescent="0.2">
      <c r="A37" s="34" t="s">
        <v>14</v>
      </c>
      <c r="B37" s="34" t="s">
        <v>1</v>
      </c>
      <c r="C37" s="34" t="s">
        <v>44</v>
      </c>
      <c r="D37" s="34" t="s">
        <v>5</v>
      </c>
      <c r="E37" s="34" t="s">
        <v>103</v>
      </c>
      <c r="F37" s="34" t="s">
        <v>45</v>
      </c>
      <c r="G37" s="34">
        <v>5</v>
      </c>
      <c r="H37" s="34" t="s">
        <v>18</v>
      </c>
      <c r="I37" s="34" t="s">
        <v>23</v>
      </c>
      <c r="J37" s="34">
        <v>1</v>
      </c>
      <c r="K37" s="35">
        <f>VLOOKUP(I37,'Weights and Confidence'!$D$16:$AC$26,5,FALSE)/COUNTIFS($B:$B,$B37,$C:$C,$C37,$H:$H,$H37,$I:$I,$I37)</f>
        <v>0.11</v>
      </c>
      <c r="L37" s="36">
        <f>VLOOKUP(I37,'Weights and Confidence'!$D$16:$AC$26,6,FALSE)</f>
        <v>1</v>
      </c>
      <c r="M37" s="37">
        <f>tScores4[[#This Row],[Raw_Rating_Text]]</f>
        <v>1</v>
      </c>
      <c r="N37" s="34"/>
    </row>
    <row r="38" spans="1:14" x14ac:dyDescent="0.2">
      <c r="A38" s="38" t="s">
        <v>14</v>
      </c>
      <c r="B38" s="38" t="s">
        <v>1</v>
      </c>
      <c r="C38" s="38" t="s">
        <v>44</v>
      </c>
      <c r="D38" s="38" t="s">
        <v>5</v>
      </c>
      <c r="E38" s="38" t="s">
        <v>103</v>
      </c>
      <c r="F38" s="38" t="s">
        <v>45</v>
      </c>
      <c r="G38" s="38">
        <v>6</v>
      </c>
      <c r="H38" s="38" t="s">
        <v>17</v>
      </c>
      <c r="I38" s="38" t="s">
        <v>24</v>
      </c>
      <c r="J38" s="38">
        <v>0</v>
      </c>
      <c r="K38" s="39">
        <f>VLOOKUP(I38,'Weights and Confidence'!$D$16:$AC$26,5,FALSE)/COUNTIFS($B:$B,$B38,$C:$C,$C38,$H:$H,$H38,$I:$I,$I38)</f>
        <v>0.15</v>
      </c>
      <c r="L38" s="40">
        <f>VLOOKUP(I38,'Weights and Confidence'!$D$16:$AC$26,6,FALSE)</f>
        <v>1</v>
      </c>
      <c r="M38" s="41">
        <f>tScores4[[#This Row],[Raw_Rating_Text]]</f>
        <v>0</v>
      </c>
      <c r="N38" s="38"/>
    </row>
    <row r="39" spans="1:14" x14ac:dyDescent="0.2">
      <c r="A39" s="34" t="s">
        <v>14</v>
      </c>
      <c r="B39" s="34" t="s">
        <v>1</v>
      </c>
      <c r="C39" s="34" t="s">
        <v>44</v>
      </c>
      <c r="D39" s="34" t="s">
        <v>5</v>
      </c>
      <c r="E39" s="34" t="s">
        <v>103</v>
      </c>
      <c r="F39" s="34" t="s">
        <v>45</v>
      </c>
      <c r="G39" s="34">
        <v>6</v>
      </c>
      <c r="H39" s="34" t="s">
        <v>18</v>
      </c>
      <c r="I39" s="34" t="s">
        <v>24</v>
      </c>
      <c r="J39" s="34">
        <v>1</v>
      </c>
      <c r="K39" s="35">
        <f>VLOOKUP(I39,'Weights and Confidence'!$D$16:$AC$26,5,FALSE)/COUNTIFS($B:$B,$B39,$C:$C,$C39,$H:$H,$H39,$I:$I,$I39)</f>
        <v>0.15</v>
      </c>
      <c r="L39" s="36">
        <f>VLOOKUP(I39,'Weights and Confidence'!$D$16:$AC$26,6,FALSE)</f>
        <v>1</v>
      </c>
      <c r="M39" s="37">
        <f>tScores4[[#This Row],[Raw_Rating_Text]]</f>
        <v>1</v>
      </c>
      <c r="N39" s="34"/>
    </row>
    <row r="40" spans="1:14" x14ac:dyDescent="0.2">
      <c r="A40" s="38" t="s">
        <v>14</v>
      </c>
      <c r="B40" s="38" t="s">
        <v>1</v>
      </c>
      <c r="C40" s="38" t="s">
        <v>44</v>
      </c>
      <c r="D40" s="38" t="s">
        <v>5</v>
      </c>
      <c r="E40" s="38" t="s">
        <v>103</v>
      </c>
      <c r="F40" s="38" t="s">
        <v>45</v>
      </c>
      <c r="G40" s="38">
        <v>7</v>
      </c>
      <c r="H40" s="38" t="s">
        <v>17</v>
      </c>
      <c r="I40" s="38" t="s">
        <v>25</v>
      </c>
      <c r="J40" s="38">
        <v>0</v>
      </c>
      <c r="K40" s="39">
        <f>VLOOKUP(I40,'Weights and Confidence'!$D$16:$AC$26,5,FALSE)/COUNTIFS($B:$B,$B40,$C:$C,$C40,$H:$H,$H40,$I:$I,$I40)</f>
        <v>0.1</v>
      </c>
      <c r="L40" s="40">
        <f>VLOOKUP(I40,'Weights and Confidence'!$D$16:$AC$26,6,FALSE)</f>
        <v>1</v>
      </c>
      <c r="M40" s="41">
        <f>tScores4[[#This Row],[Raw_Rating_Text]]</f>
        <v>0</v>
      </c>
      <c r="N40" s="38"/>
    </row>
    <row r="41" spans="1:14" x14ac:dyDescent="0.2">
      <c r="A41" s="34" t="s">
        <v>14</v>
      </c>
      <c r="B41" s="34" t="s">
        <v>1</v>
      </c>
      <c r="C41" s="34" t="s">
        <v>44</v>
      </c>
      <c r="D41" s="34" t="s">
        <v>5</v>
      </c>
      <c r="E41" s="34" t="s">
        <v>103</v>
      </c>
      <c r="F41" s="34" t="s">
        <v>45</v>
      </c>
      <c r="G41" s="34">
        <v>7</v>
      </c>
      <c r="H41" s="34" t="s">
        <v>18</v>
      </c>
      <c r="I41" s="34" t="s">
        <v>25</v>
      </c>
      <c r="J41" s="34">
        <v>1</v>
      </c>
      <c r="K41" s="35">
        <f>VLOOKUP(I41,'Weights and Confidence'!$D$16:$AC$26,5,FALSE)/COUNTIFS($B:$B,$B41,$C:$C,$C41,$H:$H,$H41,$I:$I,$I41)</f>
        <v>0.1</v>
      </c>
      <c r="L41" s="36">
        <f>VLOOKUP(I41,'Weights and Confidence'!$D$16:$AC$26,6,FALSE)</f>
        <v>1</v>
      </c>
      <c r="M41" s="37">
        <f>tScores4[[#This Row],[Raw_Rating_Text]]</f>
        <v>1</v>
      </c>
      <c r="N41" s="34"/>
    </row>
    <row r="42" spans="1:14" x14ac:dyDescent="0.2">
      <c r="A42" s="38" t="s">
        <v>14</v>
      </c>
      <c r="B42" s="38" t="s">
        <v>1</v>
      </c>
      <c r="C42" s="38" t="s">
        <v>44</v>
      </c>
      <c r="D42" s="38" t="s">
        <v>5</v>
      </c>
      <c r="E42" s="38" t="s">
        <v>103</v>
      </c>
      <c r="F42" s="38" t="s">
        <v>45</v>
      </c>
      <c r="G42" s="38">
        <v>8</v>
      </c>
      <c r="H42" s="38" t="s">
        <v>17</v>
      </c>
      <c r="I42" s="38" t="s">
        <v>26</v>
      </c>
      <c r="J42" s="38">
        <v>0</v>
      </c>
      <c r="K42" s="39">
        <f>VLOOKUP(I42,'Weights and Confidence'!$D$16:$AC$26,5,FALSE)/COUNTIFS($B:$B,$B42,$C:$C,$C42,$H:$H,$H42,$I:$I,$I42)</f>
        <v>0.1</v>
      </c>
      <c r="L42" s="40">
        <f>VLOOKUP(I42,'Weights and Confidence'!$D$16:$AC$26,6,FALSE)</f>
        <v>1</v>
      </c>
      <c r="M42" s="41">
        <f>tScores4[[#This Row],[Raw_Rating_Text]]</f>
        <v>0</v>
      </c>
      <c r="N42" s="38"/>
    </row>
    <row r="43" spans="1:14" x14ac:dyDescent="0.2">
      <c r="A43" s="34" t="s">
        <v>14</v>
      </c>
      <c r="B43" s="34" t="s">
        <v>1</v>
      </c>
      <c r="C43" s="34" t="s">
        <v>44</v>
      </c>
      <c r="D43" s="34" t="s">
        <v>5</v>
      </c>
      <c r="E43" s="34" t="s">
        <v>103</v>
      </c>
      <c r="F43" s="34" t="s">
        <v>45</v>
      </c>
      <c r="G43" s="34">
        <v>8</v>
      </c>
      <c r="H43" s="34" t="s">
        <v>18</v>
      </c>
      <c r="I43" s="34" t="s">
        <v>26</v>
      </c>
      <c r="J43" s="34">
        <v>1</v>
      </c>
      <c r="K43" s="35">
        <f>VLOOKUP(I43,'Weights and Confidence'!$D$16:$AC$26,5,FALSE)/COUNTIFS($B:$B,$B43,$C:$C,$C43,$H:$H,$H43,$I:$I,$I43)</f>
        <v>0.1</v>
      </c>
      <c r="L43" s="36">
        <f>VLOOKUP(I43,'Weights and Confidence'!$D$16:$AC$26,6,FALSE)</f>
        <v>1</v>
      </c>
      <c r="M43" s="37">
        <f>tScores4[[#This Row],[Raw_Rating_Text]]</f>
        <v>1</v>
      </c>
      <c r="N43" s="34"/>
    </row>
    <row r="44" spans="1:14" x14ac:dyDescent="0.2">
      <c r="A44" s="38" t="s">
        <v>14</v>
      </c>
      <c r="B44" s="38" t="s">
        <v>1</v>
      </c>
      <c r="C44" s="38" t="s">
        <v>44</v>
      </c>
      <c r="D44" s="38" t="s">
        <v>5</v>
      </c>
      <c r="E44" s="38" t="s">
        <v>103</v>
      </c>
      <c r="F44" s="38" t="s">
        <v>45</v>
      </c>
      <c r="G44" s="38">
        <v>9</v>
      </c>
      <c r="H44" s="38" t="s">
        <v>17</v>
      </c>
      <c r="I44" s="38" t="s">
        <v>27</v>
      </c>
      <c r="J44" s="38">
        <v>0</v>
      </c>
      <c r="K44" s="39">
        <f>VLOOKUP(I44,'Weights and Confidence'!$D$16:$AC$26,5,FALSE)/COUNTIFS($B:$B,$B44,$C:$C,$C44,$H:$H,$H44,$I:$I,$I44)</f>
        <v>0.05</v>
      </c>
      <c r="L44" s="40">
        <f>VLOOKUP(I44,'Weights and Confidence'!$D$16:$AC$26,6,FALSE)</f>
        <v>0.85</v>
      </c>
      <c r="M44" s="41">
        <f>tScores4[[#This Row],[Raw_Rating_Text]]</f>
        <v>0</v>
      </c>
      <c r="N44" s="38"/>
    </row>
    <row r="45" spans="1:14" x14ac:dyDescent="0.2">
      <c r="A45" s="34" t="s">
        <v>14</v>
      </c>
      <c r="B45" s="34" t="s">
        <v>1</v>
      </c>
      <c r="C45" s="34" t="s">
        <v>44</v>
      </c>
      <c r="D45" s="34" t="s">
        <v>5</v>
      </c>
      <c r="E45" s="34" t="s">
        <v>103</v>
      </c>
      <c r="F45" s="34" t="s">
        <v>45</v>
      </c>
      <c r="G45" s="34">
        <v>9</v>
      </c>
      <c r="H45" s="34" t="s">
        <v>18</v>
      </c>
      <c r="I45" s="34" t="s">
        <v>27</v>
      </c>
      <c r="J45" s="34">
        <v>1</v>
      </c>
      <c r="K45" s="35">
        <f>VLOOKUP(I45,'Weights and Confidence'!$D$16:$AC$26,5,FALSE)/COUNTIFS($B:$B,$B45,$C:$C,$C45,$H:$H,$H45,$I:$I,$I45)</f>
        <v>0.05</v>
      </c>
      <c r="L45" s="36">
        <f>VLOOKUP(I45,'Weights and Confidence'!$D$16:$AC$26,6,FALSE)</f>
        <v>0.85</v>
      </c>
      <c r="M45" s="37">
        <f>tScores4[[#This Row],[Raw_Rating_Text]]</f>
        <v>1</v>
      </c>
      <c r="N45" s="34"/>
    </row>
    <row r="46" spans="1:14" x14ac:dyDescent="0.2">
      <c r="A46" s="38" t="s">
        <v>14</v>
      </c>
      <c r="B46" s="38" t="s">
        <v>1</v>
      </c>
      <c r="C46" s="38" t="s">
        <v>44</v>
      </c>
      <c r="D46" s="38" t="s">
        <v>5</v>
      </c>
      <c r="E46" s="38" t="s">
        <v>103</v>
      </c>
      <c r="F46" s="38" t="s">
        <v>45</v>
      </c>
      <c r="G46" s="38">
        <v>10</v>
      </c>
      <c r="H46" s="38" t="s">
        <v>17</v>
      </c>
      <c r="I46" s="38" t="s">
        <v>27</v>
      </c>
      <c r="J46" s="38">
        <v>0</v>
      </c>
      <c r="K46" s="39">
        <f>VLOOKUP(I46,'Weights and Confidence'!$D$16:$AC$26,5,FALSE)/COUNTIFS($B:$B,$B46,$C:$C,$C46,$H:$H,$H46,$I:$I,$I46)</f>
        <v>0.05</v>
      </c>
      <c r="L46" s="40">
        <f>VLOOKUP(I46,'Weights and Confidence'!$D$16:$AC$26,6,FALSE)</f>
        <v>0.85</v>
      </c>
      <c r="M46" s="41">
        <f>tScores4[[#This Row],[Raw_Rating_Text]]</f>
        <v>0</v>
      </c>
      <c r="N46" s="38"/>
    </row>
    <row r="47" spans="1:14" x14ac:dyDescent="0.2">
      <c r="A47" s="34" t="s">
        <v>14</v>
      </c>
      <c r="B47" s="34" t="s">
        <v>1</v>
      </c>
      <c r="C47" s="34" t="s">
        <v>44</v>
      </c>
      <c r="D47" s="34" t="s">
        <v>5</v>
      </c>
      <c r="E47" s="34" t="s">
        <v>103</v>
      </c>
      <c r="F47" s="34" t="s">
        <v>45</v>
      </c>
      <c r="G47" s="34">
        <v>10</v>
      </c>
      <c r="H47" s="34" t="s">
        <v>18</v>
      </c>
      <c r="I47" s="34" t="s">
        <v>27</v>
      </c>
      <c r="J47" s="34">
        <v>1</v>
      </c>
      <c r="K47" s="35">
        <f>VLOOKUP(I47,'Weights and Confidence'!$D$16:$AC$26,5,FALSE)/COUNTIFS($B:$B,$B47,$C:$C,$C47,$H:$H,$H47,$I:$I,$I47)</f>
        <v>0.05</v>
      </c>
      <c r="L47" s="36">
        <f>VLOOKUP(I47,'Weights and Confidence'!$D$16:$AC$26,6,FALSE)</f>
        <v>0.85</v>
      </c>
      <c r="M47" s="37">
        <f>tScores4[[#This Row],[Raw_Rating_Text]]</f>
        <v>1</v>
      </c>
      <c r="N47" s="34"/>
    </row>
    <row r="48" spans="1:14" x14ac:dyDescent="0.2">
      <c r="A48" s="38" t="s">
        <v>14</v>
      </c>
      <c r="B48" s="38" t="s">
        <v>1</v>
      </c>
      <c r="C48" s="38" t="s">
        <v>44</v>
      </c>
      <c r="D48" s="38" t="s">
        <v>5</v>
      </c>
      <c r="E48" s="38" t="s">
        <v>103</v>
      </c>
      <c r="F48" s="38" t="s">
        <v>45</v>
      </c>
      <c r="G48" s="38">
        <v>11</v>
      </c>
      <c r="H48" s="38" t="s">
        <v>17</v>
      </c>
      <c r="I48" s="38" t="s">
        <v>28</v>
      </c>
      <c r="J48" s="38">
        <v>0</v>
      </c>
      <c r="K48" s="39">
        <f>VLOOKUP(I48,'Weights and Confidence'!$D$16:$AC$26,5,FALSE)/COUNTIFS($B:$B,$B48,$C:$C,$C48,$H:$H,$H48,$I:$I,$I48)</f>
        <v>0.05</v>
      </c>
      <c r="L48" s="40">
        <f>VLOOKUP(I48,'Weights and Confidence'!$D$16:$AC$26,6,FALSE)</f>
        <v>1</v>
      </c>
      <c r="M48" s="41">
        <f>tScores4[[#This Row],[Raw_Rating_Text]]</f>
        <v>0</v>
      </c>
      <c r="N48" s="38"/>
    </row>
    <row r="49" spans="1:16" ht="17" thickBot="1" x14ac:dyDescent="0.25">
      <c r="A49" s="34" t="s">
        <v>14</v>
      </c>
      <c r="B49" s="34" t="s">
        <v>1</v>
      </c>
      <c r="C49" s="34" t="s">
        <v>44</v>
      </c>
      <c r="D49" s="34" t="s">
        <v>5</v>
      </c>
      <c r="E49" s="34" t="s">
        <v>103</v>
      </c>
      <c r="F49" s="34" t="s">
        <v>45</v>
      </c>
      <c r="G49" s="34">
        <v>11</v>
      </c>
      <c r="H49" s="34" t="s">
        <v>18</v>
      </c>
      <c r="I49" s="34" t="s">
        <v>28</v>
      </c>
      <c r="J49" s="34">
        <v>0</v>
      </c>
      <c r="K49" s="35">
        <f>VLOOKUP(I49,'Weights and Confidence'!$D$16:$AC$26,5,FALSE)/COUNTIFS($B:$B,$B49,$C:$C,$C49,$H:$H,$H49,$I:$I,$I49)</f>
        <v>0.05</v>
      </c>
      <c r="L49" s="36">
        <f>VLOOKUP(I49,'Weights and Confidence'!$D$16:$AC$26,6,FALSE)</f>
        <v>1</v>
      </c>
      <c r="M49" s="37">
        <f>tScores4[[#This Row],[Raw_Rating_Text]]</f>
        <v>0</v>
      </c>
      <c r="N49" s="34"/>
    </row>
    <row r="50" spans="1:16" ht="17" thickTop="1" x14ac:dyDescent="0.2">
      <c r="A50" s="42" t="s">
        <v>14</v>
      </c>
      <c r="B50" s="42" t="s">
        <v>1</v>
      </c>
      <c r="C50" s="42" t="s">
        <v>47</v>
      </c>
      <c r="D50" s="42" t="s">
        <v>5</v>
      </c>
      <c r="E50" s="43" t="s">
        <v>104</v>
      </c>
      <c r="F50" s="43" t="s">
        <v>46</v>
      </c>
      <c r="G50" s="42">
        <v>1</v>
      </c>
      <c r="H50" s="42" t="s">
        <v>17</v>
      </c>
      <c r="I50" s="42" t="s">
        <v>19</v>
      </c>
      <c r="J50" s="42">
        <v>1</v>
      </c>
      <c r="K50" s="44">
        <f>VLOOKUP(I50,'Weights and Confidence'!$D$16:$AC$26,5,FALSE)/COUNTIFS($B:$B,$B50,$C:$C,$C50,$H:$H,$H50,$I:$I,$I50)</f>
        <v>0.12</v>
      </c>
      <c r="L50" s="45">
        <f>VLOOKUP(I50,'Weights and Confidence'!$D$16:$AC$26,6,FALSE)</f>
        <v>1</v>
      </c>
      <c r="M50" s="46">
        <f>tScores4[[#This Row],[Raw_Rating_Text]]</f>
        <v>1</v>
      </c>
      <c r="N50" s="42"/>
      <c r="O50">
        <f>tScores4[[#This Row],[Raw_Rating_Text]]+J52+J54+J56+J58+J60+J62+J64+J66+J68+J70</f>
        <v>8</v>
      </c>
      <c r="P50" s="8">
        <f>'Normalized Score (2)'!$M50+M52+M54+M56+M58+M60+M62+M64+M66+M68+M70</f>
        <v>8</v>
      </c>
    </row>
    <row r="51" spans="1:16" x14ac:dyDescent="0.2">
      <c r="A51" s="34" t="s">
        <v>14</v>
      </c>
      <c r="B51" s="34" t="s">
        <v>1</v>
      </c>
      <c r="C51" s="34" t="s">
        <v>47</v>
      </c>
      <c r="D51" s="34" t="s">
        <v>5</v>
      </c>
      <c r="E51" s="34" t="s">
        <v>104</v>
      </c>
      <c r="F51" s="34" t="s">
        <v>46</v>
      </c>
      <c r="G51" s="34">
        <v>1</v>
      </c>
      <c r="H51" s="34" t="s">
        <v>18</v>
      </c>
      <c r="I51" s="34" t="s">
        <v>19</v>
      </c>
      <c r="J51" s="34">
        <v>1</v>
      </c>
      <c r="K51" s="35">
        <f>VLOOKUP(I51,'Weights and Confidence'!$D$16:$AC$26,5,FALSE)/COUNTIFS($B:$B,$B51,$C:$C,$C51,$H:$H,$H51,$I:$I,$I51)</f>
        <v>0.12</v>
      </c>
      <c r="L51" s="36">
        <f>VLOOKUP(I51,'Weights and Confidence'!$D$16:$AC$26,6,FALSE)</f>
        <v>1</v>
      </c>
      <c r="M51" s="37">
        <f>tScores4[[#This Row],[Raw_Rating_Text]]</f>
        <v>1</v>
      </c>
      <c r="N51" s="34"/>
      <c r="O51">
        <f>tScores4[[#This Row],[Raw_Rating_Text]]+J53+J55+J57+J59+J61+J63+J65+J67+J69+J71</f>
        <v>9</v>
      </c>
    </row>
    <row r="52" spans="1:16" x14ac:dyDescent="0.2">
      <c r="A52" s="38" t="s">
        <v>14</v>
      </c>
      <c r="B52" s="38" t="s">
        <v>1</v>
      </c>
      <c r="C52" s="38" t="s">
        <v>47</v>
      </c>
      <c r="D52" s="38" t="s">
        <v>5</v>
      </c>
      <c r="E52" s="38" t="s">
        <v>104</v>
      </c>
      <c r="F52" s="38" t="s">
        <v>46</v>
      </c>
      <c r="G52" s="38">
        <v>2</v>
      </c>
      <c r="H52" s="38" t="s">
        <v>17</v>
      </c>
      <c r="I52" s="38" t="s">
        <v>20</v>
      </c>
      <c r="J52" s="38">
        <v>1</v>
      </c>
      <c r="K52" s="39">
        <f>VLOOKUP(I52,'Weights and Confidence'!$D$16:$AC$26,5,FALSE)/COUNTIFS($B:$B,$B52,$C:$C,$C52,$H:$H,$H52,$I:$I,$I52)</f>
        <v>0.08</v>
      </c>
      <c r="L52" s="40">
        <f>VLOOKUP(I52,'Weights and Confidence'!$D$16:$AC$26,6,FALSE)</f>
        <v>0.8</v>
      </c>
      <c r="M52" s="41">
        <f>tScores4[[#This Row],[Raw_Rating_Text]]</f>
        <v>1</v>
      </c>
      <c r="N52" s="38"/>
    </row>
    <row r="53" spans="1:16" x14ac:dyDescent="0.2">
      <c r="A53" s="34" t="s">
        <v>14</v>
      </c>
      <c r="B53" s="34" t="s">
        <v>1</v>
      </c>
      <c r="C53" s="34" t="s">
        <v>47</v>
      </c>
      <c r="D53" s="34" t="s">
        <v>5</v>
      </c>
      <c r="E53" s="34" t="s">
        <v>104</v>
      </c>
      <c r="F53" s="34" t="s">
        <v>46</v>
      </c>
      <c r="G53" s="34">
        <v>2</v>
      </c>
      <c r="H53" s="34" t="s">
        <v>18</v>
      </c>
      <c r="I53" s="34" t="s">
        <v>20</v>
      </c>
      <c r="J53" s="34">
        <v>1</v>
      </c>
      <c r="K53" s="35">
        <f>VLOOKUP(I53,'Weights and Confidence'!$D$16:$AC$26,5,FALSE)/COUNTIFS($B:$B,$B53,$C:$C,$C53,$H:$H,$H53,$I:$I,$I53)</f>
        <v>0.08</v>
      </c>
      <c r="L53" s="36">
        <f>VLOOKUP(I53,'Weights and Confidence'!$D$16:$AC$26,6,FALSE)</f>
        <v>0.8</v>
      </c>
      <c r="M53" s="37">
        <f>tScores4[[#This Row],[Raw_Rating_Text]]</f>
        <v>1</v>
      </c>
      <c r="N53" s="34"/>
    </row>
    <row r="54" spans="1:16" x14ac:dyDescent="0.2">
      <c r="A54" s="38" t="s">
        <v>14</v>
      </c>
      <c r="B54" s="38" t="s">
        <v>1</v>
      </c>
      <c r="C54" s="38" t="s">
        <v>47</v>
      </c>
      <c r="D54" s="38" t="s">
        <v>5</v>
      </c>
      <c r="E54" s="38" t="s">
        <v>104</v>
      </c>
      <c r="F54" s="38" t="s">
        <v>46</v>
      </c>
      <c r="G54" s="38">
        <v>3</v>
      </c>
      <c r="H54" s="38" t="s">
        <v>17</v>
      </c>
      <c r="I54" s="38" t="s">
        <v>21</v>
      </c>
      <c r="J54" s="38">
        <v>0</v>
      </c>
      <c r="K54" s="39">
        <f>VLOOKUP(I54,'Weights and Confidence'!$D$16:$AC$26,5,FALSE)/COUNTIFS($B:$B,$B54,$C:$C,$C54,$H:$H,$H54,$I:$I,$I54)</f>
        <v>0.05</v>
      </c>
      <c r="L54" s="40">
        <f>VLOOKUP(I54,'Weights and Confidence'!$D$16:$AC$26,6,FALSE)</f>
        <v>1</v>
      </c>
      <c r="M54" s="41">
        <f>tScores4[[#This Row],[Raw_Rating_Text]]</f>
        <v>0</v>
      </c>
      <c r="N54" s="38"/>
    </row>
    <row r="55" spans="1:16" x14ac:dyDescent="0.2">
      <c r="A55" s="34" t="s">
        <v>14</v>
      </c>
      <c r="B55" s="34" t="s">
        <v>1</v>
      </c>
      <c r="C55" s="34" t="s">
        <v>47</v>
      </c>
      <c r="D55" s="34" t="s">
        <v>5</v>
      </c>
      <c r="E55" s="34" t="s">
        <v>104</v>
      </c>
      <c r="F55" s="34" t="s">
        <v>46</v>
      </c>
      <c r="G55" s="34">
        <v>3</v>
      </c>
      <c r="H55" s="34" t="s">
        <v>18</v>
      </c>
      <c r="I55" s="34" t="s">
        <v>21</v>
      </c>
      <c r="J55" s="34">
        <v>1</v>
      </c>
      <c r="K55" s="35">
        <f>VLOOKUP(I55,'Weights and Confidence'!$D$16:$AC$26,5,FALSE)/COUNTIFS($B:$B,$B55,$C:$C,$C55,$H:$H,$H55,$I:$I,$I55)</f>
        <v>0.05</v>
      </c>
      <c r="L55" s="36">
        <f>VLOOKUP(I55,'Weights and Confidence'!$D$16:$AC$26,6,FALSE)</f>
        <v>1</v>
      </c>
      <c r="M55" s="37">
        <f>tScores4[[#This Row],[Raw_Rating_Text]]</f>
        <v>1</v>
      </c>
      <c r="N55" s="34"/>
    </row>
    <row r="56" spans="1:16" x14ac:dyDescent="0.2">
      <c r="A56" s="38" t="s">
        <v>14</v>
      </c>
      <c r="B56" s="38" t="s">
        <v>1</v>
      </c>
      <c r="C56" s="38" t="s">
        <v>47</v>
      </c>
      <c r="D56" s="38" t="s">
        <v>5</v>
      </c>
      <c r="E56" s="38" t="s">
        <v>104</v>
      </c>
      <c r="F56" s="38" t="s">
        <v>46</v>
      </c>
      <c r="G56" s="38">
        <v>4</v>
      </c>
      <c r="H56" s="38" t="s">
        <v>17</v>
      </c>
      <c r="I56" s="38" t="s">
        <v>22</v>
      </c>
      <c r="J56" s="38">
        <v>0</v>
      </c>
      <c r="K56" s="39">
        <f>VLOOKUP(I56,'Weights and Confidence'!$D$16:$AC$26,5,FALSE)/COUNTIFS($B:$B,$B56,$C:$C,$C56,$H:$H,$H56,$I:$I,$I56)</f>
        <v>0.14000000000000001</v>
      </c>
      <c r="L56" s="40">
        <f>VLOOKUP(I56,'Weights and Confidence'!$D$16:$AC$26,6,FALSE)</f>
        <v>1</v>
      </c>
      <c r="M56" s="41">
        <f>tScores4[[#This Row],[Raw_Rating_Text]]</f>
        <v>0</v>
      </c>
      <c r="N56" s="38"/>
    </row>
    <row r="57" spans="1:16" x14ac:dyDescent="0.2">
      <c r="A57" s="34" t="s">
        <v>14</v>
      </c>
      <c r="B57" s="34" t="s">
        <v>1</v>
      </c>
      <c r="C57" s="34" t="s">
        <v>47</v>
      </c>
      <c r="D57" s="34" t="s">
        <v>5</v>
      </c>
      <c r="E57" s="34" t="s">
        <v>104</v>
      </c>
      <c r="F57" s="34" t="s">
        <v>46</v>
      </c>
      <c r="G57" s="34">
        <v>4</v>
      </c>
      <c r="H57" s="34" t="s">
        <v>18</v>
      </c>
      <c r="I57" s="34" t="s">
        <v>22</v>
      </c>
      <c r="J57" s="34">
        <v>1</v>
      </c>
      <c r="K57" s="35">
        <f>VLOOKUP(I57,'Weights and Confidence'!$D$16:$AC$26,5,FALSE)/COUNTIFS($B:$B,$B57,$C:$C,$C57,$H:$H,$H57,$I:$I,$I57)</f>
        <v>0.14000000000000001</v>
      </c>
      <c r="L57" s="36">
        <f>VLOOKUP(I57,'Weights and Confidence'!$D$16:$AC$26,6,FALSE)</f>
        <v>1</v>
      </c>
      <c r="M57" s="37">
        <f>tScores4[[#This Row],[Raw_Rating_Text]]</f>
        <v>1</v>
      </c>
      <c r="N57" s="34"/>
    </row>
    <row r="58" spans="1:16" x14ac:dyDescent="0.2">
      <c r="A58" s="38" t="s">
        <v>14</v>
      </c>
      <c r="B58" s="38" t="s">
        <v>1</v>
      </c>
      <c r="C58" s="38" t="s">
        <v>47</v>
      </c>
      <c r="D58" s="38" t="s">
        <v>5</v>
      </c>
      <c r="E58" s="38" t="s">
        <v>104</v>
      </c>
      <c r="F58" s="38" t="s">
        <v>46</v>
      </c>
      <c r="G58" s="38">
        <v>5</v>
      </c>
      <c r="H58" s="38" t="s">
        <v>17</v>
      </c>
      <c r="I58" s="38" t="s">
        <v>23</v>
      </c>
      <c r="J58" s="38">
        <v>1</v>
      </c>
      <c r="K58" s="39">
        <f>VLOOKUP(I58,'Weights and Confidence'!$D$16:$AC$26,5,FALSE)/COUNTIFS($B:$B,$B58,$C:$C,$C58,$H:$H,$H58,$I:$I,$I58)</f>
        <v>0.11</v>
      </c>
      <c r="L58" s="40">
        <f>VLOOKUP(I58,'Weights and Confidence'!$D$16:$AC$26,6,FALSE)</f>
        <v>1</v>
      </c>
      <c r="M58" s="41">
        <f>tScores4[[#This Row],[Raw_Rating_Text]]</f>
        <v>1</v>
      </c>
      <c r="N58" s="38"/>
    </row>
    <row r="59" spans="1:16" x14ac:dyDescent="0.2">
      <c r="A59" s="34" t="s">
        <v>14</v>
      </c>
      <c r="B59" s="34" t="s">
        <v>1</v>
      </c>
      <c r="C59" s="34" t="s">
        <v>47</v>
      </c>
      <c r="D59" s="34" t="s">
        <v>5</v>
      </c>
      <c r="E59" s="34" t="s">
        <v>104</v>
      </c>
      <c r="F59" s="34" t="s">
        <v>46</v>
      </c>
      <c r="G59" s="34">
        <v>5</v>
      </c>
      <c r="H59" s="34" t="s">
        <v>18</v>
      </c>
      <c r="I59" s="34" t="s">
        <v>23</v>
      </c>
      <c r="J59" s="34">
        <v>1</v>
      </c>
      <c r="K59" s="35">
        <f>VLOOKUP(I59,'Weights and Confidence'!$D$16:$AC$26,5,FALSE)/COUNTIFS($B:$B,$B59,$C:$C,$C59,$H:$H,$H59,$I:$I,$I59)</f>
        <v>0.11</v>
      </c>
      <c r="L59" s="36">
        <f>VLOOKUP(I59,'Weights and Confidence'!$D$16:$AC$26,6,FALSE)</f>
        <v>1</v>
      </c>
      <c r="M59" s="37">
        <f>tScores4[[#This Row],[Raw_Rating_Text]]</f>
        <v>1</v>
      </c>
      <c r="N59" s="34"/>
    </row>
    <row r="60" spans="1:16" x14ac:dyDescent="0.2">
      <c r="A60" s="38" t="s">
        <v>14</v>
      </c>
      <c r="B60" s="38" t="s">
        <v>1</v>
      </c>
      <c r="C60" s="38" t="s">
        <v>47</v>
      </c>
      <c r="D60" s="38" t="s">
        <v>5</v>
      </c>
      <c r="E60" s="38" t="s">
        <v>104</v>
      </c>
      <c r="F60" s="38" t="s">
        <v>46</v>
      </c>
      <c r="G60" s="38">
        <v>6</v>
      </c>
      <c r="H60" s="38" t="s">
        <v>17</v>
      </c>
      <c r="I60" s="38" t="s">
        <v>24</v>
      </c>
      <c r="J60" s="38">
        <v>1</v>
      </c>
      <c r="K60" s="39">
        <f>VLOOKUP(I60,'Weights and Confidence'!$D$16:$AC$26,5,FALSE)/COUNTIFS($B:$B,$B60,$C:$C,$C60,$H:$H,$H60,$I:$I,$I60)</f>
        <v>0.15</v>
      </c>
      <c r="L60" s="40">
        <f>VLOOKUP(I60,'Weights and Confidence'!$D$16:$AC$26,6,FALSE)</f>
        <v>1</v>
      </c>
      <c r="M60" s="41">
        <f>tScores4[[#This Row],[Raw_Rating_Text]]</f>
        <v>1</v>
      </c>
      <c r="N60" s="38"/>
    </row>
    <row r="61" spans="1:16" x14ac:dyDescent="0.2">
      <c r="A61" s="34" t="s">
        <v>14</v>
      </c>
      <c r="B61" s="34" t="s">
        <v>1</v>
      </c>
      <c r="C61" s="34" t="s">
        <v>47</v>
      </c>
      <c r="D61" s="34" t="s">
        <v>5</v>
      </c>
      <c r="E61" s="34" t="s">
        <v>104</v>
      </c>
      <c r="F61" s="34" t="s">
        <v>46</v>
      </c>
      <c r="G61" s="34">
        <v>6</v>
      </c>
      <c r="H61" s="34" t="s">
        <v>18</v>
      </c>
      <c r="I61" s="34" t="s">
        <v>24</v>
      </c>
      <c r="J61" s="34">
        <v>1</v>
      </c>
      <c r="K61" s="35">
        <f>VLOOKUP(I61,'Weights and Confidence'!$D$16:$AC$26,5,FALSE)/COUNTIFS($B:$B,$B61,$C:$C,$C61,$H:$H,$H61,$I:$I,$I61)</f>
        <v>0.15</v>
      </c>
      <c r="L61" s="36">
        <f>VLOOKUP(I61,'Weights and Confidence'!$D$16:$AC$26,6,FALSE)</f>
        <v>1</v>
      </c>
      <c r="M61" s="37">
        <f>tScores4[[#This Row],[Raw_Rating_Text]]</f>
        <v>1</v>
      </c>
      <c r="N61" s="34"/>
    </row>
    <row r="62" spans="1:16" x14ac:dyDescent="0.2">
      <c r="A62" s="38" t="s">
        <v>14</v>
      </c>
      <c r="B62" s="38" t="s">
        <v>1</v>
      </c>
      <c r="C62" s="38" t="s">
        <v>47</v>
      </c>
      <c r="D62" s="38" t="s">
        <v>5</v>
      </c>
      <c r="E62" s="38" t="s">
        <v>104</v>
      </c>
      <c r="F62" s="38" t="s">
        <v>46</v>
      </c>
      <c r="G62" s="38">
        <v>7</v>
      </c>
      <c r="H62" s="38" t="s">
        <v>17</v>
      </c>
      <c r="I62" s="38" t="s">
        <v>25</v>
      </c>
      <c r="J62" s="38">
        <v>0</v>
      </c>
      <c r="K62" s="39">
        <f>VLOOKUP(I62,'Weights and Confidence'!$D$16:$AC$26,5,FALSE)/COUNTIFS($B:$B,$B62,$C:$C,$C62,$H:$H,$H62,$I:$I,$I62)</f>
        <v>0.1</v>
      </c>
      <c r="L62" s="40">
        <f>VLOOKUP(I62,'Weights and Confidence'!$D$16:$AC$26,6,FALSE)</f>
        <v>1</v>
      </c>
      <c r="M62" s="41">
        <f>tScores4[[#This Row],[Raw_Rating_Text]]</f>
        <v>0</v>
      </c>
      <c r="N62" s="38"/>
    </row>
    <row r="63" spans="1:16" x14ac:dyDescent="0.2">
      <c r="A63" s="34" t="s">
        <v>14</v>
      </c>
      <c r="B63" s="34" t="s">
        <v>1</v>
      </c>
      <c r="C63" s="34" t="s">
        <v>47</v>
      </c>
      <c r="D63" s="34" t="s">
        <v>5</v>
      </c>
      <c r="E63" s="34" t="s">
        <v>104</v>
      </c>
      <c r="F63" s="34" t="s">
        <v>46</v>
      </c>
      <c r="G63" s="34">
        <v>7</v>
      </c>
      <c r="H63" s="34" t="s">
        <v>18</v>
      </c>
      <c r="I63" s="34" t="s">
        <v>25</v>
      </c>
      <c r="J63" s="34">
        <v>0</v>
      </c>
      <c r="K63" s="35">
        <f>VLOOKUP(I63,'Weights and Confidence'!$D$16:$AC$26,5,FALSE)/COUNTIFS($B:$B,$B63,$C:$C,$C63,$H:$H,$H63,$I:$I,$I63)</f>
        <v>0.1</v>
      </c>
      <c r="L63" s="36">
        <f>VLOOKUP(I63,'Weights and Confidence'!$D$16:$AC$26,6,FALSE)</f>
        <v>1</v>
      </c>
      <c r="M63" s="37">
        <f>tScores4[[#This Row],[Raw_Rating_Text]]</f>
        <v>0</v>
      </c>
      <c r="N63" s="34"/>
    </row>
    <row r="64" spans="1:16" x14ac:dyDescent="0.2">
      <c r="A64" s="38" t="s">
        <v>14</v>
      </c>
      <c r="B64" s="38" t="s">
        <v>1</v>
      </c>
      <c r="C64" s="38" t="s">
        <v>47</v>
      </c>
      <c r="D64" s="38" t="s">
        <v>5</v>
      </c>
      <c r="E64" s="38" t="s">
        <v>104</v>
      </c>
      <c r="F64" s="38" t="s">
        <v>46</v>
      </c>
      <c r="G64" s="38">
        <v>8</v>
      </c>
      <c r="H64" s="38" t="s">
        <v>17</v>
      </c>
      <c r="I64" s="38" t="s">
        <v>26</v>
      </c>
      <c r="J64" s="38">
        <v>1</v>
      </c>
      <c r="K64" s="39">
        <f>VLOOKUP(I64,'Weights and Confidence'!$D$16:$AC$26,5,FALSE)/COUNTIFS($B:$B,$B64,$C:$C,$C64,$H:$H,$H64,$I:$I,$I64)</f>
        <v>0.1</v>
      </c>
      <c r="L64" s="40">
        <f>VLOOKUP(I64,'Weights and Confidence'!$D$16:$AC$26,6,FALSE)</f>
        <v>1</v>
      </c>
      <c r="M64" s="41">
        <f>tScores4[[#This Row],[Raw_Rating_Text]]</f>
        <v>1</v>
      </c>
      <c r="N64" s="38"/>
    </row>
    <row r="65" spans="1:15" x14ac:dyDescent="0.2">
      <c r="A65" s="34" t="s">
        <v>14</v>
      </c>
      <c r="B65" s="34" t="s">
        <v>1</v>
      </c>
      <c r="C65" s="34" t="s">
        <v>47</v>
      </c>
      <c r="D65" s="34" t="s">
        <v>5</v>
      </c>
      <c r="E65" s="34" t="s">
        <v>104</v>
      </c>
      <c r="F65" s="34" t="s">
        <v>46</v>
      </c>
      <c r="G65" s="34">
        <v>8</v>
      </c>
      <c r="H65" s="34" t="s">
        <v>18</v>
      </c>
      <c r="I65" s="34" t="s">
        <v>26</v>
      </c>
      <c r="J65" s="34">
        <v>1</v>
      </c>
      <c r="K65" s="35">
        <f>VLOOKUP(I65,'Weights and Confidence'!$D$16:$AC$26,5,FALSE)/COUNTIFS($B:$B,$B65,$C:$C,$C65,$H:$H,$H65,$I:$I,$I65)</f>
        <v>0.1</v>
      </c>
      <c r="L65" s="36">
        <f>VLOOKUP(I65,'Weights and Confidence'!$D$16:$AC$26,6,FALSE)</f>
        <v>1</v>
      </c>
      <c r="M65" s="37">
        <f>tScores4[[#This Row],[Raw_Rating_Text]]</f>
        <v>1</v>
      </c>
      <c r="N65" s="34"/>
    </row>
    <row r="66" spans="1:15" x14ac:dyDescent="0.2">
      <c r="A66" s="38" t="s">
        <v>14</v>
      </c>
      <c r="B66" s="38" t="s">
        <v>1</v>
      </c>
      <c r="C66" s="38" t="s">
        <v>47</v>
      </c>
      <c r="D66" s="38" t="s">
        <v>5</v>
      </c>
      <c r="E66" s="38" t="s">
        <v>104</v>
      </c>
      <c r="F66" s="38" t="s">
        <v>46</v>
      </c>
      <c r="G66" s="38">
        <v>9</v>
      </c>
      <c r="H66" s="38" t="s">
        <v>17</v>
      </c>
      <c r="I66" s="38" t="s">
        <v>27</v>
      </c>
      <c r="J66" s="38">
        <v>1</v>
      </c>
      <c r="K66" s="39">
        <f>VLOOKUP(I66,'Weights and Confidence'!$D$16:$AC$26,5,FALSE)/COUNTIFS($B:$B,$B66,$C:$C,$C66,$H:$H,$H66,$I:$I,$I66)</f>
        <v>0.05</v>
      </c>
      <c r="L66" s="40">
        <f>VLOOKUP(I66,'Weights and Confidence'!$D$16:$AC$26,6,FALSE)</f>
        <v>0.85</v>
      </c>
      <c r="M66" s="41">
        <f>tScores4[[#This Row],[Raw_Rating_Text]]</f>
        <v>1</v>
      </c>
      <c r="N66" s="38"/>
    </row>
    <row r="67" spans="1:15" x14ac:dyDescent="0.2">
      <c r="A67" s="34" t="s">
        <v>14</v>
      </c>
      <c r="B67" s="34" t="s">
        <v>1</v>
      </c>
      <c r="C67" s="34" t="s">
        <v>47</v>
      </c>
      <c r="D67" s="34" t="s">
        <v>5</v>
      </c>
      <c r="E67" s="34" t="s">
        <v>104</v>
      </c>
      <c r="F67" s="34" t="s">
        <v>46</v>
      </c>
      <c r="G67" s="34">
        <v>9</v>
      </c>
      <c r="H67" s="34" t="s">
        <v>18</v>
      </c>
      <c r="I67" s="34" t="s">
        <v>27</v>
      </c>
      <c r="J67" s="34">
        <v>1</v>
      </c>
      <c r="K67" s="35">
        <f>VLOOKUP(I67,'Weights and Confidence'!$D$16:$AC$26,5,FALSE)/COUNTIFS($B:$B,$B67,$C:$C,$C67,$H:$H,$H67,$I:$I,$I67)</f>
        <v>0.05</v>
      </c>
      <c r="L67" s="36">
        <f>VLOOKUP(I67,'Weights and Confidence'!$D$16:$AC$26,6,FALSE)</f>
        <v>0.85</v>
      </c>
      <c r="M67" s="37">
        <f>tScores4[[#This Row],[Raw_Rating_Text]]</f>
        <v>1</v>
      </c>
      <c r="N67" s="34"/>
    </row>
    <row r="68" spans="1:15" x14ac:dyDescent="0.2">
      <c r="A68" s="38" t="s">
        <v>14</v>
      </c>
      <c r="B68" s="38" t="s">
        <v>1</v>
      </c>
      <c r="C68" s="38" t="s">
        <v>47</v>
      </c>
      <c r="D68" s="38" t="s">
        <v>5</v>
      </c>
      <c r="E68" s="38" t="s">
        <v>104</v>
      </c>
      <c r="F68" s="38" t="s">
        <v>46</v>
      </c>
      <c r="G68" s="38">
        <v>10</v>
      </c>
      <c r="H68" s="38" t="s">
        <v>17</v>
      </c>
      <c r="I68" s="38" t="s">
        <v>27</v>
      </c>
      <c r="J68" s="38">
        <v>1</v>
      </c>
      <c r="K68" s="39">
        <f>VLOOKUP(I68,'Weights and Confidence'!$D$16:$AC$26,5,FALSE)/COUNTIFS($B:$B,$B68,$C:$C,$C68,$H:$H,$H68,$I:$I,$I68)</f>
        <v>0.05</v>
      </c>
      <c r="L68" s="40">
        <f>VLOOKUP(I68,'Weights and Confidence'!$D$16:$AC$26,6,FALSE)</f>
        <v>0.85</v>
      </c>
      <c r="M68" s="41">
        <f>tScores4[[#This Row],[Raw_Rating_Text]]</f>
        <v>1</v>
      </c>
      <c r="N68" s="38"/>
    </row>
    <row r="69" spans="1:15" x14ac:dyDescent="0.2">
      <c r="A69" s="34" t="s">
        <v>14</v>
      </c>
      <c r="B69" s="34" t="s">
        <v>1</v>
      </c>
      <c r="C69" s="34" t="s">
        <v>47</v>
      </c>
      <c r="D69" s="34" t="s">
        <v>5</v>
      </c>
      <c r="E69" s="34" t="s">
        <v>104</v>
      </c>
      <c r="F69" s="34" t="s">
        <v>46</v>
      </c>
      <c r="G69" s="34">
        <v>10</v>
      </c>
      <c r="H69" s="34" t="s">
        <v>18</v>
      </c>
      <c r="I69" s="34" t="s">
        <v>27</v>
      </c>
      <c r="J69" s="34">
        <v>1</v>
      </c>
      <c r="K69" s="35">
        <f>VLOOKUP(I69,'Weights and Confidence'!$D$16:$AC$26,5,FALSE)/COUNTIFS($B:$B,$B69,$C:$C,$C69,$H:$H,$H69,$I:$I,$I69)</f>
        <v>0.05</v>
      </c>
      <c r="L69" s="36">
        <f>VLOOKUP(I69,'Weights and Confidence'!$D$16:$AC$26,6,FALSE)</f>
        <v>0.85</v>
      </c>
      <c r="M69" s="37">
        <f>tScores4[[#This Row],[Raw_Rating_Text]]</f>
        <v>1</v>
      </c>
      <c r="N69" s="34"/>
    </row>
    <row r="70" spans="1:15" x14ac:dyDescent="0.2">
      <c r="A70" s="38" t="s">
        <v>14</v>
      </c>
      <c r="B70" s="38" t="s">
        <v>1</v>
      </c>
      <c r="C70" s="38" t="s">
        <v>47</v>
      </c>
      <c r="D70" s="38" t="s">
        <v>5</v>
      </c>
      <c r="E70" s="38" t="s">
        <v>104</v>
      </c>
      <c r="F70" s="38" t="s">
        <v>46</v>
      </c>
      <c r="G70" s="38">
        <v>11</v>
      </c>
      <c r="H70" s="38" t="s">
        <v>17</v>
      </c>
      <c r="I70" s="38" t="s">
        <v>28</v>
      </c>
      <c r="J70" s="38">
        <v>1</v>
      </c>
      <c r="K70" s="39">
        <f>VLOOKUP(I70,'Weights and Confidence'!$D$16:$AC$26,5,FALSE)/COUNTIFS($B:$B,$B70,$C:$C,$C70,$H:$H,$H70,$I:$I,$I70)</f>
        <v>0.05</v>
      </c>
      <c r="L70" s="40">
        <f>VLOOKUP(I70,'Weights and Confidence'!$D$16:$AC$26,6,FALSE)</f>
        <v>1</v>
      </c>
      <c r="M70" s="41">
        <f>tScores4[[#This Row],[Raw_Rating_Text]]</f>
        <v>1</v>
      </c>
      <c r="N70" s="38"/>
    </row>
    <row r="71" spans="1:15" ht="17" thickBot="1" x14ac:dyDescent="0.25">
      <c r="A71" s="34" t="s">
        <v>14</v>
      </c>
      <c r="B71" s="34" t="s">
        <v>1</v>
      </c>
      <c r="C71" s="34" t="s">
        <v>47</v>
      </c>
      <c r="D71" s="34" t="s">
        <v>5</v>
      </c>
      <c r="E71" s="34" t="s">
        <v>104</v>
      </c>
      <c r="F71" s="34" t="s">
        <v>46</v>
      </c>
      <c r="G71" s="34">
        <v>11</v>
      </c>
      <c r="H71" s="34" t="s">
        <v>18</v>
      </c>
      <c r="I71" s="34" t="s">
        <v>28</v>
      </c>
      <c r="J71" s="34">
        <v>0</v>
      </c>
      <c r="K71" s="35">
        <f>VLOOKUP(I71,'Weights and Confidence'!$D$16:$AC$26,5,FALSE)/COUNTIFS($B:$B,$B71,$C:$C,$C71,$H:$H,$H71,$I:$I,$I71)</f>
        <v>0.05</v>
      </c>
      <c r="L71" s="36">
        <f>VLOOKUP(I71,'Weights and Confidence'!$D$16:$AC$26,6,FALSE)</f>
        <v>1</v>
      </c>
      <c r="M71" s="37">
        <f>tScores4[[#This Row],[Raw_Rating_Text]]</f>
        <v>0</v>
      </c>
      <c r="N71" s="34"/>
    </row>
    <row r="72" spans="1:15" ht="17" thickTop="1" x14ac:dyDescent="0.2">
      <c r="A72" s="42" t="s">
        <v>14</v>
      </c>
      <c r="B72" s="42" t="s">
        <v>1</v>
      </c>
      <c r="C72" s="42" t="s">
        <v>48</v>
      </c>
      <c r="D72" s="42" t="s">
        <v>5</v>
      </c>
      <c r="E72" s="42" t="s">
        <v>104</v>
      </c>
      <c r="F72" s="43" t="s">
        <v>49</v>
      </c>
      <c r="G72" s="42">
        <v>1</v>
      </c>
      <c r="H72" s="42" t="s">
        <v>17</v>
      </c>
      <c r="I72" s="42" t="s">
        <v>19</v>
      </c>
      <c r="J72" s="42">
        <v>0</v>
      </c>
      <c r="K72" s="44">
        <f>VLOOKUP(I72,'Weights and Confidence'!$D$16:$AC$26,5,FALSE)/COUNTIFS($B:$B,$B72,$C:$C,$C72,$H:$H,$H72,$I:$I,$I72)</f>
        <v>0.12</v>
      </c>
      <c r="L72" s="45">
        <f>VLOOKUP(I72,'Weights and Confidence'!$D$16:$AC$26,6,FALSE)</f>
        <v>1</v>
      </c>
      <c r="M72" s="46">
        <f>tScores4[[#This Row],[Raw_Rating_Text]]</f>
        <v>0</v>
      </c>
      <c r="N72" s="42"/>
      <c r="O72">
        <f>tScores4[[#This Row],[Raw_Rating_Text]]+J74+J76+J78+J80+J82+J84+J86+J88+J90+J92</f>
        <v>1</v>
      </c>
    </row>
    <row r="73" spans="1:15" x14ac:dyDescent="0.2">
      <c r="A73" s="34" t="s">
        <v>14</v>
      </c>
      <c r="B73" s="34" t="s">
        <v>1</v>
      </c>
      <c r="C73" s="34" t="s">
        <v>48</v>
      </c>
      <c r="D73" s="34" t="s">
        <v>5</v>
      </c>
      <c r="E73" s="34" t="s">
        <v>104</v>
      </c>
      <c r="F73" s="34" t="s">
        <v>49</v>
      </c>
      <c r="G73" s="34">
        <v>1</v>
      </c>
      <c r="H73" s="34" t="s">
        <v>18</v>
      </c>
      <c r="I73" s="34" t="s">
        <v>19</v>
      </c>
      <c r="J73" s="34">
        <v>1</v>
      </c>
      <c r="K73" s="35">
        <f>VLOOKUP(I73,'Weights and Confidence'!$D$16:$AC$26,5,FALSE)/COUNTIFS($B:$B,$B73,$C:$C,$C73,$H:$H,$H73,$I:$I,$I73)</f>
        <v>0.12</v>
      </c>
      <c r="L73" s="36">
        <f>VLOOKUP(I73,'Weights and Confidence'!$D$16:$AC$26,6,FALSE)</f>
        <v>1</v>
      </c>
      <c r="M73" s="37">
        <f>tScores4[[#This Row],[Raw_Rating_Text]]</f>
        <v>1</v>
      </c>
      <c r="N73" s="34"/>
      <c r="O73">
        <f>tScores4[[#This Row],[Raw_Rating_Text]]+J75+J77+J79+J81+J83+J85+J87+J89+J91+J93</f>
        <v>4</v>
      </c>
    </row>
    <row r="74" spans="1:15" x14ac:dyDescent="0.2">
      <c r="A74" s="38" t="s">
        <v>14</v>
      </c>
      <c r="B74" s="38" t="s">
        <v>1</v>
      </c>
      <c r="C74" s="38" t="s">
        <v>48</v>
      </c>
      <c r="D74" s="38" t="s">
        <v>5</v>
      </c>
      <c r="E74" s="38" t="s">
        <v>104</v>
      </c>
      <c r="F74" s="38" t="s">
        <v>49</v>
      </c>
      <c r="G74" s="38">
        <v>2</v>
      </c>
      <c r="H74" s="38" t="s">
        <v>17</v>
      </c>
      <c r="I74" s="38" t="s">
        <v>20</v>
      </c>
      <c r="J74" s="38">
        <v>0</v>
      </c>
      <c r="K74" s="39">
        <f>VLOOKUP(I74,'Weights and Confidence'!$D$16:$AC$26,5,FALSE)/COUNTIFS($B:$B,$B74,$C:$C,$C74,$H:$H,$H74,$I:$I,$I74)</f>
        <v>0.08</v>
      </c>
      <c r="L74" s="40">
        <f>VLOOKUP(I74,'Weights and Confidence'!$D$16:$AC$26,6,FALSE)</f>
        <v>0.8</v>
      </c>
      <c r="M74" s="41">
        <f>tScores4[[#This Row],[Raw_Rating_Text]]</f>
        <v>0</v>
      </c>
      <c r="N74" s="38"/>
    </row>
    <row r="75" spans="1:15" x14ac:dyDescent="0.2">
      <c r="A75" s="34" t="s">
        <v>14</v>
      </c>
      <c r="B75" s="34" t="s">
        <v>1</v>
      </c>
      <c r="C75" s="34" t="s">
        <v>48</v>
      </c>
      <c r="D75" s="34" t="s">
        <v>5</v>
      </c>
      <c r="E75" s="34" t="s">
        <v>104</v>
      </c>
      <c r="F75" s="34" t="s">
        <v>49</v>
      </c>
      <c r="G75" s="34">
        <v>2</v>
      </c>
      <c r="H75" s="34" t="s">
        <v>18</v>
      </c>
      <c r="I75" s="34" t="s">
        <v>20</v>
      </c>
      <c r="J75" s="34">
        <v>1</v>
      </c>
      <c r="K75" s="35">
        <f>VLOOKUP(I75,'Weights and Confidence'!$D$16:$AC$26,5,FALSE)/COUNTIFS($B:$B,$B75,$C:$C,$C75,$H:$H,$H75,$I:$I,$I75)</f>
        <v>0.08</v>
      </c>
      <c r="L75" s="36">
        <f>VLOOKUP(I75,'Weights and Confidence'!$D$16:$AC$26,6,FALSE)</f>
        <v>0.8</v>
      </c>
      <c r="M75" s="37">
        <f>tScores4[[#This Row],[Raw_Rating_Text]]</f>
        <v>1</v>
      </c>
      <c r="N75" s="34"/>
    </row>
    <row r="76" spans="1:15" x14ac:dyDescent="0.2">
      <c r="A76" s="38" t="s">
        <v>14</v>
      </c>
      <c r="B76" s="38" t="s">
        <v>1</v>
      </c>
      <c r="C76" s="38" t="s">
        <v>48</v>
      </c>
      <c r="D76" s="38" t="s">
        <v>5</v>
      </c>
      <c r="E76" s="38" t="s">
        <v>104</v>
      </c>
      <c r="F76" s="38" t="s">
        <v>49</v>
      </c>
      <c r="G76" s="38">
        <v>3</v>
      </c>
      <c r="H76" s="38" t="s">
        <v>17</v>
      </c>
      <c r="I76" s="38" t="s">
        <v>21</v>
      </c>
      <c r="J76" s="38">
        <v>1</v>
      </c>
      <c r="K76" s="39">
        <f>VLOOKUP(I76,'Weights and Confidence'!$D$16:$AC$26,5,FALSE)/COUNTIFS($B:$B,$B76,$C:$C,$C76,$H:$H,$H76,$I:$I,$I76)</f>
        <v>0.05</v>
      </c>
      <c r="L76" s="40">
        <f>VLOOKUP(I76,'Weights and Confidence'!$D$16:$AC$26,6,FALSE)</f>
        <v>1</v>
      </c>
      <c r="M76" s="41">
        <f>tScores4[[#This Row],[Raw_Rating_Text]]</f>
        <v>1</v>
      </c>
      <c r="N76" s="38"/>
    </row>
    <row r="77" spans="1:15" x14ac:dyDescent="0.2">
      <c r="A77" s="34" t="s">
        <v>14</v>
      </c>
      <c r="B77" s="34" t="s">
        <v>1</v>
      </c>
      <c r="C77" s="34" t="s">
        <v>48</v>
      </c>
      <c r="D77" s="34" t="s">
        <v>5</v>
      </c>
      <c r="E77" s="34" t="s">
        <v>104</v>
      </c>
      <c r="F77" s="34" t="s">
        <v>49</v>
      </c>
      <c r="G77" s="34">
        <v>3</v>
      </c>
      <c r="H77" s="34" t="s">
        <v>18</v>
      </c>
      <c r="I77" s="34" t="s">
        <v>21</v>
      </c>
      <c r="J77" s="34">
        <v>0</v>
      </c>
      <c r="K77" s="35">
        <f>VLOOKUP(I77,'Weights and Confidence'!$D$16:$AC$26,5,FALSE)/COUNTIFS($B:$B,$B77,$C:$C,$C77,$H:$H,$H77,$I:$I,$I77)</f>
        <v>0.05</v>
      </c>
      <c r="L77" s="36">
        <f>VLOOKUP(I77,'Weights and Confidence'!$D$16:$AC$26,6,FALSE)</f>
        <v>1</v>
      </c>
      <c r="M77" s="37">
        <f>tScores4[[#This Row],[Raw_Rating_Text]]</f>
        <v>0</v>
      </c>
      <c r="N77" s="34"/>
    </row>
    <row r="78" spans="1:15" x14ac:dyDescent="0.2">
      <c r="A78" s="38" t="s">
        <v>14</v>
      </c>
      <c r="B78" s="38" t="s">
        <v>1</v>
      </c>
      <c r="C78" s="38" t="s">
        <v>48</v>
      </c>
      <c r="D78" s="38" t="s">
        <v>5</v>
      </c>
      <c r="E78" s="38" t="s">
        <v>104</v>
      </c>
      <c r="F78" s="38" t="s">
        <v>49</v>
      </c>
      <c r="G78" s="38">
        <v>4</v>
      </c>
      <c r="H78" s="38" t="s">
        <v>17</v>
      </c>
      <c r="I78" s="38" t="s">
        <v>22</v>
      </c>
      <c r="J78" s="38">
        <v>0</v>
      </c>
      <c r="K78" s="39">
        <f>VLOOKUP(I78,'Weights and Confidence'!$D$16:$AC$26,5,FALSE)/COUNTIFS($B:$B,$B78,$C:$C,$C78,$H:$H,$H78,$I:$I,$I78)</f>
        <v>0.14000000000000001</v>
      </c>
      <c r="L78" s="40">
        <f>VLOOKUP(I78,'Weights and Confidence'!$D$16:$AC$26,6,FALSE)</f>
        <v>1</v>
      </c>
      <c r="M78" s="41">
        <f>tScores4[[#This Row],[Raw_Rating_Text]]</f>
        <v>0</v>
      </c>
      <c r="N78" s="38"/>
    </row>
    <row r="79" spans="1:15" x14ac:dyDescent="0.2">
      <c r="A79" s="34" t="s">
        <v>14</v>
      </c>
      <c r="B79" s="34" t="s">
        <v>1</v>
      </c>
      <c r="C79" s="34" t="s">
        <v>48</v>
      </c>
      <c r="D79" s="34" t="s">
        <v>5</v>
      </c>
      <c r="E79" s="34" t="s">
        <v>104</v>
      </c>
      <c r="F79" s="34" t="s">
        <v>49</v>
      </c>
      <c r="G79" s="34">
        <v>4</v>
      </c>
      <c r="H79" s="34" t="s">
        <v>18</v>
      </c>
      <c r="I79" s="34" t="s">
        <v>22</v>
      </c>
      <c r="J79" s="34">
        <v>0</v>
      </c>
      <c r="K79" s="35">
        <f>VLOOKUP(I79,'Weights and Confidence'!$D$16:$AC$26,5,FALSE)/COUNTIFS($B:$B,$B79,$C:$C,$C79,$H:$H,$H79,$I:$I,$I79)</f>
        <v>0.14000000000000001</v>
      </c>
      <c r="L79" s="36">
        <f>VLOOKUP(I79,'Weights and Confidence'!$D$16:$AC$26,6,FALSE)</f>
        <v>1</v>
      </c>
      <c r="M79" s="37">
        <f>tScores4[[#This Row],[Raw_Rating_Text]]</f>
        <v>0</v>
      </c>
      <c r="N79" s="34"/>
    </row>
    <row r="80" spans="1:15" x14ac:dyDescent="0.2">
      <c r="A80" s="38" t="s">
        <v>14</v>
      </c>
      <c r="B80" s="38" t="s">
        <v>1</v>
      </c>
      <c r="C80" s="38" t="s">
        <v>48</v>
      </c>
      <c r="D80" s="38" t="s">
        <v>5</v>
      </c>
      <c r="E80" s="38" t="s">
        <v>104</v>
      </c>
      <c r="F80" s="38" t="s">
        <v>49</v>
      </c>
      <c r="G80" s="38">
        <v>5</v>
      </c>
      <c r="H80" s="38" t="s">
        <v>17</v>
      </c>
      <c r="I80" s="38" t="s">
        <v>23</v>
      </c>
      <c r="J80" s="38">
        <v>-1</v>
      </c>
      <c r="K80" s="39">
        <f>VLOOKUP(I80,'Weights and Confidence'!$D$16:$AC$26,5,FALSE)/COUNTIFS($B:$B,$B80,$C:$C,$C80,$H:$H,$H80,$I:$I,$I80)</f>
        <v>0.11</v>
      </c>
      <c r="L80" s="40">
        <f>VLOOKUP(I80,'Weights and Confidence'!$D$16:$AC$26,6,FALSE)</f>
        <v>1</v>
      </c>
      <c r="M80" s="41">
        <f>tScores4[[#This Row],[Raw_Rating_Text]]</f>
        <v>-1</v>
      </c>
      <c r="N80" s="38"/>
    </row>
    <row r="81" spans="1:14" x14ac:dyDescent="0.2">
      <c r="A81" s="34" t="s">
        <v>14</v>
      </c>
      <c r="B81" s="34" t="s">
        <v>1</v>
      </c>
      <c r="C81" s="34" t="s">
        <v>48</v>
      </c>
      <c r="D81" s="34" t="s">
        <v>5</v>
      </c>
      <c r="E81" s="34" t="s">
        <v>104</v>
      </c>
      <c r="F81" s="34" t="s">
        <v>49</v>
      </c>
      <c r="G81" s="34">
        <v>5</v>
      </c>
      <c r="H81" s="34" t="s">
        <v>18</v>
      </c>
      <c r="I81" s="34" t="s">
        <v>23</v>
      </c>
      <c r="J81" s="34">
        <v>0</v>
      </c>
      <c r="K81" s="35">
        <f>VLOOKUP(I81,'Weights and Confidence'!$D$16:$AC$26,5,FALSE)/COUNTIFS($B:$B,$B81,$C:$C,$C81,$H:$H,$H81,$I:$I,$I81)</f>
        <v>0.11</v>
      </c>
      <c r="L81" s="36">
        <f>VLOOKUP(I81,'Weights and Confidence'!$D$16:$AC$26,6,FALSE)</f>
        <v>1</v>
      </c>
      <c r="M81" s="37">
        <f>tScores4[[#This Row],[Raw_Rating_Text]]</f>
        <v>0</v>
      </c>
      <c r="N81" s="34"/>
    </row>
    <row r="82" spans="1:14" x14ac:dyDescent="0.2">
      <c r="A82" s="38" t="s">
        <v>14</v>
      </c>
      <c r="B82" s="38" t="s">
        <v>1</v>
      </c>
      <c r="C82" s="38" t="s">
        <v>48</v>
      </c>
      <c r="D82" s="38" t="s">
        <v>5</v>
      </c>
      <c r="E82" s="38" t="s">
        <v>104</v>
      </c>
      <c r="F82" s="38" t="s">
        <v>49</v>
      </c>
      <c r="G82" s="38">
        <v>6</v>
      </c>
      <c r="H82" s="38" t="s">
        <v>17</v>
      </c>
      <c r="I82" s="38" t="s">
        <v>24</v>
      </c>
      <c r="J82" s="38">
        <v>-1</v>
      </c>
      <c r="K82" s="39">
        <f>VLOOKUP(I82,'Weights and Confidence'!$D$16:$AC$26,5,FALSE)/COUNTIFS($B:$B,$B82,$C:$C,$C82,$H:$H,$H82,$I:$I,$I82)</f>
        <v>0.15</v>
      </c>
      <c r="L82" s="40">
        <f>VLOOKUP(I82,'Weights and Confidence'!$D$16:$AC$26,6,FALSE)</f>
        <v>1</v>
      </c>
      <c r="M82" s="41">
        <f>tScores4[[#This Row],[Raw_Rating_Text]]</f>
        <v>-1</v>
      </c>
      <c r="N82" s="38"/>
    </row>
    <row r="83" spans="1:14" x14ac:dyDescent="0.2">
      <c r="A83" s="34" t="s">
        <v>14</v>
      </c>
      <c r="B83" s="34" t="s">
        <v>1</v>
      </c>
      <c r="C83" s="34" t="s">
        <v>48</v>
      </c>
      <c r="D83" s="34" t="s">
        <v>5</v>
      </c>
      <c r="E83" s="34" t="s">
        <v>104</v>
      </c>
      <c r="F83" s="34" t="s">
        <v>49</v>
      </c>
      <c r="G83" s="34">
        <v>6</v>
      </c>
      <c r="H83" s="34" t="s">
        <v>18</v>
      </c>
      <c r="I83" s="34" t="s">
        <v>24</v>
      </c>
      <c r="J83" s="34">
        <v>1</v>
      </c>
      <c r="K83" s="35">
        <f>VLOOKUP(I83,'Weights and Confidence'!$D$16:$AC$26,5,FALSE)/COUNTIFS($B:$B,$B83,$C:$C,$C83,$H:$H,$H83,$I:$I,$I83)</f>
        <v>0.15</v>
      </c>
      <c r="L83" s="36">
        <f>VLOOKUP(I83,'Weights and Confidence'!$D$16:$AC$26,6,FALSE)</f>
        <v>1</v>
      </c>
      <c r="M83" s="37">
        <f>tScores4[[#This Row],[Raw_Rating_Text]]</f>
        <v>1</v>
      </c>
      <c r="N83" s="34"/>
    </row>
    <row r="84" spans="1:14" x14ac:dyDescent="0.2">
      <c r="A84" s="38" t="s">
        <v>14</v>
      </c>
      <c r="B84" s="38" t="s">
        <v>1</v>
      </c>
      <c r="C84" s="38" t="s">
        <v>48</v>
      </c>
      <c r="D84" s="38" t="s">
        <v>5</v>
      </c>
      <c r="E84" s="38" t="s">
        <v>104</v>
      </c>
      <c r="F84" s="38" t="s">
        <v>49</v>
      </c>
      <c r="G84" s="38">
        <v>7</v>
      </c>
      <c r="H84" s="38" t="s">
        <v>17</v>
      </c>
      <c r="I84" s="38" t="s">
        <v>25</v>
      </c>
      <c r="J84" s="38">
        <v>0</v>
      </c>
      <c r="K84" s="39">
        <f>VLOOKUP(I84,'Weights and Confidence'!$D$16:$AC$26,5,FALSE)/COUNTIFS($B:$B,$B84,$C:$C,$C84,$H:$H,$H84,$I:$I,$I84)</f>
        <v>0.1</v>
      </c>
      <c r="L84" s="40">
        <f>VLOOKUP(I84,'Weights and Confidence'!$D$16:$AC$26,6,FALSE)</f>
        <v>1</v>
      </c>
      <c r="M84" s="41">
        <f>tScores4[[#This Row],[Raw_Rating_Text]]</f>
        <v>0</v>
      </c>
      <c r="N84" s="38"/>
    </row>
    <row r="85" spans="1:14" x14ac:dyDescent="0.2">
      <c r="A85" s="34" t="s">
        <v>14</v>
      </c>
      <c r="B85" s="34" t="s">
        <v>1</v>
      </c>
      <c r="C85" s="34" t="s">
        <v>48</v>
      </c>
      <c r="D85" s="34" t="s">
        <v>5</v>
      </c>
      <c r="E85" s="34" t="s">
        <v>104</v>
      </c>
      <c r="F85" s="34" t="s">
        <v>49</v>
      </c>
      <c r="G85" s="34">
        <v>7</v>
      </c>
      <c r="H85" s="34" t="s">
        <v>18</v>
      </c>
      <c r="I85" s="34" t="s">
        <v>25</v>
      </c>
      <c r="J85" s="34">
        <v>0</v>
      </c>
      <c r="K85" s="35">
        <f>VLOOKUP(I85,'Weights and Confidence'!$D$16:$AC$26,5,FALSE)/COUNTIFS($B:$B,$B85,$C:$C,$C85,$H:$H,$H85,$I:$I,$I85)</f>
        <v>0.1</v>
      </c>
      <c r="L85" s="36">
        <f>VLOOKUP(I85,'Weights and Confidence'!$D$16:$AC$26,6,FALSE)</f>
        <v>1</v>
      </c>
      <c r="M85" s="37">
        <f>tScores4[[#This Row],[Raw_Rating_Text]]</f>
        <v>0</v>
      </c>
      <c r="N85" s="34"/>
    </row>
    <row r="86" spans="1:14" x14ac:dyDescent="0.2">
      <c r="A86" s="38" t="s">
        <v>14</v>
      </c>
      <c r="B86" s="38" t="s">
        <v>1</v>
      </c>
      <c r="C86" s="38" t="s">
        <v>48</v>
      </c>
      <c r="D86" s="38" t="s">
        <v>5</v>
      </c>
      <c r="E86" s="38" t="s">
        <v>104</v>
      </c>
      <c r="F86" s="38" t="s">
        <v>49</v>
      </c>
      <c r="G86" s="38">
        <v>8</v>
      </c>
      <c r="H86" s="38" t="s">
        <v>17</v>
      </c>
      <c r="I86" s="38" t="s">
        <v>26</v>
      </c>
      <c r="J86" s="38">
        <v>0</v>
      </c>
      <c r="K86" s="39">
        <f>VLOOKUP(I86,'Weights and Confidence'!$D$16:$AC$26,5,FALSE)/COUNTIFS($B:$B,$B86,$C:$C,$C86,$H:$H,$H86,$I:$I,$I86)</f>
        <v>0.1</v>
      </c>
      <c r="L86" s="40">
        <f>VLOOKUP(I86,'Weights and Confidence'!$D$16:$AC$26,6,FALSE)</f>
        <v>1</v>
      </c>
      <c r="M86" s="41">
        <f>tScores4[[#This Row],[Raw_Rating_Text]]</f>
        <v>0</v>
      </c>
      <c r="N86" s="38"/>
    </row>
    <row r="87" spans="1:14" x14ac:dyDescent="0.2">
      <c r="A87" s="34" t="s">
        <v>14</v>
      </c>
      <c r="B87" s="34" t="s">
        <v>1</v>
      </c>
      <c r="C87" s="34" t="s">
        <v>48</v>
      </c>
      <c r="D87" s="34" t="s">
        <v>5</v>
      </c>
      <c r="E87" s="34" t="s">
        <v>104</v>
      </c>
      <c r="F87" s="34" t="s">
        <v>49</v>
      </c>
      <c r="G87" s="34">
        <v>8</v>
      </c>
      <c r="H87" s="34" t="s">
        <v>18</v>
      </c>
      <c r="I87" s="34" t="s">
        <v>26</v>
      </c>
      <c r="J87" s="34">
        <v>0</v>
      </c>
      <c r="K87" s="35">
        <f>VLOOKUP(I87,'Weights and Confidence'!$D$16:$AC$26,5,FALSE)/COUNTIFS($B:$B,$B87,$C:$C,$C87,$H:$H,$H87,$I:$I,$I87)</f>
        <v>0.1</v>
      </c>
      <c r="L87" s="36">
        <f>VLOOKUP(I87,'Weights and Confidence'!$D$16:$AC$26,6,FALSE)</f>
        <v>1</v>
      </c>
      <c r="M87" s="37">
        <f>tScores4[[#This Row],[Raw_Rating_Text]]</f>
        <v>0</v>
      </c>
      <c r="N87" s="34"/>
    </row>
    <row r="88" spans="1:14" x14ac:dyDescent="0.2">
      <c r="A88" s="38" t="s">
        <v>14</v>
      </c>
      <c r="B88" s="38" t="s">
        <v>1</v>
      </c>
      <c r="C88" s="38" t="s">
        <v>48</v>
      </c>
      <c r="D88" s="38" t="s">
        <v>5</v>
      </c>
      <c r="E88" s="38" t="s">
        <v>104</v>
      </c>
      <c r="F88" s="38" t="s">
        <v>49</v>
      </c>
      <c r="G88" s="38">
        <v>9</v>
      </c>
      <c r="H88" s="38" t="s">
        <v>17</v>
      </c>
      <c r="I88" s="38" t="s">
        <v>27</v>
      </c>
      <c r="J88" s="38">
        <v>1</v>
      </c>
      <c r="K88" s="39">
        <f>VLOOKUP(I88,'Weights and Confidence'!$D$16:$AC$26,5,FALSE)/COUNTIFS($B:$B,$B88,$C:$C,$C88,$H:$H,$H88,$I:$I,$I88)</f>
        <v>0.05</v>
      </c>
      <c r="L88" s="40">
        <f>VLOOKUP(I88,'Weights and Confidence'!$D$16:$AC$26,6,FALSE)</f>
        <v>0.85</v>
      </c>
      <c r="M88" s="41">
        <f>tScores4[[#This Row],[Raw_Rating_Text]]</f>
        <v>1</v>
      </c>
      <c r="N88" s="38"/>
    </row>
    <row r="89" spans="1:14" x14ac:dyDescent="0.2">
      <c r="A89" s="34" t="s">
        <v>14</v>
      </c>
      <c r="B89" s="34" t="s">
        <v>1</v>
      </c>
      <c r="C89" s="34" t="s">
        <v>48</v>
      </c>
      <c r="D89" s="34" t="s">
        <v>5</v>
      </c>
      <c r="E89" s="34" t="s">
        <v>104</v>
      </c>
      <c r="F89" s="34" t="s">
        <v>49</v>
      </c>
      <c r="G89" s="34">
        <v>9</v>
      </c>
      <c r="H89" s="34" t="s">
        <v>18</v>
      </c>
      <c r="I89" s="34" t="s">
        <v>27</v>
      </c>
      <c r="J89" s="34">
        <v>1</v>
      </c>
      <c r="K89" s="35">
        <f>VLOOKUP(I89,'Weights and Confidence'!$D$16:$AC$26,5,FALSE)/COUNTIFS($B:$B,$B89,$C:$C,$C89,$H:$H,$H89,$I:$I,$I89)</f>
        <v>0.05</v>
      </c>
      <c r="L89" s="36">
        <f>VLOOKUP(I89,'Weights and Confidence'!$D$16:$AC$26,6,FALSE)</f>
        <v>0.85</v>
      </c>
      <c r="M89" s="37">
        <f>tScores4[[#This Row],[Raw_Rating_Text]]</f>
        <v>1</v>
      </c>
      <c r="N89" s="34"/>
    </row>
    <row r="90" spans="1:14" x14ac:dyDescent="0.2">
      <c r="A90" s="38" t="s">
        <v>14</v>
      </c>
      <c r="B90" s="38" t="s">
        <v>1</v>
      </c>
      <c r="C90" s="38" t="s">
        <v>48</v>
      </c>
      <c r="D90" s="38" t="s">
        <v>5</v>
      </c>
      <c r="E90" s="38" t="s">
        <v>104</v>
      </c>
      <c r="F90" s="38" t="s">
        <v>49</v>
      </c>
      <c r="G90" s="38">
        <v>10</v>
      </c>
      <c r="H90" s="38" t="s">
        <v>17</v>
      </c>
      <c r="I90" s="38" t="s">
        <v>27</v>
      </c>
      <c r="J90" s="38">
        <v>1</v>
      </c>
      <c r="K90" s="39">
        <f>VLOOKUP(I90,'Weights and Confidence'!$D$16:$AC$26,5,FALSE)/COUNTIFS($B:$B,$B90,$C:$C,$C90,$H:$H,$H90,$I:$I,$I90)</f>
        <v>0.05</v>
      </c>
      <c r="L90" s="40">
        <f>VLOOKUP(I90,'Weights and Confidence'!$D$16:$AC$26,6,FALSE)</f>
        <v>0.85</v>
      </c>
      <c r="M90" s="41">
        <f>tScores4[[#This Row],[Raw_Rating_Text]]</f>
        <v>1</v>
      </c>
      <c r="N90" s="38"/>
    </row>
    <row r="91" spans="1:14" x14ac:dyDescent="0.2">
      <c r="A91" s="34" t="s">
        <v>14</v>
      </c>
      <c r="B91" s="34" t="s">
        <v>1</v>
      </c>
      <c r="C91" s="34" t="s">
        <v>48</v>
      </c>
      <c r="D91" s="34" t="s">
        <v>5</v>
      </c>
      <c r="E91" s="34" t="s">
        <v>104</v>
      </c>
      <c r="F91" s="34" t="s">
        <v>49</v>
      </c>
      <c r="G91" s="34">
        <v>10</v>
      </c>
      <c r="H91" s="34" t="s">
        <v>18</v>
      </c>
      <c r="I91" s="34" t="s">
        <v>27</v>
      </c>
      <c r="J91" s="34">
        <v>1</v>
      </c>
      <c r="K91" s="35">
        <f>VLOOKUP(I91,'Weights and Confidence'!$D$16:$AC$26,5,FALSE)/COUNTIFS($B:$B,$B91,$C:$C,$C91,$H:$H,$H91,$I:$I,$I91)</f>
        <v>0.05</v>
      </c>
      <c r="L91" s="36">
        <f>VLOOKUP(I91,'Weights and Confidence'!$D$16:$AC$26,6,FALSE)</f>
        <v>0.85</v>
      </c>
      <c r="M91" s="37">
        <f>tScores4[[#This Row],[Raw_Rating_Text]]</f>
        <v>1</v>
      </c>
      <c r="N91" s="34"/>
    </row>
    <row r="92" spans="1:14" x14ac:dyDescent="0.2">
      <c r="A92" s="38" t="s">
        <v>14</v>
      </c>
      <c r="B92" s="38" t="s">
        <v>1</v>
      </c>
      <c r="C92" s="38" t="s">
        <v>48</v>
      </c>
      <c r="D92" s="38" t="s">
        <v>5</v>
      </c>
      <c r="E92" s="38" t="s">
        <v>104</v>
      </c>
      <c r="F92" s="38" t="s">
        <v>49</v>
      </c>
      <c r="G92" s="38">
        <v>11</v>
      </c>
      <c r="H92" s="38" t="s">
        <v>17</v>
      </c>
      <c r="I92" s="38" t="s">
        <v>28</v>
      </c>
      <c r="J92" s="38">
        <v>0</v>
      </c>
      <c r="K92" s="39">
        <f>VLOOKUP(I92,'Weights and Confidence'!$D$16:$AC$26,5,FALSE)/COUNTIFS($B:$B,$B92,$C:$C,$C92,$H:$H,$H92,$I:$I,$I92)</f>
        <v>0.05</v>
      </c>
      <c r="L92" s="40">
        <f>VLOOKUP(I92,'Weights and Confidence'!$D$16:$AC$26,6,FALSE)</f>
        <v>1</v>
      </c>
      <c r="M92" s="41">
        <f>tScores4[[#This Row],[Raw_Rating_Text]]</f>
        <v>0</v>
      </c>
      <c r="N92" s="38"/>
    </row>
    <row r="93" spans="1:14" ht="17" thickBot="1" x14ac:dyDescent="0.25">
      <c r="A93" s="34" t="s">
        <v>14</v>
      </c>
      <c r="B93" s="34" t="s">
        <v>1</v>
      </c>
      <c r="C93" s="34" t="s">
        <v>48</v>
      </c>
      <c r="D93" s="34" t="s">
        <v>5</v>
      </c>
      <c r="E93" s="34" t="s">
        <v>104</v>
      </c>
      <c r="F93" s="34" t="s">
        <v>49</v>
      </c>
      <c r="G93" s="34">
        <v>11</v>
      </c>
      <c r="H93" s="34" t="s">
        <v>18</v>
      </c>
      <c r="I93" s="34" t="s">
        <v>28</v>
      </c>
      <c r="J93" s="34">
        <v>-1</v>
      </c>
      <c r="K93" s="35">
        <f>VLOOKUP(I93,'Weights and Confidence'!$D$16:$AC$26,5,FALSE)/COUNTIFS($B:$B,$B93,$C:$C,$C93,$H:$H,$H93,$I:$I,$I93)</f>
        <v>0.05</v>
      </c>
      <c r="L93" s="36">
        <f>VLOOKUP(I93,'Weights and Confidence'!$D$16:$AC$26,6,FALSE)</f>
        <v>1</v>
      </c>
      <c r="M93" s="37">
        <f>tScores4[[#This Row],[Raw_Rating_Text]]</f>
        <v>-1</v>
      </c>
      <c r="N93" s="34"/>
    </row>
    <row r="94" spans="1:14" ht="17" thickTop="1" x14ac:dyDescent="0.2">
      <c r="A94" s="42" t="s">
        <v>14</v>
      </c>
      <c r="B94" s="42" t="s">
        <v>1</v>
      </c>
      <c r="C94" s="42" t="s">
        <v>50</v>
      </c>
      <c r="D94" s="42" t="s">
        <v>5</v>
      </c>
      <c r="E94" s="43" t="s">
        <v>103</v>
      </c>
      <c r="F94" s="43" t="s">
        <v>51</v>
      </c>
      <c r="G94" s="42">
        <v>1</v>
      </c>
      <c r="H94" s="42" t="s">
        <v>17</v>
      </c>
      <c r="I94" s="42" t="s">
        <v>19</v>
      </c>
      <c r="J94" s="42">
        <v>1</v>
      </c>
      <c r="K94" s="44">
        <f>VLOOKUP(I94,'Weights and Confidence'!$D$16:$AC$26,5,FALSE)/COUNTIFS($B:$B,$B94,$C:$C,$C94,$H:$H,$H94,$I:$I,$I94)</f>
        <v>0.12</v>
      </c>
      <c r="L94" s="45">
        <f>VLOOKUP(I94,'Weights and Confidence'!$D$16:$AC$26,6,FALSE)</f>
        <v>1</v>
      </c>
      <c r="M94" s="46">
        <f>tScores4[[#This Row],[Raw_Rating_Text]]</f>
        <v>1</v>
      </c>
      <c r="N94" s="42"/>
    </row>
    <row r="95" spans="1:14" x14ac:dyDescent="0.2">
      <c r="A95" s="34" t="s">
        <v>14</v>
      </c>
      <c r="B95" s="34" t="s">
        <v>1</v>
      </c>
      <c r="C95" s="34" t="s">
        <v>50</v>
      </c>
      <c r="D95" s="34" t="s">
        <v>5</v>
      </c>
      <c r="E95" s="34" t="s">
        <v>103</v>
      </c>
      <c r="F95" s="34" t="s">
        <v>51</v>
      </c>
      <c r="G95" s="34">
        <v>1</v>
      </c>
      <c r="H95" s="34" t="s">
        <v>18</v>
      </c>
      <c r="I95" s="34" t="s">
        <v>19</v>
      </c>
      <c r="J95" s="34">
        <v>1</v>
      </c>
      <c r="K95" s="35">
        <f>VLOOKUP(I95,'Weights and Confidence'!$D$16:$AC$26,5,FALSE)/COUNTIFS($B:$B,$B95,$C:$C,$C95,$H:$H,$H95,$I:$I,$I95)</f>
        <v>0.12</v>
      </c>
      <c r="L95" s="36">
        <f>VLOOKUP(I95,'Weights and Confidence'!$D$16:$AC$26,6,FALSE)</f>
        <v>1</v>
      </c>
      <c r="M95" s="37">
        <f>tScores4[[#This Row],[Raw_Rating_Text]]</f>
        <v>1</v>
      </c>
      <c r="N95" s="34"/>
    </row>
    <row r="96" spans="1:14" x14ac:dyDescent="0.2">
      <c r="A96" s="38" t="s">
        <v>14</v>
      </c>
      <c r="B96" s="38" t="s">
        <v>1</v>
      </c>
      <c r="C96" s="38" t="s">
        <v>50</v>
      </c>
      <c r="D96" s="38" t="s">
        <v>5</v>
      </c>
      <c r="E96" s="38" t="s">
        <v>103</v>
      </c>
      <c r="F96" s="38" t="s">
        <v>51</v>
      </c>
      <c r="G96" s="38">
        <v>2</v>
      </c>
      <c r="H96" s="38" t="s">
        <v>17</v>
      </c>
      <c r="I96" s="38" t="s">
        <v>20</v>
      </c>
      <c r="J96" s="38">
        <v>1</v>
      </c>
      <c r="K96" s="39">
        <f>VLOOKUP(I96,'Weights and Confidence'!$D$16:$AC$26,5,FALSE)/COUNTIFS($B:$B,$B96,$C:$C,$C96,$H:$H,$H96,$I:$I,$I96)</f>
        <v>0.08</v>
      </c>
      <c r="L96" s="40">
        <f>VLOOKUP(I96,'Weights and Confidence'!$D$16:$AC$26,6,FALSE)</f>
        <v>0.8</v>
      </c>
      <c r="M96" s="41">
        <f>tScores4[[#This Row],[Raw_Rating_Text]]</f>
        <v>1</v>
      </c>
      <c r="N96" s="38"/>
    </row>
    <row r="97" spans="1:14" x14ac:dyDescent="0.2">
      <c r="A97" s="34" t="s">
        <v>14</v>
      </c>
      <c r="B97" s="34" t="s">
        <v>1</v>
      </c>
      <c r="C97" s="34" t="s">
        <v>50</v>
      </c>
      <c r="D97" s="34" t="s">
        <v>5</v>
      </c>
      <c r="E97" s="34" t="s">
        <v>103</v>
      </c>
      <c r="F97" s="34" t="s">
        <v>51</v>
      </c>
      <c r="G97" s="34">
        <v>2</v>
      </c>
      <c r="H97" s="34" t="s">
        <v>18</v>
      </c>
      <c r="I97" s="34" t="s">
        <v>20</v>
      </c>
      <c r="J97" s="34">
        <v>1</v>
      </c>
      <c r="K97" s="35">
        <f>VLOOKUP(I97,'Weights and Confidence'!$D$16:$AC$26,5,FALSE)/COUNTIFS($B:$B,$B97,$C:$C,$C97,$H:$H,$H97,$I:$I,$I97)</f>
        <v>0.08</v>
      </c>
      <c r="L97" s="36">
        <f>VLOOKUP(I97,'Weights and Confidence'!$D$16:$AC$26,6,FALSE)</f>
        <v>0.8</v>
      </c>
      <c r="M97" s="37">
        <f>tScores4[[#This Row],[Raw_Rating_Text]]</f>
        <v>1</v>
      </c>
      <c r="N97" s="34"/>
    </row>
    <row r="98" spans="1:14" x14ac:dyDescent="0.2">
      <c r="A98" s="38" t="s">
        <v>14</v>
      </c>
      <c r="B98" s="38" t="s">
        <v>1</v>
      </c>
      <c r="C98" s="38" t="s">
        <v>50</v>
      </c>
      <c r="D98" s="38" t="s">
        <v>5</v>
      </c>
      <c r="E98" s="38" t="s">
        <v>103</v>
      </c>
      <c r="F98" s="38" t="s">
        <v>51</v>
      </c>
      <c r="G98" s="38">
        <v>3</v>
      </c>
      <c r="H98" s="38" t="s">
        <v>17</v>
      </c>
      <c r="I98" s="38" t="s">
        <v>21</v>
      </c>
      <c r="J98" s="38">
        <v>0</v>
      </c>
      <c r="K98" s="39">
        <f>VLOOKUP(I98,'Weights and Confidence'!$D$16:$AC$26,5,FALSE)/COUNTIFS($B:$B,$B98,$C:$C,$C98,$H:$H,$H98,$I:$I,$I98)</f>
        <v>0.05</v>
      </c>
      <c r="L98" s="40">
        <f>VLOOKUP(I98,'Weights and Confidence'!$D$16:$AC$26,6,FALSE)</f>
        <v>1</v>
      </c>
      <c r="M98" s="41">
        <f>tScores4[[#This Row],[Raw_Rating_Text]]</f>
        <v>0</v>
      </c>
      <c r="N98" s="38"/>
    </row>
    <row r="99" spans="1:14" x14ac:dyDescent="0.2">
      <c r="A99" s="34" t="s">
        <v>14</v>
      </c>
      <c r="B99" s="34" t="s">
        <v>1</v>
      </c>
      <c r="C99" s="34" t="s">
        <v>50</v>
      </c>
      <c r="D99" s="34" t="s">
        <v>5</v>
      </c>
      <c r="E99" s="34" t="s">
        <v>103</v>
      </c>
      <c r="F99" s="34" t="s">
        <v>51</v>
      </c>
      <c r="G99" s="34">
        <v>3</v>
      </c>
      <c r="H99" s="34" t="s">
        <v>18</v>
      </c>
      <c r="I99" s="34" t="s">
        <v>21</v>
      </c>
      <c r="J99" s="34">
        <v>1</v>
      </c>
      <c r="K99" s="35">
        <f>VLOOKUP(I99,'Weights and Confidence'!$D$16:$AC$26,5,FALSE)/COUNTIFS($B:$B,$B99,$C:$C,$C99,$H:$H,$H99,$I:$I,$I99)</f>
        <v>0.05</v>
      </c>
      <c r="L99" s="36">
        <f>VLOOKUP(I99,'Weights and Confidence'!$D$16:$AC$26,6,FALSE)</f>
        <v>1</v>
      </c>
      <c r="M99" s="37">
        <f>tScores4[[#This Row],[Raw_Rating_Text]]</f>
        <v>1</v>
      </c>
      <c r="N99" s="34"/>
    </row>
    <row r="100" spans="1:14" x14ac:dyDescent="0.2">
      <c r="A100" s="38" t="s">
        <v>14</v>
      </c>
      <c r="B100" s="38" t="s">
        <v>1</v>
      </c>
      <c r="C100" s="38" t="s">
        <v>50</v>
      </c>
      <c r="D100" s="38" t="s">
        <v>5</v>
      </c>
      <c r="E100" s="38" t="s">
        <v>103</v>
      </c>
      <c r="F100" s="38" t="s">
        <v>51</v>
      </c>
      <c r="G100" s="38">
        <v>4</v>
      </c>
      <c r="H100" s="38" t="s">
        <v>17</v>
      </c>
      <c r="I100" s="38" t="s">
        <v>22</v>
      </c>
      <c r="J100" s="38">
        <v>0</v>
      </c>
      <c r="K100" s="39">
        <f>VLOOKUP(I100,'Weights and Confidence'!$D$16:$AC$26,5,FALSE)/COUNTIFS($B:$B,$B100,$C:$C,$C100,$H:$H,$H100,$I:$I,$I100)</f>
        <v>0.14000000000000001</v>
      </c>
      <c r="L100" s="40">
        <f>VLOOKUP(I100,'Weights and Confidence'!$D$16:$AC$26,6,FALSE)</f>
        <v>1</v>
      </c>
      <c r="M100" s="41">
        <f>tScores4[[#This Row],[Raw_Rating_Text]]</f>
        <v>0</v>
      </c>
      <c r="N100" s="38"/>
    </row>
    <row r="101" spans="1:14" x14ac:dyDescent="0.2">
      <c r="A101" s="34" t="s">
        <v>14</v>
      </c>
      <c r="B101" s="34" t="s">
        <v>1</v>
      </c>
      <c r="C101" s="34" t="s">
        <v>50</v>
      </c>
      <c r="D101" s="34" t="s">
        <v>5</v>
      </c>
      <c r="E101" s="34" t="s">
        <v>103</v>
      </c>
      <c r="F101" s="34" t="s">
        <v>51</v>
      </c>
      <c r="G101" s="34">
        <v>4</v>
      </c>
      <c r="H101" s="34" t="s">
        <v>18</v>
      </c>
      <c r="I101" s="34" t="s">
        <v>22</v>
      </c>
      <c r="J101" s="34">
        <v>1</v>
      </c>
      <c r="K101" s="35">
        <f>VLOOKUP(I101,'Weights and Confidence'!$D$16:$AC$26,5,FALSE)/COUNTIFS($B:$B,$B101,$C:$C,$C101,$H:$H,$H101,$I:$I,$I101)</f>
        <v>0.14000000000000001</v>
      </c>
      <c r="L101" s="36">
        <f>VLOOKUP(I101,'Weights and Confidence'!$D$16:$AC$26,6,FALSE)</f>
        <v>1</v>
      </c>
      <c r="M101" s="37">
        <f>tScores4[[#This Row],[Raw_Rating_Text]]</f>
        <v>1</v>
      </c>
      <c r="N101" s="34"/>
    </row>
    <row r="102" spans="1:14" x14ac:dyDescent="0.2">
      <c r="A102" s="38" t="s">
        <v>14</v>
      </c>
      <c r="B102" s="38" t="s">
        <v>1</v>
      </c>
      <c r="C102" s="38" t="s">
        <v>50</v>
      </c>
      <c r="D102" s="38" t="s">
        <v>5</v>
      </c>
      <c r="E102" s="38" t="s">
        <v>103</v>
      </c>
      <c r="F102" s="38" t="s">
        <v>51</v>
      </c>
      <c r="G102" s="38">
        <v>5</v>
      </c>
      <c r="H102" s="38" t="s">
        <v>17</v>
      </c>
      <c r="I102" s="38" t="s">
        <v>23</v>
      </c>
      <c r="J102" s="38">
        <v>1</v>
      </c>
      <c r="K102" s="39">
        <f>VLOOKUP(I102,'Weights and Confidence'!$D$16:$AC$26,5,FALSE)/COUNTIFS($B:$B,$B102,$C:$C,$C102,$H:$H,$H102,$I:$I,$I102)</f>
        <v>0.11</v>
      </c>
      <c r="L102" s="40">
        <f>VLOOKUP(I102,'Weights and Confidence'!$D$16:$AC$26,6,FALSE)</f>
        <v>1</v>
      </c>
      <c r="M102" s="41">
        <f>tScores4[[#This Row],[Raw_Rating_Text]]</f>
        <v>1</v>
      </c>
      <c r="N102" s="38"/>
    </row>
    <row r="103" spans="1:14" x14ac:dyDescent="0.2">
      <c r="A103" s="34" t="s">
        <v>14</v>
      </c>
      <c r="B103" s="34" t="s">
        <v>1</v>
      </c>
      <c r="C103" s="34" t="s">
        <v>50</v>
      </c>
      <c r="D103" s="34" t="s">
        <v>5</v>
      </c>
      <c r="E103" s="34" t="s">
        <v>103</v>
      </c>
      <c r="F103" s="34" t="s">
        <v>51</v>
      </c>
      <c r="G103" s="34">
        <v>5</v>
      </c>
      <c r="H103" s="34" t="s">
        <v>18</v>
      </c>
      <c r="I103" s="34" t="s">
        <v>23</v>
      </c>
      <c r="J103" s="34">
        <v>1</v>
      </c>
      <c r="K103" s="35">
        <f>VLOOKUP(I103,'Weights and Confidence'!$D$16:$AC$26,5,FALSE)/COUNTIFS($B:$B,$B103,$C:$C,$C103,$H:$H,$H103,$I:$I,$I103)</f>
        <v>0.11</v>
      </c>
      <c r="L103" s="36">
        <f>VLOOKUP(I103,'Weights and Confidence'!$D$16:$AC$26,6,FALSE)</f>
        <v>1</v>
      </c>
      <c r="M103" s="37">
        <f>tScores4[[#This Row],[Raw_Rating_Text]]</f>
        <v>1</v>
      </c>
      <c r="N103" s="34"/>
    </row>
    <row r="104" spans="1:14" x14ac:dyDescent="0.2">
      <c r="A104" s="38" t="s">
        <v>14</v>
      </c>
      <c r="B104" s="38" t="s">
        <v>1</v>
      </c>
      <c r="C104" s="38" t="s">
        <v>50</v>
      </c>
      <c r="D104" s="38" t="s">
        <v>5</v>
      </c>
      <c r="E104" s="38" t="s">
        <v>103</v>
      </c>
      <c r="F104" s="38" t="s">
        <v>51</v>
      </c>
      <c r="G104" s="38">
        <v>6</v>
      </c>
      <c r="H104" s="38" t="s">
        <v>17</v>
      </c>
      <c r="I104" s="38" t="s">
        <v>24</v>
      </c>
      <c r="J104" s="38">
        <v>1</v>
      </c>
      <c r="K104" s="39">
        <f>VLOOKUP(I104,'Weights and Confidence'!$D$16:$AC$26,5,FALSE)/COUNTIFS($B:$B,$B104,$C:$C,$C104,$H:$H,$H104,$I:$I,$I104)</f>
        <v>0.15</v>
      </c>
      <c r="L104" s="40">
        <f>VLOOKUP(I104,'Weights and Confidence'!$D$16:$AC$26,6,FALSE)</f>
        <v>1</v>
      </c>
      <c r="M104" s="41">
        <f>tScores4[[#This Row],[Raw_Rating_Text]]</f>
        <v>1</v>
      </c>
      <c r="N104" s="38"/>
    </row>
    <row r="105" spans="1:14" x14ac:dyDescent="0.2">
      <c r="A105" s="34" t="s">
        <v>14</v>
      </c>
      <c r="B105" s="34" t="s">
        <v>1</v>
      </c>
      <c r="C105" s="34" t="s">
        <v>50</v>
      </c>
      <c r="D105" s="34" t="s">
        <v>5</v>
      </c>
      <c r="E105" s="34" t="s">
        <v>103</v>
      </c>
      <c r="F105" s="34" t="s">
        <v>51</v>
      </c>
      <c r="G105" s="34">
        <v>6</v>
      </c>
      <c r="H105" s="34" t="s">
        <v>18</v>
      </c>
      <c r="I105" s="34" t="s">
        <v>24</v>
      </c>
      <c r="J105" s="34">
        <v>1</v>
      </c>
      <c r="K105" s="35">
        <f>VLOOKUP(I105,'Weights and Confidence'!$D$16:$AC$26,5,FALSE)/COUNTIFS($B:$B,$B105,$C:$C,$C105,$H:$H,$H105,$I:$I,$I105)</f>
        <v>0.15</v>
      </c>
      <c r="L105" s="36">
        <f>VLOOKUP(I105,'Weights and Confidence'!$D$16:$AC$26,6,FALSE)</f>
        <v>1</v>
      </c>
      <c r="M105" s="37">
        <f>tScores4[[#This Row],[Raw_Rating_Text]]</f>
        <v>1</v>
      </c>
      <c r="N105" s="34"/>
    </row>
    <row r="106" spans="1:14" x14ac:dyDescent="0.2">
      <c r="A106" s="38" t="s">
        <v>14</v>
      </c>
      <c r="B106" s="38" t="s">
        <v>1</v>
      </c>
      <c r="C106" s="38" t="s">
        <v>50</v>
      </c>
      <c r="D106" s="38" t="s">
        <v>5</v>
      </c>
      <c r="E106" s="38" t="s">
        <v>103</v>
      </c>
      <c r="F106" s="38" t="s">
        <v>51</v>
      </c>
      <c r="G106" s="38">
        <v>7</v>
      </c>
      <c r="H106" s="38" t="s">
        <v>17</v>
      </c>
      <c r="I106" s="38" t="s">
        <v>25</v>
      </c>
      <c r="J106" s="38">
        <v>1</v>
      </c>
      <c r="K106" s="39">
        <f>VLOOKUP(I106,'Weights and Confidence'!$D$16:$AC$26,5,FALSE)/COUNTIFS($B:$B,$B106,$C:$C,$C106,$H:$H,$H106,$I:$I,$I106)</f>
        <v>0.1</v>
      </c>
      <c r="L106" s="40">
        <f>VLOOKUP(I106,'Weights and Confidence'!$D$16:$AC$26,6,FALSE)</f>
        <v>1</v>
      </c>
      <c r="M106" s="41">
        <f>tScores4[[#This Row],[Raw_Rating_Text]]</f>
        <v>1</v>
      </c>
      <c r="N106" s="38"/>
    </row>
    <row r="107" spans="1:14" x14ac:dyDescent="0.2">
      <c r="A107" s="34" t="s">
        <v>14</v>
      </c>
      <c r="B107" s="34" t="s">
        <v>1</v>
      </c>
      <c r="C107" s="34" t="s">
        <v>50</v>
      </c>
      <c r="D107" s="34" t="s">
        <v>5</v>
      </c>
      <c r="E107" s="34" t="s">
        <v>103</v>
      </c>
      <c r="F107" s="34" t="s">
        <v>51</v>
      </c>
      <c r="G107" s="34">
        <v>7</v>
      </c>
      <c r="H107" s="34" t="s">
        <v>18</v>
      </c>
      <c r="I107" s="34" t="s">
        <v>25</v>
      </c>
      <c r="J107" s="34">
        <v>1</v>
      </c>
      <c r="K107" s="35">
        <f>VLOOKUP(I107,'Weights and Confidence'!$D$16:$AC$26,5,FALSE)/COUNTIFS($B:$B,$B107,$C:$C,$C107,$H:$H,$H107,$I:$I,$I107)</f>
        <v>0.1</v>
      </c>
      <c r="L107" s="36">
        <f>VLOOKUP(I107,'Weights and Confidence'!$D$16:$AC$26,6,FALSE)</f>
        <v>1</v>
      </c>
      <c r="M107" s="37">
        <f>tScores4[[#This Row],[Raw_Rating_Text]]</f>
        <v>1</v>
      </c>
      <c r="N107" s="34"/>
    </row>
    <row r="108" spans="1:14" x14ac:dyDescent="0.2">
      <c r="A108" s="38" t="s">
        <v>14</v>
      </c>
      <c r="B108" s="38" t="s">
        <v>1</v>
      </c>
      <c r="C108" s="38" t="s">
        <v>50</v>
      </c>
      <c r="D108" s="38" t="s">
        <v>5</v>
      </c>
      <c r="E108" s="38" t="s">
        <v>103</v>
      </c>
      <c r="F108" s="38" t="s">
        <v>51</v>
      </c>
      <c r="G108" s="38">
        <v>8</v>
      </c>
      <c r="H108" s="38" t="s">
        <v>17</v>
      </c>
      <c r="I108" s="38" t="s">
        <v>26</v>
      </c>
      <c r="J108" s="38">
        <v>1</v>
      </c>
      <c r="K108" s="39">
        <f>VLOOKUP(I108,'Weights and Confidence'!$D$16:$AC$26,5,FALSE)/COUNTIFS($B:$B,$B108,$C:$C,$C108,$H:$H,$H108,$I:$I,$I108)</f>
        <v>0.1</v>
      </c>
      <c r="L108" s="40">
        <f>VLOOKUP(I108,'Weights and Confidence'!$D$16:$AC$26,6,FALSE)</f>
        <v>1</v>
      </c>
      <c r="M108" s="41">
        <f>tScores4[[#This Row],[Raw_Rating_Text]]</f>
        <v>1</v>
      </c>
      <c r="N108" s="38"/>
    </row>
    <row r="109" spans="1:14" x14ac:dyDescent="0.2">
      <c r="A109" s="34" t="s">
        <v>14</v>
      </c>
      <c r="B109" s="34" t="s">
        <v>1</v>
      </c>
      <c r="C109" s="34" t="s">
        <v>50</v>
      </c>
      <c r="D109" s="34" t="s">
        <v>5</v>
      </c>
      <c r="E109" s="34" t="s">
        <v>103</v>
      </c>
      <c r="F109" s="34" t="s">
        <v>51</v>
      </c>
      <c r="G109" s="34">
        <v>8</v>
      </c>
      <c r="H109" s="34" t="s">
        <v>18</v>
      </c>
      <c r="I109" s="34" t="s">
        <v>26</v>
      </c>
      <c r="J109" s="34">
        <v>1</v>
      </c>
      <c r="K109" s="35">
        <f>VLOOKUP(I109,'Weights and Confidence'!$D$16:$AC$26,5,FALSE)/COUNTIFS($B:$B,$B109,$C:$C,$C109,$H:$H,$H109,$I:$I,$I109)</f>
        <v>0.1</v>
      </c>
      <c r="L109" s="36">
        <f>VLOOKUP(I109,'Weights and Confidence'!$D$16:$AC$26,6,FALSE)</f>
        <v>1</v>
      </c>
      <c r="M109" s="37">
        <f>tScores4[[#This Row],[Raw_Rating_Text]]</f>
        <v>1</v>
      </c>
      <c r="N109" s="34"/>
    </row>
    <row r="110" spans="1:14" x14ac:dyDescent="0.2">
      <c r="A110" s="38" t="s">
        <v>14</v>
      </c>
      <c r="B110" s="38" t="s">
        <v>1</v>
      </c>
      <c r="C110" s="38" t="s">
        <v>50</v>
      </c>
      <c r="D110" s="38" t="s">
        <v>5</v>
      </c>
      <c r="E110" s="38" t="s">
        <v>103</v>
      </c>
      <c r="F110" s="38" t="s">
        <v>51</v>
      </c>
      <c r="G110" s="38">
        <v>9</v>
      </c>
      <c r="H110" s="38" t="s">
        <v>17</v>
      </c>
      <c r="I110" s="38" t="s">
        <v>27</v>
      </c>
      <c r="J110" s="38">
        <v>1</v>
      </c>
      <c r="K110" s="39">
        <f>VLOOKUP(I110,'Weights and Confidence'!$D$16:$AC$26,5,FALSE)/COUNTIFS($B:$B,$B110,$C:$C,$C110,$H:$H,$H110,$I:$I,$I110)</f>
        <v>0.05</v>
      </c>
      <c r="L110" s="40">
        <f>VLOOKUP(I110,'Weights and Confidence'!$D$16:$AC$26,6,FALSE)</f>
        <v>0.85</v>
      </c>
      <c r="M110" s="41">
        <f>tScores4[[#This Row],[Raw_Rating_Text]]</f>
        <v>1</v>
      </c>
      <c r="N110" s="38"/>
    </row>
    <row r="111" spans="1:14" x14ac:dyDescent="0.2">
      <c r="A111" s="34" t="s">
        <v>14</v>
      </c>
      <c r="B111" s="34" t="s">
        <v>1</v>
      </c>
      <c r="C111" s="34" t="s">
        <v>50</v>
      </c>
      <c r="D111" s="34" t="s">
        <v>5</v>
      </c>
      <c r="E111" s="34" t="s">
        <v>103</v>
      </c>
      <c r="F111" s="34" t="s">
        <v>51</v>
      </c>
      <c r="G111" s="34">
        <v>9</v>
      </c>
      <c r="H111" s="34" t="s">
        <v>18</v>
      </c>
      <c r="I111" s="34" t="s">
        <v>27</v>
      </c>
      <c r="J111" s="34">
        <v>1</v>
      </c>
      <c r="K111" s="35">
        <f>VLOOKUP(I111,'Weights and Confidence'!$D$16:$AC$26,5,FALSE)/COUNTIFS($B:$B,$B111,$C:$C,$C111,$H:$H,$H111,$I:$I,$I111)</f>
        <v>0.05</v>
      </c>
      <c r="L111" s="36">
        <f>VLOOKUP(I111,'Weights and Confidence'!$D$16:$AC$26,6,FALSE)</f>
        <v>0.85</v>
      </c>
      <c r="M111" s="37">
        <f>tScores4[[#This Row],[Raw_Rating_Text]]</f>
        <v>1</v>
      </c>
      <c r="N111" s="34"/>
    </row>
    <row r="112" spans="1:14" x14ac:dyDescent="0.2">
      <c r="A112" s="38" t="s">
        <v>14</v>
      </c>
      <c r="B112" s="38" t="s">
        <v>1</v>
      </c>
      <c r="C112" s="38" t="s">
        <v>50</v>
      </c>
      <c r="D112" s="38" t="s">
        <v>5</v>
      </c>
      <c r="E112" s="38" t="s">
        <v>103</v>
      </c>
      <c r="F112" s="38" t="s">
        <v>51</v>
      </c>
      <c r="G112" s="38">
        <v>10</v>
      </c>
      <c r="H112" s="38" t="s">
        <v>17</v>
      </c>
      <c r="I112" s="38" t="s">
        <v>27</v>
      </c>
      <c r="J112" s="38">
        <v>1</v>
      </c>
      <c r="K112" s="39">
        <f>VLOOKUP(I112,'Weights and Confidence'!$D$16:$AC$26,5,FALSE)/COUNTIFS($B:$B,$B112,$C:$C,$C112,$H:$H,$H112,$I:$I,$I112)</f>
        <v>0.05</v>
      </c>
      <c r="L112" s="40">
        <f>VLOOKUP(I112,'Weights and Confidence'!$D$16:$AC$26,6,FALSE)</f>
        <v>0.85</v>
      </c>
      <c r="M112" s="41">
        <f>tScores4[[#This Row],[Raw_Rating_Text]]</f>
        <v>1</v>
      </c>
      <c r="N112" s="38"/>
    </row>
    <row r="113" spans="1:14" x14ac:dyDescent="0.2">
      <c r="A113" s="34" t="s">
        <v>14</v>
      </c>
      <c r="B113" s="34" t="s">
        <v>1</v>
      </c>
      <c r="C113" s="34" t="s">
        <v>50</v>
      </c>
      <c r="D113" s="34" t="s">
        <v>5</v>
      </c>
      <c r="E113" s="34" t="s">
        <v>103</v>
      </c>
      <c r="F113" s="34" t="s">
        <v>51</v>
      </c>
      <c r="G113" s="34">
        <v>10</v>
      </c>
      <c r="H113" s="34" t="s">
        <v>18</v>
      </c>
      <c r="I113" s="34" t="s">
        <v>27</v>
      </c>
      <c r="J113" s="34">
        <v>1</v>
      </c>
      <c r="K113" s="35">
        <f>VLOOKUP(I113,'Weights and Confidence'!$D$16:$AC$26,5,FALSE)/COUNTIFS($B:$B,$B113,$C:$C,$C113,$H:$H,$H113,$I:$I,$I113)</f>
        <v>0.05</v>
      </c>
      <c r="L113" s="36">
        <f>VLOOKUP(I113,'Weights and Confidence'!$D$16:$AC$26,6,FALSE)</f>
        <v>0.85</v>
      </c>
      <c r="M113" s="37">
        <f>tScores4[[#This Row],[Raw_Rating_Text]]</f>
        <v>1</v>
      </c>
      <c r="N113" s="34"/>
    </row>
    <row r="114" spans="1:14" x14ac:dyDescent="0.2">
      <c r="A114" s="38" t="s">
        <v>14</v>
      </c>
      <c r="B114" s="38" t="s">
        <v>1</v>
      </c>
      <c r="C114" s="38" t="s">
        <v>50</v>
      </c>
      <c r="D114" s="38" t="s">
        <v>5</v>
      </c>
      <c r="E114" s="38" t="s">
        <v>103</v>
      </c>
      <c r="F114" s="38" t="s">
        <v>51</v>
      </c>
      <c r="G114" s="38">
        <v>11</v>
      </c>
      <c r="H114" s="38" t="s">
        <v>17</v>
      </c>
      <c r="I114" s="38" t="s">
        <v>28</v>
      </c>
      <c r="J114" s="38">
        <v>1</v>
      </c>
      <c r="K114" s="39">
        <f>VLOOKUP(I114,'Weights and Confidence'!$D$16:$AC$26,5,FALSE)/COUNTIFS($B:$B,$B114,$C:$C,$C114,$H:$H,$H114,$I:$I,$I114)</f>
        <v>0.05</v>
      </c>
      <c r="L114" s="40">
        <f>VLOOKUP(I114,'Weights and Confidence'!$D$16:$AC$26,6,FALSE)</f>
        <v>1</v>
      </c>
      <c r="M114" s="41">
        <f>tScores4[[#This Row],[Raw_Rating_Text]]</f>
        <v>1</v>
      </c>
      <c r="N114" s="38"/>
    </row>
    <row r="115" spans="1:14" ht="17" thickBot="1" x14ac:dyDescent="0.25">
      <c r="A115" s="34" t="s">
        <v>14</v>
      </c>
      <c r="B115" s="34" t="s">
        <v>1</v>
      </c>
      <c r="C115" s="34" t="s">
        <v>50</v>
      </c>
      <c r="D115" s="34" t="s">
        <v>5</v>
      </c>
      <c r="E115" s="34" t="s">
        <v>103</v>
      </c>
      <c r="F115" s="34" t="s">
        <v>51</v>
      </c>
      <c r="G115" s="34">
        <v>11</v>
      </c>
      <c r="H115" s="34" t="s">
        <v>18</v>
      </c>
      <c r="I115" s="34" t="s">
        <v>28</v>
      </c>
      <c r="J115" s="34">
        <v>0</v>
      </c>
      <c r="K115" s="35">
        <f>VLOOKUP(I115,'Weights and Confidence'!$D$16:$AC$26,5,FALSE)/COUNTIFS($B:$B,$B115,$C:$C,$C115,$H:$H,$H115,$I:$I,$I115)</f>
        <v>0.05</v>
      </c>
      <c r="L115" s="36">
        <f>VLOOKUP(I115,'Weights and Confidence'!$D$16:$AC$26,6,FALSE)</f>
        <v>1</v>
      </c>
      <c r="M115" s="37">
        <f>tScores4[[#This Row],[Raw_Rating_Text]]</f>
        <v>0</v>
      </c>
      <c r="N115" s="34"/>
    </row>
    <row r="116" spans="1:14" ht="17" thickTop="1" x14ac:dyDescent="0.2">
      <c r="A116" s="42" t="s">
        <v>14</v>
      </c>
      <c r="B116" s="42" t="s">
        <v>1</v>
      </c>
      <c r="C116" s="42" t="s">
        <v>52</v>
      </c>
      <c r="D116" s="42" t="s">
        <v>5</v>
      </c>
      <c r="E116" s="43" t="s">
        <v>105</v>
      </c>
      <c r="F116" s="43" t="s">
        <v>53</v>
      </c>
      <c r="G116" s="42">
        <v>1</v>
      </c>
      <c r="H116" s="42" t="s">
        <v>17</v>
      </c>
      <c r="I116" s="42" t="s">
        <v>19</v>
      </c>
      <c r="J116" s="42">
        <v>1</v>
      </c>
      <c r="K116" s="44">
        <f>VLOOKUP(I116,'Weights and Confidence'!$D$16:$AC$26,5,FALSE)/COUNTIFS($B:$B,$B116,$C:$C,$C116,$H:$H,$H116,$I:$I,$I116)</f>
        <v>0.12</v>
      </c>
      <c r="L116" s="45">
        <f>VLOOKUP(I116,'Weights and Confidence'!$D$16:$AC$26,6,FALSE)</f>
        <v>1</v>
      </c>
      <c r="M116" s="46">
        <f>tScores4[[#This Row],[Raw_Rating_Text]]</f>
        <v>1</v>
      </c>
      <c r="N116" s="42"/>
    </row>
    <row r="117" spans="1:14" x14ac:dyDescent="0.2">
      <c r="A117" s="34" t="s">
        <v>14</v>
      </c>
      <c r="B117" s="34" t="s">
        <v>1</v>
      </c>
      <c r="C117" s="34" t="s">
        <v>52</v>
      </c>
      <c r="D117" s="34" t="s">
        <v>5</v>
      </c>
      <c r="E117" s="47" t="s">
        <v>105</v>
      </c>
      <c r="F117" s="34" t="s">
        <v>53</v>
      </c>
      <c r="G117" s="34">
        <v>1</v>
      </c>
      <c r="H117" s="34" t="s">
        <v>18</v>
      </c>
      <c r="I117" s="34" t="s">
        <v>19</v>
      </c>
      <c r="J117" s="34">
        <v>1</v>
      </c>
      <c r="K117" s="35">
        <f>VLOOKUP(I117,'Weights and Confidence'!$D$16:$AC$26,5,FALSE)/COUNTIFS($B:$B,$B117,$C:$C,$C117,$H:$H,$H117,$I:$I,$I117)</f>
        <v>0.12</v>
      </c>
      <c r="L117" s="36">
        <f>VLOOKUP(I117,'Weights and Confidence'!$D$16:$AC$26,6,FALSE)</f>
        <v>1</v>
      </c>
      <c r="M117" s="37">
        <f>tScores4[[#This Row],[Raw_Rating_Text]]</f>
        <v>1</v>
      </c>
      <c r="N117" s="34"/>
    </row>
    <row r="118" spans="1:14" x14ac:dyDescent="0.2">
      <c r="A118" s="38" t="s">
        <v>14</v>
      </c>
      <c r="B118" s="38" t="s">
        <v>1</v>
      </c>
      <c r="C118" s="38" t="s">
        <v>52</v>
      </c>
      <c r="D118" s="38" t="s">
        <v>5</v>
      </c>
      <c r="E118" s="48" t="s">
        <v>105</v>
      </c>
      <c r="F118" s="38" t="s">
        <v>53</v>
      </c>
      <c r="G118" s="38">
        <v>2</v>
      </c>
      <c r="H118" s="38" t="s">
        <v>17</v>
      </c>
      <c r="I118" s="38" t="s">
        <v>20</v>
      </c>
      <c r="J118" s="38">
        <v>1</v>
      </c>
      <c r="K118" s="39">
        <f>VLOOKUP(I118,'Weights and Confidence'!$D$16:$AC$26,5,FALSE)/COUNTIFS($B:$B,$B118,$C:$C,$C118,$H:$H,$H118,$I:$I,$I118)</f>
        <v>0.08</v>
      </c>
      <c r="L118" s="40">
        <f>VLOOKUP(I118,'Weights and Confidence'!$D$16:$AC$26,6,FALSE)</f>
        <v>0.8</v>
      </c>
      <c r="M118" s="41">
        <f>tScores4[[#This Row],[Raw_Rating_Text]]</f>
        <v>1</v>
      </c>
      <c r="N118" s="38"/>
    </row>
    <row r="119" spans="1:14" x14ac:dyDescent="0.2">
      <c r="A119" s="34" t="s">
        <v>14</v>
      </c>
      <c r="B119" s="34" t="s">
        <v>1</v>
      </c>
      <c r="C119" s="34" t="s">
        <v>52</v>
      </c>
      <c r="D119" s="34" t="s">
        <v>5</v>
      </c>
      <c r="E119" s="47" t="s">
        <v>105</v>
      </c>
      <c r="F119" s="34" t="s">
        <v>53</v>
      </c>
      <c r="G119" s="34">
        <v>2</v>
      </c>
      <c r="H119" s="34" t="s">
        <v>18</v>
      </c>
      <c r="I119" s="34" t="s">
        <v>20</v>
      </c>
      <c r="J119" s="34">
        <v>1</v>
      </c>
      <c r="K119" s="35">
        <f>VLOOKUP(I119,'Weights and Confidence'!$D$16:$AC$26,5,FALSE)/COUNTIFS($B:$B,$B119,$C:$C,$C119,$H:$H,$H119,$I:$I,$I119)</f>
        <v>0.08</v>
      </c>
      <c r="L119" s="36">
        <f>VLOOKUP(I119,'Weights and Confidence'!$D$16:$AC$26,6,FALSE)</f>
        <v>0.8</v>
      </c>
      <c r="M119" s="37">
        <f>tScores4[[#This Row],[Raw_Rating_Text]]</f>
        <v>1</v>
      </c>
      <c r="N119" s="34"/>
    </row>
    <row r="120" spans="1:14" x14ac:dyDescent="0.2">
      <c r="A120" s="38" t="s">
        <v>14</v>
      </c>
      <c r="B120" s="38" t="s">
        <v>1</v>
      </c>
      <c r="C120" s="38" t="s">
        <v>52</v>
      </c>
      <c r="D120" s="38" t="s">
        <v>5</v>
      </c>
      <c r="E120" s="48" t="s">
        <v>105</v>
      </c>
      <c r="F120" s="38" t="s">
        <v>53</v>
      </c>
      <c r="G120" s="38">
        <v>3</v>
      </c>
      <c r="H120" s="38" t="s">
        <v>17</v>
      </c>
      <c r="I120" s="38" t="s">
        <v>21</v>
      </c>
      <c r="J120" s="38">
        <v>1</v>
      </c>
      <c r="K120" s="39">
        <f>VLOOKUP(I120,'Weights and Confidence'!$D$16:$AC$26,5,FALSE)/COUNTIFS($B:$B,$B120,$C:$C,$C120,$H:$H,$H120,$I:$I,$I120)</f>
        <v>0.05</v>
      </c>
      <c r="L120" s="40">
        <f>VLOOKUP(I120,'Weights and Confidence'!$D$16:$AC$26,6,FALSE)</f>
        <v>1</v>
      </c>
      <c r="M120" s="41">
        <f>tScores4[[#This Row],[Raw_Rating_Text]]</f>
        <v>1</v>
      </c>
      <c r="N120" s="38"/>
    </row>
    <row r="121" spans="1:14" x14ac:dyDescent="0.2">
      <c r="A121" s="34" t="s">
        <v>14</v>
      </c>
      <c r="B121" s="34" t="s">
        <v>1</v>
      </c>
      <c r="C121" s="34" t="s">
        <v>52</v>
      </c>
      <c r="D121" s="34" t="s">
        <v>5</v>
      </c>
      <c r="E121" s="47" t="s">
        <v>105</v>
      </c>
      <c r="F121" s="34" t="s">
        <v>53</v>
      </c>
      <c r="G121" s="34">
        <v>3</v>
      </c>
      <c r="H121" s="34" t="s">
        <v>18</v>
      </c>
      <c r="I121" s="34" t="s">
        <v>21</v>
      </c>
      <c r="J121" s="34">
        <v>1</v>
      </c>
      <c r="K121" s="35">
        <f>VLOOKUP(I121,'Weights and Confidence'!$D$16:$AC$26,5,FALSE)/COUNTIFS($B:$B,$B121,$C:$C,$C121,$H:$H,$H121,$I:$I,$I121)</f>
        <v>0.05</v>
      </c>
      <c r="L121" s="36">
        <f>VLOOKUP(I121,'Weights and Confidence'!$D$16:$AC$26,6,FALSE)</f>
        <v>1</v>
      </c>
      <c r="M121" s="37">
        <f>tScores4[[#This Row],[Raw_Rating_Text]]</f>
        <v>1</v>
      </c>
      <c r="N121" s="34"/>
    </row>
    <row r="122" spans="1:14" x14ac:dyDescent="0.2">
      <c r="A122" s="38" t="s">
        <v>14</v>
      </c>
      <c r="B122" s="38" t="s">
        <v>1</v>
      </c>
      <c r="C122" s="38" t="s">
        <v>52</v>
      </c>
      <c r="D122" s="38" t="s">
        <v>5</v>
      </c>
      <c r="E122" s="48" t="s">
        <v>105</v>
      </c>
      <c r="F122" s="38" t="s">
        <v>53</v>
      </c>
      <c r="G122" s="38">
        <v>4</v>
      </c>
      <c r="H122" s="38" t="s">
        <v>17</v>
      </c>
      <c r="I122" s="38" t="s">
        <v>22</v>
      </c>
      <c r="J122" s="38">
        <v>1</v>
      </c>
      <c r="K122" s="39">
        <f>VLOOKUP(I122,'Weights and Confidence'!$D$16:$AC$26,5,FALSE)/COUNTIFS($B:$B,$B122,$C:$C,$C122,$H:$H,$H122,$I:$I,$I122)</f>
        <v>0.14000000000000001</v>
      </c>
      <c r="L122" s="40">
        <f>VLOOKUP(I122,'Weights and Confidence'!$D$16:$AC$26,6,FALSE)</f>
        <v>1</v>
      </c>
      <c r="M122" s="41">
        <f>tScores4[[#This Row],[Raw_Rating_Text]]</f>
        <v>1</v>
      </c>
      <c r="N122" s="38"/>
    </row>
    <row r="123" spans="1:14" x14ac:dyDescent="0.2">
      <c r="A123" s="34" t="s">
        <v>14</v>
      </c>
      <c r="B123" s="34" t="s">
        <v>1</v>
      </c>
      <c r="C123" s="34" t="s">
        <v>52</v>
      </c>
      <c r="D123" s="34" t="s">
        <v>5</v>
      </c>
      <c r="E123" s="47" t="s">
        <v>105</v>
      </c>
      <c r="F123" s="34" t="s">
        <v>53</v>
      </c>
      <c r="G123" s="34">
        <v>4</v>
      </c>
      <c r="H123" s="34" t="s">
        <v>18</v>
      </c>
      <c r="I123" s="34" t="s">
        <v>22</v>
      </c>
      <c r="J123" s="34">
        <v>1</v>
      </c>
      <c r="K123" s="35">
        <f>VLOOKUP(I123,'Weights and Confidence'!$D$16:$AC$26,5,FALSE)/COUNTIFS($B:$B,$B123,$C:$C,$C123,$H:$H,$H123,$I:$I,$I123)</f>
        <v>0.14000000000000001</v>
      </c>
      <c r="L123" s="36">
        <f>VLOOKUP(I123,'Weights and Confidence'!$D$16:$AC$26,6,FALSE)</f>
        <v>1</v>
      </c>
      <c r="M123" s="37">
        <f>tScores4[[#This Row],[Raw_Rating_Text]]</f>
        <v>1</v>
      </c>
      <c r="N123" s="34"/>
    </row>
    <row r="124" spans="1:14" x14ac:dyDescent="0.2">
      <c r="A124" s="38" t="s">
        <v>14</v>
      </c>
      <c r="B124" s="38" t="s">
        <v>1</v>
      </c>
      <c r="C124" s="38" t="s">
        <v>52</v>
      </c>
      <c r="D124" s="38" t="s">
        <v>5</v>
      </c>
      <c r="E124" s="48" t="s">
        <v>105</v>
      </c>
      <c r="F124" s="38" t="s">
        <v>53</v>
      </c>
      <c r="G124" s="38">
        <v>5</v>
      </c>
      <c r="H124" s="38" t="s">
        <v>17</v>
      </c>
      <c r="I124" s="38" t="s">
        <v>23</v>
      </c>
      <c r="J124" s="38">
        <v>1</v>
      </c>
      <c r="K124" s="39">
        <f>VLOOKUP(I124,'Weights and Confidence'!$D$16:$AC$26,5,FALSE)/COUNTIFS($B:$B,$B124,$C:$C,$C124,$H:$H,$H124,$I:$I,$I124)</f>
        <v>0.11</v>
      </c>
      <c r="L124" s="40">
        <f>VLOOKUP(I124,'Weights and Confidence'!$D$16:$AC$26,6,FALSE)</f>
        <v>1</v>
      </c>
      <c r="M124" s="41">
        <f>tScores4[[#This Row],[Raw_Rating_Text]]</f>
        <v>1</v>
      </c>
      <c r="N124" s="38"/>
    </row>
    <row r="125" spans="1:14" x14ac:dyDescent="0.2">
      <c r="A125" s="34" t="s">
        <v>14</v>
      </c>
      <c r="B125" s="34" t="s">
        <v>1</v>
      </c>
      <c r="C125" s="34" t="s">
        <v>52</v>
      </c>
      <c r="D125" s="34" t="s">
        <v>5</v>
      </c>
      <c r="E125" s="47" t="s">
        <v>105</v>
      </c>
      <c r="F125" s="34" t="s">
        <v>53</v>
      </c>
      <c r="G125" s="34">
        <v>5</v>
      </c>
      <c r="H125" s="34" t="s">
        <v>18</v>
      </c>
      <c r="I125" s="34" t="s">
        <v>23</v>
      </c>
      <c r="J125" s="34">
        <v>0</v>
      </c>
      <c r="K125" s="35">
        <f>VLOOKUP(I125,'Weights and Confidence'!$D$16:$AC$26,5,FALSE)/COUNTIFS($B:$B,$B125,$C:$C,$C125,$H:$H,$H125,$I:$I,$I125)</f>
        <v>0.11</v>
      </c>
      <c r="L125" s="36">
        <f>VLOOKUP(I125,'Weights and Confidence'!$D$16:$AC$26,6,FALSE)</f>
        <v>1</v>
      </c>
      <c r="M125" s="37">
        <f>tScores4[[#This Row],[Raw_Rating_Text]]</f>
        <v>0</v>
      </c>
      <c r="N125" s="34"/>
    </row>
    <row r="126" spans="1:14" x14ac:dyDescent="0.2">
      <c r="A126" s="38" t="s">
        <v>14</v>
      </c>
      <c r="B126" s="38" t="s">
        <v>1</v>
      </c>
      <c r="C126" s="38" t="s">
        <v>52</v>
      </c>
      <c r="D126" s="38" t="s">
        <v>5</v>
      </c>
      <c r="E126" s="48" t="s">
        <v>105</v>
      </c>
      <c r="F126" s="38" t="s">
        <v>53</v>
      </c>
      <c r="G126" s="38">
        <v>6</v>
      </c>
      <c r="H126" s="38" t="s">
        <v>17</v>
      </c>
      <c r="I126" s="38" t="s">
        <v>24</v>
      </c>
      <c r="J126" s="38">
        <v>1</v>
      </c>
      <c r="K126" s="39">
        <f>VLOOKUP(I126,'Weights and Confidence'!$D$16:$AC$26,5,FALSE)/COUNTIFS($B:$B,$B126,$C:$C,$C126,$H:$H,$H126,$I:$I,$I126)</f>
        <v>0.15</v>
      </c>
      <c r="L126" s="40">
        <f>VLOOKUP(I126,'Weights and Confidence'!$D$16:$AC$26,6,FALSE)</f>
        <v>1</v>
      </c>
      <c r="M126" s="41">
        <f>tScores4[[#This Row],[Raw_Rating_Text]]</f>
        <v>1</v>
      </c>
      <c r="N126" s="38"/>
    </row>
    <row r="127" spans="1:14" x14ac:dyDescent="0.2">
      <c r="A127" s="34" t="s">
        <v>14</v>
      </c>
      <c r="B127" s="34" t="s">
        <v>1</v>
      </c>
      <c r="C127" s="34" t="s">
        <v>52</v>
      </c>
      <c r="D127" s="34" t="s">
        <v>5</v>
      </c>
      <c r="E127" s="47" t="s">
        <v>105</v>
      </c>
      <c r="F127" s="34" t="s">
        <v>53</v>
      </c>
      <c r="G127" s="34">
        <v>6</v>
      </c>
      <c r="H127" s="34" t="s">
        <v>18</v>
      </c>
      <c r="I127" s="34" t="s">
        <v>24</v>
      </c>
      <c r="J127" s="34">
        <v>1</v>
      </c>
      <c r="K127" s="35">
        <f>VLOOKUP(I127,'Weights and Confidence'!$D$16:$AC$26,5,FALSE)/COUNTIFS($B:$B,$B127,$C:$C,$C127,$H:$H,$H127,$I:$I,$I127)</f>
        <v>0.15</v>
      </c>
      <c r="L127" s="36">
        <f>VLOOKUP(I127,'Weights and Confidence'!$D$16:$AC$26,6,FALSE)</f>
        <v>1</v>
      </c>
      <c r="M127" s="37">
        <f>tScores4[[#This Row],[Raw_Rating_Text]]</f>
        <v>1</v>
      </c>
      <c r="N127" s="34"/>
    </row>
    <row r="128" spans="1:14" x14ac:dyDescent="0.2">
      <c r="A128" s="38" t="s">
        <v>14</v>
      </c>
      <c r="B128" s="38" t="s">
        <v>1</v>
      </c>
      <c r="C128" s="38" t="s">
        <v>52</v>
      </c>
      <c r="D128" s="38" t="s">
        <v>5</v>
      </c>
      <c r="E128" s="48" t="s">
        <v>105</v>
      </c>
      <c r="F128" s="38" t="s">
        <v>53</v>
      </c>
      <c r="G128" s="38">
        <v>7</v>
      </c>
      <c r="H128" s="38" t="s">
        <v>17</v>
      </c>
      <c r="I128" s="38" t="s">
        <v>25</v>
      </c>
      <c r="J128" s="38">
        <v>1</v>
      </c>
      <c r="K128" s="39">
        <f>VLOOKUP(I128,'Weights and Confidence'!$D$16:$AC$26,5,FALSE)/COUNTIFS($B:$B,$B128,$C:$C,$C128,$H:$H,$H128,$I:$I,$I128)</f>
        <v>0.1</v>
      </c>
      <c r="L128" s="40">
        <f>VLOOKUP(I128,'Weights and Confidence'!$D$16:$AC$26,6,FALSE)</f>
        <v>1</v>
      </c>
      <c r="M128" s="41">
        <f>tScores4[[#This Row],[Raw_Rating_Text]]</f>
        <v>1</v>
      </c>
      <c r="N128" s="38"/>
    </row>
    <row r="129" spans="1:16" x14ac:dyDescent="0.2">
      <c r="A129" s="34" t="s">
        <v>14</v>
      </c>
      <c r="B129" s="34" t="s">
        <v>1</v>
      </c>
      <c r="C129" s="34" t="s">
        <v>52</v>
      </c>
      <c r="D129" s="34" t="s">
        <v>5</v>
      </c>
      <c r="E129" s="47" t="s">
        <v>105</v>
      </c>
      <c r="F129" s="34" t="s">
        <v>53</v>
      </c>
      <c r="G129" s="34">
        <v>7</v>
      </c>
      <c r="H129" s="34" t="s">
        <v>18</v>
      </c>
      <c r="I129" s="34" t="s">
        <v>25</v>
      </c>
      <c r="J129" s="34">
        <v>1</v>
      </c>
      <c r="K129" s="35">
        <f>VLOOKUP(I129,'Weights and Confidence'!$D$16:$AC$26,5,FALSE)/COUNTIFS($B:$B,$B129,$C:$C,$C129,$H:$H,$H129,$I:$I,$I129)</f>
        <v>0.1</v>
      </c>
      <c r="L129" s="36">
        <f>VLOOKUP(I129,'Weights and Confidence'!$D$16:$AC$26,6,FALSE)</f>
        <v>1</v>
      </c>
      <c r="M129" s="37">
        <f>tScores4[[#This Row],[Raw_Rating_Text]]</f>
        <v>1</v>
      </c>
      <c r="N129" s="34"/>
    </row>
    <row r="130" spans="1:16" x14ac:dyDescent="0.2">
      <c r="A130" s="38" t="s">
        <v>14</v>
      </c>
      <c r="B130" s="38" t="s">
        <v>1</v>
      </c>
      <c r="C130" s="38" t="s">
        <v>52</v>
      </c>
      <c r="D130" s="38" t="s">
        <v>5</v>
      </c>
      <c r="E130" s="48" t="s">
        <v>105</v>
      </c>
      <c r="F130" s="38" t="s">
        <v>53</v>
      </c>
      <c r="G130" s="38">
        <v>8</v>
      </c>
      <c r="H130" s="38" t="s">
        <v>17</v>
      </c>
      <c r="I130" s="38" t="s">
        <v>26</v>
      </c>
      <c r="J130" s="38">
        <v>1</v>
      </c>
      <c r="K130" s="39">
        <f>VLOOKUP(I130,'Weights and Confidence'!$D$16:$AC$26,5,FALSE)/COUNTIFS($B:$B,$B130,$C:$C,$C130,$H:$H,$H130,$I:$I,$I130)</f>
        <v>0.1</v>
      </c>
      <c r="L130" s="40">
        <f>VLOOKUP(I130,'Weights and Confidence'!$D$16:$AC$26,6,FALSE)</f>
        <v>1</v>
      </c>
      <c r="M130" s="41">
        <f>tScores4[[#This Row],[Raw_Rating_Text]]</f>
        <v>1</v>
      </c>
      <c r="N130" s="38"/>
    </row>
    <row r="131" spans="1:16" x14ac:dyDescent="0.2">
      <c r="A131" s="34" t="s">
        <v>14</v>
      </c>
      <c r="B131" s="34" t="s">
        <v>1</v>
      </c>
      <c r="C131" s="34" t="s">
        <v>52</v>
      </c>
      <c r="D131" s="34" t="s">
        <v>5</v>
      </c>
      <c r="E131" s="47" t="s">
        <v>105</v>
      </c>
      <c r="F131" s="34" t="s">
        <v>53</v>
      </c>
      <c r="G131" s="34">
        <v>8</v>
      </c>
      <c r="H131" s="34" t="s">
        <v>18</v>
      </c>
      <c r="I131" s="34" t="s">
        <v>26</v>
      </c>
      <c r="J131" s="34">
        <v>0</v>
      </c>
      <c r="K131" s="35">
        <f>VLOOKUP(I131,'Weights and Confidence'!$D$16:$AC$26,5,FALSE)/COUNTIFS($B:$B,$B131,$C:$C,$C131,$H:$H,$H131,$I:$I,$I131)</f>
        <v>0.1</v>
      </c>
      <c r="L131" s="36">
        <f>VLOOKUP(I131,'Weights and Confidence'!$D$16:$AC$26,6,FALSE)</f>
        <v>1</v>
      </c>
      <c r="M131" s="37">
        <f>tScores4[[#This Row],[Raw_Rating_Text]]</f>
        <v>0</v>
      </c>
      <c r="N131" s="34"/>
    </row>
    <row r="132" spans="1:16" x14ac:dyDescent="0.2">
      <c r="A132" s="38" t="s">
        <v>14</v>
      </c>
      <c r="B132" s="38" t="s">
        <v>1</v>
      </c>
      <c r="C132" s="38" t="s">
        <v>52</v>
      </c>
      <c r="D132" s="38" t="s">
        <v>5</v>
      </c>
      <c r="E132" s="48" t="s">
        <v>105</v>
      </c>
      <c r="F132" s="38" t="s">
        <v>53</v>
      </c>
      <c r="G132" s="38">
        <v>9</v>
      </c>
      <c r="H132" s="38" t="s">
        <v>17</v>
      </c>
      <c r="I132" s="38" t="s">
        <v>27</v>
      </c>
      <c r="J132" s="38">
        <v>1</v>
      </c>
      <c r="K132" s="39">
        <f>VLOOKUP(I132,'Weights and Confidence'!$D$16:$AC$26,5,FALSE)/COUNTIFS($B:$B,$B132,$C:$C,$C132,$H:$H,$H132,$I:$I,$I132)</f>
        <v>0.05</v>
      </c>
      <c r="L132" s="40">
        <f>VLOOKUP(I132,'Weights and Confidence'!$D$16:$AC$26,6,FALSE)</f>
        <v>0.85</v>
      </c>
      <c r="M132" s="41">
        <f>tScores4[[#This Row],[Raw_Rating_Text]]</f>
        <v>1</v>
      </c>
      <c r="N132" s="38"/>
    </row>
    <row r="133" spans="1:16" x14ac:dyDescent="0.2">
      <c r="A133" s="34" t="s">
        <v>14</v>
      </c>
      <c r="B133" s="34" t="s">
        <v>1</v>
      </c>
      <c r="C133" s="34" t="s">
        <v>52</v>
      </c>
      <c r="D133" s="34" t="s">
        <v>5</v>
      </c>
      <c r="E133" s="47" t="s">
        <v>105</v>
      </c>
      <c r="F133" s="34" t="s">
        <v>53</v>
      </c>
      <c r="G133" s="34">
        <v>9</v>
      </c>
      <c r="H133" s="34" t="s">
        <v>18</v>
      </c>
      <c r="I133" s="34" t="s">
        <v>27</v>
      </c>
      <c r="J133" s="34">
        <v>1</v>
      </c>
      <c r="K133" s="35">
        <f>VLOOKUP(I133,'Weights and Confidence'!$D$16:$AC$26,5,FALSE)/COUNTIFS($B:$B,$B133,$C:$C,$C133,$H:$H,$H133,$I:$I,$I133)</f>
        <v>0.05</v>
      </c>
      <c r="L133" s="36">
        <f>VLOOKUP(I133,'Weights and Confidence'!$D$16:$AC$26,6,FALSE)</f>
        <v>0.85</v>
      </c>
      <c r="M133" s="37">
        <f>tScores4[[#This Row],[Raw_Rating_Text]]</f>
        <v>1</v>
      </c>
      <c r="N133" s="34"/>
    </row>
    <row r="134" spans="1:16" x14ac:dyDescent="0.2">
      <c r="A134" s="38" t="s">
        <v>14</v>
      </c>
      <c r="B134" s="38" t="s">
        <v>1</v>
      </c>
      <c r="C134" s="38" t="s">
        <v>52</v>
      </c>
      <c r="D134" s="38" t="s">
        <v>5</v>
      </c>
      <c r="E134" s="48" t="s">
        <v>105</v>
      </c>
      <c r="F134" s="38" t="s">
        <v>53</v>
      </c>
      <c r="G134" s="38">
        <v>10</v>
      </c>
      <c r="H134" s="38" t="s">
        <v>17</v>
      </c>
      <c r="I134" s="38" t="s">
        <v>27</v>
      </c>
      <c r="J134" s="38">
        <v>1</v>
      </c>
      <c r="K134" s="39">
        <f>VLOOKUP(I134,'Weights and Confidence'!$D$16:$AC$26,5,FALSE)/COUNTIFS($B:$B,$B134,$C:$C,$C134,$H:$H,$H134,$I:$I,$I134)</f>
        <v>0.05</v>
      </c>
      <c r="L134" s="40">
        <f>VLOOKUP(I134,'Weights and Confidence'!$D$16:$AC$26,6,FALSE)</f>
        <v>0.85</v>
      </c>
      <c r="M134" s="41">
        <f>tScores4[[#This Row],[Raw_Rating_Text]]</f>
        <v>1</v>
      </c>
      <c r="N134" s="38"/>
    </row>
    <row r="135" spans="1:16" x14ac:dyDescent="0.2">
      <c r="A135" s="34" t="s">
        <v>14</v>
      </c>
      <c r="B135" s="34" t="s">
        <v>1</v>
      </c>
      <c r="C135" s="34" t="s">
        <v>52</v>
      </c>
      <c r="D135" s="34" t="s">
        <v>5</v>
      </c>
      <c r="E135" s="47" t="s">
        <v>105</v>
      </c>
      <c r="F135" s="34" t="s">
        <v>53</v>
      </c>
      <c r="G135" s="34">
        <v>10</v>
      </c>
      <c r="H135" s="34" t="s">
        <v>18</v>
      </c>
      <c r="I135" s="34" t="s">
        <v>27</v>
      </c>
      <c r="J135" s="34">
        <v>1</v>
      </c>
      <c r="K135" s="35">
        <f>VLOOKUP(I135,'Weights and Confidence'!$D$16:$AC$26,5,FALSE)/COUNTIFS($B:$B,$B135,$C:$C,$C135,$H:$H,$H135,$I:$I,$I135)</f>
        <v>0.05</v>
      </c>
      <c r="L135" s="36">
        <f>VLOOKUP(I135,'Weights and Confidence'!$D$16:$AC$26,6,FALSE)</f>
        <v>0.85</v>
      </c>
      <c r="M135" s="37">
        <f>tScores4[[#This Row],[Raw_Rating_Text]]</f>
        <v>1</v>
      </c>
      <c r="N135" s="34"/>
    </row>
    <row r="136" spans="1:16" x14ac:dyDescent="0.2">
      <c r="A136" s="38" t="s">
        <v>14</v>
      </c>
      <c r="B136" s="38" t="s">
        <v>1</v>
      </c>
      <c r="C136" s="38" t="s">
        <v>52</v>
      </c>
      <c r="D136" s="38" t="s">
        <v>5</v>
      </c>
      <c r="E136" s="48" t="s">
        <v>105</v>
      </c>
      <c r="F136" s="38" t="s">
        <v>53</v>
      </c>
      <c r="G136" s="38">
        <v>11</v>
      </c>
      <c r="H136" s="38" t="s">
        <v>17</v>
      </c>
      <c r="I136" s="38" t="s">
        <v>28</v>
      </c>
      <c r="J136" s="38">
        <v>1</v>
      </c>
      <c r="K136" s="39">
        <f>VLOOKUP(I136,'Weights and Confidence'!$D$16:$AC$26,5,FALSE)/COUNTIFS($B:$B,$B136,$C:$C,$C136,$H:$H,$H136,$I:$I,$I136)</f>
        <v>0.05</v>
      </c>
      <c r="L136" s="40">
        <f>VLOOKUP(I136,'Weights and Confidence'!$D$16:$AC$26,6,FALSE)</f>
        <v>1</v>
      </c>
      <c r="M136" s="41">
        <f>tScores4[[#This Row],[Raw_Rating_Text]]</f>
        <v>1</v>
      </c>
      <c r="N136" s="38"/>
    </row>
    <row r="137" spans="1:16" ht="17" thickBot="1" x14ac:dyDescent="0.25">
      <c r="A137" s="34" t="s">
        <v>14</v>
      </c>
      <c r="B137" s="34" t="s">
        <v>1</v>
      </c>
      <c r="C137" s="34" t="s">
        <v>52</v>
      </c>
      <c r="D137" s="34" t="s">
        <v>5</v>
      </c>
      <c r="E137" s="47" t="s">
        <v>105</v>
      </c>
      <c r="F137" s="34" t="s">
        <v>53</v>
      </c>
      <c r="G137" s="34">
        <v>11</v>
      </c>
      <c r="H137" s="34" t="s">
        <v>18</v>
      </c>
      <c r="I137" s="34" t="s">
        <v>28</v>
      </c>
      <c r="J137" s="34">
        <v>0</v>
      </c>
      <c r="K137" s="35">
        <f>VLOOKUP(I137,'Weights and Confidence'!$D$16:$AC$26,5,FALSE)/COUNTIFS($B:$B,$B137,$C:$C,$C137,$H:$H,$H137,$I:$I,$I137)</f>
        <v>0.05</v>
      </c>
      <c r="L137" s="36">
        <f>VLOOKUP(I137,'Weights and Confidence'!$D$16:$AC$26,6,FALSE)</f>
        <v>1</v>
      </c>
      <c r="M137" s="37">
        <f>tScores4[[#This Row],[Raw_Rating_Text]]</f>
        <v>0</v>
      </c>
      <c r="N137" s="34"/>
    </row>
    <row r="138" spans="1:16" ht="17" thickTop="1" x14ac:dyDescent="0.2">
      <c r="A138" s="42" t="s">
        <v>14</v>
      </c>
      <c r="B138" s="42" t="s">
        <v>1</v>
      </c>
      <c r="C138" s="42" t="s">
        <v>54</v>
      </c>
      <c r="D138" s="42" t="s">
        <v>5</v>
      </c>
      <c r="E138" s="43" t="s">
        <v>106</v>
      </c>
      <c r="F138" s="43" t="s">
        <v>51</v>
      </c>
      <c r="G138" s="42">
        <v>1</v>
      </c>
      <c r="H138" s="42" t="s">
        <v>17</v>
      </c>
      <c r="I138" s="42" t="s">
        <v>19</v>
      </c>
      <c r="J138" s="42">
        <v>0</v>
      </c>
      <c r="K138" s="44">
        <f>VLOOKUP(I138,'Weights and Confidence'!$D$16:$AC$26,5,FALSE)/COUNTIFS($B:$B,$B138,$C:$C,$C138,$H:$H,$H138,$I:$I,$I138)</f>
        <v>0.12</v>
      </c>
      <c r="L138" s="45">
        <f>VLOOKUP(I138,'Weights and Confidence'!$D$16:$AC$26,6,FALSE)</f>
        <v>1</v>
      </c>
      <c r="M138" s="46">
        <f>tScores4[[#This Row],[Raw_Rating_Text]]</f>
        <v>0</v>
      </c>
      <c r="N138" s="42"/>
    </row>
    <row r="139" spans="1:16" ht="19" x14ac:dyDescent="0.2">
      <c r="A139" s="34" t="s">
        <v>14</v>
      </c>
      <c r="B139" s="34" t="s">
        <v>1</v>
      </c>
      <c r="C139" s="34" t="s">
        <v>54</v>
      </c>
      <c r="D139" s="34" t="s">
        <v>5</v>
      </c>
      <c r="E139" s="34" t="s">
        <v>106</v>
      </c>
      <c r="F139" s="34" t="s">
        <v>51</v>
      </c>
      <c r="G139" s="34">
        <v>1</v>
      </c>
      <c r="H139" s="34" t="s">
        <v>18</v>
      </c>
      <c r="I139" s="34" t="s">
        <v>19</v>
      </c>
      <c r="J139" s="34">
        <v>1</v>
      </c>
      <c r="K139" s="35">
        <f>VLOOKUP(I139,'Weights and Confidence'!$D$16:$AC$26,5,FALSE)/COUNTIFS($B:$B,$B139,$C:$C,$C139,$H:$H,$H139,$I:$I,$I139)</f>
        <v>0.12</v>
      </c>
      <c r="L139" s="36">
        <f>VLOOKUP(I139,'Weights and Confidence'!$D$16:$AC$26,6,FALSE)</f>
        <v>1</v>
      </c>
      <c r="M139" s="37">
        <f>tScores4[[#This Row],[Raw_Rating_Text]]</f>
        <v>1</v>
      </c>
      <c r="N139" s="34"/>
      <c r="P139" s="19" t="s">
        <v>132</v>
      </c>
    </row>
    <row r="140" spans="1:16" x14ac:dyDescent="0.2">
      <c r="A140" s="38" t="s">
        <v>14</v>
      </c>
      <c r="B140" s="38" t="s">
        <v>1</v>
      </c>
      <c r="C140" s="38" t="s">
        <v>54</v>
      </c>
      <c r="D140" s="38" t="s">
        <v>5</v>
      </c>
      <c r="E140" s="38" t="s">
        <v>106</v>
      </c>
      <c r="F140" s="38" t="s">
        <v>51</v>
      </c>
      <c r="G140" s="38">
        <v>2</v>
      </c>
      <c r="H140" s="38" t="s">
        <v>17</v>
      </c>
      <c r="I140" s="38" t="s">
        <v>20</v>
      </c>
      <c r="J140" s="38">
        <v>-1</v>
      </c>
      <c r="K140" s="39">
        <f>VLOOKUP(I140,'Weights and Confidence'!$D$16:$AC$26,5,FALSE)/COUNTIFS($B:$B,$B140,$C:$C,$C140,$H:$H,$H140,$I:$I,$I140)</f>
        <v>0.08</v>
      </c>
      <c r="L140" s="40">
        <f>VLOOKUP(I140,'Weights and Confidence'!$D$16:$AC$26,6,FALSE)</f>
        <v>0.8</v>
      </c>
      <c r="M140" s="41">
        <f>tScores4[[#This Row],[Raw_Rating_Text]]</f>
        <v>-1</v>
      </c>
      <c r="N140" s="38"/>
    </row>
    <row r="141" spans="1:16" x14ac:dyDescent="0.2">
      <c r="A141" s="34" t="s">
        <v>14</v>
      </c>
      <c r="B141" s="34" t="s">
        <v>1</v>
      </c>
      <c r="C141" s="34" t="s">
        <v>54</v>
      </c>
      <c r="D141" s="34" t="s">
        <v>5</v>
      </c>
      <c r="E141" s="34" t="s">
        <v>106</v>
      </c>
      <c r="F141" s="34" t="s">
        <v>51</v>
      </c>
      <c r="G141" s="34">
        <v>2</v>
      </c>
      <c r="H141" s="34" t="s">
        <v>18</v>
      </c>
      <c r="I141" s="34" t="s">
        <v>20</v>
      </c>
      <c r="J141" s="34">
        <v>1</v>
      </c>
      <c r="K141" s="35">
        <f>VLOOKUP(I141,'Weights and Confidence'!$D$16:$AC$26,5,FALSE)/COUNTIFS($B:$B,$B141,$C:$C,$C141,$H:$H,$H141,$I:$I,$I141)</f>
        <v>0.08</v>
      </c>
      <c r="L141" s="36">
        <f>VLOOKUP(I141,'Weights and Confidence'!$D$16:$AC$26,6,FALSE)</f>
        <v>0.8</v>
      </c>
      <c r="M141" s="37">
        <f>tScores4[[#This Row],[Raw_Rating_Text]]</f>
        <v>1</v>
      </c>
      <c r="N141" s="34"/>
    </row>
    <row r="142" spans="1:16" x14ac:dyDescent="0.2">
      <c r="A142" s="38" t="s">
        <v>14</v>
      </c>
      <c r="B142" s="38" t="s">
        <v>1</v>
      </c>
      <c r="C142" s="38" t="s">
        <v>54</v>
      </c>
      <c r="D142" s="38" t="s">
        <v>5</v>
      </c>
      <c r="E142" s="38" t="s">
        <v>106</v>
      </c>
      <c r="F142" s="38" t="s">
        <v>51</v>
      </c>
      <c r="G142" s="38">
        <v>3</v>
      </c>
      <c r="H142" s="38" t="s">
        <v>17</v>
      </c>
      <c r="I142" s="38" t="s">
        <v>21</v>
      </c>
      <c r="J142" s="38">
        <v>1</v>
      </c>
      <c r="K142" s="39">
        <f>VLOOKUP(I142,'Weights and Confidence'!$D$16:$AC$26,5,FALSE)/COUNTIFS($B:$B,$B142,$C:$C,$C142,$H:$H,$H142,$I:$I,$I142)</f>
        <v>0.05</v>
      </c>
      <c r="L142" s="40">
        <f>VLOOKUP(I142,'Weights and Confidence'!$D$16:$AC$26,6,FALSE)</f>
        <v>1</v>
      </c>
      <c r="M142" s="41">
        <f>tScores4[[#This Row],[Raw_Rating_Text]]</f>
        <v>1</v>
      </c>
      <c r="N142" s="38"/>
    </row>
    <row r="143" spans="1:16" x14ac:dyDescent="0.2">
      <c r="A143" s="34" t="s">
        <v>14</v>
      </c>
      <c r="B143" s="34" t="s">
        <v>1</v>
      </c>
      <c r="C143" s="34" t="s">
        <v>54</v>
      </c>
      <c r="D143" s="34" t="s">
        <v>5</v>
      </c>
      <c r="E143" s="34" t="s">
        <v>106</v>
      </c>
      <c r="F143" s="34" t="s">
        <v>51</v>
      </c>
      <c r="G143" s="34">
        <v>3</v>
      </c>
      <c r="H143" s="34" t="s">
        <v>18</v>
      </c>
      <c r="I143" s="34" t="s">
        <v>21</v>
      </c>
      <c r="J143" s="34">
        <v>1</v>
      </c>
      <c r="K143" s="35">
        <f>VLOOKUP(I143,'Weights and Confidence'!$D$16:$AC$26,5,FALSE)/COUNTIFS($B:$B,$B143,$C:$C,$C143,$H:$H,$H143,$I:$I,$I143)</f>
        <v>0.05</v>
      </c>
      <c r="L143" s="36">
        <f>VLOOKUP(I143,'Weights and Confidence'!$D$16:$AC$26,6,FALSE)</f>
        <v>1</v>
      </c>
      <c r="M143" s="37">
        <f>tScores4[[#This Row],[Raw_Rating_Text]]</f>
        <v>1</v>
      </c>
      <c r="N143" s="34"/>
    </row>
    <row r="144" spans="1:16" x14ac:dyDescent="0.2">
      <c r="A144" s="38" t="s">
        <v>14</v>
      </c>
      <c r="B144" s="38" t="s">
        <v>1</v>
      </c>
      <c r="C144" s="38" t="s">
        <v>54</v>
      </c>
      <c r="D144" s="38" t="s">
        <v>5</v>
      </c>
      <c r="E144" s="38" t="s">
        <v>106</v>
      </c>
      <c r="F144" s="38" t="s">
        <v>51</v>
      </c>
      <c r="G144" s="38">
        <v>4</v>
      </c>
      <c r="H144" s="38" t="s">
        <v>17</v>
      </c>
      <c r="I144" s="38" t="s">
        <v>22</v>
      </c>
      <c r="J144" s="38">
        <v>-1</v>
      </c>
      <c r="K144" s="39">
        <f>VLOOKUP(I144,'Weights and Confidence'!$D$16:$AC$26,5,FALSE)/COUNTIFS($B:$B,$B144,$C:$C,$C144,$H:$H,$H144,$I:$I,$I144)</f>
        <v>0.14000000000000001</v>
      </c>
      <c r="L144" s="40">
        <f>VLOOKUP(I144,'Weights and Confidence'!$D$16:$AC$26,6,FALSE)</f>
        <v>1</v>
      </c>
      <c r="M144" s="41">
        <f>tScores4[[#This Row],[Raw_Rating_Text]]</f>
        <v>-1</v>
      </c>
      <c r="N144" s="38"/>
    </row>
    <row r="145" spans="1:14" x14ac:dyDescent="0.2">
      <c r="A145" s="34" t="s">
        <v>14</v>
      </c>
      <c r="B145" s="34" t="s">
        <v>1</v>
      </c>
      <c r="C145" s="34" t="s">
        <v>54</v>
      </c>
      <c r="D145" s="34" t="s">
        <v>5</v>
      </c>
      <c r="E145" s="34" t="s">
        <v>106</v>
      </c>
      <c r="F145" s="34" t="s">
        <v>51</v>
      </c>
      <c r="G145" s="34">
        <v>4</v>
      </c>
      <c r="H145" s="34" t="s">
        <v>18</v>
      </c>
      <c r="I145" s="34" t="s">
        <v>22</v>
      </c>
      <c r="J145" s="34">
        <v>1</v>
      </c>
      <c r="K145" s="35">
        <f>VLOOKUP(I145,'Weights and Confidence'!$D$16:$AC$26,5,FALSE)/COUNTIFS($B:$B,$B145,$C:$C,$C145,$H:$H,$H145,$I:$I,$I145)</f>
        <v>0.14000000000000001</v>
      </c>
      <c r="L145" s="36">
        <f>VLOOKUP(I145,'Weights and Confidence'!$D$16:$AC$26,6,FALSE)</f>
        <v>1</v>
      </c>
      <c r="M145" s="37">
        <f>tScores4[[#This Row],[Raw_Rating_Text]]</f>
        <v>1</v>
      </c>
      <c r="N145" s="34"/>
    </row>
    <row r="146" spans="1:14" x14ac:dyDescent="0.2">
      <c r="A146" s="38" t="s">
        <v>14</v>
      </c>
      <c r="B146" s="38" t="s">
        <v>1</v>
      </c>
      <c r="C146" s="38" t="s">
        <v>54</v>
      </c>
      <c r="D146" s="38" t="s">
        <v>5</v>
      </c>
      <c r="E146" s="38" t="s">
        <v>106</v>
      </c>
      <c r="F146" s="38" t="s">
        <v>51</v>
      </c>
      <c r="G146" s="38">
        <v>5</v>
      </c>
      <c r="H146" s="38" t="s">
        <v>17</v>
      </c>
      <c r="I146" s="38" t="s">
        <v>23</v>
      </c>
      <c r="J146" s="38">
        <v>-1</v>
      </c>
      <c r="K146" s="39">
        <f>VLOOKUP(I146,'Weights and Confidence'!$D$16:$AC$26,5,FALSE)/COUNTIFS($B:$B,$B146,$C:$C,$C146,$H:$H,$H146,$I:$I,$I146)</f>
        <v>0.11</v>
      </c>
      <c r="L146" s="40">
        <f>VLOOKUP(I146,'Weights and Confidence'!$D$16:$AC$26,6,FALSE)</f>
        <v>1</v>
      </c>
      <c r="M146" s="41">
        <f>tScores4[[#This Row],[Raw_Rating_Text]]</f>
        <v>-1</v>
      </c>
      <c r="N146" s="38"/>
    </row>
    <row r="147" spans="1:14" x14ac:dyDescent="0.2">
      <c r="A147" s="34" t="s">
        <v>14</v>
      </c>
      <c r="B147" s="34" t="s">
        <v>1</v>
      </c>
      <c r="C147" s="34" t="s">
        <v>54</v>
      </c>
      <c r="D147" s="34" t="s">
        <v>5</v>
      </c>
      <c r="E147" s="34" t="s">
        <v>106</v>
      </c>
      <c r="F147" s="34" t="s">
        <v>51</v>
      </c>
      <c r="G147" s="34">
        <v>5</v>
      </c>
      <c r="H147" s="34" t="s">
        <v>18</v>
      </c>
      <c r="I147" s="34" t="s">
        <v>23</v>
      </c>
      <c r="J147" s="34">
        <v>0</v>
      </c>
      <c r="K147" s="35">
        <f>VLOOKUP(I147,'Weights and Confidence'!$D$16:$AC$26,5,FALSE)/COUNTIFS($B:$B,$B147,$C:$C,$C147,$H:$H,$H147,$I:$I,$I147)</f>
        <v>0.11</v>
      </c>
      <c r="L147" s="36">
        <f>VLOOKUP(I147,'Weights and Confidence'!$D$16:$AC$26,6,FALSE)</f>
        <v>1</v>
      </c>
      <c r="M147" s="37">
        <f>tScores4[[#This Row],[Raw_Rating_Text]]</f>
        <v>0</v>
      </c>
      <c r="N147" s="34"/>
    </row>
    <row r="148" spans="1:14" x14ac:dyDescent="0.2">
      <c r="A148" s="38" t="s">
        <v>14</v>
      </c>
      <c r="B148" s="38" t="s">
        <v>1</v>
      </c>
      <c r="C148" s="38" t="s">
        <v>54</v>
      </c>
      <c r="D148" s="38" t="s">
        <v>5</v>
      </c>
      <c r="E148" s="38" t="s">
        <v>106</v>
      </c>
      <c r="F148" s="38" t="s">
        <v>51</v>
      </c>
      <c r="G148" s="38">
        <v>6</v>
      </c>
      <c r="H148" s="38" t="s">
        <v>17</v>
      </c>
      <c r="I148" s="38" t="s">
        <v>24</v>
      </c>
      <c r="J148" s="38">
        <v>0</v>
      </c>
      <c r="K148" s="39">
        <f>VLOOKUP(I148,'Weights and Confidence'!$D$16:$AC$26,5,FALSE)/COUNTIFS($B:$B,$B148,$C:$C,$C148,$H:$H,$H148,$I:$I,$I148)</f>
        <v>0.15</v>
      </c>
      <c r="L148" s="40">
        <f>VLOOKUP(I148,'Weights and Confidence'!$D$16:$AC$26,6,FALSE)</f>
        <v>1</v>
      </c>
      <c r="M148" s="41">
        <f>tScores4[[#This Row],[Raw_Rating_Text]]</f>
        <v>0</v>
      </c>
      <c r="N148" s="38"/>
    </row>
    <row r="149" spans="1:14" x14ac:dyDescent="0.2">
      <c r="A149" s="34" t="s">
        <v>14</v>
      </c>
      <c r="B149" s="34" t="s">
        <v>1</v>
      </c>
      <c r="C149" s="34" t="s">
        <v>54</v>
      </c>
      <c r="D149" s="34" t="s">
        <v>5</v>
      </c>
      <c r="E149" s="34" t="s">
        <v>106</v>
      </c>
      <c r="F149" s="34" t="s">
        <v>51</v>
      </c>
      <c r="G149" s="34">
        <v>6</v>
      </c>
      <c r="H149" s="34" t="s">
        <v>18</v>
      </c>
      <c r="I149" s="34" t="s">
        <v>24</v>
      </c>
      <c r="J149" s="34">
        <v>0</v>
      </c>
      <c r="K149" s="35">
        <f>VLOOKUP(I149,'Weights and Confidence'!$D$16:$AC$26,5,FALSE)/COUNTIFS($B:$B,$B149,$C:$C,$C149,$H:$H,$H149,$I:$I,$I149)</f>
        <v>0.15</v>
      </c>
      <c r="L149" s="36">
        <f>VLOOKUP(I149,'Weights and Confidence'!$D$16:$AC$26,6,FALSE)</f>
        <v>1</v>
      </c>
      <c r="M149" s="37">
        <f>tScores4[[#This Row],[Raw_Rating_Text]]</f>
        <v>0</v>
      </c>
      <c r="N149" s="34"/>
    </row>
    <row r="150" spans="1:14" x14ac:dyDescent="0.2">
      <c r="A150" s="38" t="s">
        <v>14</v>
      </c>
      <c r="B150" s="38" t="s">
        <v>1</v>
      </c>
      <c r="C150" s="38" t="s">
        <v>54</v>
      </c>
      <c r="D150" s="38" t="s">
        <v>5</v>
      </c>
      <c r="E150" s="38" t="s">
        <v>106</v>
      </c>
      <c r="F150" s="38" t="s">
        <v>51</v>
      </c>
      <c r="G150" s="38">
        <v>7</v>
      </c>
      <c r="H150" s="38" t="s">
        <v>17</v>
      </c>
      <c r="I150" s="38" t="s">
        <v>25</v>
      </c>
      <c r="J150" s="38">
        <v>-1</v>
      </c>
      <c r="K150" s="39">
        <f>VLOOKUP(I150,'Weights and Confidence'!$D$16:$AC$26,5,FALSE)/COUNTIFS($B:$B,$B150,$C:$C,$C150,$H:$H,$H150,$I:$I,$I150)</f>
        <v>0.1</v>
      </c>
      <c r="L150" s="40">
        <f>VLOOKUP(I150,'Weights and Confidence'!$D$16:$AC$26,6,FALSE)</f>
        <v>1</v>
      </c>
      <c r="M150" s="41">
        <f>tScores4[[#This Row],[Raw_Rating_Text]]</f>
        <v>-1</v>
      </c>
      <c r="N150" s="38"/>
    </row>
    <row r="151" spans="1:14" x14ac:dyDescent="0.2">
      <c r="A151" s="34" t="s">
        <v>14</v>
      </c>
      <c r="B151" s="34" t="s">
        <v>1</v>
      </c>
      <c r="C151" s="34" t="s">
        <v>54</v>
      </c>
      <c r="D151" s="34" t="s">
        <v>5</v>
      </c>
      <c r="E151" s="34" t="s">
        <v>106</v>
      </c>
      <c r="F151" s="34" t="s">
        <v>51</v>
      </c>
      <c r="G151" s="34">
        <v>7</v>
      </c>
      <c r="H151" s="34" t="s">
        <v>18</v>
      </c>
      <c r="I151" s="34" t="s">
        <v>25</v>
      </c>
      <c r="J151" s="34">
        <v>1</v>
      </c>
      <c r="K151" s="35">
        <f>VLOOKUP(I151,'Weights and Confidence'!$D$16:$AC$26,5,FALSE)/COUNTIFS($B:$B,$B151,$C:$C,$C151,$H:$H,$H151,$I:$I,$I151)</f>
        <v>0.1</v>
      </c>
      <c r="L151" s="36">
        <f>VLOOKUP(I151,'Weights and Confidence'!$D$16:$AC$26,6,FALSE)</f>
        <v>1</v>
      </c>
      <c r="M151" s="37">
        <f>tScores4[[#This Row],[Raw_Rating_Text]]</f>
        <v>1</v>
      </c>
      <c r="N151" s="34"/>
    </row>
    <row r="152" spans="1:14" x14ac:dyDescent="0.2">
      <c r="A152" s="38" t="s">
        <v>14</v>
      </c>
      <c r="B152" s="38" t="s">
        <v>1</v>
      </c>
      <c r="C152" s="38" t="s">
        <v>54</v>
      </c>
      <c r="D152" s="38" t="s">
        <v>5</v>
      </c>
      <c r="E152" s="38" t="s">
        <v>106</v>
      </c>
      <c r="F152" s="38" t="s">
        <v>51</v>
      </c>
      <c r="G152" s="38">
        <v>8</v>
      </c>
      <c r="H152" s="38" t="s">
        <v>17</v>
      </c>
      <c r="I152" s="38" t="s">
        <v>26</v>
      </c>
      <c r="J152" s="38">
        <v>-1</v>
      </c>
      <c r="K152" s="39">
        <f>VLOOKUP(I152,'Weights and Confidence'!$D$16:$AC$26,5,FALSE)/COUNTIFS($B:$B,$B152,$C:$C,$C152,$H:$H,$H152,$I:$I,$I152)</f>
        <v>0.1</v>
      </c>
      <c r="L152" s="40">
        <f>VLOOKUP(I152,'Weights and Confidence'!$D$16:$AC$26,6,FALSE)</f>
        <v>1</v>
      </c>
      <c r="M152" s="41">
        <f>tScores4[[#This Row],[Raw_Rating_Text]]</f>
        <v>-1</v>
      </c>
      <c r="N152" s="38"/>
    </row>
    <row r="153" spans="1:14" x14ac:dyDescent="0.2">
      <c r="A153" s="34" t="s">
        <v>14</v>
      </c>
      <c r="B153" s="34" t="s">
        <v>1</v>
      </c>
      <c r="C153" s="34" t="s">
        <v>54</v>
      </c>
      <c r="D153" s="34" t="s">
        <v>5</v>
      </c>
      <c r="E153" s="34" t="s">
        <v>106</v>
      </c>
      <c r="F153" s="34" t="s">
        <v>51</v>
      </c>
      <c r="G153" s="34">
        <v>8</v>
      </c>
      <c r="H153" s="34" t="s">
        <v>18</v>
      </c>
      <c r="I153" s="34" t="s">
        <v>26</v>
      </c>
      <c r="J153" s="34">
        <v>0</v>
      </c>
      <c r="K153" s="35">
        <f>VLOOKUP(I153,'Weights and Confidence'!$D$16:$AC$26,5,FALSE)/COUNTIFS($B:$B,$B153,$C:$C,$C153,$H:$H,$H153,$I:$I,$I153)</f>
        <v>0.1</v>
      </c>
      <c r="L153" s="36">
        <f>VLOOKUP(I153,'Weights and Confidence'!$D$16:$AC$26,6,FALSE)</f>
        <v>1</v>
      </c>
      <c r="M153" s="37">
        <f>tScores4[[#This Row],[Raw_Rating_Text]]</f>
        <v>0</v>
      </c>
      <c r="N153" s="34"/>
    </row>
    <row r="154" spans="1:14" x14ac:dyDescent="0.2">
      <c r="A154" s="38" t="s">
        <v>14</v>
      </c>
      <c r="B154" s="38" t="s">
        <v>1</v>
      </c>
      <c r="C154" s="38" t="s">
        <v>54</v>
      </c>
      <c r="D154" s="38" t="s">
        <v>5</v>
      </c>
      <c r="E154" s="38" t="s">
        <v>106</v>
      </c>
      <c r="F154" s="38" t="s">
        <v>51</v>
      </c>
      <c r="G154" s="38">
        <v>9</v>
      </c>
      <c r="H154" s="38" t="s">
        <v>17</v>
      </c>
      <c r="I154" s="38" t="s">
        <v>27</v>
      </c>
      <c r="J154" s="38">
        <v>-1</v>
      </c>
      <c r="K154" s="39">
        <f>VLOOKUP(I154,'Weights and Confidence'!$D$16:$AC$26,5,FALSE)/COUNTIFS($B:$B,$B154,$C:$C,$C154,$H:$H,$H154,$I:$I,$I154)</f>
        <v>0.05</v>
      </c>
      <c r="L154" s="40">
        <f>VLOOKUP(I154,'Weights and Confidence'!$D$16:$AC$26,6,FALSE)</f>
        <v>0.85</v>
      </c>
      <c r="M154" s="41">
        <f>tScores4[[#This Row],[Raw_Rating_Text]]</f>
        <v>-1</v>
      </c>
      <c r="N154" s="38"/>
    </row>
    <row r="155" spans="1:14" x14ac:dyDescent="0.2">
      <c r="A155" s="34" t="s">
        <v>14</v>
      </c>
      <c r="B155" s="34" t="s">
        <v>1</v>
      </c>
      <c r="C155" s="34" t="s">
        <v>54</v>
      </c>
      <c r="D155" s="34" t="s">
        <v>5</v>
      </c>
      <c r="E155" s="34" t="s">
        <v>106</v>
      </c>
      <c r="F155" s="34" t="s">
        <v>51</v>
      </c>
      <c r="G155" s="34">
        <v>9</v>
      </c>
      <c r="H155" s="34" t="s">
        <v>18</v>
      </c>
      <c r="I155" s="34" t="s">
        <v>27</v>
      </c>
      <c r="J155" s="34">
        <v>1</v>
      </c>
      <c r="K155" s="35">
        <f>VLOOKUP(I155,'Weights and Confidence'!$D$16:$AC$26,5,FALSE)/COUNTIFS($B:$B,$B155,$C:$C,$C155,$H:$H,$H155,$I:$I,$I155)</f>
        <v>0.05</v>
      </c>
      <c r="L155" s="36">
        <f>VLOOKUP(I155,'Weights and Confidence'!$D$16:$AC$26,6,FALSE)</f>
        <v>0.85</v>
      </c>
      <c r="M155" s="37">
        <f>tScores4[[#This Row],[Raw_Rating_Text]]</f>
        <v>1</v>
      </c>
      <c r="N155" s="34"/>
    </row>
    <row r="156" spans="1:14" x14ac:dyDescent="0.2">
      <c r="A156" s="38" t="s">
        <v>14</v>
      </c>
      <c r="B156" s="38" t="s">
        <v>1</v>
      </c>
      <c r="C156" s="38" t="s">
        <v>54</v>
      </c>
      <c r="D156" s="38" t="s">
        <v>5</v>
      </c>
      <c r="E156" s="38" t="s">
        <v>106</v>
      </c>
      <c r="F156" s="38" t="s">
        <v>51</v>
      </c>
      <c r="G156" s="38">
        <v>10</v>
      </c>
      <c r="H156" s="38" t="s">
        <v>17</v>
      </c>
      <c r="I156" s="38" t="s">
        <v>27</v>
      </c>
      <c r="J156" s="38">
        <v>0</v>
      </c>
      <c r="K156" s="39">
        <f>VLOOKUP(I156,'Weights and Confidence'!$D$16:$AC$26,5,FALSE)/COUNTIFS($B:$B,$B156,$C:$C,$C156,$H:$H,$H156,$I:$I,$I156)</f>
        <v>0.05</v>
      </c>
      <c r="L156" s="40">
        <f>VLOOKUP(I156,'Weights and Confidence'!$D$16:$AC$26,6,FALSE)</f>
        <v>0.85</v>
      </c>
      <c r="M156" s="41">
        <f>tScores4[[#This Row],[Raw_Rating_Text]]</f>
        <v>0</v>
      </c>
      <c r="N156" s="38"/>
    </row>
    <row r="157" spans="1:14" x14ac:dyDescent="0.2">
      <c r="A157" s="34" t="s">
        <v>14</v>
      </c>
      <c r="B157" s="34" t="s">
        <v>1</v>
      </c>
      <c r="C157" s="34" t="s">
        <v>54</v>
      </c>
      <c r="D157" s="34" t="s">
        <v>5</v>
      </c>
      <c r="E157" s="34" t="s">
        <v>106</v>
      </c>
      <c r="F157" s="34" t="s">
        <v>51</v>
      </c>
      <c r="G157" s="34">
        <v>10</v>
      </c>
      <c r="H157" s="34" t="s">
        <v>18</v>
      </c>
      <c r="I157" s="34" t="s">
        <v>27</v>
      </c>
      <c r="J157" s="34">
        <v>0</v>
      </c>
      <c r="K157" s="35">
        <f>VLOOKUP(I157,'Weights and Confidence'!$D$16:$AC$26,5,FALSE)/COUNTIFS($B:$B,$B157,$C:$C,$C157,$H:$H,$H157,$I:$I,$I157)</f>
        <v>0.05</v>
      </c>
      <c r="L157" s="36">
        <f>VLOOKUP(I157,'Weights and Confidence'!$D$16:$AC$26,6,FALSE)</f>
        <v>0.85</v>
      </c>
      <c r="M157" s="37">
        <f>tScores4[[#This Row],[Raw_Rating_Text]]</f>
        <v>0</v>
      </c>
      <c r="N157" s="34"/>
    </row>
    <row r="158" spans="1:14" x14ac:dyDescent="0.2">
      <c r="A158" s="38" t="s">
        <v>14</v>
      </c>
      <c r="B158" s="38" t="s">
        <v>1</v>
      </c>
      <c r="C158" s="38" t="s">
        <v>54</v>
      </c>
      <c r="D158" s="38" t="s">
        <v>5</v>
      </c>
      <c r="E158" s="38" t="s">
        <v>106</v>
      </c>
      <c r="F158" s="38" t="s">
        <v>51</v>
      </c>
      <c r="G158" s="38">
        <v>11</v>
      </c>
      <c r="H158" s="38" t="s">
        <v>17</v>
      </c>
      <c r="I158" s="38" t="s">
        <v>28</v>
      </c>
      <c r="J158" s="38">
        <v>-1</v>
      </c>
      <c r="K158" s="39">
        <f>VLOOKUP(I158,'Weights and Confidence'!$D$16:$AC$26,5,FALSE)/COUNTIFS($B:$B,$B158,$C:$C,$C158,$H:$H,$H158,$I:$I,$I158)</f>
        <v>0.05</v>
      </c>
      <c r="L158" s="40">
        <f>VLOOKUP(I158,'Weights and Confidence'!$D$16:$AC$26,6,FALSE)</f>
        <v>1</v>
      </c>
      <c r="M158" s="41">
        <f>tScores4[[#This Row],[Raw_Rating_Text]]</f>
        <v>-1</v>
      </c>
      <c r="N158" s="38"/>
    </row>
    <row r="159" spans="1:14" ht="17" thickBot="1" x14ac:dyDescent="0.25">
      <c r="A159" s="34" t="s">
        <v>14</v>
      </c>
      <c r="B159" s="34" t="s">
        <v>1</v>
      </c>
      <c r="C159" s="34" t="s">
        <v>54</v>
      </c>
      <c r="D159" s="34" t="s">
        <v>5</v>
      </c>
      <c r="E159" s="34" t="s">
        <v>106</v>
      </c>
      <c r="F159" s="34" t="s">
        <v>51</v>
      </c>
      <c r="G159" s="34">
        <v>11</v>
      </c>
      <c r="H159" s="34" t="s">
        <v>18</v>
      </c>
      <c r="I159" s="34" t="s">
        <v>28</v>
      </c>
      <c r="J159" s="34">
        <v>-1</v>
      </c>
      <c r="K159" s="35">
        <f>VLOOKUP(I159,'Weights and Confidence'!$D$16:$AC$26,5,FALSE)/COUNTIFS($B:$B,$B159,$C:$C,$C159,$H:$H,$H159,$I:$I,$I159)</f>
        <v>0.05</v>
      </c>
      <c r="L159" s="36">
        <f>VLOOKUP(I159,'Weights and Confidence'!$D$16:$AC$26,6,FALSE)</f>
        <v>1</v>
      </c>
      <c r="M159" s="37">
        <f>tScores4[[#This Row],[Raw_Rating_Text]]</f>
        <v>-1</v>
      </c>
      <c r="N159" s="34"/>
    </row>
    <row r="160" spans="1:14" ht="17" thickTop="1" x14ac:dyDescent="0.2">
      <c r="A160" s="42" t="s">
        <v>14</v>
      </c>
      <c r="B160" s="42" t="s">
        <v>1</v>
      </c>
      <c r="C160" s="42" t="s">
        <v>55</v>
      </c>
      <c r="D160" s="42" t="s">
        <v>5</v>
      </c>
      <c r="E160" s="43" t="s">
        <v>107</v>
      </c>
      <c r="F160" s="43" t="s">
        <v>56</v>
      </c>
      <c r="G160" s="42">
        <v>1</v>
      </c>
      <c r="H160" s="42" t="s">
        <v>17</v>
      </c>
      <c r="I160" s="42" t="s">
        <v>19</v>
      </c>
      <c r="J160" s="42">
        <v>1</v>
      </c>
      <c r="K160" s="44">
        <f>VLOOKUP(I160,'Weights and Confidence'!$D$16:$AC$26,5,FALSE)/COUNTIFS($B:$B,$B160,$C:$C,$C160,$H:$H,$H160,$I:$I,$I160)</f>
        <v>0.12</v>
      </c>
      <c r="L160" s="45">
        <f>VLOOKUP(I160,'Weights and Confidence'!$D$16:$AC$26,6,FALSE)</f>
        <v>1</v>
      </c>
      <c r="M160" s="46">
        <f>tScores4[[#This Row],[Raw_Rating_Text]]</f>
        <v>1</v>
      </c>
      <c r="N160" s="42"/>
    </row>
    <row r="161" spans="1:14" x14ac:dyDescent="0.2">
      <c r="A161" s="34" t="s">
        <v>14</v>
      </c>
      <c r="B161" s="34" t="s">
        <v>1</v>
      </c>
      <c r="C161" s="34" t="s">
        <v>55</v>
      </c>
      <c r="D161" s="34" t="s">
        <v>5</v>
      </c>
      <c r="E161" s="34" t="s">
        <v>107</v>
      </c>
      <c r="F161" s="34" t="s">
        <v>56</v>
      </c>
      <c r="G161" s="34">
        <v>1</v>
      </c>
      <c r="H161" s="34" t="s">
        <v>18</v>
      </c>
      <c r="I161" s="34" t="s">
        <v>19</v>
      </c>
      <c r="J161" s="34">
        <v>1</v>
      </c>
      <c r="K161" s="35">
        <f>VLOOKUP(I161,'Weights and Confidence'!$D$16:$AC$26,5,FALSE)/COUNTIFS($B:$B,$B161,$C:$C,$C161,$H:$H,$H161,$I:$I,$I161)</f>
        <v>0.12</v>
      </c>
      <c r="L161" s="36">
        <f>VLOOKUP(I161,'Weights and Confidence'!$D$16:$AC$26,6,FALSE)</f>
        <v>1</v>
      </c>
      <c r="M161" s="37">
        <f>tScores4[[#This Row],[Raw_Rating_Text]]</f>
        <v>1</v>
      </c>
      <c r="N161" s="34"/>
    </row>
    <row r="162" spans="1:14" x14ac:dyDescent="0.2">
      <c r="A162" s="38" t="s">
        <v>14</v>
      </c>
      <c r="B162" s="38" t="s">
        <v>1</v>
      </c>
      <c r="C162" s="38" t="s">
        <v>55</v>
      </c>
      <c r="D162" s="38" t="s">
        <v>5</v>
      </c>
      <c r="E162" s="38" t="s">
        <v>107</v>
      </c>
      <c r="F162" s="38" t="s">
        <v>56</v>
      </c>
      <c r="G162" s="38">
        <v>2</v>
      </c>
      <c r="H162" s="38" t="s">
        <v>17</v>
      </c>
      <c r="I162" s="38" t="s">
        <v>20</v>
      </c>
      <c r="J162" s="38">
        <v>1</v>
      </c>
      <c r="K162" s="39">
        <f>VLOOKUP(I162,'Weights and Confidence'!$D$16:$AC$26,5,FALSE)/COUNTIFS($B:$B,$B162,$C:$C,$C162,$H:$H,$H162,$I:$I,$I162)</f>
        <v>0.08</v>
      </c>
      <c r="L162" s="40">
        <f>VLOOKUP(I162,'Weights and Confidence'!$D$16:$AC$26,6,FALSE)</f>
        <v>0.8</v>
      </c>
      <c r="M162" s="41">
        <f>tScores4[[#This Row],[Raw_Rating_Text]]</f>
        <v>1</v>
      </c>
      <c r="N162" s="38"/>
    </row>
    <row r="163" spans="1:14" x14ac:dyDescent="0.2">
      <c r="A163" s="34" t="s">
        <v>14</v>
      </c>
      <c r="B163" s="34" t="s">
        <v>1</v>
      </c>
      <c r="C163" s="34" t="s">
        <v>55</v>
      </c>
      <c r="D163" s="34" t="s">
        <v>5</v>
      </c>
      <c r="E163" s="34" t="s">
        <v>107</v>
      </c>
      <c r="F163" s="34" t="s">
        <v>56</v>
      </c>
      <c r="G163" s="34">
        <v>2</v>
      </c>
      <c r="H163" s="34" t="s">
        <v>18</v>
      </c>
      <c r="I163" s="34" t="s">
        <v>20</v>
      </c>
      <c r="J163" s="34">
        <v>1</v>
      </c>
      <c r="K163" s="35">
        <f>VLOOKUP(I163,'Weights and Confidence'!$D$16:$AC$26,5,FALSE)/COUNTIFS($B:$B,$B163,$C:$C,$C163,$H:$H,$H163,$I:$I,$I163)</f>
        <v>0.08</v>
      </c>
      <c r="L163" s="36">
        <f>VLOOKUP(I163,'Weights and Confidence'!$D$16:$AC$26,6,FALSE)</f>
        <v>0.8</v>
      </c>
      <c r="M163" s="37">
        <f>tScores4[[#This Row],[Raw_Rating_Text]]</f>
        <v>1</v>
      </c>
      <c r="N163" s="34"/>
    </row>
    <row r="164" spans="1:14" x14ac:dyDescent="0.2">
      <c r="A164" s="38" t="s">
        <v>14</v>
      </c>
      <c r="B164" s="38" t="s">
        <v>1</v>
      </c>
      <c r="C164" s="38" t="s">
        <v>55</v>
      </c>
      <c r="D164" s="38" t="s">
        <v>5</v>
      </c>
      <c r="E164" s="38" t="s">
        <v>107</v>
      </c>
      <c r="F164" s="38" t="s">
        <v>56</v>
      </c>
      <c r="G164" s="38">
        <v>3</v>
      </c>
      <c r="H164" s="38" t="s">
        <v>17</v>
      </c>
      <c r="I164" s="38" t="s">
        <v>21</v>
      </c>
      <c r="J164" s="38">
        <v>1</v>
      </c>
      <c r="K164" s="39">
        <f>VLOOKUP(I164,'Weights and Confidence'!$D$16:$AC$26,5,FALSE)/COUNTIFS($B:$B,$B164,$C:$C,$C164,$H:$H,$H164,$I:$I,$I164)</f>
        <v>0.05</v>
      </c>
      <c r="L164" s="40">
        <f>VLOOKUP(I164,'Weights and Confidence'!$D$16:$AC$26,6,FALSE)</f>
        <v>1</v>
      </c>
      <c r="M164" s="41">
        <f>tScores4[[#This Row],[Raw_Rating_Text]]</f>
        <v>1</v>
      </c>
      <c r="N164" s="38"/>
    </row>
    <row r="165" spans="1:14" x14ac:dyDescent="0.2">
      <c r="A165" s="34" t="s">
        <v>14</v>
      </c>
      <c r="B165" s="34" t="s">
        <v>1</v>
      </c>
      <c r="C165" s="34" t="s">
        <v>55</v>
      </c>
      <c r="D165" s="34" t="s">
        <v>5</v>
      </c>
      <c r="E165" s="34" t="s">
        <v>107</v>
      </c>
      <c r="F165" s="34" t="s">
        <v>56</v>
      </c>
      <c r="G165" s="34">
        <v>3</v>
      </c>
      <c r="H165" s="34" t="s">
        <v>18</v>
      </c>
      <c r="I165" s="34" t="s">
        <v>21</v>
      </c>
      <c r="J165" s="34">
        <v>1</v>
      </c>
      <c r="K165" s="35">
        <f>VLOOKUP(I165,'Weights and Confidence'!$D$16:$AC$26,5,FALSE)/COUNTIFS($B:$B,$B165,$C:$C,$C165,$H:$H,$H165,$I:$I,$I165)</f>
        <v>0.05</v>
      </c>
      <c r="L165" s="36">
        <f>VLOOKUP(I165,'Weights and Confidence'!$D$16:$AC$26,6,FALSE)</f>
        <v>1</v>
      </c>
      <c r="M165" s="37">
        <f>tScores4[[#This Row],[Raw_Rating_Text]]</f>
        <v>1</v>
      </c>
      <c r="N165" s="34"/>
    </row>
    <row r="166" spans="1:14" x14ac:dyDescent="0.2">
      <c r="A166" s="38" t="s">
        <v>14</v>
      </c>
      <c r="B166" s="38" t="s">
        <v>1</v>
      </c>
      <c r="C166" s="38" t="s">
        <v>55</v>
      </c>
      <c r="D166" s="38" t="s">
        <v>5</v>
      </c>
      <c r="E166" s="38" t="s">
        <v>107</v>
      </c>
      <c r="F166" s="38" t="s">
        <v>56</v>
      </c>
      <c r="G166" s="38">
        <v>4</v>
      </c>
      <c r="H166" s="38" t="s">
        <v>17</v>
      </c>
      <c r="I166" s="38" t="s">
        <v>22</v>
      </c>
      <c r="J166" s="38">
        <v>1</v>
      </c>
      <c r="K166" s="39">
        <f>VLOOKUP(I166,'Weights and Confidence'!$D$16:$AC$26,5,FALSE)/COUNTIFS($B:$B,$B166,$C:$C,$C166,$H:$H,$H166,$I:$I,$I166)</f>
        <v>0.14000000000000001</v>
      </c>
      <c r="L166" s="40">
        <f>VLOOKUP(I166,'Weights and Confidence'!$D$16:$AC$26,6,FALSE)</f>
        <v>1</v>
      </c>
      <c r="M166" s="41">
        <f>tScores4[[#This Row],[Raw_Rating_Text]]</f>
        <v>1</v>
      </c>
      <c r="N166" s="38"/>
    </row>
    <row r="167" spans="1:14" x14ac:dyDescent="0.2">
      <c r="A167" s="34" t="s">
        <v>14</v>
      </c>
      <c r="B167" s="34" t="s">
        <v>1</v>
      </c>
      <c r="C167" s="34" t="s">
        <v>55</v>
      </c>
      <c r="D167" s="34" t="s">
        <v>5</v>
      </c>
      <c r="E167" s="34" t="s">
        <v>107</v>
      </c>
      <c r="F167" s="34" t="s">
        <v>56</v>
      </c>
      <c r="G167" s="34">
        <v>4</v>
      </c>
      <c r="H167" s="34" t="s">
        <v>18</v>
      </c>
      <c r="I167" s="34" t="s">
        <v>22</v>
      </c>
      <c r="J167" s="34">
        <v>1</v>
      </c>
      <c r="K167" s="35">
        <f>VLOOKUP(I167,'Weights and Confidence'!$D$16:$AC$26,5,FALSE)/COUNTIFS($B:$B,$B167,$C:$C,$C167,$H:$H,$H167,$I:$I,$I167)</f>
        <v>0.14000000000000001</v>
      </c>
      <c r="L167" s="36">
        <f>VLOOKUP(I167,'Weights and Confidence'!$D$16:$AC$26,6,FALSE)</f>
        <v>1</v>
      </c>
      <c r="M167" s="37">
        <f>tScores4[[#This Row],[Raw_Rating_Text]]</f>
        <v>1</v>
      </c>
      <c r="N167" s="34"/>
    </row>
    <row r="168" spans="1:14" x14ac:dyDescent="0.2">
      <c r="A168" s="38" t="s">
        <v>14</v>
      </c>
      <c r="B168" s="38" t="s">
        <v>1</v>
      </c>
      <c r="C168" s="38" t="s">
        <v>55</v>
      </c>
      <c r="D168" s="38" t="s">
        <v>5</v>
      </c>
      <c r="E168" s="38" t="s">
        <v>107</v>
      </c>
      <c r="F168" s="38" t="s">
        <v>56</v>
      </c>
      <c r="G168" s="38">
        <v>5</v>
      </c>
      <c r="H168" s="38" t="s">
        <v>17</v>
      </c>
      <c r="I168" s="38" t="s">
        <v>23</v>
      </c>
      <c r="J168" s="38">
        <v>1</v>
      </c>
      <c r="K168" s="39">
        <f>VLOOKUP(I168,'Weights and Confidence'!$D$16:$AC$26,5,FALSE)/COUNTIFS($B:$B,$B168,$C:$C,$C168,$H:$H,$H168,$I:$I,$I168)</f>
        <v>0.11</v>
      </c>
      <c r="L168" s="40">
        <f>VLOOKUP(I168,'Weights and Confidence'!$D$16:$AC$26,6,FALSE)</f>
        <v>1</v>
      </c>
      <c r="M168" s="41">
        <f>tScores4[[#This Row],[Raw_Rating_Text]]</f>
        <v>1</v>
      </c>
      <c r="N168" s="38"/>
    </row>
    <row r="169" spans="1:14" x14ac:dyDescent="0.2">
      <c r="A169" s="34" t="s">
        <v>14</v>
      </c>
      <c r="B169" s="34" t="s">
        <v>1</v>
      </c>
      <c r="C169" s="34" t="s">
        <v>55</v>
      </c>
      <c r="D169" s="34" t="s">
        <v>5</v>
      </c>
      <c r="E169" s="34" t="s">
        <v>107</v>
      </c>
      <c r="F169" s="34" t="s">
        <v>56</v>
      </c>
      <c r="G169" s="34">
        <v>5</v>
      </c>
      <c r="H169" s="34" t="s">
        <v>18</v>
      </c>
      <c r="I169" s="34" t="s">
        <v>23</v>
      </c>
      <c r="J169" s="34">
        <v>1</v>
      </c>
      <c r="K169" s="35">
        <f>VLOOKUP(I169,'Weights and Confidence'!$D$16:$AC$26,5,FALSE)/COUNTIFS($B:$B,$B169,$C:$C,$C169,$H:$H,$H169,$I:$I,$I169)</f>
        <v>0.11</v>
      </c>
      <c r="L169" s="36">
        <f>VLOOKUP(I169,'Weights and Confidence'!$D$16:$AC$26,6,FALSE)</f>
        <v>1</v>
      </c>
      <c r="M169" s="37">
        <f>tScores4[[#This Row],[Raw_Rating_Text]]</f>
        <v>1</v>
      </c>
      <c r="N169" s="34"/>
    </row>
    <row r="170" spans="1:14" x14ac:dyDescent="0.2">
      <c r="A170" s="38" t="s">
        <v>14</v>
      </c>
      <c r="B170" s="38" t="s">
        <v>1</v>
      </c>
      <c r="C170" s="38" t="s">
        <v>55</v>
      </c>
      <c r="D170" s="38" t="s">
        <v>5</v>
      </c>
      <c r="E170" s="38" t="s">
        <v>107</v>
      </c>
      <c r="F170" s="38" t="s">
        <v>56</v>
      </c>
      <c r="G170" s="38">
        <v>6</v>
      </c>
      <c r="H170" s="38" t="s">
        <v>17</v>
      </c>
      <c r="I170" s="38" t="s">
        <v>24</v>
      </c>
      <c r="J170" s="38">
        <v>1</v>
      </c>
      <c r="K170" s="39">
        <f>VLOOKUP(I170,'Weights and Confidence'!$D$16:$AC$26,5,FALSE)/COUNTIFS($B:$B,$B170,$C:$C,$C170,$H:$H,$H170,$I:$I,$I170)</f>
        <v>0.15</v>
      </c>
      <c r="L170" s="40">
        <f>VLOOKUP(I170,'Weights and Confidence'!$D$16:$AC$26,6,FALSE)</f>
        <v>1</v>
      </c>
      <c r="M170" s="41">
        <f>tScores4[[#This Row],[Raw_Rating_Text]]</f>
        <v>1</v>
      </c>
      <c r="N170" s="38"/>
    </row>
    <row r="171" spans="1:14" x14ac:dyDescent="0.2">
      <c r="A171" s="34" t="s">
        <v>14</v>
      </c>
      <c r="B171" s="34" t="s">
        <v>1</v>
      </c>
      <c r="C171" s="34" t="s">
        <v>55</v>
      </c>
      <c r="D171" s="34" t="s">
        <v>5</v>
      </c>
      <c r="E171" s="34" t="s">
        <v>107</v>
      </c>
      <c r="F171" s="34" t="s">
        <v>56</v>
      </c>
      <c r="G171" s="34">
        <v>6</v>
      </c>
      <c r="H171" s="34" t="s">
        <v>18</v>
      </c>
      <c r="I171" s="34" t="s">
        <v>24</v>
      </c>
      <c r="J171" s="34">
        <v>1</v>
      </c>
      <c r="K171" s="35">
        <f>VLOOKUP(I171,'Weights and Confidence'!$D$16:$AC$26,5,FALSE)/COUNTIFS($B:$B,$B171,$C:$C,$C171,$H:$H,$H171,$I:$I,$I171)</f>
        <v>0.15</v>
      </c>
      <c r="L171" s="36">
        <f>VLOOKUP(I171,'Weights and Confidence'!$D$16:$AC$26,6,FALSE)</f>
        <v>1</v>
      </c>
      <c r="M171" s="37">
        <f>tScores4[[#This Row],[Raw_Rating_Text]]</f>
        <v>1</v>
      </c>
      <c r="N171" s="34"/>
    </row>
    <row r="172" spans="1:14" x14ac:dyDescent="0.2">
      <c r="A172" s="38" t="s">
        <v>14</v>
      </c>
      <c r="B172" s="38" t="s">
        <v>1</v>
      </c>
      <c r="C172" s="38" t="s">
        <v>55</v>
      </c>
      <c r="D172" s="38" t="s">
        <v>5</v>
      </c>
      <c r="E172" s="38" t="s">
        <v>107</v>
      </c>
      <c r="F172" s="38" t="s">
        <v>56</v>
      </c>
      <c r="G172" s="38">
        <v>7</v>
      </c>
      <c r="H172" s="38" t="s">
        <v>17</v>
      </c>
      <c r="I172" s="38" t="s">
        <v>25</v>
      </c>
      <c r="J172" s="38">
        <v>1</v>
      </c>
      <c r="K172" s="39">
        <f>VLOOKUP(I172,'Weights and Confidence'!$D$16:$AC$26,5,FALSE)/COUNTIFS($B:$B,$B172,$C:$C,$C172,$H:$H,$H172,$I:$I,$I172)</f>
        <v>0.1</v>
      </c>
      <c r="L172" s="40">
        <f>VLOOKUP(I172,'Weights and Confidence'!$D$16:$AC$26,6,FALSE)</f>
        <v>1</v>
      </c>
      <c r="M172" s="41">
        <f>tScores4[[#This Row],[Raw_Rating_Text]]</f>
        <v>1</v>
      </c>
      <c r="N172" s="38"/>
    </row>
    <row r="173" spans="1:14" x14ac:dyDescent="0.2">
      <c r="A173" s="34" t="s">
        <v>14</v>
      </c>
      <c r="B173" s="34" t="s">
        <v>1</v>
      </c>
      <c r="C173" s="34" t="s">
        <v>55</v>
      </c>
      <c r="D173" s="34" t="s">
        <v>5</v>
      </c>
      <c r="E173" s="34" t="s">
        <v>107</v>
      </c>
      <c r="F173" s="34" t="s">
        <v>56</v>
      </c>
      <c r="G173" s="34">
        <v>7</v>
      </c>
      <c r="H173" s="34" t="s">
        <v>18</v>
      </c>
      <c r="I173" s="34" t="s">
        <v>25</v>
      </c>
      <c r="J173" s="34">
        <v>1</v>
      </c>
      <c r="K173" s="35">
        <f>VLOOKUP(I173,'Weights and Confidence'!$D$16:$AC$26,5,FALSE)/COUNTIFS($B:$B,$B173,$C:$C,$C173,$H:$H,$H173,$I:$I,$I173)</f>
        <v>0.1</v>
      </c>
      <c r="L173" s="36">
        <f>VLOOKUP(I173,'Weights and Confidence'!$D$16:$AC$26,6,FALSE)</f>
        <v>1</v>
      </c>
      <c r="M173" s="37">
        <f>tScores4[[#This Row],[Raw_Rating_Text]]</f>
        <v>1</v>
      </c>
      <c r="N173" s="34"/>
    </row>
    <row r="174" spans="1:14" x14ac:dyDescent="0.2">
      <c r="A174" s="38" t="s">
        <v>14</v>
      </c>
      <c r="B174" s="38" t="s">
        <v>1</v>
      </c>
      <c r="C174" s="38" t="s">
        <v>55</v>
      </c>
      <c r="D174" s="38" t="s">
        <v>5</v>
      </c>
      <c r="E174" s="38" t="s">
        <v>107</v>
      </c>
      <c r="F174" s="38" t="s">
        <v>56</v>
      </c>
      <c r="G174" s="38">
        <v>8</v>
      </c>
      <c r="H174" s="38" t="s">
        <v>17</v>
      </c>
      <c r="I174" s="38" t="s">
        <v>26</v>
      </c>
      <c r="J174" s="38">
        <v>1</v>
      </c>
      <c r="K174" s="39">
        <f>VLOOKUP(I174,'Weights and Confidence'!$D$16:$AC$26,5,FALSE)/COUNTIFS($B:$B,$B174,$C:$C,$C174,$H:$H,$H174,$I:$I,$I174)</f>
        <v>0.1</v>
      </c>
      <c r="L174" s="40">
        <f>VLOOKUP(I174,'Weights and Confidence'!$D$16:$AC$26,6,FALSE)</f>
        <v>1</v>
      </c>
      <c r="M174" s="41">
        <f>tScores4[[#This Row],[Raw_Rating_Text]]</f>
        <v>1</v>
      </c>
      <c r="N174" s="38"/>
    </row>
    <row r="175" spans="1:14" x14ac:dyDescent="0.2">
      <c r="A175" s="34" t="s">
        <v>14</v>
      </c>
      <c r="B175" s="34" t="s">
        <v>1</v>
      </c>
      <c r="C175" s="34" t="s">
        <v>55</v>
      </c>
      <c r="D175" s="34" t="s">
        <v>5</v>
      </c>
      <c r="E175" s="34" t="s">
        <v>107</v>
      </c>
      <c r="F175" s="34" t="s">
        <v>56</v>
      </c>
      <c r="G175" s="34">
        <v>8</v>
      </c>
      <c r="H175" s="34" t="s">
        <v>18</v>
      </c>
      <c r="I175" s="34" t="s">
        <v>26</v>
      </c>
      <c r="J175" s="34">
        <v>1</v>
      </c>
      <c r="K175" s="35">
        <f>VLOOKUP(I175,'Weights and Confidence'!$D$16:$AC$26,5,FALSE)/COUNTIFS($B:$B,$B175,$C:$C,$C175,$H:$H,$H175,$I:$I,$I175)</f>
        <v>0.1</v>
      </c>
      <c r="L175" s="36">
        <f>VLOOKUP(I175,'Weights and Confidence'!$D$16:$AC$26,6,FALSE)</f>
        <v>1</v>
      </c>
      <c r="M175" s="37">
        <f>tScores4[[#This Row],[Raw_Rating_Text]]</f>
        <v>1</v>
      </c>
      <c r="N175" s="34"/>
    </row>
    <row r="176" spans="1:14" x14ac:dyDescent="0.2">
      <c r="A176" s="38" t="s">
        <v>14</v>
      </c>
      <c r="B176" s="38" t="s">
        <v>1</v>
      </c>
      <c r="C176" s="38" t="s">
        <v>55</v>
      </c>
      <c r="D176" s="38" t="s">
        <v>5</v>
      </c>
      <c r="E176" s="38" t="s">
        <v>107</v>
      </c>
      <c r="F176" s="38" t="s">
        <v>56</v>
      </c>
      <c r="G176" s="38">
        <v>9</v>
      </c>
      <c r="H176" s="38" t="s">
        <v>17</v>
      </c>
      <c r="I176" s="38" t="s">
        <v>27</v>
      </c>
      <c r="J176" s="38">
        <v>1</v>
      </c>
      <c r="K176" s="39">
        <f>VLOOKUP(I176,'Weights and Confidence'!$D$16:$AC$26,5,FALSE)/COUNTIFS($B:$B,$B176,$C:$C,$C176,$H:$H,$H176,$I:$I,$I176)</f>
        <v>0.05</v>
      </c>
      <c r="L176" s="40">
        <f>VLOOKUP(I176,'Weights and Confidence'!$D$16:$AC$26,6,FALSE)</f>
        <v>0.85</v>
      </c>
      <c r="M176" s="41">
        <f>tScores4[[#This Row],[Raw_Rating_Text]]</f>
        <v>1</v>
      </c>
      <c r="N176" s="38"/>
    </row>
    <row r="177" spans="1:14" x14ac:dyDescent="0.2">
      <c r="A177" s="34" t="s">
        <v>14</v>
      </c>
      <c r="B177" s="34" t="s">
        <v>1</v>
      </c>
      <c r="C177" s="34" t="s">
        <v>55</v>
      </c>
      <c r="D177" s="34" t="s">
        <v>5</v>
      </c>
      <c r="E177" s="34" t="s">
        <v>107</v>
      </c>
      <c r="F177" s="34" t="s">
        <v>56</v>
      </c>
      <c r="G177" s="34">
        <v>9</v>
      </c>
      <c r="H177" s="34" t="s">
        <v>18</v>
      </c>
      <c r="I177" s="34" t="s">
        <v>27</v>
      </c>
      <c r="J177" s="34">
        <v>1</v>
      </c>
      <c r="K177" s="35">
        <f>VLOOKUP(I177,'Weights and Confidence'!$D$16:$AC$26,5,FALSE)/COUNTIFS($B:$B,$B177,$C:$C,$C177,$H:$H,$H177,$I:$I,$I177)</f>
        <v>0.05</v>
      </c>
      <c r="L177" s="36">
        <f>VLOOKUP(I177,'Weights and Confidence'!$D$16:$AC$26,6,FALSE)</f>
        <v>0.85</v>
      </c>
      <c r="M177" s="37">
        <f>tScores4[[#This Row],[Raw_Rating_Text]]</f>
        <v>1</v>
      </c>
      <c r="N177" s="34"/>
    </row>
    <row r="178" spans="1:14" x14ac:dyDescent="0.2">
      <c r="A178" s="38" t="s">
        <v>14</v>
      </c>
      <c r="B178" s="38" t="s">
        <v>1</v>
      </c>
      <c r="C178" s="38" t="s">
        <v>55</v>
      </c>
      <c r="D178" s="38" t="s">
        <v>5</v>
      </c>
      <c r="E178" s="38" t="s">
        <v>107</v>
      </c>
      <c r="F178" s="38" t="s">
        <v>56</v>
      </c>
      <c r="G178" s="38">
        <v>10</v>
      </c>
      <c r="H178" s="38" t="s">
        <v>17</v>
      </c>
      <c r="I178" s="38" t="s">
        <v>27</v>
      </c>
      <c r="J178" s="38">
        <v>1</v>
      </c>
      <c r="K178" s="39">
        <f>VLOOKUP(I178,'Weights and Confidence'!$D$16:$AC$26,5,FALSE)/COUNTIFS($B:$B,$B178,$C:$C,$C178,$H:$H,$H178,$I:$I,$I178)</f>
        <v>0.05</v>
      </c>
      <c r="L178" s="40">
        <f>VLOOKUP(I178,'Weights and Confidence'!$D$16:$AC$26,6,FALSE)</f>
        <v>0.85</v>
      </c>
      <c r="M178" s="41">
        <f>tScores4[[#This Row],[Raw_Rating_Text]]</f>
        <v>1</v>
      </c>
      <c r="N178" s="38"/>
    </row>
    <row r="179" spans="1:14" x14ac:dyDescent="0.2">
      <c r="A179" s="34" t="s">
        <v>14</v>
      </c>
      <c r="B179" s="34" t="s">
        <v>1</v>
      </c>
      <c r="C179" s="34" t="s">
        <v>55</v>
      </c>
      <c r="D179" s="34" t="s">
        <v>5</v>
      </c>
      <c r="E179" s="34" t="s">
        <v>107</v>
      </c>
      <c r="F179" s="34" t="s">
        <v>56</v>
      </c>
      <c r="G179" s="34">
        <v>10</v>
      </c>
      <c r="H179" s="34" t="s">
        <v>18</v>
      </c>
      <c r="I179" s="34" t="s">
        <v>27</v>
      </c>
      <c r="J179" s="34">
        <v>1</v>
      </c>
      <c r="K179" s="35">
        <f>VLOOKUP(I179,'Weights and Confidence'!$D$16:$AC$26,5,FALSE)/COUNTIFS($B:$B,$B179,$C:$C,$C179,$H:$H,$H179,$I:$I,$I179)</f>
        <v>0.05</v>
      </c>
      <c r="L179" s="36">
        <f>VLOOKUP(I179,'Weights and Confidence'!$D$16:$AC$26,6,FALSE)</f>
        <v>0.85</v>
      </c>
      <c r="M179" s="37">
        <f>tScores4[[#This Row],[Raw_Rating_Text]]</f>
        <v>1</v>
      </c>
      <c r="N179" s="34"/>
    </row>
    <row r="180" spans="1:14" x14ac:dyDescent="0.2">
      <c r="A180" s="38" t="s">
        <v>14</v>
      </c>
      <c r="B180" s="38" t="s">
        <v>1</v>
      </c>
      <c r="C180" s="38" t="s">
        <v>55</v>
      </c>
      <c r="D180" s="38" t="s">
        <v>5</v>
      </c>
      <c r="E180" s="38" t="s">
        <v>107</v>
      </c>
      <c r="F180" s="38" t="s">
        <v>56</v>
      </c>
      <c r="G180" s="38">
        <v>11</v>
      </c>
      <c r="H180" s="38" t="s">
        <v>17</v>
      </c>
      <c r="I180" s="38" t="s">
        <v>28</v>
      </c>
      <c r="J180" s="38">
        <v>1</v>
      </c>
      <c r="K180" s="39">
        <f>VLOOKUP(I180,'Weights and Confidence'!$D$16:$AC$26,5,FALSE)/COUNTIFS($B:$B,$B180,$C:$C,$C180,$H:$H,$H180,$I:$I,$I180)</f>
        <v>0.05</v>
      </c>
      <c r="L180" s="40">
        <f>VLOOKUP(I180,'Weights and Confidence'!$D$16:$AC$26,6,FALSE)</f>
        <v>1</v>
      </c>
      <c r="M180" s="41">
        <f>tScores4[[#This Row],[Raw_Rating_Text]]</f>
        <v>1</v>
      </c>
      <c r="N180" s="38"/>
    </row>
    <row r="181" spans="1:14" ht="17" thickBot="1" x14ac:dyDescent="0.25">
      <c r="A181" s="34" t="s">
        <v>14</v>
      </c>
      <c r="B181" s="34" t="s">
        <v>1</v>
      </c>
      <c r="C181" s="34" t="s">
        <v>55</v>
      </c>
      <c r="D181" s="34" t="s">
        <v>5</v>
      </c>
      <c r="E181" s="34" t="s">
        <v>107</v>
      </c>
      <c r="F181" s="34" t="s">
        <v>56</v>
      </c>
      <c r="G181" s="34">
        <v>11</v>
      </c>
      <c r="H181" s="34" t="s">
        <v>18</v>
      </c>
      <c r="I181" s="34" t="s">
        <v>28</v>
      </c>
      <c r="J181" s="34">
        <v>1</v>
      </c>
      <c r="K181" s="35">
        <f>VLOOKUP(I181,'Weights and Confidence'!$D$16:$AC$26,5,FALSE)/COUNTIFS($B:$B,$B181,$C:$C,$C181,$H:$H,$H181,$I:$I,$I181)</f>
        <v>0.05</v>
      </c>
      <c r="L181" s="36">
        <f>VLOOKUP(I181,'Weights and Confidence'!$D$16:$AC$26,6,FALSE)</f>
        <v>1</v>
      </c>
      <c r="M181" s="37">
        <f>tScores4[[#This Row],[Raw_Rating_Text]]</f>
        <v>1</v>
      </c>
      <c r="N181" s="34"/>
    </row>
    <row r="182" spans="1:14" ht="17" thickTop="1" x14ac:dyDescent="0.2">
      <c r="A182" s="42" t="s">
        <v>14</v>
      </c>
      <c r="B182" s="42" t="s">
        <v>1</v>
      </c>
      <c r="C182" s="42" t="s">
        <v>57</v>
      </c>
      <c r="D182" s="42" t="s">
        <v>5</v>
      </c>
      <c r="E182" s="42" t="s">
        <v>107</v>
      </c>
      <c r="F182" s="43" t="s">
        <v>58</v>
      </c>
      <c r="G182" s="42">
        <v>1</v>
      </c>
      <c r="H182" s="42" t="s">
        <v>17</v>
      </c>
      <c r="I182" s="42" t="s">
        <v>19</v>
      </c>
      <c r="J182" s="42">
        <v>0</v>
      </c>
      <c r="K182" s="44">
        <f>VLOOKUP(I182,'Weights and Confidence'!$D$16:$AC$26,5,FALSE)/COUNTIFS($B:$B,$B182,$C:$C,$C182,$H:$H,$H182,$I:$I,$I182)</f>
        <v>0.12</v>
      </c>
      <c r="L182" s="45">
        <f>VLOOKUP(I182,'Weights and Confidence'!$D$16:$AC$26,6,FALSE)</f>
        <v>1</v>
      </c>
      <c r="M182" s="46">
        <f>tScores4[[#This Row],[Raw_Rating_Text]]</f>
        <v>0</v>
      </c>
      <c r="N182" s="42"/>
    </row>
    <row r="183" spans="1:14" x14ac:dyDescent="0.2">
      <c r="A183" s="34" t="s">
        <v>14</v>
      </c>
      <c r="B183" s="34" t="s">
        <v>1</v>
      </c>
      <c r="C183" s="34" t="s">
        <v>57</v>
      </c>
      <c r="D183" s="34" t="s">
        <v>5</v>
      </c>
      <c r="E183" s="34" t="s">
        <v>107</v>
      </c>
      <c r="F183" s="34" t="s">
        <v>58</v>
      </c>
      <c r="G183" s="34">
        <v>1</v>
      </c>
      <c r="H183" s="34" t="s">
        <v>18</v>
      </c>
      <c r="I183" s="34" t="s">
        <v>19</v>
      </c>
      <c r="J183" s="34">
        <v>1</v>
      </c>
      <c r="K183" s="35">
        <f>VLOOKUP(I183,'Weights and Confidence'!$D$16:$AC$26,5,FALSE)/COUNTIFS($B:$B,$B183,$C:$C,$C183,$H:$H,$H183,$I:$I,$I183)</f>
        <v>0.12</v>
      </c>
      <c r="L183" s="36">
        <f>VLOOKUP(I183,'Weights and Confidence'!$D$16:$AC$26,6,FALSE)</f>
        <v>1</v>
      </c>
      <c r="M183" s="37">
        <f>tScores4[[#This Row],[Raw_Rating_Text]]</f>
        <v>1</v>
      </c>
      <c r="N183" s="34"/>
    </row>
    <row r="184" spans="1:14" x14ac:dyDescent="0.2">
      <c r="A184" s="38" t="s">
        <v>14</v>
      </c>
      <c r="B184" s="38" t="s">
        <v>1</v>
      </c>
      <c r="C184" s="38" t="s">
        <v>57</v>
      </c>
      <c r="D184" s="38" t="s">
        <v>5</v>
      </c>
      <c r="E184" s="38" t="s">
        <v>107</v>
      </c>
      <c r="F184" s="38" t="s">
        <v>58</v>
      </c>
      <c r="G184" s="38">
        <v>2</v>
      </c>
      <c r="H184" s="38" t="s">
        <v>17</v>
      </c>
      <c r="I184" s="38" t="s">
        <v>20</v>
      </c>
      <c r="J184" s="38">
        <v>0</v>
      </c>
      <c r="K184" s="39">
        <f>VLOOKUP(I184,'Weights and Confidence'!$D$16:$AC$26,5,FALSE)/COUNTIFS($B:$B,$B184,$C:$C,$C184,$H:$H,$H184,$I:$I,$I184)</f>
        <v>0.08</v>
      </c>
      <c r="L184" s="40">
        <f>VLOOKUP(I184,'Weights and Confidence'!$D$16:$AC$26,6,FALSE)</f>
        <v>0.8</v>
      </c>
      <c r="M184" s="41">
        <f>tScores4[[#This Row],[Raw_Rating_Text]]</f>
        <v>0</v>
      </c>
      <c r="N184" s="38"/>
    </row>
    <row r="185" spans="1:14" x14ac:dyDescent="0.2">
      <c r="A185" s="34" t="s">
        <v>14</v>
      </c>
      <c r="B185" s="34" t="s">
        <v>1</v>
      </c>
      <c r="C185" s="34" t="s">
        <v>57</v>
      </c>
      <c r="D185" s="34" t="s">
        <v>5</v>
      </c>
      <c r="E185" s="34" t="s">
        <v>107</v>
      </c>
      <c r="F185" s="34" t="s">
        <v>58</v>
      </c>
      <c r="G185" s="34">
        <v>2</v>
      </c>
      <c r="H185" s="34" t="s">
        <v>18</v>
      </c>
      <c r="I185" s="34" t="s">
        <v>20</v>
      </c>
      <c r="J185" s="34">
        <v>0</v>
      </c>
      <c r="K185" s="35">
        <f>VLOOKUP(I185,'Weights and Confidence'!$D$16:$AC$26,5,FALSE)/COUNTIFS($B:$B,$B185,$C:$C,$C185,$H:$H,$H185,$I:$I,$I185)</f>
        <v>0.08</v>
      </c>
      <c r="L185" s="36">
        <f>VLOOKUP(I185,'Weights and Confidence'!$D$16:$AC$26,6,FALSE)</f>
        <v>0.8</v>
      </c>
      <c r="M185" s="37">
        <f>tScores4[[#This Row],[Raw_Rating_Text]]</f>
        <v>0</v>
      </c>
      <c r="N185" s="34"/>
    </row>
    <row r="186" spans="1:14" x14ac:dyDescent="0.2">
      <c r="A186" s="38" t="s">
        <v>14</v>
      </c>
      <c r="B186" s="38" t="s">
        <v>1</v>
      </c>
      <c r="C186" s="38" t="s">
        <v>57</v>
      </c>
      <c r="D186" s="38" t="s">
        <v>5</v>
      </c>
      <c r="E186" s="38" t="s">
        <v>107</v>
      </c>
      <c r="F186" s="38" t="s">
        <v>58</v>
      </c>
      <c r="G186" s="38">
        <v>3</v>
      </c>
      <c r="H186" s="38" t="s">
        <v>17</v>
      </c>
      <c r="I186" s="38" t="s">
        <v>21</v>
      </c>
      <c r="J186" s="38">
        <v>0</v>
      </c>
      <c r="K186" s="39">
        <f>VLOOKUP(I186,'Weights and Confidence'!$D$16:$AC$26,5,FALSE)/COUNTIFS($B:$B,$B186,$C:$C,$C186,$H:$H,$H186,$I:$I,$I186)</f>
        <v>0.05</v>
      </c>
      <c r="L186" s="40">
        <f>VLOOKUP(I186,'Weights and Confidence'!$D$16:$AC$26,6,FALSE)</f>
        <v>1</v>
      </c>
      <c r="M186" s="41">
        <f>tScores4[[#This Row],[Raw_Rating_Text]]</f>
        <v>0</v>
      </c>
      <c r="N186" s="38"/>
    </row>
    <row r="187" spans="1:14" x14ac:dyDescent="0.2">
      <c r="A187" s="34" t="s">
        <v>14</v>
      </c>
      <c r="B187" s="34" t="s">
        <v>1</v>
      </c>
      <c r="C187" s="34" t="s">
        <v>57</v>
      </c>
      <c r="D187" s="34" t="s">
        <v>5</v>
      </c>
      <c r="E187" s="34" t="s">
        <v>107</v>
      </c>
      <c r="F187" s="34" t="s">
        <v>58</v>
      </c>
      <c r="G187" s="34">
        <v>3</v>
      </c>
      <c r="H187" s="34" t="s">
        <v>18</v>
      </c>
      <c r="I187" s="34" t="s">
        <v>21</v>
      </c>
      <c r="J187" s="34">
        <v>-1</v>
      </c>
      <c r="K187" s="35">
        <f>VLOOKUP(I187,'Weights and Confidence'!$D$16:$AC$26,5,FALSE)/COUNTIFS($B:$B,$B187,$C:$C,$C187,$H:$H,$H187,$I:$I,$I187)</f>
        <v>0.05</v>
      </c>
      <c r="L187" s="36">
        <f>VLOOKUP(I187,'Weights and Confidence'!$D$16:$AC$26,6,FALSE)</f>
        <v>1</v>
      </c>
      <c r="M187" s="37">
        <f>tScores4[[#This Row],[Raw_Rating_Text]]</f>
        <v>-1</v>
      </c>
      <c r="N187" s="34"/>
    </row>
    <row r="188" spans="1:14" x14ac:dyDescent="0.2">
      <c r="A188" s="38" t="s">
        <v>14</v>
      </c>
      <c r="B188" s="38" t="s">
        <v>1</v>
      </c>
      <c r="C188" s="38" t="s">
        <v>57</v>
      </c>
      <c r="D188" s="38" t="s">
        <v>5</v>
      </c>
      <c r="E188" s="38" t="s">
        <v>107</v>
      </c>
      <c r="F188" s="38" t="s">
        <v>58</v>
      </c>
      <c r="G188" s="38">
        <v>4</v>
      </c>
      <c r="H188" s="38" t="s">
        <v>17</v>
      </c>
      <c r="I188" s="38" t="s">
        <v>22</v>
      </c>
      <c r="J188" s="38">
        <v>-1</v>
      </c>
      <c r="K188" s="39">
        <f>VLOOKUP(I188,'Weights and Confidence'!$D$16:$AC$26,5,FALSE)/COUNTIFS($B:$B,$B188,$C:$C,$C188,$H:$H,$H188,$I:$I,$I188)</f>
        <v>0.14000000000000001</v>
      </c>
      <c r="L188" s="40">
        <f>VLOOKUP(I188,'Weights and Confidence'!$D$16:$AC$26,6,FALSE)</f>
        <v>1</v>
      </c>
      <c r="M188" s="41">
        <f>tScores4[[#This Row],[Raw_Rating_Text]]</f>
        <v>-1</v>
      </c>
      <c r="N188" s="38"/>
    </row>
    <row r="189" spans="1:14" x14ac:dyDescent="0.2">
      <c r="A189" s="34" t="s">
        <v>14</v>
      </c>
      <c r="B189" s="34" t="s">
        <v>1</v>
      </c>
      <c r="C189" s="34" t="s">
        <v>57</v>
      </c>
      <c r="D189" s="34" t="s">
        <v>5</v>
      </c>
      <c r="E189" s="34" t="s">
        <v>107</v>
      </c>
      <c r="F189" s="34" t="s">
        <v>58</v>
      </c>
      <c r="G189" s="34">
        <v>4</v>
      </c>
      <c r="H189" s="34" t="s">
        <v>18</v>
      </c>
      <c r="I189" s="34" t="s">
        <v>22</v>
      </c>
      <c r="J189" s="34">
        <v>-1</v>
      </c>
      <c r="K189" s="35">
        <f>VLOOKUP(I189,'Weights and Confidence'!$D$16:$AC$26,5,FALSE)/COUNTIFS($B:$B,$B189,$C:$C,$C189,$H:$H,$H189,$I:$I,$I189)</f>
        <v>0.14000000000000001</v>
      </c>
      <c r="L189" s="36">
        <f>VLOOKUP(I189,'Weights and Confidence'!$D$16:$AC$26,6,FALSE)</f>
        <v>1</v>
      </c>
      <c r="M189" s="37">
        <f>tScores4[[#This Row],[Raw_Rating_Text]]</f>
        <v>-1</v>
      </c>
      <c r="N189" s="34"/>
    </row>
    <row r="190" spans="1:14" x14ac:dyDescent="0.2">
      <c r="A190" s="38" t="s">
        <v>14</v>
      </c>
      <c r="B190" s="38" t="s">
        <v>1</v>
      </c>
      <c r="C190" s="38" t="s">
        <v>57</v>
      </c>
      <c r="D190" s="38" t="s">
        <v>5</v>
      </c>
      <c r="E190" s="38" t="s">
        <v>107</v>
      </c>
      <c r="F190" s="38" t="s">
        <v>58</v>
      </c>
      <c r="G190" s="38">
        <v>5</v>
      </c>
      <c r="H190" s="38" t="s">
        <v>17</v>
      </c>
      <c r="I190" s="38" t="s">
        <v>23</v>
      </c>
      <c r="J190" s="38">
        <v>0</v>
      </c>
      <c r="K190" s="39">
        <f>VLOOKUP(I190,'Weights and Confidence'!$D$16:$AC$26,5,FALSE)/COUNTIFS($B:$B,$B190,$C:$C,$C190,$H:$H,$H190,$I:$I,$I190)</f>
        <v>0.11</v>
      </c>
      <c r="L190" s="40">
        <f>VLOOKUP(I190,'Weights and Confidence'!$D$16:$AC$26,6,FALSE)</f>
        <v>1</v>
      </c>
      <c r="M190" s="41">
        <f>tScores4[[#This Row],[Raw_Rating_Text]]</f>
        <v>0</v>
      </c>
      <c r="N190" s="38"/>
    </row>
    <row r="191" spans="1:14" x14ac:dyDescent="0.2">
      <c r="A191" s="34" t="s">
        <v>14</v>
      </c>
      <c r="B191" s="34" t="s">
        <v>1</v>
      </c>
      <c r="C191" s="34" t="s">
        <v>57</v>
      </c>
      <c r="D191" s="34" t="s">
        <v>5</v>
      </c>
      <c r="E191" s="34" t="s">
        <v>107</v>
      </c>
      <c r="F191" s="34" t="s">
        <v>58</v>
      </c>
      <c r="G191" s="34">
        <v>5</v>
      </c>
      <c r="H191" s="34" t="s">
        <v>18</v>
      </c>
      <c r="I191" s="34" t="s">
        <v>23</v>
      </c>
      <c r="J191" s="34">
        <v>-1</v>
      </c>
      <c r="K191" s="35">
        <f>VLOOKUP(I191,'Weights and Confidence'!$D$16:$AC$26,5,FALSE)/COUNTIFS($B:$B,$B191,$C:$C,$C191,$H:$H,$H191,$I:$I,$I191)</f>
        <v>0.11</v>
      </c>
      <c r="L191" s="36">
        <f>VLOOKUP(I191,'Weights and Confidence'!$D$16:$AC$26,6,FALSE)</f>
        <v>1</v>
      </c>
      <c r="M191" s="37">
        <f>tScores4[[#This Row],[Raw_Rating_Text]]</f>
        <v>-1</v>
      </c>
      <c r="N191" s="34"/>
    </row>
    <row r="192" spans="1:14" x14ac:dyDescent="0.2">
      <c r="A192" s="38" t="s">
        <v>14</v>
      </c>
      <c r="B192" s="38" t="s">
        <v>1</v>
      </c>
      <c r="C192" s="38" t="s">
        <v>57</v>
      </c>
      <c r="D192" s="38" t="s">
        <v>5</v>
      </c>
      <c r="E192" s="38" t="s">
        <v>107</v>
      </c>
      <c r="F192" s="38" t="s">
        <v>58</v>
      </c>
      <c r="G192" s="38">
        <v>6</v>
      </c>
      <c r="H192" s="38" t="s">
        <v>17</v>
      </c>
      <c r="I192" s="38" t="s">
        <v>24</v>
      </c>
      <c r="J192" s="38">
        <v>-1</v>
      </c>
      <c r="K192" s="39">
        <f>VLOOKUP(I192,'Weights and Confidence'!$D$16:$AC$26,5,FALSE)/COUNTIFS($B:$B,$B192,$C:$C,$C192,$H:$H,$H192,$I:$I,$I192)</f>
        <v>0.15</v>
      </c>
      <c r="L192" s="40">
        <f>VLOOKUP(I192,'Weights and Confidence'!$D$16:$AC$26,6,FALSE)</f>
        <v>1</v>
      </c>
      <c r="M192" s="41">
        <f>tScores4[[#This Row],[Raw_Rating_Text]]</f>
        <v>-1</v>
      </c>
      <c r="N192" s="38"/>
    </row>
    <row r="193" spans="1:14" x14ac:dyDescent="0.2">
      <c r="A193" s="34" t="s">
        <v>14</v>
      </c>
      <c r="B193" s="34" t="s">
        <v>1</v>
      </c>
      <c r="C193" s="34" t="s">
        <v>57</v>
      </c>
      <c r="D193" s="34" t="s">
        <v>5</v>
      </c>
      <c r="E193" s="34" t="s">
        <v>107</v>
      </c>
      <c r="F193" s="34" t="s">
        <v>58</v>
      </c>
      <c r="G193" s="34">
        <v>6</v>
      </c>
      <c r="H193" s="34" t="s">
        <v>18</v>
      </c>
      <c r="I193" s="34" t="s">
        <v>24</v>
      </c>
      <c r="J193" s="34">
        <v>-1</v>
      </c>
      <c r="K193" s="35">
        <f>VLOOKUP(I193,'Weights and Confidence'!$D$16:$AC$26,5,FALSE)/COUNTIFS($B:$B,$B193,$C:$C,$C193,$H:$H,$H193,$I:$I,$I193)</f>
        <v>0.15</v>
      </c>
      <c r="L193" s="36">
        <f>VLOOKUP(I193,'Weights and Confidence'!$D$16:$AC$26,6,FALSE)</f>
        <v>1</v>
      </c>
      <c r="M193" s="37">
        <f>tScores4[[#This Row],[Raw_Rating_Text]]</f>
        <v>-1</v>
      </c>
      <c r="N193" s="34"/>
    </row>
    <row r="194" spans="1:14" x14ac:dyDescent="0.2">
      <c r="A194" s="38" t="s">
        <v>14</v>
      </c>
      <c r="B194" s="38" t="s">
        <v>1</v>
      </c>
      <c r="C194" s="38" t="s">
        <v>57</v>
      </c>
      <c r="D194" s="38" t="s">
        <v>5</v>
      </c>
      <c r="E194" s="38" t="s">
        <v>107</v>
      </c>
      <c r="F194" s="38" t="s">
        <v>58</v>
      </c>
      <c r="G194" s="38">
        <v>7</v>
      </c>
      <c r="H194" s="38" t="s">
        <v>17</v>
      </c>
      <c r="I194" s="38" t="s">
        <v>25</v>
      </c>
      <c r="J194" s="38">
        <v>-1</v>
      </c>
      <c r="K194" s="39">
        <f>VLOOKUP(I194,'Weights and Confidence'!$D$16:$AC$26,5,FALSE)/COUNTIFS($B:$B,$B194,$C:$C,$C194,$H:$H,$H194,$I:$I,$I194)</f>
        <v>0.1</v>
      </c>
      <c r="L194" s="40">
        <f>VLOOKUP(I194,'Weights and Confidence'!$D$16:$AC$26,6,FALSE)</f>
        <v>1</v>
      </c>
      <c r="M194" s="41">
        <f>tScores4[[#This Row],[Raw_Rating_Text]]</f>
        <v>-1</v>
      </c>
      <c r="N194" s="38"/>
    </row>
    <row r="195" spans="1:14" x14ac:dyDescent="0.2">
      <c r="A195" s="34" t="s">
        <v>14</v>
      </c>
      <c r="B195" s="34" t="s">
        <v>1</v>
      </c>
      <c r="C195" s="34" t="s">
        <v>57</v>
      </c>
      <c r="D195" s="34" t="s">
        <v>5</v>
      </c>
      <c r="E195" s="34" t="s">
        <v>107</v>
      </c>
      <c r="F195" s="34" t="s">
        <v>58</v>
      </c>
      <c r="G195" s="34">
        <v>7</v>
      </c>
      <c r="H195" s="34" t="s">
        <v>18</v>
      </c>
      <c r="I195" s="34" t="s">
        <v>25</v>
      </c>
      <c r="J195" s="34">
        <v>-1</v>
      </c>
      <c r="K195" s="35">
        <f>VLOOKUP(I195,'Weights and Confidence'!$D$16:$AC$26,5,FALSE)/COUNTIFS($B:$B,$B195,$C:$C,$C195,$H:$H,$H195,$I:$I,$I195)</f>
        <v>0.1</v>
      </c>
      <c r="L195" s="36">
        <f>VLOOKUP(I195,'Weights and Confidence'!$D$16:$AC$26,6,FALSE)</f>
        <v>1</v>
      </c>
      <c r="M195" s="37">
        <f>tScores4[[#This Row],[Raw_Rating_Text]]</f>
        <v>-1</v>
      </c>
      <c r="N195" s="34"/>
    </row>
    <row r="196" spans="1:14" x14ac:dyDescent="0.2">
      <c r="A196" s="38" t="s">
        <v>14</v>
      </c>
      <c r="B196" s="38" t="s">
        <v>1</v>
      </c>
      <c r="C196" s="38" t="s">
        <v>57</v>
      </c>
      <c r="D196" s="38" t="s">
        <v>5</v>
      </c>
      <c r="E196" s="38" t="s">
        <v>107</v>
      </c>
      <c r="F196" s="38" t="s">
        <v>58</v>
      </c>
      <c r="G196" s="38">
        <v>8</v>
      </c>
      <c r="H196" s="38" t="s">
        <v>17</v>
      </c>
      <c r="I196" s="38" t="s">
        <v>26</v>
      </c>
      <c r="J196" s="38">
        <v>-1</v>
      </c>
      <c r="K196" s="39">
        <f>VLOOKUP(I196,'Weights and Confidence'!$D$16:$AC$26,5,FALSE)/COUNTIFS($B:$B,$B196,$C:$C,$C196,$H:$H,$H196,$I:$I,$I196)</f>
        <v>0.1</v>
      </c>
      <c r="L196" s="40">
        <f>VLOOKUP(I196,'Weights and Confidence'!$D$16:$AC$26,6,FALSE)</f>
        <v>1</v>
      </c>
      <c r="M196" s="41">
        <f>tScores4[[#This Row],[Raw_Rating_Text]]</f>
        <v>-1</v>
      </c>
      <c r="N196" s="38"/>
    </row>
    <row r="197" spans="1:14" x14ac:dyDescent="0.2">
      <c r="A197" s="34" t="s">
        <v>14</v>
      </c>
      <c r="B197" s="34" t="s">
        <v>1</v>
      </c>
      <c r="C197" s="34" t="s">
        <v>57</v>
      </c>
      <c r="D197" s="34" t="s">
        <v>5</v>
      </c>
      <c r="E197" s="34" t="s">
        <v>107</v>
      </c>
      <c r="F197" s="34" t="s">
        <v>58</v>
      </c>
      <c r="G197" s="34">
        <v>8</v>
      </c>
      <c r="H197" s="34" t="s">
        <v>18</v>
      </c>
      <c r="I197" s="34" t="s">
        <v>26</v>
      </c>
      <c r="J197" s="34">
        <v>0</v>
      </c>
      <c r="K197" s="35">
        <f>VLOOKUP(I197,'Weights and Confidence'!$D$16:$AC$26,5,FALSE)/COUNTIFS($B:$B,$B197,$C:$C,$C197,$H:$H,$H197,$I:$I,$I197)</f>
        <v>0.1</v>
      </c>
      <c r="L197" s="36">
        <f>VLOOKUP(I197,'Weights and Confidence'!$D$16:$AC$26,6,FALSE)</f>
        <v>1</v>
      </c>
      <c r="M197" s="37">
        <f>tScores4[[#This Row],[Raw_Rating_Text]]</f>
        <v>0</v>
      </c>
      <c r="N197" s="34"/>
    </row>
    <row r="198" spans="1:14" x14ac:dyDescent="0.2">
      <c r="A198" s="38" t="s">
        <v>14</v>
      </c>
      <c r="B198" s="38" t="s">
        <v>1</v>
      </c>
      <c r="C198" s="38" t="s">
        <v>57</v>
      </c>
      <c r="D198" s="38" t="s">
        <v>5</v>
      </c>
      <c r="E198" s="38" t="s">
        <v>107</v>
      </c>
      <c r="F198" s="38" t="s">
        <v>58</v>
      </c>
      <c r="G198" s="38">
        <v>9</v>
      </c>
      <c r="H198" s="38" t="s">
        <v>17</v>
      </c>
      <c r="I198" s="38" t="s">
        <v>27</v>
      </c>
      <c r="J198" s="38">
        <v>0</v>
      </c>
      <c r="K198" s="39">
        <f>VLOOKUP(I198,'Weights and Confidence'!$D$16:$AC$26,5,FALSE)/COUNTIFS($B:$B,$B198,$C:$C,$C198,$H:$H,$H198,$I:$I,$I198)</f>
        <v>0.05</v>
      </c>
      <c r="L198" s="40">
        <f>VLOOKUP(I198,'Weights and Confidence'!$D$16:$AC$26,6,FALSE)</f>
        <v>0.85</v>
      </c>
      <c r="M198" s="41">
        <f>tScores4[[#This Row],[Raw_Rating_Text]]</f>
        <v>0</v>
      </c>
      <c r="N198" s="38"/>
    </row>
    <row r="199" spans="1:14" x14ac:dyDescent="0.2">
      <c r="A199" s="34" t="s">
        <v>14</v>
      </c>
      <c r="B199" s="34" t="s">
        <v>1</v>
      </c>
      <c r="C199" s="34" t="s">
        <v>57</v>
      </c>
      <c r="D199" s="34" t="s">
        <v>5</v>
      </c>
      <c r="E199" s="34" t="s">
        <v>107</v>
      </c>
      <c r="F199" s="34" t="s">
        <v>58</v>
      </c>
      <c r="G199" s="34">
        <v>9</v>
      </c>
      <c r="H199" s="34" t="s">
        <v>18</v>
      </c>
      <c r="I199" s="34" t="s">
        <v>27</v>
      </c>
      <c r="J199" s="34">
        <v>0</v>
      </c>
      <c r="K199" s="35">
        <f>VLOOKUP(I199,'Weights and Confidence'!$D$16:$AC$26,5,FALSE)/COUNTIFS($B:$B,$B199,$C:$C,$C199,$H:$H,$H199,$I:$I,$I199)</f>
        <v>0.05</v>
      </c>
      <c r="L199" s="36">
        <f>VLOOKUP(I199,'Weights and Confidence'!$D$16:$AC$26,6,FALSE)</f>
        <v>0.85</v>
      </c>
      <c r="M199" s="37">
        <f>tScores4[[#This Row],[Raw_Rating_Text]]</f>
        <v>0</v>
      </c>
      <c r="N199" s="34"/>
    </row>
    <row r="200" spans="1:14" x14ac:dyDescent="0.2">
      <c r="A200" s="38" t="s">
        <v>14</v>
      </c>
      <c r="B200" s="38" t="s">
        <v>1</v>
      </c>
      <c r="C200" s="38" t="s">
        <v>57</v>
      </c>
      <c r="D200" s="38" t="s">
        <v>5</v>
      </c>
      <c r="E200" s="38" t="s">
        <v>107</v>
      </c>
      <c r="F200" s="38" t="s">
        <v>58</v>
      </c>
      <c r="G200" s="38">
        <v>10</v>
      </c>
      <c r="H200" s="38" t="s">
        <v>17</v>
      </c>
      <c r="I200" s="38" t="s">
        <v>27</v>
      </c>
      <c r="J200" s="38">
        <v>0</v>
      </c>
      <c r="K200" s="39">
        <f>VLOOKUP(I200,'Weights and Confidence'!$D$16:$AC$26,5,FALSE)/COUNTIFS($B:$B,$B200,$C:$C,$C200,$H:$H,$H200,$I:$I,$I200)</f>
        <v>0.05</v>
      </c>
      <c r="L200" s="40">
        <f>VLOOKUP(I200,'Weights and Confidence'!$D$16:$AC$26,6,FALSE)</f>
        <v>0.85</v>
      </c>
      <c r="M200" s="41">
        <f>tScores4[[#This Row],[Raw_Rating_Text]]</f>
        <v>0</v>
      </c>
      <c r="N200" s="38"/>
    </row>
    <row r="201" spans="1:14" x14ac:dyDescent="0.2">
      <c r="A201" s="34" t="s">
        <v>14</v>
      </c>
      <c r="B201" s="34" t="s">
        <v>1</v>
      </c>
      <c r="C201" s="34" t="s">
        <v>57</v>
      </c>
      <c r="D201" s="34" t="s">
        <v>5</v>
      </c>
      <c r="E201" s="34" t="s">
        <v>107</v>
      </c>
      <c r="F201" s="34" t="s">
        <v>58</v>
      </c>
      <c r="G201" s="34">
        <v>10</v>
      </c>
      <c r="H201" s="34" t="s">
        <v>18</v>
      </c>
      <c r="I201" s="34" t="s">
        <v>27</v>
      </c>
      <c r="J201" s="34">
        <v>0</v>
      </c>
      <c r="K201" s="35">
        <f>VLOOKUP(I201,'Weights and Confidence'!$D$16:$AC$26,5,FALSE)/COUNTIFS($B:$B,$B201,$C:$C,$C201,$H:$H,$H201,$I:$I,$I201)</f>
        <v>0.05</v>
      </c>
      <c r="L201" s="36">
        <f>VLOOKUP(I201,'Weights and Confidence'!$D$16:$AC$26,6,FALSE)</f>
        <v>0.85</v>
      </c>
      <c r="M201" s="37">
        <f>tScores4[[#This Row],[Raw_Rating_Text]]</f>
        <v>0</v>
      </c>
      <c r="N201" s="34"/>
    </row>
    <row r="202" spans="1:14" x14ac:dyDescent="0.2">
      <c r="A202" s="38" t="s">
        <v>14</v>
      </c>
      <c r="B202" s="38" t="s">
        <v>1</v>
      </c>
      <c r="C202" s="38" t="s">
        <v>57</v>
      </c>
      <c r="D202" s="38" t="s">
        <v>5</v>
      </c>
      <c r="E202" s="38" t="s">
        <v>107</v>
      </c>
      <c r="F202" s="38" t="s">
        <v>58</v>
      </c>
      <c r="G202" s="38">
        <v>11</v>
      </c>
      <c r="H202" s="38" t="s">
        <v>17</v>
      </c>
      <c r="I202" s="38" t="s">
        <v>28</v>
      </c>
      <c r="J202" s="38">
        <v>-1</v>
      </c>
      <c r="K202" s="39">
        <f>VLOOKUP(I202,'Weights and Confidence'!$D$16:$AC$26,5,FALSE)/COUNTIFS($B:$B,$B202,$C:$C,$C202,$H:$H,$H202,$I:$I,$I202)</f>
        <v>0.05</v>
      </c>
      <c r="L202" s="40">
        <f>VLOOKUP(I202,'Weights and Confidence'!$D$16:$AC$26,6,FALSE)</f>
        <v>1</v>
      </c>
      <c r="M202" s="41">
        <f>tScores4[[#This Row],[Raw_Rating_Text]]</f>
        <v>-1</v>
      </c>
      <c r="N202" s="38"/>
    </row>
    <row r="203" spans="1:14" ht="17" thickBot="1" x14ac:dyDescent="0.25">
      <c r="A203" s="34" t="s">
        <v>14</v>
      </c>
      <c r="B203" s="34" t="s">
        <v>1</v>
      </c>
      <c r="C203" s="34" t="s">
        <v>57</v>
      </c>
      <c r="D203" s="34" t="s">
        <v>5</v>
      </c>
      <c r="E203" s="34" t="s">
        <v>107</v>
      </c>
      <c r="F203" s="34" t="s">
        <v>58</v>
      </c>
      <c r="G203" s="34">
        <v>11</v>
      </c>
      <c r="H203" s="34" t="s">
        <v>18</v>
      </c>
      <c r="I203" s="34" t="s">
        <v>28</v>
      </c>
      <c r="J203" s="34">
        <v>-1</v>
      </c>
      <c r="K203" s="35">
        <f>VLOOKUP(I203,'Weights and Confidence'!$D$16:$AC$26,5,FALSE)/COUNTIFS($B:$B,$B203,$C:$C,$C203,$H:$H,$H203,$I:$I,$I203)</f>
        <v>0.05</v>
      </c>
      <c r="L203" s="36">
        <f>VLOOKUP(I203,'Weights and Confidence'!$D$16:$AC$26,6,FALSE)</f>
        <v>1</v>
      </c>
      <c r="M203" s="37">
        <f>tScores4[[#This Row],[Raw_Rating_Text]]</f>
        <v>-1</v>
      </c>
      <c r="N203" s="34"/>
    </row>
    <row r="204" spans="1:14" ht="17" thickTop="1" x14ac:dyDescent="0.2">
      <c r="A204" s="42" t="s">
        <v>14</v>
      </c>
      <c r="B204" s="42" t="s">
        <v>1</v>
      </c>
      <c r="C204" s="42" t="s">
        <v>59</v>
      </c>
      <c r="D204" s="42" t="s">
        <v>5</v>
      </c>
      <c r="E204" s="43" t="s">
        <v>103</v>
      </c>
      <c r="F204" s="43" t="s">
        <v>60</v>
      </c>
      <c r="G204" s="42">
        <v>1</v>
      </c>
      <c r="H204" s="42" t="s">
        <v>17</v>
      </c>
      <c r="I204" s="42" t="s">
        <v>19</v>
      </c>
      <c r="J204" s="42">
        <v>1</v>
      </c>
      <c r="K204" s="44">
        <f>VLOOKUP(I204,'Weights and Confidence'!$D$16:$AC$26,5,FALSE)/COUNTIFS($B:$B,$B204,$C:$C,$C204,$H:$H,$H204,$I:$I,$I204)</f>
        <v>0.12</v>
      </c>
      <c r="L204" s="45">
        <f>VLOOKUP(I204,'Weights and Confidence'!$D$16:$AC$26,6,FALSE)</f>
        <v>1</v>
      </c>
      <c r="M204" s="46">
        <f>tScores4[[#This Row],[Raw_Rating_Text]]</f>
        <v>1</v>
      </c>
      <c r="N204" s="42"/>
    </row>
    <row r="205" spans="1:14" x14ac:dyDescent="0.2">
      <c r="A205" s="34" t="s">
        <v>14</v>
      </c>
      <c r="B205" s="34" t="s">
        <v>1</v>
      </c>
      <c r="C205" s="34" t="s">
        <v>59</v>
      </c>
      <c r="D205" s="34" t="s">
        <v>5</v>
      </c>
      <c r="E205" s="34" t="s">
        <v>103</v>
      </c>
      <c r="F205" s="34" t="s">
        <v>60</v>
      </c>
      <c r="G205" s="34">
        <v>1</v>
      </c>
      <c r="H205" s="34" t="s">
        <v>18</v>
      </c>
      <c r="I205" s="34" t="s">
        <v>19</v>
      </c>
      <c r="J205" s="34">
        <v>1</v>
      </c>
      <c r="K205" s="35">
        <f>VLOOKUP(I205,'Weights and Confidence'!$D$16:$AC$26,5,FALSE)/COUNTIFS($B:$B,$B205,$C:$C,$C205,$H:$H,$H205,$I:$I,$I205)</f>
        <v>0.12</v>
      </c>
      <c r="L205" s="36">
        <f>VLOOKUP(I205,'Weights and Confidence'!$D$16:$AC$26,6,FALSE)</f>
        <v>1</v>
      </c>
      <c r="M205" s="37">
        <f>tScores4[[#This Row],[Raw_Rating_Text]]</f>
        <v>1</v>
      </c>
      <c r="N205" s="34"/>
    </row>
    <row r="206" spans="1:14" x14ac:dyDescent="0.2">
      <c r="A206" s="38" t="s">
        <v>14</v>
      </c>
      <c r="B206" s="38" t="s">
        <v>1</v>
      </c>
      <c r="C206" s="38" t="s">
        <v>59</v>
      </c>
      <c r="D206" s="38" t="s">
        <v>5</v>
      </c>
      <c r="E206" s="38" t="s">
        <v>103</v>
      </c>
      <c r="F206" s="38" t="s">
        <v>60</v>
      </c>
      <c r="G206" s="38">
        <v>2</v>
      </c>
      <c r="H206" s="38" t="s">
        <v>17</v>
      </c>
      <c r="I206" s="38" t="s">
        <v>20</v>
      </c>
      <c r="J206" s="38">
        <v>1</v>
      </c>
      <c r="K206" s="39">
        <f>VLOOKUP(I206,'Weights and Confidence'!$D$16:$AC$26,5,FALSE)/COUNTIFS($B:$B,$B206,$C:$C,$C206,$H:$H,$H206,$I:$I,$I206)</f>
        <v>0.08</v>
      </c>
      <c r="L206" s="40">
        <f>VLOOKUP(I206,'Weights and Confidence'!$D$16:$AC$26,6,FALSE)</f>
        <v>0.8</v>
      </c>
      <c r="M206" s="41">
        <f>tScores4[[#This Row],[Raw_Rating_Text]]</f>
        <v>1</v>
      </c>
      <c r="N206" s="38"/>
    </row>
    <row r="207" spans="1:14" x14ac:dyDescent="0.2">
      <c r="A207" s="34" t="s">
        <v>14</v>
      </c>
      <c r="B207" s="34" t="s">
        <v>1</v>
      </c>
      <c r="C207" s="34" t="s">
        <v>59</v>
      </c>
      <c r="D207" s="34" t="s">
        <v>5</v>
      </c>
      <c r="E207" s="34" t="s">
        <v>103</v>
      </c>
      <c r="F207" s="34" t="s">
        <v>60</v>
      </c>
      <c r="G207" s="34">
        <v>2</v>
      </c>
      <c r="H207" s="34" t="s">
        <v>18</v>
      </c>
      <c r="I207" s="34" t="s">
        <v>20</v>
      </c>
      <c r="J207" s="34">
        <v>1</v>
      </c>
      <c r="K207" s="35">
        <f>VLOOKUP(I207,'Weights and Confidence'!$D$16:$AC$26,5,FALSE)/COUNTIFS($B:$B,$B207,$C:$C,$C207,$H:$H,$H207,$I:$I,$I207)</f>
        <v>0.08</v>
      </c>
      <c r="L207" s="36">
        <f>VLOOKUP(I207,'Weights and Confidence'!$D$16:$AC$26,6,FALSE)</f>
        <v>0.8</v>
      </c>
      <c r="M207" s="37">
        <f>tScores4[[#This Row],[Raw_Rating_Text]]</f>
        <v>1</v>
      </c>
      <c r="N207" s="34"/>
    </row>
    <row r="208" spans="1:14" x14ac:dyDescent="0.2">
      <c r="A208" s="38" t="s">
        <v>14</v>
      </c>
      <c r="B208" s="38" t="s">
        <v>1</v>
      </c>
      <c r="C208" s="38" t="s">
        <v>59</v>
      </c>
      <c r="D208" s="38" t="s">
        <v>5</v>
      </c>
      <c r="E208" s="38" t="s">
        <v>103</v>
      </c>
      <c r="F208" s="38" t="s">
        <v>60</v>
      </c>
      <c r="G208" s="38">
        <v>3</v>
      </c>
      <c r="H208" s="38" t="s">
        <v>17</v>
      </c>
      <c r="I208" s="38" t="s">
        <v>21</v>
      </c>
      <c r="J208" s="38">
        <v>1</v>
      </c>
      <c r="K208" s="39">
        <f>VLOOKUP(I208,'Weights and Confidence'!$D$16:$AC$26,5,FALSE)/COUNTIFS($B:$B,$B208,$C:$C,$C208,$H:$H,$H208,$I:$I,$I208)</f>
        <v>0.05</v>
      </c>
      <c r="L208" s="40">
        <f>VLOOKUP(I208,'Weights and Confidence'!$D$16:$AC$26,6,FALSE)</f>
        <v>1</v>
      </c>
      <c r="M208" s="41">
        <f>tScores4[[#This Row],[Raw_Rating_Text]]</f>
        <v>1</v>
      </c>
      <c r="N208" s="38"/>
    </row>
    <row r="209" spans="1:14" x14ac:dyDescent="0.2">
      <c r="A209" s="34" t="s">
        <v>14</v>
      </c>
      <c r="B209" s="34" t="s">
        <v>1</v>
      </c>
      <c r="C209" s="34" t="s">
        <v>59</v>
      </c>
      <c r="D209" s="34" t="s">
        <v>5</v>
      </c>
      <c r="E209" s="34" t="s">
        <v>103</v>
      </c>
      <c r="F209" s="34" t="s">
        <v>60</v>
      </c>
      <c r="G209" s="34">
        <v>3</v>
      </c>
      <c r="H209" s="34" t="s">
        <v>18</v>
      </c>
      <c r="I209" s="34" t="s">
        <v>21</v>
      </c>
      <c r="J209" s="34">
        <v>1</v>
      </c>
      <c r="K209" s="35">
        <f>VLOOKUP(I209,'Weights and Confidence'!$D$16:$AC$26,5,FALSE)/COUNTIFS($B:$B,$B209,$C:$C,$C209,$H:$H,$H209,$I:$I,$I209)</f>
        <v>0.05</v>
      </c>
      <c r="L209" s="36">
        <f>VLOOKUP(I209,'Weights and Confidence'!$D$16:$AC$26,6,FALSE)</f>
        <v>1</v>
      </c>
      <c r="M209" s="37">
        <f>tScores4[[#This Row],[Raw_Rating_Text]]</f>
        <v>1</v>
      </c>
      <c r="N209" s="34"/>
    </row>
    <row r="210" spans="1:14" x14ac:dyDescent="0.2">
      <c r="A210" s="38" t="s">
        <v>14</v>
      </c>
      <c r="B210" s="38" t="s">
        <v>1</v>
      </c>
      <c r="C210" s="38" t="s">
        <v>59</v>
      </c>
      <c r="D210" s="38" t="s">
        <v>5</v>
      </c>
      <c r="E210" s="38" t="s">
        <v>103</v>
      </c>
      <c r="F210" s="38" t="s">
        <v>60</v>
      </c>
      <c r="G210" s="38">
        <v>4</v>
      </c>
      <c r="H210" s="38" t="s">
        <v>17</v>
      </c>
      <c r="I210" s="38" t="s">
        <v>22</v>
      </c>
      <c r="J210" s="38">
        <v>1</v>
      </c>
      <c r="K210" s="39">
        <f>VLOOKUP(I210,'Weights and Confidence'!$D$16:$AC$26,5,FALSE)/COUNTIFS($B:$B,$B210,$C:$C,$C210,$H:$H,$H210,$I:$I,$I210)</f>
        <v>0.14000000000000001</v>
      </c>
      <c r="L210" s="40">
        <f>VLOOKUP(I210,'Weights and Confidence'!$D$16:$AC$26,6,FALSE)</f>
        <v>1</v>
      </c>
      <c r="M210" s="41">
        <f>tScores4[[#This Row],[Raw_Rating_Text]]</f>
        <v>1</v>
      </c>
      <c r="N210" s="38"/>
    </row>
    <row r="211" spans="1:14" x14ac:dyDescent="0.2">
      <c r="A211" s="34" t="s">
        <v>14</v>
      </c>
      <c r="B211" s="34" t="s">
        <v>1</v>
      </c>
      <c r="C211" s="34" t="s">
        <v>59</v>
      </c>
      <c r="D211" s="34" t="s">
        <v>5</v>
      </c>
      <c r="E211" s="34" t="s">
        <v>103</v>
      </c>
      <c r="F211" s="34" t="s">
        <v>60</v>
      </c>
      <c r="G211" s="34">
        <v>4</v>
      </c>
      <c r="H211" s="34" t="s">
        <v>18</v>
      </c>
      <c r="I211" s="34" t="s">
        <v>22</v>
      </c>
      <c r="J211" s="34">
        <v>1</v>
      </c>
      <c r="K211" s="35">
        <f>VLOOKUP(I211,'Weights and Confidence'!$D$16:$AC$26,5,FALSE)/COUNTIFS($B:$B,$B211,$C:$C,$C211,$H:$H,$H211,$I:$I,$I211)</f>
        <v>0.14000000000000001</v>
      </c>
      <c r="L211" s="36">
        <f>VLOOKUP(I211,'Weights and Confidence'!$D$16:$AC$26,6,FALSE)</f>
        <v>1</v>
      </c>
      <c r="M211" s="37">
        <f>tScores4[[#This Row],[Raw_Rating_Text]]</f>
        <v>1</v>
      </c>
      <c r="N211" s="34"/>
    </row>
    <row r="212" spans="1:14" x14ac:dyDescent="0.2">
      <c r="A212" s="38" t="s">
        <v>14</v>
      </c>
      <c r="B212" s="38" t="s">
        <v>1</v>
      </c>
      <c r="C212" s="38" t="s">
        <v>59</v>
      </c>
      <c r="D212" s="38" t="s">
        <v>5</v>
      </c>
      <c r="E212" s="38" t="s">
        <v>103</v>
      </c>
      <c r="F212" s="38" t="s">
        <v>60</v>
      </c>
      <c r="G212" s="38">
        <v>5</v>
      </c>
      <c r="H212" s="38" t="s">
        <v>17</v>
      </c>
      <c r="I212" s="38" t="s">
        <v>23</v>
      </c>
      <c r="J212" s="38">
        <v>1</v>
      </c>
      <c r="K212" s="39">
        <f>VLOOKUP(I212,'Weights and Confidence'!$D$16:$AC$26,5,FALSE)/COUNTIFS($B:$B,$B212,$C:$C,$C212,$H:$H,$H212,$I:$I,$I212)</f>
        <v>0.11</v>
      </c>
      <c r="L212" s="40">
        <f>VLOOKUP(I212,'Weights and Confidence'!$D$16:$AC$26,6,FALSE)</f>
        <v>1</v>
      </c>
      <c r="M212" s="41">
        <f>tScores4[[#This Row],[Raw_Rating_Text]]</f>
        <v>1</v>
      </c>
      <c r="N212" s="38"/>
    </row>
    <row r="213" spans="1:14" x14ac:dyDescent="0.2">
      <c r="A213" s="34" t="s">
        <v>14</v>
      </c>
      <c r="B213" s="34" t="s">
        <v>1</v>
      </c>
      <c r="C213" s="34" t="s">
        <v>59</v>
      </c>
      <c r="D213" s="34" t="s">
        <v>5</v>
      </c>
      <c r="E213" s="34" t="s">
        <v>103</v>
      </c>
      <c r="F213" s="34" t="s">
        <v>60</v>
      </c>
      <c r="G213" s="34">
        <v>5</v>
      </c>
      <c r="H213" s="34" t="s">
        <v>18</v>
      </c>
      <c r="I213" s="34" t="s">
        <v>23</v>
      </c>
      <c r="J213" s="34">
        <v>1</v>
      </c>
      <c r="K213" s="35">
        <f>VLOOKUP(I213,'Weights and Confidence'!$D$16:$AC$26,5,FALSE)/COUNTIFS($B:$B,$B213,$C:$C,$C213,$H:$H,$H213,$I:$I,$I213)</f>
        <v>0.11</v>
      </c>
      <c r="L213" s="36">
        <f>VLOOKUP(I213,'Weights and Confidence'!$D$16:$AC$26,6,FALSE)</f>
        <v>1</v>
      </c>
      <c r="M213" s="37">
        <f>tScores4[[#This Row],[Raw_Rating_Text]]</f>
        <v>1</v>
      </c>
      <c r="N213" s="34"/>
    </row>
    <row r="214" spans="1:14" x14ac:dyDescent="0.2">
      <c r="A214" s="38" t="s">
        <v>14</v>
      </c>
      <c r="B214" s="38" t="s">
        <v>1</v>
      </c>
      <c r="C214" s="38" t="s">
        <v>59</v>
      </c>
      <c r="D214" s="38" t="s">
        <v>5</v>
      </c>
      <c r="E214" s="38" t="s">
        <v>103</v>
      </c>
      <c r="F214" s="38" t="s">
        <v>60</v>
      </c>
      <c r="G214" s="38">
        <v>6</v>
      </c>
      <c r="H214" s="38" t="s">
        <v>17</v>
      </c>
      <c r="I214" s="38" t="s">
        <v>24</v>
      </c>
      <c r="J214" s="38">
        <v>1</v>
      </c>
      <c r="K214" s="39">
        <f>VLOOKUP(I214,'Weights and Confidence'!$D$16:$AC$26,5,FALSE)/COUNTIFS($B:$B,$B214,$C:$C,$C214,$H:$H,$H214,$I:$I,$I214)</f>
        <v>0.15</v>
      </c>
      <c r="L214" s="40">
        <f>VLOOKUP(I214,'Weights and Confidence'!$D$16:$AC$26,6,FALSE)</f>
        <v>1</v>
      </c>
      <c r="M214" s="41">
        <f>tScores4[[#This Row],[Raw_Rating_Text]]</f>
        <v>1</v>
      </c>
      <c r="N214" s="38"/>
    </row>
    <row r="215" spans="1:14" x14ac:dyDescent="0.2">
      <c r="A215" s="34" t="s">
        <v>14</v>
      </c>
      <c r="B215" s="34" t="s">
        <v>1</v>
      </c>
      <c r="C215" s="34" t="s">
        <v>59</v>
      </c>
      <c r="D215" s="34" t="s">
        <v>5</v>
      </c>
      <c r="E215" s="34" t="s">
        <v>103</v>
      </c>
      <c r="F215" s="34" t="s">
        <v>60</v>
      </c>
      <c r="G215" s="34">
        <v>6</v>
      </c>
      <c r="H215" s="34" t="s">
        <v>18</v>
      </c>
      <c r="I215" s="34" t="s">
        <v>24</v>
      </c>
      <c r="J215" s="34">
        <v>1</v>
      </c>
      <c r="K215" s="35">
        <f>VLOOKUP(I215,'Weights and Confidence'!$D$16:$AC$26,5,FALSE)/COUNTIFS($B:$B,$B215,$C:$C,$C215,$H:$H,$H215,$I:$I,$I215)</f>
        <v>0.15</v>
      </c>
      <c r="L215" s="36">
        <f>VLOOKUP(I215,'Weights and Confidence'!$D$16:$AC$26,6,FALSE)</f>
        <v>1</v>
      </c>
      <c r="M215" s="37">
        <f>tScores4[[#This Row],[Raw_Rating_Text]]</f>
        <v>1</v>
      </c>
      <c r="N215" s="34"/>
    </row>
    <row r="216" spans="1:14" x14ac:dyDescent="0.2">
      <c r="A216" s="38" t="s">
        <v>14</v>
      </c>
      <c r="B216" s="38" t="s">
        <v>1</v>
      </c>
      <c r="C216" s="38" t="s">
        <v>59</v>
      </c>
      <c r="D216" s="38" t="s">
        <v>5</v>
      </c>
      <c r="E216" s="38" t="s">
        <v>103</v>
      </c>
      <c r="F216" s="38" t="s">
        <v>60</v>
      </c>
      <c r="G216" s="38">
        <v>7</v>
      </c>
      <c r="H216" s="38" t="s">
        <v>17</v>
      </c>
      <c r="I216" s="38" t="s">
        <v>25</v>
      </c>
      <c r="J216" s="38">
        <v>1</v>
      </c>
      <c r="K216" s="39">
        <f>VLOOKUP(I216,'Weights and Confidence'!$D$16:$AC$26,5,FALSE)/COUNTIFS($B:$B,$B216,$C:$C,$C216,$H:$H,$H216,$I:$I,$I216)</f>
        <v>0.1</v>
      </c>
      <c r="L216" s="40">
        <f>VLOOKUP(I216,'Weights and Confidence'!$D$16:$AC$26,6,FALSE)</f>
        <v>1</v>
      </c>
      <c r="M216" s="41">
        <f>tScores4[[#This Row],[Raw_Rating_Text]]</f>
        <v>1</v>
      </c>
      <c r="N216" s="38"/>
    </row>
    <row r="217" spans="1:14" x14ac:dyDescent="0.2">
      <c r="A217" s="34" t="s">
        <v>14</v>
      </c>
      <c r="B217" s="34" t="s">
        <v>1</v>
      </c>
      <c r="C217" s="34" t="s">
        <v>59</v>
      </c>
      <c r="D217" s="34" t="s">
        <v>5</v>
      </c>
      <c r="E217" s="34" t="s">
        <v>103</v>
      </c>
      <c r="F217" s="34" t="s">
        <v>60</v>
      </c>
      <c r="G217" s="34">
        <v>7</v>
      </c>
      <c r="H217" s="34" t="s">
        <v>18</v>
      </c>
      <c r="I217" s="34" t="s">
        <v>25</v>
      </c>
      <c r="J217" s="34">
        <v>1</v>
      </c>
      <c r="K217" s="35">
        <f>VLOOKUP(I217,'Weights and Confidence'!$D$16:$AC$26,5,FALSE)/COUNTIFS($B:$B,$B217,$C:$C,$C217,$H:$H,$H217,$I:$I,$I217)</f>
        <v>0.1</v>
      </c>
      <c r="L217" s="36">
        <f>VLOOKUP(I217,'Weights and Confidence'!$D$16:$AC$26,6,FALSE)</f>
        <v>1</v>
      </c>
      <c r="M217" s="37">
        <f>tScores4[[#This Row],[Raw_Rating_Text]]</f>
        <v>1</v>
      </c>
      <c r="N217" s="34"/>
    </row>
    <row r="218" spans="1:14" x14ac:dyDescent="0.2">
      <c r="A218" s="38" t="s">
        <v>14</v>
      </c>
      <c r="B218" s="38" t="s">
        <v>1</v>
      </c>
      <c r="C218" s="38" t="s">
        <v>59</v>
      </c>
      <c r="D218" s="38" t="s">
        <v>5</v>
      </c>
      <c r="E218" s="38" t="s">
        <v>103</v>
      </c>
      <c r="F218" s="38" t="s">
        <v>60</v>
      </c>
      <c r="G218" s="38">
        <v>8</v>
      </c>
      <c r="H218" s="38" t="s">
        <v>17</v>
      </c>
      <c r="I218" s="38" t="s">
        <v>26</v>
      </c>
      <c r="J218" s="38">
        <v>1</v>
      </c>
      <c r="K218" s="39">
        <f>VLOOKUP(I218,'Weights and Confidence'!$D$16:$AC$26,5,FALSE)/COUNTIFS($B:$B,$B218,$C:$C,$C218,$H:$H,$H218,$I:$I,$I218)</f>
        <v>0.1</v>
      </c>
      <c r="L218" s="40">
        <f>VLOOKUP(I218,'Weights and Confidence'!$D$16:$AC$26,6,FALSE)</f>
        <v>1</v>
      </c>
      <c r="M218" s="41">
        <f>tScores4[[#This Row],[Raw_Rating_Text]]</f>
        <v>1</v>
      </c>
      <c r="N218" s="38"/>
    </row>
    <row r="219" spans="1:14" x14ac:dyDescent="0.2">
      <c r="A219" s="34" t="s">
        <v>14</v>
      </c>
      <c r="B219" s="34" t="s">
        <v>1</v>
      </c>
      <c r="C219" s="34" t="s">
        <v>59</v>
      </c>
      <c r="D219" s="34" t="s">
        <v>5</v>
      </c>
      <c r="E219" s="34" t="s">
        <v>103</v>
      </c>
      <c r="F219" s="34" t="s">
        <v>60</v>
      </c>
      <c r="G219" s="34">
        <v>8</v>
      </c>
      <c r="H219" s="34" t="s">
        <v>18</v>
      </c>
      <c r="I219" s="34" t="s">
        <v>26</v>
      </c>
      <c r="J219" s="34">
        <v>1</v>
      </c>
      <c r="K219" s="35">
        <f>VLOOKUP(I219,'Weights and Confidence'!$D$16:$AC$26,5,FALSE)/COUNTIFS($B:$B,$B219,$C:$C,$C219,$H:$H,$H219,$I:$I,$I219)</f>
        <v>0.1</v>
      </c>
      <c r="L219" s="36">
        <f>VLOOKUP(I219,'Weights and Confidence'!$D$16:$AC$26,6,FALSE)</f>
        <v>1</v>
      </c>
      <c r="M219" s="37">
        <f>tScores4[[#This Row],[Raw_Rating_Text]]</f>
        <v>1</v>
      </c>
      <c r="N219" s="34"/>
    </row>
    <row r="220" spans="1:14" x14ac:dyDescent="0.2">
      <c r="A220" s="38" t="s">
        <v>14</v>
      </c>
      <c r="B220" s="38" t="s">
        <v>1</v>
      </c>
      <c r="C220" s="38" t="s">
        <v>59</v>
      </c>
      <c r="D220" s="38" t="s">
        <v>5</v>
      </c>
      <c r="E220" s="38" t="s">
        <v>103</v>
      </c>
      <c r="F220" s="38" t="s">
        <v>60</v>
      </c>
      <c r="G220" s="38">
        <v>9</v>
      </c>
      <c r="H220" s="38" t="s">
        <v>17</v>
      </c>
      <c r="I220" s="38" t="s">
        <v>27</v>
      </c>
      <c r="J220" s="38">
        <v>1</v>
      </c>
      <c r="K220" s="39">
        <f>VLOOKUP(I220,'Weights and Confidence'!$D$16:$AC$26,5,FALSE)/COUNTIFS($B:$B,$B220,$C:$C,$C220,$H:$H,$H220,$I:$I,$I220)</f>
        <v>0.05</v>
      </c>
      <c r="L220" s="40">
        <f>VLOOKUP(I220,'Weights and Confidence'!$D$16:$AC$26,6,FALSE)</f>
        <v>0.85</v>
      </c>
      <c r="M220" s="41">
        <f>tScores4[[#This Row],[Raw_Rating_Text]]</f>
        <v>1</v>
      </c>
      <c r="N220" s="38"/>
    </row>
    <row r="221" spans="1:14" x14ac:dyDescent="0.2">
      <c r="A221" s="34" t="s">
        <v>14</v>
      </c>
      <c r="B221" s="34" t="s">
        <v>1</v>
      </c>
      <c r="C221" s="34" t="s">
        <v>59</v>
      </c>
      <c r="D221" s="34" t="s">
        <v>5</v>
      </c>
      <c r="E221" s="34" t="s">
        <v>103</v>
      </c>
      <c r="F221" s="34" t="s">
        <v>60</v>
      </c>
      <c r="G221" s="34">
        <v>9</v>
      </c>
      <c r="H221" s="34" t="s">
        <v>18</v>
      </c>
      <c r="I221" s="34" t="s">
        <v>27</v>
      </c>
      <c r="J221" s="34">
        <v>1</v>
      </c>
      <c r="K221" s="35">
        <f>VLOOKUP(I221,'Weights and Confidence'!$D$16:$AC$26,5,FALSE)/COUNTIFS($B:$B,$B221,$C:$C,$C221,$H:$H,$H221,$I:$I,$I221)</f>
        <v>0.05</v>
      </c>
      <c r="L221" s="36">
        <f>VLOOKUP(I221,'Weights and Confidence'!$D$16:$AC$26,6,FALSE)</f>
        <v>0.85</v>
      </c>
      <c r="M221" s="37">
        <f>tScores4[[#This Row],[Raw_Rating_Text]]</f>
        <v>1</v>
      </c>
      <c r="N221" s="34"/>
    </row>
    <row r="222" spans="1:14" x14ac:dyDescent="0.2">
      <c r="A222" s="38" t="s">
        <v>14</v>
      </c>
      <c r="B222" s="38" t="s">
        <v>1</v>
      </c>
      <c r="C222" s="38" t="s">
        <v>59</v>
      </c>
      <c r="D222" s="38" t="s">
        <v>5</v>
      </c>
      <c r="E222" s="38" t="s">
        <v>103</v>
      </c>
      <c r="F222" s="38" t="s">
        <v>60</v>
      </c>
      <c r="G222" s="38">
        <v>10</v>
      </c>
      <c r="H222" s="38" t="s">
        <v>17</v>
      </c>
      <c r="I222" s="38" t="s">
        <v>27</v>
      </c>
      <c r="J222" s="38">
        <v>1</v>
      </c>
      <c r="K222" s="39">
        <f>VLOOKUP(I222,'Weights and Confidence'!$D$16:$AC$26,5,FALSE)/COUNTIFS($B:$B,$B222,$C:$C,$C222,$H:$H,$H222,$I:$I,$I222)</f>
        <v>0.05</v>
      </c>
      <c r="L222" s="40">
        <f>VLOOKUP(I222,'Weights and Confidence'!$D$16:$AC$26,6,FALSE)</f>
        <v>0.85</v>
      </c>
      <c r="M222" s="41">
        <f>tScores4[[#This Row],[Raw_Rating_Text]]</f>
        <v>1</v>
      </c>
      <c r="N222" s="38"/>
    </row>
    <row r="223" spans="1:14" x14ac:dyDescent="0.2">
      <c r="A223" s="34" t="s">
        <v>14</v>
      </c>
      <c r="B223" s="34" t="s">
        <v>1</v>
      </c>
      <c r="C223" s="34" t="s">
        <v>59</v>
      </c>
      <c r="D223" s="34" t="s">
        <v>5</v>
      </c>
      <c r="E223" s="34" t="s">
        <v>103</v>
      </c>
      <c r="F223" s="34" t="s">
        <v>60</v>
      </c>
      <c r="G223" s="34">
        <v>10</v>
      </c>
      <c r="H223" s="34" t="s">
        <v>18</v>
      </c>
      <c r="I223" s="34" t="s">
        <v>27</v>
      </c>
      <c r="J223" s="34">
        <v>1</v>
      </c>
      <c r="K223" s="35">
        <f>VLOOKUP(I223,'Weights and Confidence'!$D$16:$AC$26,5,FALSE)/COUNTIFS($B:$B,$B223,$C:$C,$C223,$H:$H,$H223,$I:$I,$I223)</f>
        <v>0.05</v>
      </c>
      <c r="L223" s="36">
        <f>VLOOKUP(I223,'Weights and Confidence'!$D$16:$AC$26,6,FALSE)</f>
        <v>0.85</v>
      </c>
      <c r="M223" s="37">
        <f>tScores4[[#This Row],[Raw_Rating_Text]]</f>
        <v>1</v>
      </c>
      <c r="N223" s="34"/>
    </row>
    <row r="224" spans="1:14" x14ac:dyDescent="0.2">
      <c r="A224" s="38" t="s">
        <v>14</v>
      </c>
      <c r="B224" s="38" t="s">
        <v>1</v>
      </c>
      <c r="C224" s="38" t="s">
        <v>59</v>
      </c>
      <c r="D224" s="38" t="s">
        <v>5</v>
      </c>
      <c r="E224" s="38" t="s">
        <v>103</v>
      </c>
      <c r="F224" s="38" t="s">
        <v>60</v>
      </c>
      <c r="G224" s="38">
        <v>11</v>
      </c>
      <c r="H224" s="38" t="s">
        <v>17</v>
      </c>
      <c r="I224" s="38" t="s">
        <v>28</v>
      </c>
      <c r="J224" s="38">
        <v>1</v>
      </c>
      <c r="K224" s="39">
        <f>VLOOKUP(I224,'Weights and Confidence'!$D$16:$AC$26,5,FALSE)/COUNTIFS($B:$B,$B224,$C:$C,$C224,$H:$H,$H224,$I:$I,$I224)</f>
        <v>0.05</v>
      </c>
      <c r="L224" s="40">
        <f>VLOOKUP(I224,'Weights and Confidence'!$D$16:$AC$26,6,FALSE)</f>
        <v>1</v>
      </c>
      <c r="M224" s="41">
        <f>tScores4[[#This Row],[Raw_Rating_Text]]</f>
        <v>1</v>
      </c>
      <c r="N224" s="38"/>
    </row>
    <row r="225" spans="1:14" ht="17" thickBot="1" x14ac:dyDescent="0.25">
      <c r="A225" s="34" t="s">
        <v>14</v>
      </c>
      <c r="B225" s="34" t="s">
        <v>1</v>
      </c>
      <c r="C225" s="34" t="s">
        <v>59</v>
      </c>
      <c r="D225" s="34" t="s">
        <v>5</v>
      </c>
      <c r="E225" s="34" t="s">
        <v>103</v>
      </c>
      <c r="F225" s="34" t="s">
        <v>60</v>
      </c>
      <c r="G225" s="34">
        <v>11</v>
      </c>
      <c r="H225" s="34" t="s">
        <v>18</v>
      </c>
      <c r="I225" s="34" t="s">
        <v>28</v>
      </c>
      <c r="J225" s="34">
        <v>1</v>
      </c>
      <c r="K225" s="35">
        <f>VLOOKUP(I225,'Weights and Confidence'!$D$16:$AC$26,5,FALSE)/COUNTIFS($B:$B,$B225,$C:$C,$C225,$H:$H,$H225,$I:$I,$I225)</f>
        <v>0.05</v>
      </c>
      <c r="L225" s="36">
        <f>VLOOKUP(I225,'Weights and Confidence'!$D$16:$AC$26,6,FALSE)</f>
        <v>1</v>
      </c>
      <c r="M225" s="37">
        <f>tScores4[[#This Row],[Raw_Rating_Text]]</f>
        <v>1</v>
      </c>
      <c r="N225" s="34"/>
    </row>
    <row r="226" spans="1:14" ht="17" thickTop="1" x14ac:dyDescent="0.2">
      <c r="A226" s="42" t="s">
        <v>14</v>
      </c>
      <c r="B226" s="42" t="s">
        <v>1</v>
      </c>
      <c r="C226" s="42" t="s">
        <v>61</v>
      </c>
      <c r="D226" s="42" t="s">
        <v>5</v>
      </c>
      <c r="E226" s="43" t="s">
        <v>108</v>
      </c>
      <c r="F226" s="43" t="s">
        <v>62</v>
      </c>
      <c r="G226" s="42">
        <v>1</v>
      </c>
      <c r="H226" s="42" t="s">
        <v>17</v>
      </c>
      <c r="I226" s="42" t="s">
        <v>19</v>
      </c>
      <c r="J226" s="42">
        <v>0</v>
      </c>
      <c r="K226" s="44">
        <f>VLOOKUP(I226,'Weights and Confidence'!$D$16:$AC$26,5,FALSE)/COUNTIFS($B:$B,$B226,$C:$C,$C226,$H:$H,$H226,$I:$I,$I226)</f>
        <v>0.12</v>
      </c>
      <c r="L226" s="45">
        <f>VLOOKUP(I226,'Weights and Confidence'!$D$16:$AC$26,6,FALSE)</f>
        <v>1</v>
      </c>
      <c r="M226" s="46">
        <f>tScores4[[#This Row],[Raw_Rating_Text]]</f>
        <v>0</v>
      </c>
      <c r="N226" s="42"/>
    </row>
    <row r="227" spans="1:14" x14ac:dyDescent="0.2">
      <c r="A227" s="34" t="s">
        <v>14</v>
      </c>
      <c r="B227" s="34" t="s">
        <v>1</v>
      </c>
      <c r="C227" s="34" t="s">
        <v>61</v>
      </c>
      <c r="D227" s="34" t="s">
        <v>5</v>
      </c>
      <c r="E227" s="34" t="s">
        <v>108</v>
      </c>
      <c r="F227" s="34" t="s">
        <v>62</v>
      </c>
      <c r="G227" s="34">
        <v>1</v>
      </c>
      <c r="H227" s="34" t="s">
        <v>18</v>
      </c>
      <c r="I227" s="34" t="s">
        <v>19</v>
      </c>
      <c r="J227" s="34">
        <v>0</v>
      </c>
      <c r="K227" s="35">
        <f>VLOOKUP(I227,'Weights and Confidence'!$D$16:$AC$26,5,FALSE)/COUNTIFS($B:$B,$B227,$C:$C,$C227,$H:$H,$H227,$I:$I,$I227)</f>
        <v>0.12</v>
      </c>
      <c r="L227" s="36">
        <f>VLOOKUP(I227,'Weights and Confidence'!$D$16:$AC$26,6,FALSE)</f>
        <v>1</v>
      </c>
      <c r="M227" s="37">
        <f>tScores4[[#This Row],[Raw_Rating_Text]]</f>
        <v>0</v>
      </c>
      <c r="N227" s="34"/>
    </row>
    <row r="228" spans="1:14" x14ac:dyDescent="0.2">
      <c r="A228" s="38" t="s">
        <v>14</v>
      </c>
      <c r="B228" s="38" t="s">
        <v>1</v>
      </c>
      <c r="C228" s="38" t="s">
        <v>61</v>
      </c>
      <c r="D228" s="38" t="s">
        <v>5</v>
      </c>
      <c r="E228" s="38" t="s">
        <v>108</v>
      </c>
      <c r="F228" s="38" t="s">
        <v>62</v>
      </c>
      <c r="G228" s="38">
        <v>2</v>
      </c>
      <c r="H228" s="38" t="s">
        <v>17</v>
      </c>
      <c r="I228" s="38" t="s">
        <v>20</v>
      </c>
      <c r="J228" s="38">
        <v>0</v>
      </c>
      <c r="K228" s="39">
        <f>VLOOKUP(I228,'Weights and Confidence'!$D$16:$AC$26,5,FALSE)/COUNTIFS($B:$B,$B228,$C:$C,$C228,$H:$H,$H228,$I:$I,$I228)</f>
        <v>0.08</v>
      </c>
      <c r="L228" s="40">
        <f>VLOOKUP(I228,'Weights and Confidence'!$D$16:$AC$26,6,FALSE)</f>
        <v>0.8</v>
      </c>
      <c r="M228" s="41">
        <f>tScores4[[#This Row],[Raw_Rating_Text]]</f>
        <v>0</v>
      </c>
      <c r="N228" s="38"/>
    </row>
    <row r="229" spans="1:14" x14ac:dyDescent="0.2">
      <c r="A229" s="34" t="s">
        <v>14</v>
      </c>
      <c r="B229" s="34" t="s">
        <v>1</v>
      </c>
      <c r="C229" s="34" t="s">
        <v>61</v>
      </c>
      <c r="D229" s="34" t="s">
        <v>5</v>
      </c>
      <c r="E229" s="34" t="s">
        <v>108</v>
      </c>
      <c r="F229" s="34" t="s">
        <v>62</v>
      </c>
      <c r="G229" s="34">
        <v>2</v>
      </c>
      <c r="H229" s="34" t="s">
        <v>18</v>
      </c>
      <c r="I229" s="34" t="s">
        <v>20</v>
      </c>
      <c r="J229" s="34">
        <v>0</v>
      </c>
      <c r="K229" s="35">
        <f>VLOOKUP(I229,'Weights and Confidence'!$D$16:$AC$26,5,FALSE)/COUNTIFS($B:$B,$B229,$C:$C,$C229,$H:$H,$H229,$I:$I,$I229)</f>
        <v>0.08</v>
      </c>
      <c r="L229" s="36">
        <f>VLOOKUP(I229,'Weights and Confidence'!$D$16:$AC$26,6,FALSE)</f>
        <v>0.8</v>
      </c>
      <c r="M229" s="37">
        <f>tScores4[[#This Row],[Raw_Rating_Text]]</f>
        <v>0</v>
      </c>
      <c r="N229" s="34"/>
    </row>
    <row r="230" spans="1:14" x14ac:dyDescent="0.2">
      <c r="A230" s="38" t="s">
        <v>14</v>
      </c>
      <c r="B230" s="38" t="s">
        <v>1</v>
      </c>
      <c r="C230" s="38" t="s">
        <v>61</v>
      </c>
      <c r="D230" s="38" t="s">
        <v>5</v>
      </c>
      <c r="E230" s="38" t="s">
        <v>108</v>
      </c>
      <c r="F230" s="38" t="s">
        <v>62</v>
      </c>
      <c r="G230" s="38">
        <v>3</v>
      </c>
      <c r="H230" s="38" t="s">
        <v>17</v>
      </c>
      <c r="I230" s="38" t="s">
        <v>21</v>
      </c>
      <c r="J230" s="38">
        <v>0</v>
      </c>
      <c r="K230" s="39">
        <f>VLOOKUP(I230,'Weights and Confidence'!$D$16:$AC$26,5,FALSE)/COUNTIFS($B:$B,$B230,$C:$C,$C230,$H:$H,$H230,$I:$I,$I230)</f>
        <v>0.05</v>
      </c>
      <c r="L230" s="40">
        <f>VLOOKUP(I230,'Weights and Confidence'!$D$16:$AC$26,6,FALSE)</f>
        <v>1</v>
      </c>
      <c r="M230" s="41">
        <f>tScores4[[#This Row],[Raw_Rating_Text]]</f>
        <v>0</v>
      </c>
      <c r="N230" s="38"/>
    </row>
    <row r="231" spans="1:14" x14ac:dyDescent="0.2">
      <c r="A231" s="34" t="s">
        <v>14</v>
      </c>
      <c r="B231" s="34" t="s">
        <v>1</v>
      </c>
      <c r="C231" s="34" t="s">
        <v>61</v>
      </c>
      <c r="D231" s="34" t="s">
        <v>5</v>
      </c>
      <c r="E231" s="34" t="s">
        <v>108</v>
      </c>
      <c r="F231" s="34" t="s">
        <v>62</v>
      </c>
      <c r="G231" s="34">
        <v>3</v>
      </c>
      <c r="H231" s="34" t="s">
        <v>18</v>
      </c>
      <c r="I231" s="34" t="s">
        <v>21</v>
      </c>
      <c r="J231" s="34">
        <v>0</v>
      </c>
      <c r="K231" s="35">
        <f>VLOOKUP(I231,'Weights and Confidence'!$D$16:$AC$26,5,FALSE)/COUNTIFS($B:$B,$B231,$C:$C,$C231,$H:$H,$H231,$I:$I,$I231)</f>
        <v>0.05</v>
      </c>
      <c r="L231" s="36">
        <f>VLOOKUP(I231,'Weights and Confidence'!$D$16:$AC$26,6,FALSE)</f>
        <v>1</v>
      </c>
      <c r="M231" s="37">
        <f>tScores4[[#This Row],[Raw_Rating_Text]]</f>
        <v>0</v>
      </c>
      <c r="N231" s="34"/>
    </row>
    <row r="232" spans="1:14" x14ac:dyDescent="0.2">
      <c r="A232" s="38" t="s">
        <v>14</v>
      </c>
      <c r="B232" s="38" t="s">
        <v>1</v>
      </c>
      <c r="C232" s="38" t="s">
        <v>61</v>
      </c>
      <c r="D232" s="38" t="s">
        <v>5</v>
      </c>
      <c r="E232" s="38" t="s">
        <v>108</v>
      </c>
      <c r="F232" s="38" t="s">
        <v>62</v>
      </c>
      <c r="G232" s="38">
        <v>4</v>
      </c>
      <c r="H232" s="38" t="s">
        <v>17</v>
      </c>
      <c r="I232" s="38" t="s">
        <v>22</v>
      </c>
      <c r="J232" s="38">
        <v>1</v>
      </c>
      <c r="K232" s="39">
        <f>VLOOKUP(I232,'Weights and Confidence'!$D$16:$AC$26,5,FALSE)/COUNTIFS($B:$B,$B232,$C:$C,$C232,$H:$H,$H232,$I:$I,$I232)</f>
        <v>0.14000000000000001</v>
      </c>
      <c r="L232" s="40">
        <f>VLOOKUP(I232,'Weights and Confidence'!$D$16:$AC$26,6,FALSE)</f>
        <v>1</v>
      </c>
      <c r="M232" s="41">
        <f>tScores4[[#This Row],[Raw_Rating_Text]]</f>
        <v>1</v>
      </c>
      <c r="N232" s="38"/>
    </row>
    <row r="233" spans="1:14" x14ac:dyDescent="0.2">
      <c r="A233" s="34" t="s">
        <v>14</v>
      </c>
      <c r="B233" s="34" t="s">
        <v>1</v>
      </c>
      <c r="C233" s="34" t="s">
        <v>61</v>
      </c>
      <c r="D233" s="34" t="s">
        <v>5</v>
      </c>
      <c r="E233" s="34" t="s">
        <v>108</v>
      </c>
      <c r="F233" s="34" t="s">
        <v>62</v>
      </c>
      <c r="G233" s="34">
        <v>4</v>
      </c>
      <c r="H233" s="34" t="s">
        <v>18</v>
      </c>
      <c r="I233" s="34" t="s">
        <v>22</v>
      </c>
      <c r="J233" s="34">
        <v>-1</v>
      </c>
      <c r="K233" s="35">
        <f>VLOOKUP(I233,'Weights and Confidence'!$D$16:$AC$26,5,FALSE)/COUNTIFS($B:$B,$B233,$C:$C,$C233,$H:$H,$H233,$I:$I,$I233)</f>
        <v>0.14000000000000001</v>
      </c>
      <c r="L233" s="36">
        <f>VLOOKUP(I233,'Weights and Confidence'!$D$16:$AC$26,6,FALSE)</f>
        <v>1</v>
      </c>
      <c r="M233" s="37">
        <f>tScores4[[#This Row],[Raw_Rating_Text]]</f>
        <v>-1</v>
      </c>
      <c r="N233" s="34"/>
    </row>
    <row r="234" spans="1:14" x14ac:dyDescent="0.2">
      <c r="A234" s="38" t="s">
        <v>14</v>
      </c>
      <c r="B234" s="38" t="s">
        <v>1</v>
      </c>
      <c r="C234" s="38" t="s">
        <v>61</v>
      </c>
      <c r="D234" s="38" t="s">
        <v>5</v>
      </c>
      <c r="E234" s="38" t="s">
        <v>108</v>
      </c>
      <c r="F234" s="38" t="s">
        <v>62</v>
      </c>
      <c r="G234" s="38">
        <v>5</v>
      </c>
      <c r="H234" s="38" t="s">
        <v>17</v>
      </c>
      <c r="I234" s="38" t="s">
        <v>23</v>
      </c>
      <c r="J234" s="38">
        <v>1</v>
      </c>
      <c r="K234" s="39">
        <f>VLOOKUP(I234,'Weights and Confidence'!$D$16:$AC$26,5,FALSE)/COUNTIFS($B:$B,$B234,$C:$C,$C234,$H:$H,$H234,$I:$I,$I234)</f>
        <v>0.11</v>
      </c>
      <c r="L234" s="40">
        <f>VLOOKUP(I234,'Weights and Confidence'!$D$16:$AC$26,6,FALSE)</f>
        <v>1</v>
      </c>
      <c r="M234" s="41">
        <f>tScores4[[#This Row],[Raw_Rating_Text]]</f>
        <v>1</v>
      </c>
      <c r="N234" s="38"/>
    </row>
    <row r="235" spans="1:14" x14ac:dyDescent="0.2">
      <c r="A235" s="34" t="s">
        <v>14</v>
      </c>
      <c r="B235" s="34" t="s">
        <v>1</v>
      </c>
      <c r="C235" s="34" t="s">
        <v>61</v>
      </c>
      <c r="D235" s="34" t="s">
        <v>5</v>
      </c>
      <c r="E235" s="34" t="s">
        <v>108</v>
      </c>
      <c r="F235" s="34" t="s">
        <v>62</v>
      </c>
      <c r="G235" s="34">
        <v>5</v>
      </c>
      <c r="H235" s="34" t="s">
        <v>18</v>
      </c>
      <c r="I235" s="34" t="s">
        <v>23</v>
      </c>
      <c r="J235" s="34">
        <v>0</v>
      </c>
      <c r="K235" s="35">
        <f>VLOOKUP(I235,'Weights and Confidence'!$D$16:$AC$26,5,FALSE)/COUNTIFS($B:$B,$B235,$C:$C,$C235,$H:$H,$H235,$I:$I,$I235)</f>
        <v>0.11</v>
      </c>
      <c r="L235" s="36">
        <f>VLOOKUP(I235,'Weights and Confidence'!$D$16:$AC$26,6,FALSE)</f>
        <v>1</v>
      </c>
      <c r="M235" s="37">
        <f>tScores4[[#This Row],[Raw_Rating_Text]]</f>
        <v>0</v>
      </c>
      <c r="N235" s="34"/>
    </row>
    <row r="236" spans="1:14" x14ac:dyDescent="0.2">
      <c r="A236" s="38" t="s">
        <v>14</v>
      </c>
      <c r="B236" s="38" t="s">
        <v>1</v>
      </c>
      <c r="C236" s="38" t="s">
        <v>61</v>
      </c>
      <c r="D236" s="38" t="s">
        <v>5</v>
      </c>
      <c r="E236" s="38" t="s">
        <v>108</v>
      </c>
      <c r="F236" s="38" t="s">
        <v>62</v>
      </c>
      <c r="G236" s="38">
        <v>6</v>
      </c>
      <c r="H236" s="38" t="s">
        <v>17</v>
      </c>
      <c r="I236" s="38" t="s">
        <v>24</v>
      </c>
      <c r="J236" s="38">
        <v>1</v>
      </c>
      <c r="K236" s="39">
        <f>VLOOKUP(I236,'Weights and Confidence'!$D$16:$AC$26,5,FALSE)/COUNTIFS($B:$B,$B236,$C:$C,$C236,$H:$H,$H236,$I:$I,$I236)</f>
        <v>0.15</v>
      </c>
      <c r="L236" s="40">
        <f>VLOOKUP(I236,'Weights and Confidence'!$D$16:$AC$26,6,FALSE)</f>
        <v>1</v>
      </c>
      <c r="M236" s="41">
        <f>tScores4[[#This Row],[Raw_Rating_Text]]</f>
        <v>1</v>
      </c>
      <c r="N236" s="38"/>
    </row>
    <row r="237" spans="1:14" x14ac:dyDescent="0.2">
      <c r="A237" s="34" t="s">
        <v>14</v>
      </c>
      <c r="B237" s="34" t="s">
        <v>1</v>
      </c>
      <c r="C237" s="34" t="s">
        <v>61</v>
      </c>
      <c r="D237" s="34" t="s">
        <v>5</v>
      </c>
      <c r="E237" s="34" t="s">
        <v>108</v>
      </c>
      <c r="F237" s="34" t="s">
        <v>62</v>
      </c>
      <c r="G237" s="34">
        <v>6</v>
      </c>
      <c r="H237" s="34" t="s">
        <v>18</v>
      </c>
      <c r="I237" s="34" t="s">
        <v>24</v>
      </c>
      <c r="J237" s="34">
        <v>0</v>
      </c>
      <c r="K237" s="35">
        <f>VLOOKUP(I237,'Weights and Confidence'!$D$16:$AC$26,5,FALSE)/COUNTIFS($B:$B,$B237,$C:$C,$C237,$H:$H,$H237,$I:$I,$I237)</f>
        <v>0.15</v>
      </c>
      <c r="L237" s="36">
        <f>VLOOKUP(I237,'Weights and Confidence'!$D$16:$AC$26,6,FALSE)</f>
        <v>1</v>
      </c>
      <c r="M237" s="37">
        <f>tScores4[[#This Row],[Raw_Rating_Text]]</f>
        <v>0</v>
      </c>
      <c r="N237" s="34"/>
    </row>
    <row r="238" spans="1:14" x14ac:dyDescent="0.2">
      <c r="A238" s="38" t="s">
        <v>14</v>
      </c>
      <c r="B238" s="38" t="s">
        <v>1</v>
      </c>
      <c r="C238" s="38" t="s">
        <v>61</v>
      </c>
      <c r="D238" s="38" t="s">
        <v>5</v>
      </c>
      <c r="E238" s="38" t="s">
        <v>108</v>
      </c>
      <c r="F238" s="38" t="s">
        <v>62</v>
      </c>
      <c r="G238" s="38">
        <v>7</v>
      </c>
      <c r="H238" s="38" t="s">
        <v>17</v>
      </c>
      <c r="I238" s="38" t="s">
        <v>25</v>
      </c>
      <c r="J238" s="38">
        <v>-1</v>
      </c>
      <c r="K238" s="39">
        <f>VLOOKUP(I238,'Weights and Confidence'!$D$16:$AC$26,5,FALSE)/COUNTIFS($B:$B,$B238,$C:$C,$C238,$H:$H,$H238,$I:$I,$I238)</f>
        <v>0.1</v>
      </c>
      <c r="L238" s="40">
        <f>VLOOKUP(I238,'Weights and Confidence'!$D$16:$AC$26,6,FALSE)</f>
        <v>1</v>
      </c>
      <c r="M238" s="41">
        <f>tScores4[[#This Row],[Raw_Rating_Text]]</f>
        <v>-1</v>
      </c>
      <c r="N238" s="38"/>
    </row>
    <row r="239" spans="1:14" x14ac:dyDescent="0.2">
      <c r="A239" s="34" t="s">
        <v>14</v>
      </c>
      <c r="B239" s="34" t="s">
        <v>1</v>
      </c>
      <c r="C239" s="34" t="s">
        <v>61</v>
      </c>
      <c r="D239" s="34" t="s">
        <v>5</v>
      </c>
      <c r="E239" s="34" t="s">
        <v>108</v>
      </c>
      <c r="F239" s="34" t="s">
        <v>62</v>
      </c>
      <c r="G239" s="34">
        <v>7</v>
      </c>
      <c r="H239" s="34" t="s">
        <v>18</v>
      </c>
      <c r="I239" s="34" t="s">
        <v>25</v>
      </c>
      <c r="J239" s="34">
        <v>0</v>
      </c>
      <c r="K239" s="35">
        <f>VLOOKUP(I239,'Weights and Confidence'!$D$16:$AC$26,5,FALSE)/COUNTIFS($B:$B,$B239,$C:$C,$C239,$H:$H,$H239,$I:$I,$I239)</f>
        <v>0.1</v>
      </c>
      <c r="L239" s="36">
        <f>VLOOKUP(I239,'Weights and Confidence'!$D$16:$AC$26,6,FALSE)</f>
        <v>1</v>
      </c>
      <c r="M239" s="37">
        <f>tScores4[[#This Row],[Raw_Rating_Text]]</f>
        <v>0</v>
      </c>
      <c r="N239" s="34"/>
    </row>
    <row r="240" spans="1:14" x14ac:dyDescent="0.2">
      <c r="A240" s="38" t="s">
        <v>14</v>
      </c>
      <c r="B240" s="38" t="s">
        <v>1</v>
      </c>
      <c r="C240" s="38" t="s">
        <v>61</v>
      </c>
      <c r="D240" s="38" t="s">
        <v>5</v>
      </c>
      <c r="E240" s="38" t="s">
        <v>108</v>
      </c>
      <c r="F240" s="38" t="s">
        <v>62</v>
      </c>
      <c r="G240" s="38">
        <v>8</v>
      </c>
      <c r="H240" s="38" t="s">
        <v>17</v>
      </c>
      <c r="I240" s="38" t="s">
        <v>26</v>
      </c>
      <c r="J240" s="38">
        <v>-1</v>
      </c>
      <c r="K240" s="39">
        <f>VLOOKUP(I240,'Weights and Confidence'!$D$16:$AC$26,5,FALSE)/COUNTIFS($B:$B,$B240,$C:$C,$C240,$H:$H,$H240,$I:$I,$I240)</f>
        <v>0.1</v>
      </c>
      <c r="L240" s="40">
        <f>VLOOKUP(I240,'Weights and Confidence'!$D$16:$AC$26,6,FALSE)</f>
        <v>1</v>
      </c>
      <c r="M240" s="41">
        <f>tScores4[[#This Row],[Raw_Rating_Text]]</f>
        <v>-1</v>
      </c>
      <c r="N240" s="38"/>
    </row>
    <row r="241" spans="1:14" x14ac:dyDescent="0.2">
      <c r="A241" s="34" t="s">
        <v>14</v>
      </c>
      <c r="B241" s="34" t="s">
        <v>1</v>
      </c>
      <c r="C241" s="34" t="s">
        <v>61</v>
      </c>
      <c r="D241" s="34" t="s">
        <v>5</v>
      </c>
      <c r="E241" s="34" t="s">
        <v>108</v>
      </c>
      <c r="F241" s="34" t="s">
        <v>62</v>
      </c>
      <c r="G241" s="34">
        <v>8</v>
      </c>
      <c r="H241" s="34" t="s">
        <v>18</v>
      </c>
      <c r="I241" s="34" t="s">
        <v>26</v>
      </c>
      <c r="J241" s="34">
        <v>-1</v>
      </c>
      <c r="K241" s="35">
        <f>VLOOKUP(I241,'Weights and Confidence'!$D$16:$AC$26,5,FALSE)/COUNTIFS($B:$B,$B241,$C:$C,$C241,$H:$H,$H241,$I:$I,$I241)</f>
        <v>0.1</v>
      </c>
      <c r="L241" s="36">
        <f>VLOOKUP(I241,'Weights and Confidence'!$D$16:$AC$26,6,FALSE)</f>
        <v>1</v>
      </c>
      <c r="M241" s="37">
        <f>tScores4[[#This Row],[Raw_Rating_Text]]</f>
        <v>-1</v>
      </c>
      <c r="N241" s="34"/>
    </row>
    <row r="242" spans="1:14" x14ac:dyDescent="0.2">
      <c r="A242" s="38" t="s">
        <v>14</v>
      </c>
      <c r="B242" s="38" t="s">
        <v>1</v>
      </c>
      <c r="C242" s="38" t="s">
        <v>61</v>
      </c>
      <c r="D242" s="38" t="s">
        <v>5</v>
      </c>
      <c r="E242" s="38" t="s">
        <v>108</v>
      </c>
      <c r="F242" s="38" t="s">
        <v>62</v>
      </c>
      <c r="G242" s="38">
        <v>9</v>
      </c>
      <c r="H242" s="38" t="s">
        <v>17</v>
      </c>
      <c r="I242" s="38" t="s">
        <v>27</v>
      </c>
      <c r="J242" s="38">
        <v>-1</v>
      </c>
      <c r="K242" s="39">
        <f>VLOOKUP(I242,'Weights and Confidence'!$D$16:$AC$26,5,FALSE)/COUNTIFS($B:$B,$B242,$C:$C,$C242,$H:$H,$H242,$I:$I,$I242)</f>
        <v>0.05</v>
      </c>
      <c r="L242" s="40">
        <f>VLOOKUP(I242,'Weights and Confidence'!$D$16:$AC$26,6,FALSE)</f>
        <v>0.85</v>
      </c>
      <c r="M242" s="41">
        <f>tScores4[[#This Row],[Raw_Rating_Text]]</f>
        <v>-1</v>
      </c>
      <c r="N242" s="38"/>
    </row>
    <row r="243" spans="1:14" x14ac:dyDescent="0.2">
      <c r="A243" s="34" t="s">
        <v>14</v>
      </c>
      <c r="B243" s="34" t="s">
        <v>1</v>
      </c>
      <c r="C243" s="34" t="s">
        <v>61</v>
      </c>
      <c r="D243" s="34" t="s">
        <v>5</v>
      </c>
      <c r="E243" s="34" t="s">
        <v>108</v>
      </c>
      <c r="F243" s="34" t="s">
        <v>62</v>
      </c>
      <c r="G243" s="34">
        <v>9</v>
      </c>
      <c r="H243" s="34" t="s">
        <v>18</v>
      </c>
      <c r="I243" s="34" t="s">
        <v>27</v>
      </c>
      <c r="J243" s="34">
        <v>-1</v>
      </c>
      <c r="K243" s="35">
        <f>VLOOKUP(I243,'Weights and Confidence'!$D$16:$AC$26,5,FALSE)/COUNTIFS($B:$B,$B243,$C:$C,$C243,$H:$H,$H243,$I:$I,$I243)</f>
        <v>0.05</v>
      </c>
      <c r="L243" s="36">
        <f>VLOOKUP(I243,'Weights and Confidence'!$D$16:$AC$26,6,FALSE)</f>
        <v>0.85</v>
      </c>
      <c r="M243" s="37">
        <f>tScores4[[#This Row],[Raw_Rating_Text]]</f>
        <v>-1</v>
      </c>
      <c r="N243" s="34"/>
    </row>
    <row r="244" spans="1:14" x14ac:dyDescent="0.2">
      <c r="A244" s="38" t="s">
        <v>14</v>
      </c>
      <c r="B244" s="38" t="s">
        <v>1</v>
      </c>
      <c r="C244" s="38" t="s">
        <v>61</v>
      </c>
      <c r="D244" s="38" t="s">
        <v>5</v>
      </c>
      <c r="E244" s="38" t="s">
        <v>108</v>
      </c>
      <c r="F244" s="38" t="s">
        <v>62</v>
      </c>
      <c r="G244" s="38">
        <v>10</v>
      </c>
      <c r="H244" s="38" t="s">
        <v>17</v>
      </c>
      <c r="I244" s="38" t="s">
        <v>27</v>
      </c>
      <c r="J244" s="38">
        <v>0</v>
      </c>
      <c r="K244" s="39">
        <f>VLOOKUP(I244,'Weights and Confidence'!$D$16:$AC$26,5,FALSE)/COUNTIFS($B:$B,$B244,$C:$C,$C244,$H:$H,$H244,$I:$I,$I244)</f>
        <v>0.05</v>
      </c>
      <c r="L244" s="40">
        <f>VLOOKUP(I244,'Weights and Confidence'!$D$16:$AC$26,6,FALSE)</f>
        <v>0.85</v>
      </c>
      <c r="M244" s="41">
        <f>tScores4[[#This Row],[Raw_Rating_Text]]</f>
        <v>0</v>
      </c>
      <c r="N244" s="38"/>
    </row>
    <row r="245" spans="1:14" x14ac:dyDescent="0.2">
      <c r="A245" s="34" t="s">
        <v>14</v>
      </c>
      <c r="B245" s="34" t="s">
        <v>1</v>
      </c>
      <c r="C245" s="34" t="s">
        <v>61</v>
      </c>
      <c r="D245" s="34" t="s">
        <v>5</v>
      </c>
      <c r="E245" s="34" t="s">
        <v>108</v>
      </c>
      <c r="F245" s="34" t="s">
        <v>62</v>
      </c>
      <c r="G245" s="34">
        <v>10</v>
      </c>
      <c r="H245" s="34" t="s">
        <v>18</v>
      </c>
      <c r="I245" s="34" t="s">
        <v>27</v>
      </c>
      <c r="J245" s="34">
        <v>0</v>
      </c>
      <c r="K245" s="35">
        <f>VLOOKUP(I245,'Weights and Confidence'!$D$16:$AC$26,5,FALSE)/COUNTIFS($B:$B,$B245,$C:$C,$C245,$H:$H,$H245,$I:$I,$I245)</f>
        <v>0.05</v>
      </c>
      <c r="L245" s="36">
        <f>VLOOKUP(I245,'Weights and Confidence'!$D$16:$AC$26,6,FALSE)</f>
        <v>0.85</v>
      </c>
      <c r="M245" s="37">
        <f>tScores4[[#This Row],[Raw_Rating_Text]]</f>
        <v>0</v>
      </c>
      <c r="N245" s="34"/>
    </row>
    <row r="246" spans="1:14" x14ac:dyDescent="0.2">
      <c r="A246" s="38" t="s">
        <v>14</v>
      </c>
      <c r="B246" s="38" t="s">
        <v>1</v>
      </c>
      <c r="C246" s="38" t="s">
        <v>61</v>
      </c>
      <c r="D246" s="38" t="s">
        <v>5</v>
      </c>
      <c r="E246" s="38" t="s">
        <v>108</v>
      </c>
      <c r="F246" s="38" t="s">
        <v>62</v>
      </c>
      <c r="G246" s="38">
        <v>11</v>
      </c>
      <c r="H246" s="38" t="s">
        <v>17</v>
      </c>
      <c r="I246" s="38" t="s">
        <v>28</v>
      </c>
      <c r="J246" s="38">
        <v>0</v>
      </c>
      <c r="K246" s="39">
        <f>VLOOKUP(I246,'Weights and Confidence'!$D$16:$AC$26,5,FALSE)/COUNTIFS($B:$B,$B246,$C:$C,$C246,$H:$H,$H246,$I:$I,$I246)</f>
        <v>0.05</v>
      </c>
      <c r="L246" s="40">
        <f>VLOOKUP(I246,'Weights and Confidence'!$D$16:$AC$26,6,FALSE)</f>
        <v>1</v>
      </c>
      <c r="M246" s="41">
        <f>tScores4[[#This Row],[Raw_Rating_Text]]</f>
        <v>0</v>
      </c>
      <c r="N246" s="38"/>
    </row>
    <row r="247" spans="1:14" ht="17" thickBot="1" x14ac:dyDescent="0.25">
      <c r="A247" s="34" t="s">
        <v>14</v>
      </c>
      <c r="B247" s="34" t="s">
        <v>1</v>
      </c>
      <c r="C247" s="34" t="s">
        <v>61</v>
      </c>
      <c r="D247" s="34" t="s">
        <v>5</v>
      </c>
      <c r="E247" s="34" t="s">
        <v>108</v>
      </c>
      <c r="F247" s="34" t="s">
        <v>62</v>
      </c>
      <c r="G247" s="34">
        <v>11</v>
      </c>
      <c r="H247" s="34" t="s">
        <v>18</v>
      </c>
      <c r="I247" s="34" t="s">
        <v>28</v>
      </c>
      <c r="J247" s="34">
        <v>-1</v>
      </c>
      <c r="K247" s="35">
        <f>VLOOKUP(I247,'Weights and Confidence'!$D$16:$AC$26,5,FALSE)/COUNTIFS($B:$B,$B247,$C:$C,$C247,$H:$H,$H247,$I:$I,$I247)</f>
        <v>0.05</v>
      </c>
      <c r="L247" s="36">
        <f>VLOOKUP(I247,'Weights and Confidence'!$D$16:$AC$26,6,FALSE)</f>
        <v>1</v>
      </c>
      <c r="M247" s="37">
        <f>tScores4[[#This Row],[Raw_Rating_Text]]</f>
        <v>-1</v>
      </c>
      <c r="N247" s="34"/>
    </row>
    <row r="248" spans="1:14" ht="17" thickTop="1" x14ac:dyDescent="0.2">
      <c r="A248" s="42" t="s">
        <v>14</v>
      </c>
      <c r="B248" s="42" t="s">
        <v>1</v>
      </c>
      <c r="C248" s="42" t="s">
        <v>63</v>
      </c>
      <c r="D248" s="42" t="s">
        <v>65</v>
      </c>
      <c r="E248" s="42"/>
      <c r="F248" s="43" t="s">
        <v>64</v>
      </c>
      <c r="G248" s="42">
        <v>1</v>
      </c>
      <c r="H248" s="42" t="s">
        <v>17</v>
      </c>
      <c r="I248" s="42" t="s">
        <v>19</v>
      </c>
      <c r="J248" s="42">
        <v>0</v>
      </c>
      <c r="K248" s="44">
        <f>VLOOKUP(I248,'Weights and Confidence'!$D$16:$AC$26,5,FALSE)/COUNTIFS($B:$B,$B248,$C:$C,$C248,$H:$H,$H248,$I:$I,$I248)</f>
        <v>0.12</v>
      </c>
      <c r="L248" s="45">
        <f>VLOOKUP(I248,'Weights and Confidence'!$D$16:$AC$26,6,FALSE)</f>
        <v>1</v>
      </c>
      <c r="M248" s="46">
        <f>tScores4[[#This Row],[Raw_Rating_Text]]</f>
        <v>0</v>
      </c>
      <c r="N248" s="42"/>
    </row>
    <row r="249" spans="1:14" x14ac:dyDescent="0.2">
      <c r="A249" s="34" t="s">
        <v>14</v>
      </c>
      <c r="B249" s="34" t="s">
        <v>1</v>
      </c>
      <c r="C249" s="34" t="s">
        <v>63</v>
      </c>
      <c r="D249" s="34" t="s">
        <v>65</v>
      </c>
      <c r="E249" s="34"/>
      <c r="F249" s="34" t="s">
        <v>64</v>
      </c>
      <c r="G249" s="34">
        <v>1</v>
      </c>
      <c r="H249" s="34" t="s">
        <v>18</v>
      </c>
      <c r="I249" s="34" t="s">
        <v>19</v>
      </c>
      <c r="J249" s="34"/>
      <c r="K249" s="35">
        <f>VLOOKUP(I249,'Weights and Confidence'!$D$16:$AC$26,5,FALSE)/COUNTIFS($B:$B,$B249,$C:$C,$C249,$H:$H,$H249,$I:$I,$I249)</f>
        <v>0.12</v>
      </c>
      <c r="L249" s="36">
        <f>VLOOKUP(I249,'Weights and Confidence'!$D$16:$AC$26,6,FALSE)</f>
        <v>1</v>
      </c>
      <c r="M249" s="37">
        <f>tScores4[[#This Row],[Raw_Rating_Text]]</f>
        <v>0</v>
      </c>
      <c r="N249" s="34"/>
    </row>
    <row r="250" spans="1:14" x14ac:dyDescent="0.2">
      <c r="A250" s="38" t="s">
        <v>14</v>
      </c>
      <c r="B250" s="38" t="s">
        <v>1</v>
      </c>
      <c r="C250" s="38" t="s">
        <v>63</v>
      </c>
      <c r="D250" s="38" t="s">
        <v>65</v>
      </c>
      <c r="E250" s="38"/>
      <c r="F250" s="38" t="s">
        <v>64</v>
      </c>
      <c r="G250" s="38">
        <v>2</v>
      </c>
      <c r="H250" s="38" t="s">
        <v>17</v>
      </c>
      <c r="I250" s="38" t="s">
        <v>20</v>
      </c>
      <c r="J250" s="38"/>
      <c r="K250" s="39">
        <f>VLOOKUP(I250,'Weights and Confidence'!$D$16:$AC$26,5,FALSE)/COUNTIFS($B:$B,$B250,$C:$C,$C250,$H:$H,$H250,$I:$I,$I250)</f>
        <v>0.08</v>
      </c>
      <c r="L250" s="40">
        <f>VLOOKUP(I250,'Weights and Confidence'!$D$16:$AC$26,6,FALSE)</f>
        <v>0.8</v>
      </c>
      <c r="M250" s="41">
        <f>tScores4[[#This Row],[Raw_Rating_Text]]</f>
        <v>0</v>
      </c>
      <c r="N250" s="38"/>
    </row>
    <row r="251" spans="1:14" x14ac:dyDescent="0.2">
      <c r="A251" s="34" t="s">
        <v>14</v>
      </c>
      <c r="B251" s="34" t="s">
        <v>1</v>
      </c>
      <c r="C251" s="34" t="s">
        <v>63</v>
      </c>
      <c r="D251" s="34" t="s">
        <v>65</v>
      </c>
      <c r="E251" s="34"/>
      <c r="F251" s="34" t="s">
        <v>64</v>
      </c>
      <c r="G251" s="34">
        <v>2</v>
      </c>
      <c r="H251" s="34" t="s">
        <v>18</v>
      </c>
      <c r="I251" s="34" t="s">
        <v>20</v>
      </c>
      <c r="J251" s="34"/>
      <c r="K251" s="35">
        <f>VLOOKUP(I251,'Weights and Confidence'!$D$16:$AC$26,5,FALSE)/COUNTIFS($B:$B,$B251,$C:$C,$C251,$H:$H,$H251,$I:$I,$I251)</f>
        <v>0.08</v>
      </c>
      <c r="L251" s="36">
        <f>VLOOKUP(I251,'Weights and Confidence'!$D$16:$AC$26,6,FALSE)</f>
        <v>0.8</v>
      </c>
      <c r="M251" s="37">
        <f>tScores4[[#This Row],[Raw_Rating_Text]]</f>
        <v>0</v>
      </c>
      <c r="N251" s="34"/>
    </row>
    <row r="252" spans="1:14" x14ac:dyDescent="0.2">
      <c r="A252" s="38" t="s">
        <v>14</v>
      </c>
      <c r="B252" s="38" t="s">
        <v>1</v>
      </c>
      <c r="C252" s="38" t="s">
        <v>63</v>
      </c>
      <c r="D252" s="38" t="s">
        <v>65</v>
      </c>
      <c r="E252" s="38"/>
      <c r="F252" s="38" t="s">
        <v>64</v>
      </c>
      <c r="G252" s="38">
        <v>3</v>
      </c>
      <c r="H252" s="38" t="s">
        <v>17</v>
      </c>
      <c r="I252" s="38" t="s">
        <v>21</v>
      </c>
      <c r="J252" s="38">
        <v>1</v>
      </c>
      <c r="K252" s="39">
        <f>VLOOKUP(I252,'Weights and Confidence'!$D$16:$AC$26,5,FALSE)/COUNTIFS($B:$B,$B252,$C:$C,$C252,$H:$H,$H252,$I:$I,$I252)</f>
        <v>0.05</v>
      </c>
      <c r="L252" s="40">
        <f>VLOOKUP(I252,'Weights and Confidence'!$D$16:$AC$26,6,FALSE)</f>
        <v>1</v>
      </c>
      <c r="M252" s="41">
        <f>tScores4[[#This Row],[Raw_Rating_Text]]</f>
        <v>1</v>
      </c>
      <c r="N252" s="38"/>
    </row>
    <row r="253" spans="1:14" x14ac:dyDescent="0.2">
      <c r="A253" s="34" t="s">
        <v>14</v>
      </c>
      <c r="B253" s="34" t="s">
        <v>1</v>
      </c>
      <c r="C253" s="34" t="s">
        <v>63</v>
      </c>
      <c r="D253" s="34" t="s">
        <v>65</v>
      </c>
      <c r="E253" s="34"/>
      <c r="F253" s="34" t="s">
        <v>64</v>
      </c>
      <c r="G253" s="34">
        <v>3</v>
      </c>
      <c r="H253" s="34" t="s">
        <v>18</v>
      </c>
      <c r="I253" s="34" t="s">
        <v>21</v>
      </c>
      <c r="J253" s="34"/>
      <c r="K253" s="35">
        <f>VLOOKUP(I253,'Weights and Confidence'!$D$16:$AC$26,5,FALSE)/COUNTIFS($B:$B,$B253,$C:$C,$C253,$H:$H,$H253,$I:$I,$I253)</f>
        <v>0.05</v>
      </c>
      <c r="L253" s="36">
        <f>VLOOKUP(I253,'Weights and Confidence'!$D$16:$AC$26,6,FALSE)</f>
        <v>1</v>
      </c>
      <c r="M253" s="37">
        <f>tScores4[[#This Row],[Raw_Rating_Text]]</f>
        <v>0</v>
      </c>
      <c r="N253" s="34"/>
    </row>
    <row r="254" spans="1:14" x14ac:dyDescent="0.2">
      <c r="A254" s="38" t="s">
        <v>14</v>
      </c>
      <c r="B254" s="38" t="s">
        <v>1</v>
      </c>
      <c r="C254" s="38" t="s">
        <v>63</v>
      </c>
      <c r="D254" s="38" t="s">
        <v>65</v>
      </c>
      <c r="E254" s="38"/>
      <c r="F254" s="38" t="s">
        <v>64</v>
      </c>
      <c r="G254" s="38">
        <v>4</v>
      </c>
      <c r="H254" s="38" t="s">
        <v>17</v>
      </c>
      <c r="I254" s="38" t="s">
        <v>22</v>
      </c>
      <c r="J254" s="38">
        <v>-1</v>
      </c>
      <c r="K254" s="39">
        <f>VLOOKUP(I254,'Weights and Confidence'!$D$16:$AC$26,5,FALSE)/COUNTIFS($B:$B,$B254,$C:$C,$C254,$H:$H,$H254,$I:$I,$I254)</f>
        <v>0.14000000000000001</v>
      </c>
      <c r="L254" s="40">
        <f>VLOOKUP(I254,'Weights and Confidence'!$D$16:$AC$26,6,FALSE)</f>
        <v>1</v>
      </c>
      <c r="M254" s="41">
        <f>tScores4[[#This Row],[Raw_Rating_Text]]</f>
        <v>-1</v>
      </c>
      <c r="N254" s="38"/>
    </row>
    <row r="255" spans="1:14" x14ac:dyDescent="0.2">
      <c r="A255" s="34" t="s">
        <v>14</v>
      </c>
      <c r="B255" s="34" t="s">
        <v>1</v>
      </c>
      <c r="C255" s="34" t="s">
        <v>63</v>
      </c>
      <c r="D255" s="34" t="s">
        <v>65</v>
      </c>
      <c r="E255" s="34"/>
      <c r="F255" s="34" t="s">
        <v>64</v>
      </c>
      <c r="G255" s="34">
        <v>4</v>
      </c>
      <c r="H255" s="34" t="s">
        <v>18</v>
      </c>
      <c r="I255" s="34" t="s">
        <v>22</v>
      </c>
      <c r="J255" s="34">
        <v>-1</v>
      </c>
      <c r="K255" s="35">
        <f>VLOOKUP(I255,'Weights and Confidence'!$D$16:$AC$26,5,FALSE)/COUNTIFS($B:$B,$B255,$C:$C,$C255,$H:$H,$H255,$I:$I,$I255)</f>
        <v>0.14000000000000001</v>
      </c>
      <c r="L255" s="36">
        <f>VLOOKUP(I255,'Weights and Confidence'!$D$16:$AC$26,6,FALSE)</f>
        <v>1</v>
      </c>
      <c r="M255" s="37">
        <f>tScores4[[#This Row],[Raw_Rating_Text]]</f>
        <v>-1</v>
      </c>
      <c r="N255" s="34"/>
    </row>
    <row r="256" spans="1:14" x14ac:dyDescent="0.2">
      <c r="A256" s="38" t="s">
        <v>14</v>
      </c>
      <c r="B256" s="38" t="s">
        <v>1</v>
      </c>
      <c r="C256" s="38" t="s">
        <v>63</v>
      </c>
      <c r="D256" s="38" t="s">
        <v>65</v>
      </c>
      <c r="E256" s="38"/>
      <c r="F256" s="38" t="s">
        <v>64</v>
      </c>
      <c r="G256" s="38">
        <v>5</v>
      </c>
      <c r="H256" s="38" t="s">
        <v>17</v>
      </c>
      <c r="I256" s="38" t="s">
        <v>23</v>
      </c>
      <c r="J256" s="38">
        <v>-1</v>
      </c>
      <c r="K256" s="39">
        <f>VLOOKUP(I256,'Weights and Confidence'!$D$16:$AC$26,5,FALSE)/COUNTIFS($B:$B,$B256,$C:$C,$C256,$H:$H,$H256,$I:$I,$I256)</f>
        <v>0.11</v>
      </c>
      <c r="L256" s="40">
        <f>VLOOKUP(I256,'Weights and Confidence'!$D$16:$AC$26,6,FALSE)</f>
        <v>1</v>
      </c>
      <c r="M256" s="41">
        <f>tScores4[[#This Row],[Raw_Rating_Text]]</f>
        <v>-1</v>
      </c>
      <c r="N256" s="38"/>
    </row>
    <row r="257" spans="1:14" x14ac:dyDescent="0.2">
      <c r="A257" s="34" t="s">
        <v>14</v>
      </c>
      <c r="B257" s="34" t="s">
        <v>1</v>
      </c>
      <c r="C257" s="34" t="s">
        <v>63</v>
      </c>
      <c r="D257" s="34" t="s">
        <v>65</v>
      </c>
      <c r="E257" s="34"/>
      <c r="F257" s="34" t="s">
        <v>64</v>
      </c>
      <c r="G257" s="34">
        <v>5</v>
      </c>
      <c r="H257" s="34" t="s">
        <v>18</v>
      </c>
      <c r="I257" s="34" t="s">
        <v>23</v>
      </c>
      <c r="J257" s="34">
        <v>-1</v>
      </c>
      <c r="K257" s="35">
        <f>VLOOKUP(I257,'Weights and Confidence'!$D$16:$AC$26,5,FALSE)/COUNTIFS($B:$B,$B257,$C:$C,$C257,$H:$H,$H257,$I:$I,$I257)</f>
        <v>0.11</v>
      </c>
      <c r="L257" s="36">
        <f>VLOOKUP(I257,'Weights and Confidence'!$D$16:$AC$26,6,FALSE)</f>
        <v>1</v>
      </c>
      <c r="M257" s="37">
        <f>tScores4[[#This Row],[Raw_Rating_Text]]</f>
        <v>-1</v>
      </c>
      <c r="N257" s="34"/>
    </row>
    <row r="258" spans="1:14" x14ac:dyDescent="0.2">
      <c r="A258" s="38" t="s">
        <v>14</v>
      </c>
      <c r="B258" s="38" t="s">
        <v>1</v>
      </c>
      <c r="C258" s="38" t="s">
        <v>63</v>
      </c>
      <c r="D258" s="38" t="s">
        <v>65</v>
      </c>
      <c r="E258" s="38"/>
      <c r="F258" s="38" t="s">
        <v>64</v>
      </c>
      <c r="G258" s="38">
        <v>6</v>
      </c>
      <c r="H258" s="38" t="s">
        <v>17</v>
      </c>
      <c r="I258" s="38" t="s">
        <v>24</v>
      </c>
      <c r="J258" s="38">
        <v>0</v>
      </c>
      <c r="K258" s="39">
        <f>VLOOKUP(I258,'Weights and Confidence'!$D$16:$AC$26,5,FALSE)/COUNTIFS($B:$B,$B258,$C:$C,$C258,$H:$H,$H258,$I:$I,$I258)</f>
        <v>0.15</v>
      </c>
      <c r="L258" s="40">
        <f>VLOOKUP(I258,'Weights and Confidence'!$D$16:$AC$26,6,FALSE)</f>
        <v>1</v>
      </c>
      <c r="M258" s="41">
        <f>tScores4[[#This Row],[Raw_Rating_Text]]</f>
        <v>0</v>
      </c>
      <c r="N258" s="38"/>
    </row>
    <row r="259" spans="1:14" x14ac:dyDescent="0.2">
      <c r="A259" s="34" t="s">
        <v>14</v>
      </c>
      <c r="B259" s="34" t="s">
        <v>1</v>
      </c>
      <c r="C259" s="34" t="s">
        <v>63</v>
      </c>
      <c r="D259" s="34" t="s">
        <v>65</v>
      </c>
      <c r="E259" s="34"/>
      <c r="F259" s="34" t="s">
        <v>64</v>
      </c>
      <c r="G259" s="34">
        <v>6</v>
      </c>
      <c r="H259" s="34" t="s">
        <v>18</v>
      </c>
      <c r="I259" s="34" t="s">
        <v>24</v>
      </c>
      <c r="J259" s="34">
        <v>-1</v>
      </c>
      <c r="K259" s="35">
        <f>VLOOKUP(I259,'Weights and Confidence'!$D$16:$AC$26,5,FALSE)/COUNTIFS($B:$B,$B259,$C:$C,$C259,$H:$H,$H259,$I:$I,$I259)</f>
        <v>0.15</v>
      </c>
      <c r="L259" s="36">
        <f>VLOOKUP(I259,'Weights and Confidence'!$D$16:$AC$26,6,FALSE)</f>
        <v>1</v>
      </c>
      <c r="M259" s="37">
        <f>tScores4[[#This Row],[Raw_Rating_Text]]</f>
        <v>-1</v>
      </c>
      <c r="N259" s="34"/>
    </row>
    <row r="260" spans="1:14" x14ac:dyDescent="0.2">
      <c r="A260" s="38" t="s">
        <v>14</v>
      </c>
      <c r="B260" s="38" t="s">
        <v>1</v>
      </c>
      <c r="C260" s="38" t="s">
        <v>63</v>
      </c>
      <c r="D260" s="38" t="s">
        <v>65</v>
      </c>
      <c r="E260" s="38"/>
      <c r="F260" s="38" t="s">
        <v>64</v>
      </c>
      <c r="G260" s="38">
        <v>7</v>
      </c>
      <c r="H260" s="38" t="s">
        <v>17</v>
      </c>
      <c r="I260" s="38" t="s">
        <v>25</v>
      </c>
      <c r="J260" s="38">
        <v>0</v>
      </c>
      <c r="K260" s="39">
        <f>VLOOKUP(I260,'Weights and Confidence'!$D$16:$AC$26,5,FALSE)/COUNTIFS($B:$B,$B260,$C:$C,$C260,$H:$H,$H260,$I:$I,$I260)</f>
        <v>0.1</v>
      </c>
      <c r="L260" s="40">
        <f>VLOOKUP(I260,'Weights and Confidence'!$D$16:$AC$26,6,FALSE)</f>
        <v>1</v>
      </c>
      <c r="M260" s="41">
        <f>tScores4[[#This Row],[Raw_Rating_Text]]</f>
        <v>0</v>
      </c>
      <c r="N260" s="38"/>
    </row>
    <row r="261" spans="1:14" x14ac:dyDescent="0.2">
      <c r="A261" s="34" t="s">
        <v>14</v>
      </c>
      <c r="B261" s="34" t="s">
        <v>1</v>
      </c>
      <c r="C261" s="34" t="s">
        <v>63</v>
      </c>
      <c r="D261" s="34" t="s">
        <v>65</v>
      </c>
      <c r="E261" s="34"/>
      <c r="F261" s="34" t="s">
        <v>64</v>
      </c>
      <c r="G261" s="34">
        <v>7</v>
      </c>
      <c r="H261" s="34" t="s">
        <v>18</v>
      </c>
      <c r="I261" s="34" t="s">
        <v>25</v>
      </c>
      <c r="J261" s="34">
        <v>-1</v>
      </c>
      <c r="K261" s="35">
        <f>VLOOKUP(I261,'Weights and Confidence'!$D$16:$AC$26,5,FALSE)/COUNTIFS($B:$B,$B261,$C:$C,$C261,$H:$H,$H261,$I:$I,$I261)</f>
        <v>0.1</v>
      </c>
      <c r="L261" s="36">
        <f>VLOOKUP(I261,'Weights and Confidence'!$D$16:$AC$26,6,FALSE)</f>
        <v>1</v>
      </c>
      <c r="M261" s="37">
        <f>tScores4[[#This Row],[Raw_Rating_Text]]</f>
        <v>-1</v>
      </c>
      <c r="N261" s="34"/>
    </row>
    <row r="262" spans="1:14" x14ac:dyDescent="0.2">
      <c r="A262" s="38" t="s">
        <v>14</v>
      </c>
      <c r="B262" s="38" t="s">
        <v>1</v>
      </c>
      <c r="C262" s="38" t="s">
        <v>63</v>
      </c>
      <c r="D262" s="38" t="s">
        <v>65</v>
      </c>
      <c r="E262" s="38"/>
      <c r="F262" s="38" t="s">
        <v>64</v>
      </c>
      <c r="G262" s="38">
        <v>8</v>
      </c>
      <c r="H262" s="38" t="s">
        <v>17</v>
      </c>
      <c r="I262" s="38" t="s">
        <v>26</v>
      </c>
      <c r="J262" s="38">
        <v>0</v>
      </c>
      <c r="K262" s="39">
        <f>VLOOKUP(I262,'Weights and Confidence'!$D$16:$AC$26,5,FALSE)/COUNTIFS($B:$B,$B262,$C:$C,$C262,$H:$H,$H262,$I:$I,$I262)</f>
        <v>0.1</v>
      </c>
      <c r="L262" s="40">
        <f>VLOOKUP(I262,'Weights and Confidence'!$D$16:$AC$26,6,FALSE)</f>
        <v>1</v>
      </c>
      <c r="M262" s="41">
        <f>tScores4[[#This Row],[Raw_Rating_Text]]</f>
        <v>0</v>
      </c>
      <c r="N262" s="38"/>
    </row>
    <row r="263" spans="1:14" x14ac:dyDescent="0.2">
      <c r="A263" s="34" t="s">
        <v>14</v>
      </c>
      <c r="B263" s="34" t="s">
        <v>1</v>
      </c>
      <c r="C263" s="34" t="s">
        <v>63</v>
      </c>
      <c r="D263" s="34" t="s">
        <v>65</v>
      </c>
      <c r="E263" s="34"/>
      <c r="F263" s="34" t="s">
        <v>64</v>
      </c>
      <c r="G263" s="34">
        <v>8</v>
      </c>
      <c r="H263" s="34" t="s">
        <v>18</v>
      </c>
      <c r="I263" s="34" t="s">
        <v>26</v>
      </c>
      <c r="J263" s="34">
        <v>-1</v>
      </c>
      <c r="K263" s="35">
        <f>VLOOKUP(I263,'Weights and Confidence'!$D$16:$AC$26,5,FALSE)/COUNTIFS($B:$B,$B263,$C:$C,$C263,$H:$H,$H263,$I:$I,$I263)</f>
        <v>0.1</v>
      </c>
      <c r="L263" s="36">
        <f>VLOOKUP(I263,'Weights and Confidence'!$D$16:$AC$26,6,FALSE)</f>
        <v>1</v>
      </c>
      <c r="M263" s="37">
        <f>tScores4[[#This Row],[Raw_Rating_Text]]</f>
        <v>-1</v>
      </c>
      <c r="N263" s="34"/>
    </row>
    <row r="264" spans="1:14" x14ac:dyDescent="0.2">
      <c r="A264" s="38" t="s">
        <v>14</v>
      </c>
      <c r="B264" s="38" t="s">
        <v>1</v>
      </c>
      <c r="C264" s="38" t="s">
        <v>63</v>
      </c>
      <c r="D264" s="38" t="s">
        <v>65</v>
      </c>
      <c r="E264" s="38"/>
      <c r="F264" s="38" t="s">
        <v>64</v>
      </c>
      <c r="G264" s="38">
        <v>9</v>
      </c>
      <c r="H264" s="38" t="s">
        <v>17</v>
      </c>
      <c r="I264" s="38" t="s">
        <v>27</v>
      </c>
      <c r="J264" s="38">
        <v>-1</v>
      </c>
      <c r="K264" s="39">
        <f>VLOOKUP(I264,'Weights and Confidence'!$D$16:$AC$26,5,FALSE)/COUNTIFS($B:$B,$B264,$C:$C,$C264,$H:$H,$H264,$I:$I,$I264)</f>
        <v>0.05</v>
      </c>
      <c r="L264" s="40">
        <f>VLOOKUP(I264,'Weights and Confidence'!$D$16:$AC$26,6,FALSE)</f>
        <v>0.85</v>
      </c>
      <c r="M264" s="41">
        <f>tScores4[[#This Row],[Raw_Rating_Text]]</f>
        <v>-1</v>
      </c>
      <c r="N264" s="38"/>
    </row>
    <row r="265" spans="1:14" x14ac:dyDescent="0.2">
      <c r="A265" s="34" t="s">
        <v>14</v>
      </c>
      <c r="B265" s="34" t="s">
        <v>1</v>
      </c>
      <c r="C265" s="34" t="s">
        <v>63</v>
      </c>
      <c r="D265" s="34" t="s">
        <v>65</v>
      </c>
      <c r="E265" s="34"/>
      <c r="F265" s="34" t="s">
        <v>64</v>
      </c>
      <c r="G265" s="34">
        <v>9</v>
      </c>
      <c r="H265" s="34" t="s">
        <v>18</v>
      </c>
      <c r="I265" s="34" t="s">
        <v>27</v>
      </c>
      <c r="J265" s="34">
        <v>-1</v>
      </c>
      <c r="K265" s="35">
        <f>VLOOKUP(I265,'Weights and Confidence'!$D$16:$AC$26,5,FALSE)/COUNTIFS($B:$B,$B265,$C:$C,$C265,$H:$H,$H265,$I:$I,$I265)</f>
        <v>0.05</v>
      </c>
      <c r="L265" s="36">
        <f>VLOOKUP(I265,'Weights and Confidence'!$D$16:$AC$26,6,FALSE)</f>
        <v>0.85</v>
      </c>
      <c r="M265" s="37">
        <f>tScores4[[#This Row],[Raw_Rating_Text]]</f>
        <v>-1</v>
      </c>
      <c r="N265" s="34"/>
    </row>
    <row r="266" spans="1:14" x14ac:dyDescent="0.2">
      <c r="A266" s="38" t="s">
        <v>14</v>
      </c>
      <c r="B266" s="38" t="s">
        <v>1</v>
      </c>
      <c r="C266" s="38" t="s">
        <v>63</v>
      </c>
      <c r="D266" s="38" t="s">
        <v>65</v>
      </c>
      <c r="E266" s="38"/>
      <c r="F266" s="38" t="s">
        <v>64</v>
      </c>
      <c r="G266" s="38">
        <v>10</v>
      </c>
      <c r="H266" s="38" t="s">
        <v>17</v>
      </c>
      <c r="I266" s="38" t="s">
        <v>27</v>
      </c>
      <c r="J266" s="38">
        <v>0</v>
      </c>
      <c r="K266" s="39">
        <f>VLOOKUP(I266,'Weights and Confidence'!$D$16:$AC$26,5,FALSE)/COUNTIFS($B:$B,$B266,$C:$C,$C266,$H:$H,$H266,$I:$I,$I266)</f>
        <v>0.05</v>
      </c>
      <c r="L266" s="40">
        <f>VLOOKUP(I266,'Weights and Confidence'!$D$16:$AC$26,6,FALSE)</f>
        <v>0.85</v>
      </c>
      <c r="M266" s="41">
        <f>tScores4[[#This Row],[Raw_Rating_Text]]</f>
        <v>0</v>
      </c>
      <c r="N266" s="38"/>
    </row>
    <row r="267" spans="1:14" x14ac:dyDescent="0.2">
      <c r="A267" s="34" t="s">
        <v>14</v>
      </c>
      <c r="B267" s="34" t="s">
        <v>1</v>
      </c>
      <c r="C267" s="34" t="s">
        <v>63</v>
      </c>
      <c r="D267" s="34" t="s">
        <v>65</v>
      </c>
      <c r="E267" s="34"/>
      <c r="F267" s="34" t="s">
        <v>64</v>
      </c>
      <c r="G267" s="34">
        <v>10</v>
      </c>
      <c r="H267" s="34" t="s">
        <v>18</v>
      </c>
      <c r="I267" s="34" t="s">
        <v>27</v>
      </c>
      <c r="J267" s="34">
        <v>0</v>
      </c>
      <c r="K267" s="35">
        <f>VLOOKUP(I267,'Weights and Confidence'!$D$16:$AC$26,5,FALSE)/COUNTIFS($B:$B,$B267,$C:$C,$C267,$H:$H,$H267,$I:$I,$I267)</f>
        <v>0.05</v>
      </c>
      <c r="L267" s="36">
        <f>VLOOKUP(I267,'Weights and Confidence'!$D$16:$AC$26,6,FALSE)</f>
        <v>0.85</v>
      </c>
      <c r="M267" s="37">
        <f>tScores4[[#This Row],[Raw_Rating_Text]]</f>
        <v>0</v>
      </c>
      <c r="N267" s="34"/>
    </row>
    <row r="268" spans="1:14" x14ac:dyDescent="0.2">
      <c r="A268" s="38" t="s">
        <v>14</v>
      </c>
      <c r="B268" s="38" t="s">
        <v>1</v>
      </c>
      <c r="C268" s="38" t="s">
        <v>63</v>
      </c>
      <c r="D268" s="38" t="s">
        <v>65</v>
      </c>
      <c r="E268" s="38"/>
      <c r="F268" s="38" t="s">
        <v>64</v>
      </c>
      <c r="G268" s="38">
        <v>11</v>
      </c>
      <c r="H268" s="38" t="s">
        <v>17</v>
      </c>
      <c r="I268" s="38" t="s">
        <v>28</v>
      </c>
      <c r="J268" s="38">
        <v>-1</v>
      </c>
      <c r="K268" s="39">
        <f>VLOOKUP(I268,'Weights and Confidence'!$D$16:$AC$26,5,FALSE)/COUNTIFS($B:$B,$B268,$C:$C,$C268,$H:$H,$H268,$I:$I,$I268)</f>
        <v>0.05</v>
      </c>
      <c r="L268" s="40">
        <f>VLOOKUP(I268,'Weights and Confidence'!$D$16:$AC$26,6,FALSE)</f>
        <v>1</v>
      </c>
      <c r="M268" s="41">
        <f>tScores4[[#This Row],[Raw_Rating_Text]]</f>
        <v>-1</v>
      </c>
      <c r="N268" s="38"/>
    </row>
    <row r="269" spans="1:14" ht="17" thickBot="1" x14ac:dyDescent="0.25">
      <c r="A269" s="34" t="s">
        <v>14</v>
      </c>
      <c r="B269" s="34" t="s">
        <v>1</v>
      </c>
      <c r="C269" s="34" t="s">
        <v>63</v>
      </c>
      <c r="D269" s="34" t="s">
        <v>65</v>
      </c>
      <c r="E269" s="34"/>
      <c r="F269" s="34" t="s">
        <v>64</v>
      </c>
      <c r="G269" s="34">
        <v>11</v>
      </c>
      <c r="H269" s="34" t="s">
        <v>18</v>
      </c>
      <c r="I269" s="34" t="s">
        <v>28</v>
      </c>
      <c r="J269" s="34">
        <v>-1</v>
      </c>
      <c r="K269" s="35">
        <f>VLOOKUP(I269,'Weights and Confidence'!$D$16:$AC$26,5,FALSE)/COUNTIFS($B:$B,$B269,$C:$C,$C269,$H:$H,$H269,$I:$I,$I269)</f>
        <v>0.05</v>
      </c>
      <c r="L269" s="36">
        <f>VLOOKUP(I269,'Weights and Confidence'!$D$16:$AC$26,6,FALSE)</f>
        <v>1</v>
      </c>
      <c r="M269" s="37">
        <f>tScores4[[#This Row],[Raw_Rating_Text]]</f>
        <v>-1</v>
      </c>
      <c r="N269" s="34"/>
    </row>
    <row r="270" spans="1:14" ht="17" thickTop="1" x14ac:dyDescent="0.2">
      <c r="A270" s="42" t="s">
        <v>14</v>
      </c>
      <c r="B270" s="42" t="s">
        <v>1</v>
      </c>
      <c r="C270" s="42" t="s">
        <v>66</v>
      </c>
      <c r="D270" s="42" t="s">
        <v>65</v>
      </c>
      <c r="E270" s="42"/>
      <c r="F270" s="43" t="s">
        <v>67</v>
      </c>
      <c r="G270" s="42">
        <v>1</v>
      </c>
      <c r="H270" s="42" t="s">
        <v>17</v>
      </c>
      <c r="I270" s="42" t="s">
        <v>19</v>
      </c>
      <c r="J270" s="42">
        <v>1</v>
      </c>
      <c r="K270" s="44">
        <f>VLOOKUP(I270,'Weights and Confidence'!$D$16:$AC$26,5,FALSE)/COUNTIFS($B:$B,$B270,$C:$C,$C270,$H:$H,$H270,$I:$I,$I270)</f>
        <v>0.12</v>
      </c>
      <c r="L270" s="45">
        <f>VLOOKUP(I270,'Weights and Confidence'!$D$16:$AC$26,6,FALSE)</f>
        <v>1</v>
      </c>
      <c r="M270" s="46">
        <f>tScores4[[#This Row],[Raw_Rating_Text]]</f>
        <v>1</v>
      </c>
      <c r="N270" s="42"/>
    </row>
    <row r="271" spans="1:14" x14ac:dyDescent="0.2">
      <c r="A271" s="34" t="s">
        <v>14</v>
      </c>
      <c r="B271" s="34" t="s">
        <v>1</v>
      </c>
      <c r="C271" s="34" t="s">
        <v>66</v>
      </c>
      <c r="D271" s="34" t="s">
        <v>65</v>
      </c>
      <c r="E271" s="34"/>
      <c r="F271" s="34" t="s">
        <v>67</v>
      </c>
      <c r="G271" s="34">
        <v>1</v>
      </c>
      <c r="H271" s="34" t="s">
        <v>18</v>
      </c>
      <c r="I271" s="34" t="s">
        <v>19</v>
      </c>
      <c r="J271" s="34">
        <v>0</v>
      </c>
      <c r="K271" s="35">
        <f>VLOOKUP(I271,'Weights and Confidence'!$D$16:$AC$26,5,FALSE)/COUNTIFS($B:$B,$B271,$C:$C,$C271,$H:$H,$H271,$I:$I,$I271)</f>
        <v>0.12</v>
      </c>
      <c r="L271" s="36">
        <f>VLOOKUP(I271,'Weights and Confidence'!$D$16:$AC$26,6,FALSE)</f>
        <v>1</v>
      </c>
      <c r="M271" s="37">
        <f>tScores4[[#This Row],[Raw_Rating_Text]]</f>
        <v>0</v>
      </c>
      <c r="N271" s="34"/>
    </row>
    <row r="272" spans="1:14" x14ac:dyDescent="0.2">
      <c r="A272" s="38" t="s">
        <v>14</v>
      </c>
      <c r="B272" s="38" t="s">
        <v>1</v>
      </c>
      <c r="C272" s="38" t="s">
        <v>66</v>
      </c>
      <c r="D272" s="38" t="s">
        <v>65</v>
      </c>
      <c r="E272" s="38"/>
      <c r="F272" s="38" t="s">
        <v>67</v>
      </c>
      <c r="G272" s="38">
        <v>2</v>
      </c>
      <c r="H272" s="38" t="s">
        <v>17</v>
      </c>
      <c r="I272" s="38" t="s">
        <v>20</v>
      </c>
      <c r="J272" s="38"/>
      <c r="K272" s="39">
        <f>VLOOKUP(I272,'Weights and Confidence'!$D$16:$AC$26,5,FALSE)/COUNTIFS($B:$B,$B272,$C:$C,$C272,$H:$H,$H272,$I:$I,$I272)</f>
        <v>0.08</v>
      </c>
      <c r="L272" s="40">
        <f>VLOOKUP(I272,'Weights and Confidence'!$D$16:$AC$26,6,FALSE)</f>
        <v>0.8</v>
      </c>
      <c r="M272" s="41">
        <f>tScores4[[#This Row],[Raw_Rating_Text]]</f>
        <v>0</v>
      </c>
      <c r="N272" s="38"/>
    </row>
    <row r="273" spans="1:14" x14ac:dyDescent="0.2">
      <c r="A273" s="34" t="s">
        <v>14</v>
      </c>
      <c r="B273" s="34" t="s">
        <v>1</v>
      </c>
      <c r="C273" s="34" t="s">
        <v>66</v>
      </c>
      <c r="D273" s="34" t="s">
        <v>65</v>
      </c>
      <c r="E273" s="34"/>
      <c r="F273" s="34" t="s">
        <v>67</v>
      </c>
      <c r="G273" s="34">
        <v>2</v>
      </c>
      <c r="H273" s="34" t="s">
        <v>18</v>
      </c>
      <c r="I273" s="34" t="s">
        <v>20</v>
      </c>
      <c r="J273" s="34">
        <v>0</v>
      </c>
      <c r="K273" s="35">
        <f>VLOOKUP(I273,'Weights and Confidence'!$D$16:$AC$26,5,FALSE)/COUNTIFS($B:$B,$B273,$C:$C,$C273,$H:$H,$H273,$I:$I,$I273)</f>
        <v>0.08</v>
      </c>
      <c r="L273" s="36">
        <f>VLOOKUP(I273,'Weights and Confidence'!$D$16:$AC$26,6,FALSE)</f>
        <v>0.8</v>
      </c>
      <c r="M273" s="37">
        <f>tScores4[[#This Row],[Raw_Rating_Text]]</f>
        <v>0</v>
      </c>
      <c r="N273" s="34"/>
    </row>
    <row r="274" spans="1:14" x14ac:dyDescent="0.2">
      <c r="A274" s="38" t="s">
        <v>14</v>
      </c>
      <c r="B274" s="38" t="s">
        <v>1</v>
      </c>
      <c r="C274" s="38" t="s">
        <v>66</v>
      </c>
      <c r="D274" s="38" t="s">
        <v>65</v>
      </c>
      <c r="E274" s="38"/>
      <c r="F274" s="38" t="s">
        <v>67</v>
      </c>
      <c r="G274" s="38">
        <v>3</v>
      </c>
      <c r="H274" s="38" t="s">
        <v>17</v>
      </c>
      <c r="I274" s="38" t="s">
        <v>21</v>
      </c>
      <c r="J274" s="38">
        <v>1</v>
      </c>
      <c r="K274" s="39">
        <f>VLOOKUP(I274,'Weights and Confidence'!$D$16:$AC$26,5,FALSE)/COUNTIFS($B:$B,$B274,$C:$C,$C274,$H:$H,$H274,$I:$I,$I274)</f>
        <v>0.05</v>
      </c>
      <c r="L274" s="40">
        <f>VLOOKUP(I274,'Weights and Confidence'!$D$16:$AC$26,6,FALSE)</f>
        <v>1</v>
      </c>
      <c r="M274" s="41">
        <f>tScores4[[#This Row],[Raw_Rating_Text]]</f>
        <v>1</v>
      </c>
      <c r="N274" s="38"/>
    </row>
    <row r="275" spans="1:14" x14ac:dyDescent="0.2">
      <c r="A275" s="34" t="s">
        <v>14</v>
      </c>
      <c r="B275" s="34" t="s">
        <v>1</v>
      </c>
      <c r="C275" s="34" t="s">
        <v>66</v>
      </c>
      <c r="D275" s="34" t="s">
        <v>65</v>
      </c>
      <c r="E275" s="34"/>
      <c r="F275" s="34" t="s">
        <v>67</v>
      </c>
      <c r="G275" s="34">
        <v>3</v>
      </c>
      <c r="H275" s="34" t="s">
        <v>18</v>
      </c>
      <c r="I275" s="34" t="s">
        <v>21</v>
      </c>
      <c r="J275" s="34">
        <v>1</v>
      </c>
      <c r="K275" s="35">
        <f>VLOOKUP(I275,'Weights and Confidence'!$D$16:$AC$26,5,FALSE)/COUNTIFS($B:$B,$B275,$C:$C,$C275,$H:$H,$H275,$I:$I,$I275)</f>
        <v>0.05</v>
      </c>
      <c r="L275" s="36">
        <f>VLOOKUP(I275,'Weights and Confidence'!$D$16:$AC$26,6,FALSE)</f>
        <v>1</v>
      </c>
      <c r="M275" s="37">
        <f>tScores4[[#This Row],[Raw_Rating_Text]]</f>
        <v>1</v>
      </c>
      <c r="N275" s="34"/>
    </row>
    <row r="276" spans="1:14" x14ac:dyDescent="0.2">
      <c r="A276" s="38" t="s">
        <v>14</v>
      </c>
      <c r="B276" s="38" t="s">
        <v>1</v>
      </c>
      <c r="C276" s="38" t="s">
        <v>66</v>
      </c>
      <c r="D276" s="38" t="s">
        <v>65</v>
      </c>
      <c r="E276" s="38"/>
      <c r="F276" s="38" t="s">
        <v>67</v>
      </c>
      <c r="G276" s="38">
        <v>4</v>
      </c>
      <c r="H276" s="38" t="s">
        <v>17</v>
      </c>
      <c r="I276" s="38" t="s">
        <v>22</v>
      </c>
      <c r="J276" s="38">
        <v>1</v>
      </c>
      <c r="K276" s="39">
        <f>VLOOKUP(I276,'Weights and Confidence'!$D$16:$AC$26,5,FALSE)/COUNTIFS($B:$B,$B276,$C:$C,$C276,$H:$H,$H276,$I:$I,$I276)</f>
        <v>0.14000000000000001</v>
      </c>
      <c r="L276" s="40">
        <f>VLOOKUP(I276,'Weights and Confidence'!$D$16:$AC$26,6,FALSE)</f>
        <v>1</v>
      </c>
      <c r="M276" s="41">
        <f>tScores4[[#This Row],[Raw_Rating_Text]]</f>
        <v>1</v>
      </c>
      <c r="N276" s="38"/>
    </row>
    <row r="277" spans="1:14" x14ac:dyDescent="0.2">
      <c r="A277" s="34" t="s">
        <v>14</v>
      </c>
      <c r="B277" s="34" t="s">
        <v>1</v>
      </c>
      <c r="C277" s="34" t="s">
        <v>66</v>
      </c>
      <c r="D277" s="34" t="s">
        <v>65</v>
      </c>
      <c r="E277" s="34"/>
      <c r="F277" s="34" t="s">
        <v>67</v>
      </c>
      <c r="G277" s="34">
        <v>4</v>
      </c>
      <c r="H277" s="34" t="s">
        <v>18</v>
      </c>
      <c r="I277" s="34" t="s">
        <v>22</v>
      </c>
      <c r="J277" s="34">
        <v>-1</v>
      </c>
      <c r="K277" s="35">
        <f>VLOOKUP(I277,'Weights and Confidence'!$D$16:$AC$26,5,FALSE)/COUNTIFS($B:$B,$B277,$C:$C,$C277,$H:$H,$H277,$I:$I,$I277)</f>
        <v>0.14000000000000001</v>
      </c>
      <c r="L277" s="36">
        <f>VLOOKUP(I277,'Weights and Confidence'!$D$16:$AC$26,6,FALSE)</f>
        <v>1</v>
      </c>
      <c r="M277" s="37">
        <f>tScores4[[#This Row],[Raw_Rating_Text]]</f>
        <v>-1</v>
      </c>
      <c r="N277" s="34"/>
    </row>
    <row r="278" spans="1:14" x14ac:dyDescent="0.2">
      <c r="A278" s="38" t="s">
        <v>14</v>
      </c>
      <c r="B278" s="38" t="s">
        <v>1</v>
      </c>
      <c r="C278" s="38" t="s">
        <v>66</v>
      </c>
      <c r="D278" s="38" t="s">
        <v>65</v>
      </c>
      <c r="E278" s="38"/>
      <c r="F278" s="38" t="s">
        <v>67</v>
      </c>
      <c r="G278" s="38">
        <v>5</v>
      </c>
      <c r="H278" s="38" t="s">
        <v>17</v>
      </c>
      <c r="I278" s="38" t="s">
        <v>23</v>
      </c>
      <c r="J278" s="38">
        <v>1</v>
      </c>
      <c r="K278" s="39">
        <f>VLOOKUP(I278,'Weights and Confidence'!$D$16:$AC$26,5,FALSE)/COUNTIFS($B:$B,$B278,$C:$C,$C278,$H:$H,$H278,$I:$I,$I278)</f>
        <v>0.11</v>
      </c>
      <c r="L278" s="40">
        <f>VLOOKUP(I278,'Weights and Confidence'!$D$16:$AC$26,6,FALSE)</f>
        <v>1</v>
      </c>
      <c r="M278" s="41">
        <f>tScores4[[#This Row],[Raw_Rating_Text]]</f>
        <v>1</v>
      </c>
      <c r="N278" s="38"/>
    </row>
    <row r="279" spans="1:14" x14ac:dyDescent="0.2">
      <c r="A279" s="34" t="s">
        <v>14</v>
      </c>
      <c r="B279" s="34" t="s">
        <v>1</v>
      </c>
      <c r="C279" s="34" t="s">
        <v>66</v>
      </c>
      <c r="D279" s="34" t="s">
        <v>65</v>
      </c>
      <c r="E279" s="34"/>
      <c r="F279" s="34" t="s">
        <v>67</v>
      </c>
      <c r="G279" s="34">
        <v>5</v>
      </c>
      <c r="H279" s="34" t="s">
        <v>18</v>
      </c>
      <c r="I279" s="34" t="s">
        <v>23</v>
      </c>
      <c r="J279" s="34">
        <v>0</v>
      </c>
      <c r="K279" s="35">
        <f>VLOOKUP(I279,'Weights and Confidence'!$D$16:$AC$26,5,FALSE)/COUNTIFS($B:$B,$B279,$C:$C,$C279,$H:$H,$H279,$I:$I,$I279)</f>
        <v>0.11</v>
      </c>
      <c r="L279" s="36">
        <f>VLOOKUP(I279,'Weights and Confidence'!$D$16:$AC$26,6,FALSE)</f>
        <v>1</v>
      </c>
      <c r="M279" s="37">
        <f>tScores4[[#This Row],[Raw_Rating_Text]]</f>
        <v>0</v>
      </c>
      <c r="N279" s="34"/>
    </row>
    <row r="280" spans="1:14" x14ac:dyDescent="0.2">
      <c r="A280" s="38" t="s">
        <v>14</v>
      </c>
      <c r="B280" s="38" t="s">
        <v>1</v>
      </c>
      <c r="C280" s="38" t="s">
        <v>66</v>
      </c>
      <c r="D280" s="38" t="s">
        <v>65</v>
      </c>
      <c r="E280" s="38"/>
      <c r="F280" s="38" t="s">
        <v>67</v>
      </c>
      <c r="G280" s="38">
        <v>6</v>
      </c>
      <c r="H280" s="38" t="s">
        <v>17</v>
      </c>
      <c r="I280" s="38" t="s">
        <v>24</v>
      </c>
      <c r="J280" s="38">
        <v>0</v>
      </c>
      <c r="K280" s="39">
        <f>VLOOKUP(I280,'Weights and Confidence'!$D$16:$AC$26,5,FALSE)/COUNTIFS($B:$B,$B280,$C:$C,$C280,$H:$H,$H280,$I:$I,$I280)</f>
        <v>0.15</v>
      </c>
      <c r="L280" s="40">
        <f>VLOOKUP(I280,'Weights and Confidence'!$D$16:$AC$26,6,FALSE)</f>
        <v>1</v>
      </c>
      <c r="M280" s="41">
        <f>tScores4[[#This Row],[Raw_Rating_Text]]</f>
        <v>0</v>
      </c>
      <c r="N280" s="38"/>
    </row>
    <row r="281" spans="1:14" x14ac:dyDescent="0.2">
      <c r="A281" s="34" t="s">
        <v>14</v>
      </c>
      <c r="B281" s="34" t="s">
        <v>1</v>
      </c>
      <c r="C281" s="34" t="s">
        <v>66</v>
      </c>
      <c r="D281" s="34" t="s">
        <v>65</v>
      </c>
      <c r="E281" s="34"/>
      <c r="F281" s="34" t="s">
        <v>67</v>
      </c>
      <c r="G281" s="34">
        <v>6</v>
      </c>
      <c r="H281" s="34" t="s">
        <v>18</v>
      </c>
      <c r="I281" s="34" t="s">
        <v>24</v>
      </c>
      <c r="J281" s="34">
        <v>0</v>
      </c>
      <c r="K281" s="35">
        <f>VLOOKUP(I281,'Weights and Confidence'!$D$16:$AC$26,5,FALSE)/COUNTIFS($B:$B,$B281,$C:$C,$C281,$H:$H,$H281,$I:$I,$I281)</f>
        <v>0.15</v>
      </c>
      <c r="L281" s="36">
        <f>VLOOKUP(I281,'Weights and Confidence'!$D$16:$AC$26,6,FALSE)</f>
        <v>1</v>
      </c>
      <c r="M281" s="37">
        <f>tScores4[[#This Row],[Raw_Rating_Text]]</f>
        <v>0</v>
      </c>
      <c r="N281" s="34"/>
    </row>
    <row r="282" spans="1:14" x14ac:dyDescent="0.2">
      <c r="A282" s="38" t="s">
        <v>14</v>
      </c>
      <c r="B282" s="38" t="s">
        <v>1</v>
      </c>
      <c r="C282" s="38" t="s">
        <v>66</v>
      </c>
      <c r="D282" s="38" t="s">
        <v>65</v>
      </c>
      <c r="E282" s="38"/>
      <c r="F282" s="38" t="s">
        <v>67</v>
      </c>
      <c r="G282" s="38">
        <v>7</v>
      </c>
      <c r="H282" s="38" t="s">
        <v>17</v>
      </c>
      <c r="I282" s="38" t="s">
        <v>25</v>
      </c>
      <c r="J282" s="38">
        <v>1</v>
      </c>
      <c r="K282" s="39">
        <f>VLOOKUP(I282,'Weights and Confidence'!$D$16:$AC$26,5,FALSE)/COUNTIFS($B:$B,$B282,$C:$C,$C282,$H:$H,$H282,$I:$I,$I282)</f>
        <v>0.1</v>
      </c>
      <c r="L282" s="40">
        <f>VLOOKUP(I282,'Weights and Confidence'!$D$16:$AC$26,6,FALSE)</f>
        <v>1</v>
      </c>
      <c r="M282" s="41">
        <f>tScores4[[#This Row],[Raw_Rating_Text]]</f>
        <v>1</v>
      </c>
      <c r="N282" s="38"/>
    </row>
    <row r="283" spans="1:14" x14ac:dyDescent="0.2">
      <c r="A283" s="34" t="s">
        <v>14</v>
      </c>
      <c r="B283" s="34" t="s">
        <v>1</v>
      </c>
      <c r="C283" s="34" t="s">
        <v>66</v>
      </c>
      <c r="D283" s="34" t="s">
        <v>65</v>
      </c>
      <c r="E283" s="34"/>
      <c r="F283" s="34" t="s">
        <v>67</v>
      </c>
      <c r="G283" s="34">
        <v>7</v>
      </c>
      <c r="H283" s="34" t="s">
        <v>18</v>
      </c>
      <c r="I283" s="34" t="s">
        <v>25</v>
      </c>
      <c r="J283" s="34">
        <v>0</v>
      </c>
      <c r="K283" s="35">
        <f>VLOOKUP(I283,'Weights and Confidence'!$D$16:$AC$26,5,FALSE)/COUNTIFS($B:$B,$B283,$C:$C,$C283,$H:$H,$H283,$I:$I,$I283)</f>
        <v>0.1</v>
      </c>
      <c r="L283" s="36">
        <f>VLOOKUP(I283,'Weights and Confidence'!$D$16:$AC$26,6,FALSE)</f>
        <v>1</v>
      </c>
      <c r="M283" s="37">
        <f>tScores4[[#This Row],[Raw_Rating_Text]]</f>
        <v>0</v>
      </c>
      <c r="N283" s="34"/>
    </row>
    <row r="284" spans="1:14" x14ac:dyDescent="0.2">
      <c r="A284" s="38" t="s">
        <v>14</v>
      </c>
      <c r="B284" s="38" t="s">
        <v>1</v>
      </c>
      <c r="C284" s="38" t="s">
        <v>66</v>
      </c>
      <c r="D284" s="38" t="s">
        <v>65</v>
      </c>
      <c r="E284" s="38"/>
      <c r="F284" s="38" t="s">
        <v>67</v>
      </c>
      <c r="G284" s="38">
        <v>8</v>
      </c>
      <c r="H284" s="38" t="s">
        <v>17</v>
      </c>
      <c r="I284" s="38" t="s">
        <v>26</v>
      </c>
      <c r="J284" s="38">
        <v>0</v>
      </c>
      <c r="K284" s="39">
        <f>VLOOKUP(I284,'Weights and Confidence'!$D$16:$AC$26,5,FALSE)/COUNTIFS($B:$B,$B284,$C:$C,$C284,$H:$H,$H284,$I:$I,$I284)</f>
        <v>0.1</v>
      </c>
      <c r="L284" s="40">
        <f>VLOOKUP(I284,'Weights and Confidence'!$D$16:$AC$26,6,FALSE)</f>
        <v>1</v>
      </c>
      <c r="M284" s="41">
        <f>tScores4[[#This Row],[Raw_Rating_Text]]</f>
        <v>0</v>
      </c>
      <c r="N284" s="38"/>
    </row>
    <row r="285" spans="1:14" x14ac:dyDescent="0.2">
      <c r="A285" s="34" t="s">
        <v>14</v>
      </c>
      <c r="B285" s="34" t="s">
        <v>1</v>
      </c>
      <c r="C285" s="34" t="s">
        <v>66</v>
      </c>
      <c r="D285" s="34" t="s">
        <v>65</v>
      </c>
      <c r="E285" s="34"/>
      <c r="F285" s="34" t="s">
        <v>67</v>
      </c>
      <c r="G285" s="34">
        <v>8</v>
      </c>
      <c r="H285" s="34" t="s">
        <v>18</v>
      </c>
      <c r="I285" s="34" t="s">
        <v>26</v>
      </c>
      <c r="J285" s="34">
        <v>0</v>
      </c>
      <c r="K285" s="35">
        <f>VLOOKUP(I285,'Weights and Confidence'!$D$16:$AC$26,5,FALSE)/COUNTIFS($B:$B,$B285,$C:$C,$C285,$H:$H,$H285,$I:$I,$I285)</f>
        <v>0.1</v>
      </c>
      <c r="L285" s="36">
        <f>VLOOKUP(I285,'Weights and Confidence'!$D$16:$AC$26,6,FALSE)</f>
        <v>1</v>
      </c>
      <c r="M285" s="37">
        <f>tScores4[[#This Row],[Raw_Rating_Text]]</f>
        <v>0</v>
      </c>
      <c r="N285" s="34"/>
    </row>
    <row r="286" spans="1:14" x14ac:dyDescent="0.2">
      <c r="A286" s="38" t="s">
        <v>14</v>
      </c>
      <c r="B286" s="38" t="s">
        <v>1</v>
      </c>
      <c r="C286" s="38" t="s">
        <v>66</v>
      </c>
      <c r="D286" s="38" t="s">
        <v>65</v>
      </c>
      <c r="E286" s="38"/>
      <c r="F286" s="38" t="s">
        <v>67</v>
      </c>
      <c r="G286" s="38">
        <v>9</v>
      </c>
      <c r="H286" s="38" t="s">
        <v>17</v>
      </c>
      <c r="I286" s="38" t="s">
        <v>27</v>
      </c>
      <c r="J286" s="38">
        <v>0</v>
      </c>
      <c r="K286" s="39">
        <f>VLOOKUP(I286,'Weights and Confidence'!$D$16:$AC$26,5,FALSE)/COUNTIFS($B:$B,$B286,$C:$C,$C286,$H:$H,$H286,$I:$I,$I286)</f>
        <v>0.05</v>
      </c>
      <c r="L286" s="40">
        <f>VLOOKUP(I286,'Weights and Confidence'!$D$16:$AC$26,6,FALSE)</f>
        <v>0.85</v>
      </c>
      <c r="M286" s="41">
        <f>tScores4[[#This Row],[Raw_Rating_Text]]</f>
        <v>0</v>
      </c>
      <c r="N286" s="38"/>
    </row>
    <row r="287" spans="1:14" x14ac:dyDescent="0.2">
      <c r="A287" s="34" t="s">
        <v>14</v>
      </c>
      <c r="B287" s="34" t="s">
        <v>1</v>
      </c>
      <c r="C287" s="34" t="s">
        <v>66</v>
      </c>
      <c r="D287" s="34" t="s">
        <v>65</v>
      </c>
      <c r="E287" s="34"/>
      <c r="F287" s="34" t="s">
        <v>67</v>
      </c>
      <c r="G287" s="34">
        <v>9</v>
      </c>
      <c r="H287" s="34" t="s">
        <v>18</v>
      </c>
      <c r="I287" s="34" t="s">
        <v>27</v>
      </c>
      <c r="J287" s="34">
        <v>1</v>
      </c>
      <c r="K287" s="35">
        <f>VLOOKUP(I287,'Weights and Confidence'!$D$16:$AC$26,5,FALSE)/COUNTIFS($B:$B,$B287,$C:$C,$C287,$H:$H,$H287,$I:$I,$I287)</f>
        <v>0.05</v>
      </c>
      <c r="L287" s="36">
        <f>VLOOKUP(I287,'Weights and Confidence'!$D$16:$AC$26,6,FALSE)</f>
        <v>0.85</v>
      </c>
      <c r="M287" s="37">
        <f>tScores4[[#This Row],[Raw_Rating_Text]]</f>
        <v>1</v>
      </c>
      <c r="N287" s="34"/>
    </row>
    <row r="288" spans="1:14" x14ac:dyDescent="0.2">
      <c r="A288" s="38" t="s">
        <v>14</v>
      </c>
      <c r="B288" s="38" t="s">
        <v>1</v>
      </c>
      <c r="C288" s="38" t="s">
        <v>66</v>
      </c>
      <c r="D288" s="38" t="s">
        <v>65</v>
      </c>
      <c r="E288" s="38"/>
      <c r="F288" s="38" t="s">
        <v>67</v>
      </c>
      <c r="G288" s="38">
        <v>10</v>
      </c>
      <c r="H288" s="38" t="s">
        <v>17</v>
      </c>
      <c r="I288" s="38" t="s">
        <v>27</v>
      </c>
      <c r="J288" s="38">
        <v>0</v>
      </c>
      <c r="K288" s="39">
        <f>VLOOKUP(I288,'Weights and Confidence'!$D$16:$AC$26,5,FALSE)/COUNTIFS($B:$B,$B288,$C:$C,$C288,$H:$H,$H288,$I:$I,$I288)</f>
        <v>0.05</v>
      </c>
      <c r="L288" s="40">
        <f>VLOOKUP(I288,'Weights and Confidence'!$D$16:$AC$26,6,FALSE)</f>
        <v>0.85</v>
      </c>
      <c r="M288" s="41">
        <f>tScores4[[#This Row],[Raw_Rating_Text]]</f>
        <v>0</v>
      </c>
      <c r="N288" s="38"/>
    </row>
    <row r="289" spans="1:14" x14ac:dyDescent="0.2">
      <c r="A289" s="34" t="s">
        <v>14</v>
      </c>
      <c r="B289" s="34" t="s">
        <v>1</v>
      </c>
      <c r="C289" s="34" t="s">
        <v>66</v>
      </c>
      <c r="D289" s="34" t="s">
        <v>65</v>
      </c>
      <c r="E289" s="34"/>
      <c r="F289" s="34" t="s">
        <v>67</v>
      </c>
      <c r="G289" s="34">
        <v>10</v>
      </c>
      <c r="H289" s="34" t="s">
        <v>18</v>
      </c>
      <c r="I289" s="34" t="s">
        <v>27</v>
      </c>
      <c r="J289" s="34">
        <v>1</v>
      </c>
      <c r="K289" s="35">
        <f>VLOOKUP(I289,'Weights and Confidence'!$D$16:$AC$26,5,FALSE)/COUNTIFS($B:$B,$B289,$C:$C,$C289,$H:$H,$H289,$I:$I,$I289)</f>
        <v>0.05</v>
      </c>
      <c r="L289" s="36">
        <f>VLOOKUP(I289,'Weights and Confidence'!$D$16:$AC$26,6,FALSE)</f>
        <v>0.85</v>
      </c>
      <c r="M289" s="37">
        <f>tScores4[[#This Row],[Raw_Rating_Text]]</f>
        <v>1</v>
      </c>
      <c r="N289" s="34"/>
    </row>
    <row r="290" spans="1:14" x14ac:dyDescent="0.2">
      <c r="A290" s="38" t="s">
        <v>14</v>
      </c>
      <c r="B290" s="38" t="s">
        <v>1</v>
      </c>
      <c r="C290" s="38" t="s">
        <v>66</v>
      </c>
      <c r="D290" s="38" t="s">
        <v>65</v>
      </c>
      <c r="E290" s="38"/>
      <c r="F290" s="38" t="s">
        <v>67</v>
      </c>
      <c r="G290" s="38">
        <v>11</v>
      </c>
      <c r="H290" s="38" t="s">
        <v>17</v>
      </c>
      <c r="I290" s="38" t="s">
        <v>28</v>
      </c>
      <c r="J290" s="38">
        <v>1</v>
      </c>
      <c r="K290" s="39">
        <f>VLOOKUP(I290,'Weights and Confidence'!$D$16:$AC$26,5,FALSE)/COUNTIFS($B:$B,$B290,$C:$C,$C290,$H:$H,$H290,$I:$I,$I290)</f>
        <v>0.05</v>
      </c>
      <c r="L290" s="40">
        <f>VLOOKUP(I290,'Weights and Confidence'!$D$16:$AC$26,6,FALSE)</f>
        <v>1</v>
      </c>
      <c r="M290" s="41">
        <f>tScores4[[#This Row],[Raw_Rating_Text]]</f>
        <v>1</v>
      </c>
      <c r="N290" s="38"/>
    </row>
    <row r="291" spans="1:14" ht="17" thickBot="1" x14ac:dyDescent="0.25">
      <c r="A291" s="34" t="s">
        <v>14</v>
      </c>
      <c r="B291" s="34" t="s">
        <v>1</v>
      </c>
      <c r="C291" s="34" t="s">
        <v>66</v>
      </c>
      <c r="D291" s="34" t="s">
        <v>65</v>
      </c>
      <c r="E291" s="34"/>
      <c r="F291" s="34" t="s">
        <v>67</v>
      </c>
      <c r="G291" s="34">
        <v>11</v>
      </c>
      <c r="H291" s="34" t="s">
        <v>18</v>
      </c>
      <c r="I291" s="34" t="s">
        <v>28</v>
      </c>
      <c r="J291" s="34">
        <v>-1</v>
      </c>
      <c r="K291" s="35">
        <f>VLOOKUP(I291,'Weights and Confidence'!$D$16:$AC$26,5,FALSE)/COUNTIFS($B:$B,$B291,$C:$C,$C291,$H:$H,$H291,$I:$I,$I291)</f>
        <v>0.05</v>
      </c>
      <c r="L291" s="36">
        <f>VLOOKUP(I291,'Weights and Confidence'!$D$16:$AC$26,6,FALSE)</f>
        <v>1</v>
      </c>
      <c r="M291" s="37">
        <f>tScores4[[#This Row],[Raw_Rating_Text]]</f>
        <v>-1</v>
      </c>
      <c r="N291" s="34"/>
    </row>
    <row r="292" spans="1:14" ht="17" thickTop="1" x14ac:dyDescent="0.2">
      <c r="A292" s="42" t="s">
        <v>14</v>
      </c>
      <c r="B292" s="42" t="s">
        <v>1</v>
      </c>
      <c r="C292" s="42" t="s">
        <v>68</v>
      </c>
      <c r="D292" s="42" t="s">
        <v>65</v>
      </c>
      <c r="E292" s="42"/>
      <c r="F292" s="43" t="s">
        <v>69</v>
      </c>
      <c r="G292" s="42">
        <v>1</v>
      </c>
      <c r="H292" s="42" t="s">
        <v>17</v>
      </c>
      <c r="I292" s="42" t="s">
        <v>19</v>
      </c>
      <c r="J292" s="42">
        <v>-1</v>
      </c>
      <c r="K292" s="44">
        <f>VLOOKUP(I292,'Weights and Confidence'!$D$16:$AC$26,5,FALSE)/COUNTIFS($B:$B,$B292,$C:$C,$C292,$H:$H,$H292,$I:$I,$I292)</f>
        <v>0.12</v>
      </c>
      <c r="L292" s="45">
        <f>VLOOKUP(I292,'Weights and Confidence'!$D$16:$AC$26,6,FALSE)</f>
        <v>1</v>
      </c>
      <c r="M292" s="46">
        <f>tScores4[[#This Row],[Raw_Rating_Text]]</f>
        <v>-1</v>
      </c>
      <c r="N292" s="42"/>
    </row>
    <row r="293" spans="1:14" x14ac:dyDescent="0.2">
      <c r="A293" s="34" t="s">
        <v>14</v>
      </c>
      <c r="B293" s="34" t="s">
        <v>1</v>
      </c>
      <c r="C293" s="34" t="s">
        <v>68</v>
      </c>
      <c r="D293" s="34" t="s">
        <v>65</v>
      </c>
      <c r="E293" s="34"/>
      <c r="F293" s="34" t="s">
        <v>69</v>
      </c>
      <c r="G293" s="34">
        <v>1</v>
      </c>
      <c r="H293" s="34" t="s">
        <v>18</v>
      </c>
      <c r="I293" s="34" t="s">
        <v>19</v>
      </c>
      <c r="J293" s="34"/>
      <c r="K293" s="35">
        <f>VLOOKUP(I293,'Weights and Confidence'!$D$16:$AC$26,5,FALSE)/COUNTIFS($B:$B,$B293,$C:$C,$C293,$H:$H,$H293,$I:$I,$I293)</f>
        <v>0.12</v>
      </c>
      <c r="L293" s="36">
        <f>VLOOKUP(I293,'Weights and Confidence'!$D$16:$AC$26,6,FALSE)</f>
        <v>1</v>
      </c>
      <c r="M293" s="37">
        <f>tScores4[[#This Row],[Raw_Rating_Text]]</f>
        <v>0</v>
      </c>
      <c r="N293" s="34"/>
    </row>
    <row r="294" spans="1:14" x14ac:dyDescent="0.2">
      <c r="A294" s="38" t="s">
        <v>14</v>
      </c>
      <c r="B294" s="38" t="s">
        <v>1</v>
      </c>
      <c r="C294" s="38" t="s">
        <v>68</v>
      </c>
      <c r="D294" s="38" t="s">
        <v>65</v>
      </c>
      <c r="E294" s="38"/>
      <c r="F294" s="38" t="s">
        <v>69</v>
      </c>
      <c r="G294" s="38">
        <v>2</v>
      </c>
      <c r="H294" s="38" t="s">
        <v>17</v>
      </c>
      <c r="I294" s="38" t="s">
        <v>20</v>
      </c>
      <c r="J294" s="38"/>
      <c r="K294" s="39">
        <f>VLOOKUP(I294,'Weights and Confidence'!$D$16:$AC$26,5,FALSE)/COUNTIFS($B:$B,$B294,$C:$C,$C294,$H:$H,$H294,$I:$I,$I294)</f>
        <v>0.08</v>
      </c>
      <c r="L294" s="40">
        <f>VLOOKUP(I294,'Weights and Confidence'!$D$16:$AC$26,6,FALSE)</f>
        <v>0.8</v>
      </c>
      <c r="M294" s="41">
        <f>tScores4[[#This Row],[Raw_Rating_Text]]</f>
        <v>0</v>
      </c>
      <c r="N294" s="38"/>
    </row>
    <row r="295" spans="1:14" x14ac:dyDescent="0.2">
      <c r="A295" s="34" t="s">
        <v>14</v>
      </c>
      <c r="B295" s="34" t="s">
        <v>1</v>
      </c>
      <c r="C295" s="34" t="s">
        <v>68</v>
      </c>
      <c r="D295" s="34" t="s">
        <v>65</v>
      </c>
      <c r="E295" s="34"/>
      <c r="F295" s="34" t="s">
        <v>69</v>
      </c>
      <c r="G295" s="34">
        <v>2</v>
      </c>
      <c r="H295" s="34" t="s">
        <v>18</v>
      </c>
      <c r="I295" s="34" t="s">
        <v>20</v>
      </c>
      <c r="J295" s="34"/>
      <c r="K295" s="35">
        <f>VLOOKUP(I295,'Weights and Confidence'!$D$16:$AC$26,5,FALSE)/COUNTIFS($B:$B,$B295,$C:$C,$C295,$H:$H,$H295,$I:$I,$I295)</f>
        <v>0.08</v>
      </c>
      <c r="L295" s="36">
        <f>VLOOKUP(I295,'Weights and Confidence'!$D$16:$AC$26,6,FALSE)</f>
        <v>0.8</v>
      </c>
      <c r="M295" s="37">
        <f>tScores4[[#This Row],[Raw_Rating_Text]]</f>
        <v>0</v>
      </c>
      <c r="N295" s="34"/>
    </row>
    <row r="296" spans="1:14" x14ac:dyDescent="0.2">
      <c r="A296" s="38" t="s">
        <v>14</v>
      </c>
      <c r="B296" s="38" t="s">
        <v>1</v>
      </c>
      <c r="C296" s="38" t="s">
        <v>68</v>
      </c>
      <c r="D296" s="38" t="s">
        <v>65</v>
      </c>
      <c r="E296" s="38"/>
      <c r="F296" s="38" t="s">
        <v>69</v>
      </c>
      <c r="G296" s="38">
        <v>3</v>
      </c>
      <c r="H296" s="38" t="s">
        <v>17</v>
      </c>
      <c r="I296" s="38" t="s">
        <v>21</v>
      </c>
      <c r="J296" s="38">
        <v>0</v>
      </c>
      <c r="K296" s="39">
        <f>VLOOKUP(I296,'Weights and Confidence'!$D$16:$AC$26,5,FALSE)/COUNTIFS($B:$B,$B296,$C:$C,$C296,$H:$H,$H296,$I:$I,$I296)</f>
        <v>0.05</v>
      </c>
      <c r="L296" s="40">
        <f>VLOOKUP(I296,'Weights and Confidence'!$D$16:$AC$26,6,FALSE)</f>
        <v>1</v>
      </c>
      <c r="M296" s="41">
        <f>tScores4[[#This Row],[Raw_Rating_Text]]</f>
        <v>0</v>
      </c>
      <c r="N296" s="38"/>
    </row>
    <row r="297" spans="1:14" x14ac:dyDescent="0.2">
      <c r="A297" s="34" t="s">
        <v>14</v>
      </c>
      <c r="B297" s="34" t="s">
        <v>1</v>
      </c>
      <c r="C297" s="34" t="s">
        <v>68</v>
      </c>
      <c r="D297" s="34" t="s">
        <v>65</v>
      </c>
      <c r="E297" s="34"/>
      <c r="F297" s="34" t="s">
        <v>69</v>
      </c>
      <c r="G297" s="34">
        <v>3</v>
      </c>
      <c r="H297" s="34" t="s">
        <v>18</v>
      </c>
      <c r="I297" s="34" t="s">
        <v>21</v>
      </c>
      <c r="J297" s="34"/>
      <c r="K297" s="35">
        <f>VLOOKUP(I297,'Weights and Confidence'!$D$16:$AC$26,5,FALSE)/COUNTIFS($B:$B,$B297,$C:$C,$C297,$H:$H,$H297,$I:$I,$I297)</f>
        <v>0.05</v>
      </c>
      <c r="L297" s="36">
        <f>VLOOKUP(I297,'Weights and Confidence'!$D$16:$AC$26,6,FALSE)</f>
        <v>1</v>
      </c>
      <c r="M297" s="37">
        <f>tScores4[[#This Row],[Raw_Rating_Text]]</f>
        <v>0</v>
      </c>
      <c r="N297" s="34"/>
    </row>
    <row r="298" spans="1:14" x14ac:dyDescent="0.2">
      <c r="A298" s="38" t="s">
        <v>14</v>
      </c>
      <c r="B298" s="38" t="s">
        <v>1</v>
      </c>
      <c r="C298" s="38" t="s">
        <v>68</v>
      </c>
      <c r="D298" s="38" t="s">
        <v>65</v>
      </c>
      <c r="E298" s="38"/>
      <c r="F298" s="38" t="s">
        <v>69</v>
      </c>
      <c r="G298" s="38">
        <v>4</v>
      </c>
      <c r="H298" s="38" t="s">
        <v>17</v>
      </c>
      <c r="I298" s="38" t="s">
        <v>22</v>
      </c>
      <c r="J298" s="38">
        <v>-1</v>
      </c>
      <c r="K298" s="39">
        <f>VLOOKUP(I298,'Weights and Confidence'!$D$16:$AC$26,5,FALSE)/COUNTIFS($B:$B,$B298,$C:$C,$C298,$H:$H,$H298,$I:$I,$I298)</f>
        <v>0.14000000000000001</v>
      </c>
      <c r="L298" s="40">
        <f>VLOOKUP(I298,'Weights and Confidence'!$D$16:$AC$26,6,FALSE)</f>
        <v>1</v>
      </c>
      <c r="M298" s="41">
        <f>tScores4[[#This Row],[Raw_Rating_Text]]</f>
        <v>-1</v>
      </c>
      <c r="N298" s="38"/>
    </row>
    <row r="299" spans="1:14" x14ac:dyDescent="0.2">
      <c r="A299" s="34" t="s">
        <v>14</v>
      </c>
      <c r="B299" s="34" t="s">
        <v>1</v>
      </c>
      <c r="C299" s="34" t="s">
        <v>68</v>
      </c>
      <c r="D299" s="34" t="s">
        <v>65</v>
      </c>
      <c r="E299" s="34"/>
      <c r="F299" s="34" t="s">
        <v>69</v>
      </c>
      <c r="G299" s="34">
        <v>4</v>
      </c>
      <c r="H299" s="34" t="s">
        <v>18</v>
      </c>
      <c r="I299" s="34" t="s">
        <v>22</v>
      </c>
      <c r="J299" s="34">
        <v>-1</v>
      </c>
      <c r="K299" s="35">
        <f>VLOOKUP(I299,'Weights and Confidence'!$D$16:$AC$26,5,FALSE)/COUNTIFS($B:$B,$B299,$C:$C,$C299,$H:$H,$H299,$I:$I,$I299)</f>
        <v>0.14000000000000001</v>
      </c>
      <c r="L299" s="36">
        <f>VLOOKUP(I299,'Weights and Confidence'!$D$16:$AC$26,6,FALSE)</f>
        <v>1</v>
      </c>
      <c r="M299" s="37">
        <f>tScores4[[#This Row],[Raw_Rating_Text]]</f>
        <v>-1</v>
      </c>
      <c r="N299" s="34"/>
    </row>
    <row r="300" spans="1:14" x14ac:dyDescent="0.2">
      <c r="A300" s="38" t="s">
        <v>14</v>
      </c>
      <c r="B300" s="38" t="s">
        <v>1</v>
      </c>
      <c r="C300" s="38" t="s">
        <v>68</v>
      </c>
      <c r="D300" s="38" t="s">
        <v>65</v>
      </c>
      <c r="E300" s="38"/>
      <c r="F300" s="38" t="s">
        <v>69</v>
      </c>
      <c r="G300" s="38">
        <v>5</v>
      </c>
      <c r="H300" s="38" t="s">
        <v>17</v>
      </c>
      <c r="I300" s="38" t="s">
        <v>23</v>
      </c>
      <c r="J300" s="38">
        <v>-1</v>
      </c>
      <c r="K300" s="39">
        <f>VLOOKUP(I300,'Weights and Confidence'!$D$16:$AC$26,5,FALSE)/COUNTIFS($B:$B,$B300,$C:$C,$C300,$H:$H,$H300,$I:$I,$I300)</f>
        <v>0.11</v>
      </c>
      <c r="L300" s="40">
        <f>VLOOKUP(I300,'Weights and Confidence'!$D$16:$AC$26,6,FALSE)</f>
        <v>1</v>
      </c>
      <c r="M300" s="41">
        <f>tScores4[[#This Row],[Raw_Rating_Text]]</f>
        <v>-1</v>
      </c>
      <c r="N300" s="38"/>
    </row>
    <row r="301" spans="1:14" x14ac:dyDescent="0.2">
      <c r="A301" s="34" t="s">
        <v>14</v>
      </c>
      <c r="B301" s="34" t="s">
        <v>1</v>
      </c>
      <c r="C301" s="34" t="s">
        <v>68</v>
      </c>
      <c r="D301" s="34" t="s">
        <v>65</v>
      </c>
      <c r="E301" s="34"/>
      <c r="F301" s="34" t="s">
        <v>69</v>
      </c>
      <c r="G301" s="34">
        <v>5</v>
      </c>
      <c r="H301" s="34" t="s">
        <v>18</v>
      </c>
      <c r="I301" s="34" t="s">
        <v>23</v>
      </c>
      <c r="J301" s="34">
        <v>-1</v>
      </c>
      <c r="K301" s="35">
        <f>VLOOKUP(I301,'Weights and Confidence'!$D$16:$AC$26,5,FALSE)/COUNTIFS($B:$B,$B301,$C:$C,$C301,$H:$H,$H301,$I:$I,$I301)</f>
        <v>0.11</v>
      </c>
      <c r="L301" s="36">
        <f>VLOOKUP(I301,'Weights and Confidence'!$D$16:$AC$26,6,FALSE)</f>
        <v>1</v>
      </c>
      <c r="M301" s="37">
        <f>tScores4[[#This Row],[Raw_Rating_Text]]</f>
        <v>-1</v>
      </c>
      <c r="N301" s="34"/>
    </row>
    <row r="302" spans="1:14" x14ac:dyDescent="0.2">
      <c r="A302" s="38" t="s">
        <v>14</v>
      </c>
      <c r="B302" s="38" t="s">
        <v>1</v>
      </c>
      <c r="C302" s="38" t="s">
        <v>68</v>
      </c>
      <c r="D302" s="38" t="s">
        <v>65</v>
      </c>
      <c r="E302" s="38"/>
      <c r="F302" s="38" t="s">
        <v>69</v>
      </c>
      <c r="G302" s="38">
        <v>6</v>
      </c>
      <c r="H302" s="38" t="s">
        <v>17</v>
      </c>
      <c r="I302" s="38" t="s">
        <v>24</v>
      </c>
      <c r="J302" s="38">
        <v>-1</v>
      </c>
      <c r="K302" s="39">
        <f>VLOOKUP(I302,'Weights and Confidence'!$D$16:$AC$26,5,FALSE)/COUNTIFS($B:$B,$B302,$C:$C,$C302,$H:$H,$H302,$I:$I,$I302)</f>
        <v>0.15</v>
      </c>
      <c r="L302" s="40">
        <f>VLOOKUP(I302,'Weights and Confidence'!$D$16:$AC$26,6,FALSE)</f>
        <v>1</v>
      </c>
      <c r="M302" s="41">
        <f>tScores4[[#This Row],[Raw_Rating_Text]]</f>
        <v>-1</v>
      </c>
      <c r="N302" s="38"/>
    </row>
    <row r="303" spans="1:14" x14ac:dyDescent="0.2">
      <c r="A303" s="34" t="s">
        <v>14</v>
      </c>
      <c r="B303" s="34" t="s">
        <v>1</v>
      </c>
      <c r="C303" s="34" t="s">
        <v>68</v>
      </c>
      <c r="D303" s="34" t="s">
        <v>65</v>
      </c>
      <c r="E303" s="34"/>
      <c r="F303" s="34" t="s">
        <v>69</v>
      </c>
      <c r="G303" s="34">
        <v>6</v>
      </c>
      <c r="H303" s="34" t="s">
        <v>18</v>
      </c>
      <c r="I303" s="34" t="s">
        <v>24</v>
      </c>
      <c r="J303" s="34">
        <v>-1</v>
      </c>
      <c r="K303" s="35">
        <f>VLOOKUP(I303,'Weights and Confidence'!$D$16:$AC$26,5,FALSE)/COUNTIFS($B:$B,$B303,$C:$C,$C303,$H:$H,$H303,$I:$I,$I303)</f>
        <v>0.15</v>
      </c>
      <c r="L303" s="36">
        <f>VLOOKUP(I303,'Weights and Confidence'!$D$16:$AC$26,6,FALSE)</f>
        <v>1</v>
      </c>
      <c r="M303" s="37">
        <f>tScores4[[#This Row],[Raw_Rating_Text]]</f>
        <v>-1</v>
      </c>
      <c r="N303" s="34"/>
    </row>
    <row r="304" spans="1:14" x14ac:dyDescent="0.2">
      <c r="A304" s="38" t="s">
        <v>14</v>
      </c>
      <c r="B304" s="38" t="s">
        <v>1</v>
      </c>
      <c r="C304" s="38" t="s">
        <v>68</v>
      </c>
      <c r="D304" s="38" t="s">
        <v>65</v>
      </c>
      <c r="E304" s="38"/>
      <c r="F304" s="38" t="s">
        <v>69</v>
      </c>
      <c r="G304" s="38">
        <v>7</v>
      </c>
      <c r="H304" s="38" t="s">
        <v>17</v>
      </c>
      <c r="I304" s="38" t="s">
        <v>25</v>
      </c>
      <c r="J304" s="38">
        <v>0</v>
      </c>
      <c r="K304" s="39">
        <f>VLOOKUP(I304,'Weights and Confidence'!$D$16:$AC$26,5,FALSE)/COUNTIFS($B:$B,$B304,$C:$C,$C304,$H:$H,$H304,$I:$I,$I304)</f>
        <v>0.1</v>
      </c>
      <c r="L304" s="40">
        <f>VLOOKUP(I304,'Weights and Confidence'!$D$16:$AC$26,6,FALSE)</f>
        <v>1</v>
      </c>
      <c r="M304" s="41">
        <f>tScores4[[#This Row],[Raw_Rating_Text]]</f>
        <v>0</v>
      </c>
      <c r="N304" s="38"/>
    </row>
    <row r="305" spans="1:14" x14ac:dyDescent="0.2">
      <c r="A305" s="34" t="s">
        <v>14</v>
      </c>
      <c r="B305" s="34" t="s">
        <v>1</v>
      </c>
      <c r="C305" s="34" t="s">
        <v>68</v>
      </c>
      <c r="D305" s="34" t="s">
        <v>65</v>
      </c>
      <c r="E305" s="34"/>
      <c r="F305" s="34" t="s">
        <v>69</v>
      </c>
      <c r="G305" s="34">
        <v>7</v>
      </c>
      <c r="H305" s="34" t="s">
        <v>18</v>
      </c>
      <c r="I305" s="34" t="s">
        <v>25</v>
      </c>
      <c r="J305" s="34">
        <v>-1</v>
      </c>
      <c r="K305" s="35">
        <f>VLOOKUP(I305,'Weights and Confidence'!$D$16:$AC$26,5,FALSE)/COUNTIFS($B:$B,$B305,$C:$C,$C305,$H:$H,$H305,$I:$I,$I305)</f>
        <v>0.1</v>
      </c>
      <c r="L305" s="36">
        <f>VLOOKUP(I305,'Weights and Confidence'!$D$16:$AC$26,6,FALSE)</f>
        <v>1</v>
      </c>
      <c r="M305" s="37">
        <f>tScores4[[#This Row],[Raw_Rating_Text]]</f>
        <v>-1</v>
      </c>
      <c r="N305" s="34"/>
    </row>
    <row r="306" spans="1:14" x14ac:dyDescent="0.2">
      <c r="A306" s="38" t="s">
        <v>14</v>
      </c>
      <c r="B306" s="38" t="s">
        <v>1</v>
      </c>
      <c r="C306" s="38" t="s">
        <v>68</v>
      </c>
      <c r="D306" s="38" t="s">
        <v>65</v>
      </c>
      <c r="E306" s="38"/>
      <c r="F306" s="38" t="s">
        <v>69</v>
      </c>
      <c r="G306" s="38">
        <v>8</v>
      </c>
      <c r="H306" s="38" t="s">
        <v>17</v>
      </c>
      <c r="I306" s="38" t="s">
        <v>26</v>
      </c>
      <c r="J306" s="38">
        <v>0</v>
      </c>
      <c r="K306" s="39">
        <f>VLOOKUP(I306,'Weights and Confidence'!$D$16:$AC$26,5,FALSE)/COUNTIFS($B:$B,$B306,$C:$C,$C306,$H:$H,$H306,$I:$I,$I306)</f>
        <v>0.1</v>
      </c>
      <c r="L306" s="40">
        <f>VLOOKUP(I306,'Weights and Confidence'!$D$16:$AC$26,6,FALSE)</f>
        <v>1</v>
      </c>
      <c r="M306" s="41">
        <f>tScores4[[#This Row],[Raw_Rating_Text]]</f>
        <v>0</v>
      </c>
      <c r="N306" s="38"/>
    </row>
    <row r="307" spans="1:14" x14ac:dyDescent="0.2">
      <c r="A307" s="34" t="s">
        <v>14</v>
      </c>
      <c r="B307" s="34" t="s">
        <v>1</v>
      </c>
      <c r="C307" s="34" t="s">
        <v>68</v>
      </c>
      <c r="D307" s="34" t="s">
        <v>65</v>
      </c>
      <c r="E307" s="34"/>
      <c r="F307" s="34" t="s">
        <v>69</v>
      </c>
      <c r="G307" s="34">
        <v>8</v>
      </c>
      <c r="H307" s="34" t="s">
        <v>18</v>
      </c>
      <c r="I307" s="34" t="s">
        <v>26</v>
      </c>
      <c r="J307" s="34">
        <v>-1</v>
      </c>
      <c r="K307" s="35">
        <f>VLOOKUP(I307,'Weights and Confidence'!$D$16:$AC$26,5,FALSE)/COUNTIFS($B:$B,$B307,$C:$C,$C307,$H:$H,$H307,$I:$I,$I307)</f>
        <v>0.1</v>
      </c>
      <c r="L307" s="36">
        <f>VLOOKUP(I307,'Weights and Confidence'!$D$16:$AC$26,6,FALSE)</f>
        <v>1</v>
      </c>
      <c r="M307" s="37">
        <f>tScores4[[#This Row],[Raw_Rating_Text]]</f>
        <v>-1</v>
      </c>
      <c r="N307" s="34"/>
    </row>
    <row r="308" spans="1:14" x14ac:dyDescent="0.2">
      <c r="A308" s="38" t="s">
        <v>14</v>
      </c>
      <c r="B308" s="38" t="s">
        <v>1</v>
      </c>
      <c r="C308" s="38" t="s">
        <v>68</v>
      </c>
      <c r="D308" s="38" t="s">
        <v>65</v>
      </c>
      <c r="E308" s="38"/>
      <c r="F308" s="38" t="s">
        <v>69</v>
      </c>
      <c r="G308" s="38">
        <v>9</v>
      </c>
      <c r="H308" s="38" t="s">
        <v>17</v>
      </c>
      <c r="I308" s="38" t="s">
        <v>27</v>
      </c>
      <c r="J308" s="38">
        <v>0</v>
      </c>
      <c r="K308" s="39">
        <f>VLOOKUP(I308,'Weights and Confidence'!$D$16:$AC$26,5,FALSE)/COUNTIFS($B:$B,$B308,$C:$C,$C308,$H:$H,$H308,$I:$I,$I308)</f>
        <v>0.05</v>
      </c>
      <c r="L308" s="40">
        <f>VLOOKUP(I308,'Weights and Confidence'!$D$16:$AC$26,6,FALSE)</f>
        <v>0.85</v>
      </c>
      <c r="M308" s="41">
        <f>tScores4[[#This Row],[Raw_Rating_Text]]</f>
        <v>0</v>
      </c>
      <c r="N308" s="38"/>
    </row>
    <row r="309" spans="1:14" x14ac:dyDescent="0.2">
      <c r="A309" s="34" t="s">
        <v>14</v>
      </c>
      <c r="B309" s="34" t="s">
        <v>1</v>
      </c>
      <c r="C309" s="34" t="s">
        <v>68</v>
      </c>
      <c r="D309" s="34" t="s">
        <v>65</v>
      </c>
      <c r="E309" s="34"/>
      <c r="F309" s="34" t="s">
        <v>69</v>
      </c>
      <c r="G309" s="34">
        <v>9</v>
      </c>
      <c r="H309" s="34" t="s">
        <v>18</v>
      </c>
      <c r="I309" s="34" t="s">
        <v>27</v>
      </c>
      <c r="J309" s="34">
        <v>-1</v>
      </c>
      <c r="K309" s="35">
        <f>VLOOKUP(I309,'Weights and Confidence'!$D$16:$AC$26,5,FALSE)/COUNTIFS($B:$B,$B309,$C:$C,$C309,$H:$H,$H309,$I:$I,$I309)</f>
        <v>0.05</v>
      </c>
      <c r="L309" s="36">
        <f>VLOOKUP(I309,'Weights and Confidence'!$D$16:$AC$26,6,FALSE)</f>
        <v>0.85</v>
      </c>
      <c r="M309" s="37">
        <f>tScores4[[#This Row],[Raw_Rating_Text]]</f>
        <v>-1</v>
      </c>
      <c r="N309" s="34"/>
    </row>
    <row r="310" spans="1:14" x14ac:dyDescent="0.2">
      <c r="A310" s="38" t="s">
        <v>14</v>
      </c>
      <c r="B310" s="38" t="s">
        <v>1</v>
      </c>
      <c r="C310" s="38" t="s">
        <v>68</v>
      </c>
      <c r="D310" s="38" t="s">
        <v>65</v>
      </c>
      <c r="E310" s="38"/>
      <c r="F310" s="38" t="s">
        <v>69</v>
      </c>
      <c r="G310" s="38">
        <v>10</v>
      </c>
      <c r="H310" s="38" t="s">
        <v>17</v>
      </c>
      <c r="I310" s="38" t="s">
        <v>27</v>
      </c>
      <c r="J310" s="38">
        <v>0</v>
      </c>
      <c r="K310" s="39">
        <f>VLOOKUP(I310,'Weights and Confidence'!$D$16:$AC$26,5,FALSE)/COUNTIFS($B:$B,$B310,$C:$C,$C310,$H:$H,$H310,$I:$I,$I310)</f>
        <v>0.05</v>
      </c>
      <c r="L310" s="40">
        <f>VLOOKUP(I310,'Weights and Confidence'!$D$16:$AC$26,6,FALSE)</f>
        <v>0.85</v>
      </c>
      <c r="M310" s="41">
        <f>tScores4[[#This Row],[Raw_Rating_Text]]</f>
        <v>0</v>
      </c>
      <c r="N310" s="38"/>
    </row>
    <row r="311" spans="1:14" x14ac:dyDescent="0.2">
      <c r="A311" s="34" t="s">
        <v>14</v>
      </c>
      <c r="B311" s="34" t="s">
        <v>1</v>
      </c>
      <c r="C311" s="34" t="s">
        <v>68</v>
      </c>
      <c r="D311" s="34" t="s">
        <v>65</v>
      </c>
      <c r="E311" s="34"/>
      <c r="F311" s="34" t="s">
        <v>69</v>
      </c>
      <c r="G311" s="34">
        <v>10</v>
      </c>
      <c r="H311" s="34" t="s">
        <v>18</v>
      </c>
      <c r="I311" s="34" t="s">
        <v>27</v>
      </c>
      <c r="J311" s="34">
        <v>-1</v>
      </c>
      <c r="K311" s="35">
        <f>VLOOKUP(I311,'Weights and Confidence'!$D$16:$AC$26,5,FALSE)/COUNTIFS($B:$B,$B311,$C:$C,$C311,$H:$H,$H311,$I:$I,$I311)</f>
        <v>0.05</v>
      </c>
      <c r="L311" s="36">
        <f>VLOOKUP(I311,'Weights and Confidence'!$D$16:$AC$26,6,FALSE)</f>
        <v>0.85</v>
      </c>
      <c r="M311" s="37">
        <f>tScores4[[#This Row],[Raw_Rating_Text]]</f>
        <v>-1</v>
      </c>
      <c r="N311" s="34"/>
    </row>
    <row r="312" spans="1:14" x14ac:dyDescent="0.2">
      <c r="A312" s="38" t="s">
        <v>14</v>
      </c>
      <c r="B312" s="38" t="s">
        <v>1</v>
      </c>
      <c r="C312" s="38" t="s">
        <v>68</v>
      </c>
      <c r="D312" s="38" t="s">
        <v>65</v>
      </c>
      <c r="E312" s="38"/>
      <c r="F312" s="38" t="s">
        <v>69</v>
      </c>
      <c r="G312" s="38">
        <v>11</v>
      </c>
      <c r="H312" s="38" t="s">
        <v>17</v>
      </c>
      <c r="I312" s="38" t="s">
        <v>28</v>
      </c>
      <c r="J312" s="38">
        <v>0</v>
      </c>
      <c r="K312" s="39">
        <f>VLOOKUP(I312,'Weights and Confidence'!$D$16:$AC$26,5,FALSE)/COUNTIFS($B:$B,$B312,$C:$C,$C312,$H:$H,$H312,$I:$I,$I312)</f>
        <v>0.05</v>
      </c>
      <c r="L312" s="40">
        <f>VLOOKUP(I312,'Weights and Confidence'!$D$16:$AC$26,6,FALSE)</f>
        <v>1</v>
      </c>
      <c r="M312" s="41">
        <f>tScores4[[#This Row],[Raw_Rating_Text]]</f>
        <v>0</v>
      </c>
      <c r="N312" s="38"/>
    </row>
    <row r="313" spans="1:14" ht="17" thickBot="1" x14ac:dyDescent="0.25">
      <c r="A313" s="34" t="s">
        <v>14</v>
      </c>
      <c r="B313" s="34" t="s">
        <v>1</v>
      </c>
      <c r="C313" s="34" t="s">
        <v>68</v>
      </c>
      <c r="D313" s="34" t="s">
        <v>65</v>
      </c>
      <c r="E313" s="34"/>
      <c r="F313" s="34" t="s">
        <v>69</v>
      </c>
      <c r="G313" s="34">
        <v>11</v>
      </c>
      <c r="H313" s="34" t="s">
        <v>18</v>
      </c>
      <c r="I313" s="34" t="s">
        <v>28</v>
      </c>
      <c r="J313" s="34">
        <v>-1</v>
      </c>
      <c r="K313" s="35">
        <f>VLOOKUP(I313,'Weights and Confidence'!$D$16:$AC$26,5,FALSE)/COUNTIFS($B:$B,$B313,$C:$C,$C313,$H:$H,$H313,$I:$I,$I313)</f>
        <v>0.05</v>
      </c>
      <c r="L313" s="36">
        <f>VLOOKUP(I313,'Weights and Confidence'!$D$16:$AC$26,6,FALSE)</f>
        <v>1</v>
      </c>
      <c r="M313" s="37">
        <f>tScores4[[#This Row],[Raw_Rating_Text]]</f>
        <v>-1</v>
      </c>
      <c r="N313" s="34"/>
    </row>
    <row r="314" spans="1:14" ht="17" thickTop="1" x14ac:dyDescent="0.2">
      <c r="A314" s="42" t="s">
        <v>14</v>
      </c>
      <c r="B314" s="42" t="s">
        <v>1</v>
      </c>
      <c r="C314" s="42" t="s">
        <v>70</v>
      </c>
      <c r="D314" s="42" t="s">
        <v>65</v>
      </c>
      <c r="E314" s="42"/>
      <c r="F314" s="43" t="s">
        <v>71</v>
      </c>
      <c r="G314" s="42">
        <v>1</v>
      </c>
      <c r="H314" s="42" t="s">
        <v>17</v>
      </c>
      <c r="I314" s="42" t="s">
        <v>19</v>
      </c>
      <c r="J314" s="42">
        <v>0</v>
      </c>
      <c r="K314" s="44">
        <f>VLOOKUP(I314,'Weights and Confidence'!$D$16:$AC$26,5,FALSE)/COUNTIFS($B:$B,$B314,$C:$C,$C314,$H:$H,$H314,$I:$I,$I314)</f>
        <v>0.12</v>
      </c>
      <c r="L314" s="45">
        <f>VLOOKUP(I314,'Weights and Confidence'!$D$16:$AC$26,6,FALSE)</f>
        <v>1</v>
      </c>
      <c r="M314" s="46">
        <f>tScores4[[#This Row],[Raw_Rating_Text]]</f>
        <v>0</v>
      </c>
      <c r="N314" s="42"/>
    </row>
    <row r="315" spans="1:14" x14ac:dyDescent="0.2">
      <c r="A315" s="34" t="s">
        <v>14</v>
      </c>
      <c r="B315" s="34" t="s">
        <v>1</v>
      </c>
      <c r="C315" s="34" t="s">
        <v>70</v>
      </c>
      <c r="D315" s="34" t="s">
        <v>65</v>
      </c>
      <c r="E315" s="34"/>
      <c r="F315" s="34" t="s">
        <v>71</v>
      </c>
      <c r="G315" s="34">
        <v>1</v>
      </c>
      <c r="H315" s="34" t="s">
        <v>18</v>
      </c>
      <c r="I315" s="34" t="s">
        <v>19</v>
      </c>
      <c r="J315" s="34">
        <v>1</v>
      </c>
      <c r="K315" s="35">
        <f>VLOOKUP(I315,'Weights and Confidence'!$D$16:$AC$26,5,FALSE)/COUNTIFS($B:$B,$B315,$C:$C,$C315,$H:$H,$H315,$I:$I,$I315)</f>
        <v>0.12</v>
      </c>
      <c r="L315" s="36">
        <f>VLOOKUP(I315,'Weights and Confidence'!$D$16:$AC$26,6,FALSE)</f>
        <v>1</v>
      </c>
      <c r="M315" s="37">
        <f>tScores4[[#This Row],[Raw_Rating_Text]]</f>
        <v>1</v>
      </c>
      <c r="N315" s="34"/>
    </row>
    <row r="316" spans="1:14" x14ac:dyDescent="0.2">
      <c r="A316" s="38" t="s">
        <v>14</v>
      </c>
      <c r="B316" s="38" t="s">
        <v>1</v>
      </c>
      <c r="C316" s="38" t="s">
        <v>70</v>
      </c>
      <c r="D316" s="38" t="s">
        <v>65</v>
      </c>
      <c r="E316" s="38"/>
      <c r="F316" s="38" t="s">
        <v>71</v>
      </c>
      <c r="G316" s="38">
        <v>2</v>
      </c>
      <c r="H316" s="38" t="s">
        <v>17</v>
      </c>
      <c r="I316" s="38" t="s">
        <v>20</v>
      </c>
      <c r="J316" s="38"/>
      <c r="K316" s="39">
        <f>VLOOKUP(I316,'Weights and Confidence'!$D$16:$AC$26,5,FALSE)/COUNTIFS($B:$B,$B316,$C:$C,$C316,$H:$H,$H316,$I:$I,$I316)</f>
        <v>0.08</v>
      </c>
      <c r="L316" s="40">
        <f>VLOOKUP(I316,'Weights and Confidence'!$D$16:$AC$26,6,FALSE)</f>
        <v>0.8</v>
      </c>
      <c r="M316" s="41">
        <f>tScores4[[#This Row],[Raw_Rating_Text]]</f>
        <v>0</v>
      </c>
      <c r="N316" s="38"/>
    </row>
    <row r="317" spans="1:14" x14ac:dyDescent="0.2">
      <c r="A317" s="34" t="s">
        <v>14</v>
      </c>
      <c r="B317" s="34" t="s">
        <v>1</v>
      </c>
      <c r="C317" s="34" t="s">
        <v>70</v>
      </c>
      <c r="D317" s="34" t="s">
        <v>65</v>
      </c>
      <c r="E317" s="34"/>
      <c r="F317" s="34" t="s">
        <v>71</v>
      </c>
      <c r="G317" s="34">
        <v>2</v>
      </c>
      <c r="H317" s="34" t="s">
        <v>18</v>
      </c>
      <c r="I317" s="34" t="s">
        <v>20</v>
      </c>
      <c r="J317" s="34">
        <v>1</v>
      </c>
      <c r="K317" s="35">
        <f>VLOOKUP(I317,'Weights and Confidence'!$D$16:$AC$26,5,FALSE)/COUNTIFS($B:$B,$B317,$C:$C,$C317,$H:$H,$H317,$I:$I,$I317)</f>
        <v>0.08</v>
      </c>
      <c r="L317" s="36">
        <f>VLOOKUP(I317,'Weights and Confidence'!$D$16:$AC$26,6,FALSE)</f>
        <v>0.8</v>
      </c>
      <c r="M317" s="37">
        <f>tScores4[[#This Row],[Raw_Rating_Text]]</f>
        <v>1</v>
      </c>
      <c r="N317" s="34"/>
    </row>
    <row r="318" spans="1:14" x14ac:dyDescent="0.2">
      <c r="A318" s="38" t="s">
        <v>14</v>
      </c>
      <c r="B318" s="38" t="s">
        <v>1</v>
      </c>
      <c r="C318" s="38" t="s">
        <v>70</v>
      </c>
      <c r="D318" s="38" t="s">
        <v>65</v>
      </c>
      <c r="E318" s="38"/>
      <c r="F318" s="38" t="s">
        <v>71</v>
      </c>
      <c r="G318" s="38">
        <v>3</v>
      </c>
      <c r="H318" s="38" t="s">
        <v>17</v>
      </c>
      <c r="I318" s="38" t="s">
        <v>21</v>
      </c>
      <c r="J318" s="38">
        <v>1</v>
      </c>
      <c r="K318" s="39">
        <f>VLOOKUP(I318,'Weights and Confidence'!$D$16:$AC$26,5,FALSE)/COUNTIFS($B:$B,$B318,$C:$C,$C318,$H:$H,$H318,$I:$I,$I318)</f>
        <v>0.05</v>
      </c>
      <c r="L318" s="40">
        <f>VLOOKUP(I318,'Weights and Confidence'!$D$16:$AC$26,6,FALSE)</f>
        <v>1</v>
      </c>
      <c r="M318" s="41">
        <f>tScores4[[#This Row],[Raw_Rating_Text]]</f>
        <v>1</v>
      </c>
      <c r="N318" s="38"/>
    </row>
    <row r="319" spans="1:14" x14ac:dyDescent="0.2">
      <c r="A319" s="34" t="s">
        <v>14</v>
      </c>
      <c r="B319" s="34" t="s">
        <v>1</v>
      </c>
      <c r="C319" s="34" t="s">
        <v>70</v>
      </c>
      <c r="D319" s="34" t="s">
        <v>65</v>
      </c>
      <c r="E319" s="34"/>
      <c r="F319" s="34" t="s">
        <v>71</v>
      </c>
      <c r="G319" s="34">
        <v>3</v>
      </c>
      <c r="H319" s="34" t="s">
        <v>18</v>
      </c>
      <c r="I319" s="34" t="s">
        <v>21</v>
      </c>
      <c r="J319" s="34">
        <v>1</v>
      </c>
      <c r="K319" s="35">
        <f>VLOOKUP(I319,'Weights and Confidence'!$D$16:$AC$26,5,FALSE)/COUNTIFS($B:$B,$B319,$C:$C,$C319,$H:$H,$H319,$I:$I,$I319)</f>
        <v>0.05</v>
      </c>
      <c r="L319" s="36">
        <f>VLOOKUP(I319,'Weights and Confidence'!$D$16:$AC$26,6,FALSE)</f>
        <v>1</v>
      </c>
      <c r="M319" s="37">
        <f>tScores4[[#This Row],[Raw_Rating_Text]]</f>
        <v>1</v>
      </c>
      <c r="N319" s="34"/>
    </row>
    <row r="320" spans="1:14" x14ac:dyDescent="0.2">
      <c r="A320" s="38" t="s">
        <v>14</v>
      </c>
      <c r="B320" s="38" t="s">
        <v>1</v>
      </c>
      <c r="C320" s="38" t="s">
        <v>70</v>
      </c>
      <c r="D320" s="38" t="s">
        <v>65</v>
      </c>
      <c r="E320" s="38"/>
      <c r="F320" s="38" t="s">
        <v>71</v>
      </c>
      <c r="G320" s="38">
        <v>4</v>
      </c>
      <c r="H320" s="38" t="s">
        <v>17</v>
      </c>
      <c r="I320" s="38" t="s">
        <v>22</v>
      </c>
      <c r="J320" s="38">
        <v>0</v>
      </c>
      <c r="K320" s="39">
        <f>VLOOKUP(I320,'Weights and Confidence'!$D$16:$AC$26,5,FALSE)/COUNTIFS($B:$B,$B320,$C:$C,$C320,$H:$H,$H320,$I:$I,$I320)</f>
        <v>0.14000000000000001</v>
      </c>
      <c r="L320" s="40">
        <f>VLOOKUP(I320,'Weights and Confidence'!$D$16:$AC$26,6,FALSE)</f>
        <v>1</v>
      </c>
      <c r="M320" s="41">
        <f>tScores4[[#This Row],[Raw_Rating_Text]]</f>
        <v>0</v>
      </c>
      <c r="N320" s="38"/>
    </row>
    <row r="321" spans="1:14" x14ac:dyDescent="0.2">
      <c r="A321" s="34" t="s">
        <v>14</v>
      </c>
      <c r="B321" s="34" t="s">
        <v>1</v>
      </c>
      <c r="C321" s="34" t="s">
        <v>70</v>
      </c>
      <c r="D321" s="34" t="s">
        <v>65</v>
      </c>
      <c r="E321" s="34"/>
      <c r="F321" s="34" t="s">
        <v>71</v>
      </c>
      <c r="G321" s="34">
        <v>4</v>
      </c>
      <c r="H321" s="34" t="s">
        <v>18</v>
      </c>
      <c r="I321" s="34" t="s">
        <v>22</v>
      </c>
      <c r="J321" s="34">
        <v>1</v>
      </c>
      <c r="K321" s="35">
        <f>VLOOKUP(I321,'Weights and Confidence'!$D$16:$AC$26,5,FALSE)/COUNTIFS($B:$B,$B321,$C:$C,$C321,$H:$H,$H321,$I:$I,$I321)</f>
        <v>0.14000000000000001</v>
      </c>
      <c r="L321" s="36">
        <f>VLOOKUP(I321,'Weights and Confidence'!$D$16:$AC$26,6,FALSE)</f>
        <v>1</v>
      </c>
      <c r="M321" s="37">
        <f>tScores4[[#This Row],[Raw_Rating_Text]]</f>
        <v>1</v>
      </c>
      <c r="N321" s="34"/>
    </row>
    <row r="322" spans="1:14" x14ac:dyDescent="0.2">
      <c r="A322" s="38" t="s">
        <v>14</v>
      </c>
      <c r="B322" s="38" t="s">
        <v>1</v>
      </c>
      <c r="C322" s="38" t="s">
        <v>70</v>
      </c>
      <c r="D322" s="38" t="s">
        <v>65</v>
      </c>
      <c r="E322" s="38"/>
      <c r="F322" s="38" t="s">
        <v>71</v>
      </c>
      <c r="G322" s="38">
        <v>5</v>
      </c>
      <c r="H322" s="38" t="s">
        <v>17</v>
      </c>
      <c r="I322" s="38" t="s">
        <v>23</v>
      </c>
      <c r="J322" s="38">
        <v>0</v>
      </c>
      <c r="K322" s="39">
        <f>VLOOKUP(I322,'Weights and Confidence'!$D$16:$AC$26,5,FALSE)/COUNTIFS($B:$B,$B322,$C:$C,$C322,$H:$H,$H322,$I:$I,$I322)</f>
        <v>0.11</v>
      </c>
      <c r="L322" s="40">
        <f>VLOOKUP(I322,'Weights and Confidence'!$D$16:$AC$26,6,FALSE)</f>
        <v>1</v>
      </c>
      <c r="M322" s="41">
        <f>tScores4[[#This Row],[Raw_Rating_Text]]</f>
        <v>0</v>
      </c>
      <c r="N322" s="38"/>
    </row>
    <row r="323" spans="1:14" x14ac:dyDescent="0.2">
      <c r="A323" s="34" t="s">
        <v>14</v>
      </c>
      <c r="B323" s="34" t="s">
        <v>1</v>
      </c>
      <c r="C323" s="34" t="s">
        <v>70</v>
      </c>
      <c r="D323" s="34" t="s">
        <v>65</v>
      </c>
      <c r="E323" s="34"/>
      <c r="F323" s="34" t="s">
        <v>71</v>
      </c>
      <c r="G323" s="34">
        <v>5</v>
      </c>
      <c r="H323" s="34" t="s">
        <v>18</v>
      </c>
      <c r="I323" s="34" t="s">
        <v>23</v>
      </c>
      <c r="J323" s="34">
        <v>1</v>
      </c>
      <c r="K323" s="35">
        <f>VLOOKUP(I323,'Weights and Confidence'!$D$16:$AC$26,5,FALSE)/COUNTIFS($B:$B,$B323,$C:$C,$C323,$H:$H,$H323,$I:$I,$I323)</f>
        <v>0.11</v>
      </c>
      <c r="L323" s="36">
        <f>VLOOKUP(I323,'Weights and Confidence'!$D$16:$AC$26,6,FALSE)</f>
        <v>1</v>
      </c>
      <c r="M323" s="37">
        <f>tScores4[[#This Row],[Raw_Rating_Text]]</f>
        <v>1</v>
      </c>
      <c r="N323" s="34"/>
    </row>
    <row r="324" spans="1:14" x14ac:dyDescent="0.2">
      <c r="A324" s="38" t="s">
        <v>14</v>
      </c>
      <c r="B324" s="38" t="s">
        <v>1</v>
      </c>
      <c r="C324" s="38" t="s">
        <v>70</v>
      </c>
      <c r="D324" s="38" t="s">
        <v>65</v>
      </c>
      <c r="E324" s="38"/>
      <c r="F324" s="38" t="s">
        <v>71</v>
      </c>
      <c r="G324" s="38">
        <v>6</v>
      </c>
      <c r="H324" s="38" t="s">
        <v>17</v>
      </c>
      <c r="I324" s="38" t="s">
        <v>24</v>
      </c>
      <c r="J324" s="38">
        <v>0</v>
      </c>
      <c r="K324" s="39">
        <f>VLOOKUP(I324,'Weights and Confidence'!$D$16:$AC$26,5,FALSE)/COUNTIFS($B:$B,$B324,$C:$C,$C324,$H:$H,$H324,$I:$I,$I324)</f>
        <v>0.15</v>
      </c>
      <c r="L324" s="40">
        <f>VLOOKUP(I324,'Weights and Confidence'!$D$16:$AC$26,6,FALSE)</f>
        <v>1</v>
      </c>
      <c r="M324" s="41">
        <f>tScores4[[#This Row],[Raw_Rating_Text]]</f>
        <v>0</v>
      </c>
      <c r="N324" s="38"/>
    </row>
    <row r="325" spans="1:14" x14ac:dyDescent="0.2">
      <c r="A325" s="34" t="s">
        <v>14</v>
      </c>
      <c r="B325" s="34" t="s">
        <v>1</v>
      </c>
      <c r="C325" s="34" t="s">
        <v>70</v>
      </c>
      <c r="D325" s="34" t="s">
        <v>65</v>
      </c>
      <c r="E325" s="34"/>
      <c r="F325" s="34" t="s">
        <v>71</v>
      </c>
      <c r="G325" s="34">
        <v>6</v>
      </c>
      <c r="H325" s="34" t="s">
        <v>18</v>
      </c>
      <c r="I325" s="34" t="s">
        <v>24</v>
      </c>
      <c r="J325" s="34">
        <v>1</v>
      </c>
      <c r="K325" s="35">
        <f>VLOOKUP(I325,'Weights and Confidence'!$D$16:$AC$26,5,FALSE)/COUNTIFS($B:$B,$B325,$C:$C,$C325,$H:$H,$H325,$I:$I,$I325)</f>
        <v>0.15</v>
      </c>
      <c r="L325" s="36">
        <f>VLOOKUP(I325,'Weights and Confidence'!$D$16:$AC$26,6,FALSE)</f>
        <v>1</v>
      </c>
      <c r="M325" s="37">
        <f>tScores4[[#This Row],[Raw_Rating_Text]]</f>
        <v>1</v>
      </c>
      <c r="N325" s="34"/>
    </row>
    <row r="326" spans="1:14" x14ac:dyDescent="0.2">
      <c r="A326" s="38" t="s">
        <v>14</v>
      </c>
      <c r="B326" s="38" t="s">
        <v>1</v>
      </c>
      <c r="C326" s="38" t="s">
        <v>70</v>
      </c>
      <c r="D326" s="38" t="s">
        <v>65</v>
      </c>
      <c r="E326" s="38"/>
      <c r="F326" s="38" t="s">
        <v>71</v>
      </c>
      <c r="G326" s="38">
        <v>7</v>
      </c>
      <c r="H326" s="38" t="s">
        <v>17</v>
      </c>
      <c r="I326" s="38" t="s">
        <v>25</v>
      </c>
      <c r="J326" s="38">
        <v>1</v>
      </c>
      <c r="K326" s="39">
        <f>VLOOKUP(I326,'Weights and Confidence'!$D$16:$AC$26,5,FALSE)/COUNTIFS($B:$B,$B326,$C:$C,$C326,$H:$H,$H326,$I:$I,$I326)</f>
        <v>0.1</v>
      </c>
      <c r="L326" s="40">
        <f>VLOOKUP(I326,'Weights and Confidence'!$D$16:$AC$26,6,FALSE)</f>
        <v>1</v>
      </c>
      <c r="M326" s="41">
        <f>tScores4[[#This Row],[Raw_Rating_Text]]</f>
        <v>1</v>
      </c>
      <c r="N326" s="38"/>
    </row>
    <row r="327" spans="1:14" x14ac:dyDescent="0.2">
      <c r="A327" s="34" t="s">
        <v>14</v>
      </c>
      <c r="B327" s="34" t="s">
        <v>1</v>
      </c>
      <c r="C327" s="34" t="s">
        <v>70</v>
      </c>
      <c r="D327" s="34" t="s">
        <v>65</v>
      </c>
      <c r="E327" s="34"/>
      <c r="F327" s="34" t="s">
        <v>71</v>
      </c>
      <c r="G327" s="34">
        <v>7</v>
      </c>
      <c r="H327" s="34" t="s">
        <v>18</v>
      </c>
      <c r="I327" s="34" t="s">
        <v>25</v>
      </c>
      <c r="J327" s="34">
        <v>0</v>
      </c>
      <c r="K327" s="35">
        <f>VLOOKUP(I327,'Weights and Confidence'!$D$16:$AC$26,5,FALSE)/COUNTIFS($B:$B,$B327,$C:$C,$C327,$H:$H,$H327,$I:$I,$I327)</f>
        <v>0.1</v>
      </c>
      <c r="L327" s="36">
        <f>VLOOKUP(I327,'Weights and Confidence'!$D$16:$AC$26,6,FALSE)</f>
        <v>1</v>
      </c>
      <c r="M327" s="37">
        <f>tScores4[[#This Row],[Raw_Rating_Text]]</f>
        <v>0</v>
      </c>
      <c r="N327" s="34"/>
    </row>
    <row r="328" spans="1:14" x14ac:dyDescent="0.2">
      <c r="A328" s="38" t="s">
        <v>14</v>
      </c>
      <c r="B328" s="38" t="s">
        <v>1</v>
      </c>
      <c r="C328" s="38" t="s">
        <v>70</v>
      </c>
      <c r="D328" s="38" t="s">
        <v>65</v>
      </c>
      <c r="E328" s="38"/>
      <c r="F328" s="38" t="s">
        <v>71</v>
      </c>
      <c r="G328" s="38">
        <v>8</v>
      </c>
      <c r="H328" s="38" t="s">
        <v>17</v>
      </c>
      <c r="I328" s="38" t="s">
        <v>26</v>
      </c>
      <c r="J328" s="38">
        <v>1</v>
      </c>
      <c r="K328" s="39">
        <f>VLOOKUP(I328,'Weights and Confidence'!$D$16:$AC$26,5,FALSE)/COUNTIFS($B:$B,$B328,$C:$C,$C328,$H:$H,$H328,$I:$I,$I328)</f>
        <v>0.1</v>
      </c>
      <c r="L328" s="40">
        <f>VLOOKUP(I328,'Weights and Confidence'!$D$16:$AC$26,6,FALSE)</f>
        <v>1</v>
      </c>
      <c r="M328" s="41">
        <f>tScores4[[#This Row],[Raw_Rating_Text]]</f>
        <v>1</v>
      </c>
      <c r="N328" s="38"/>
    </row>
    <row r="329" spans="1:14" x14ac:dyDescent="0.2">
      <c r="A329" s="34" t="s">
        <v>14</v>
      </c>
      <c r="B329" s="34" t="s">
        <v>1</v>
      </c>
      <c r="C329" s="34" t="s">
        <v>70</v>
      </c>
      <c r="D329" s="34" t="s">
        <v>65</v>
      </c>
      <c r="E329" s="34"/>
      <c r="F329" s="34" t="s">
        <v>71</v>
      </c>
      <c r="G329" s="34">
        <v>8</v>
      </c>
      <c r="H329" s="34" t="s">
        <v>18</v>
      </c>
      <c r="I329" s="34" t="s">
        <v>26</v>
      </c>
      <c r="J329" s="34">
        <v>0</v>
      </c>
      <c r="K329" s="35">
        <f>VLOOKUP(I329,'Weights and Confidence'!$D$16:$AC$26,5,FALSE)/COUNTIFS($B:$B,$B329,$C:$C,$C329,$H:$H,$H329,$I:$I,$I329)</f>
        <v>0.1</v>
      </c>
      <c r="L329" s="36">
        <f>VLOOKUP(I329,'Weights and Confidence'!$D$16:$AC$26,6,FALSE)</f>
        <v>1</v>
      </c>
      <c r="M329" s="37">
        <f>tScores4[[#This Row],[Raw_Rating_Text]]</f>
        <v>0</v>
      </c>
      <c r="N329" s="34"/>
    </row>
    <row r="330" spans="1:14" x14ac:dyDescent="0.2">
      <c r="A330" s="38" t="s">
        <v>14</v>
      </c>
      <c r="B330" s="38" t="s">
        <v>1</v>
      </c>
      <c r="C330" s="38" t="s">
        <v>70</v>
      </c>
      <c r="D330" s="38" t="s">
        <v>65</v>
      </c>
      <c r="E330" s="38"/>
      <c r="F330" s="38" t="s">
        <v>71</v>
      </c>
      <c r="G330" s="38">
        <v>9</v>
      </c>
      <c r="H330" s="38" t="s">
        <v>17</v>
      </c>
      <c r="I330" s="38" t="s">
        <v>27</v>
      </c>
      <c r="J330" s="38">
        <v>1</v>
      </c>
      <c r="K330" s="39">
        <f>VLOOKUP(I330,'Weights and Confidence'!$D$16:$AC$26,5,FALSE)/COUNTIFS($B:$B,$B330,$C:$C,$C330,$H:$H,$H330,$I:$I,$I330)</f>
        <v>0.05</v>
      </c>
      <c r="L330" s="40">
        <f>VLOOKUP(I330,'Weights and Confidence'!$D$16:$AC$26,6,FALSE)</f>
        <v>0.85</v>
      </c>
      <c r="M330" s="41">
        <f>tScores4[[#This Row],[Raw_Rating_Text]]</f>
        <v>1</v>
      </c>
      <c r="N330" s="38"/>
    </row>
    <row r="331" spans="1:14" x14ac:dyDescent="0.2">
      <c r="A331" s="34" t="s">
        <v>14</v>
      </c>
      <c r="B331" s="34" t="s">
        <v>1</v>
      </c>
      <c r="C331" s="34" t="s">
        <v>70</v>
      </c>
      <c r="D331" s="34" t="s">
        <v>65</v>
      </c>
      <c r="E331" s="34"/>
      <c r="F331" s="34" t="s">
        <v>71</v>
      </c>
      <c r="G331" s="34">
        <v>9</v>
      </c>
      <c r="H331" s="34" t="s">
        <v>18</v>
      </c>
      <c r="I331" s="34" t="s">
        <v>27</v>
      </c>
      <c r="J331" s="34">
        <v>1</v>
      </c>
      <c r="K331" s="35">
        <f>VLOOKUP(I331,'Weights and Confidence'!$D$16:$AC$26,5,FALSE)/COUNTIFS($B:$B,$B331,$C:$C,$C331,$H:$H,$H331,$I:$I,$I331)</f>
        <v>0.05</v>
      </c>
      <c r="L331" s="36">
        <f>VLOOKUP(I331,'Weights and Confidence'!$D$16:$AC$26,6,FALSE)</f>
        <v>0.85</v>
      </c>
      <c r="M331" s="37">
        <f>tScores4[[#This Row],[Raw_Rating_Text]]</f>
        <v>1</v>
      </c>
      <c r="N331" s="34"/>
    </row>
    <row r="332" spans="1:14" x14ac:dyDescent="0.2">
      <c r="A332" s="38" t="s">
        <v>14</v>
      </c>
      <c r="B332" s="38" t="s">
        <v>1</v>
      </c>
      <c r="C332" s="38" t="s">
        <v>70</v>
      </c>
      <c r="D332" s="38" t="s">
        <v>65</v>
      </c>
      <c r="E332" s="38"/>
      <c r="F332" s="38" t="s">
        <v>71</v>
      </c>
      <c r="G332" s="38">
        <v>10</v>
      </c>
      <c r="H332" s="38" t="s">
        <v>17</v>
      </c>
      <c r="I332" s="38" t="s">
        <v>27</v>
      </c>
      <c r="J332" s="38">
        <v>1</v>
      </c>
      <c r="K332" s="39">
        <f>VLOOKUP(I332,'Weights and Confidence'!$D$16:$AC$26,5,FALSE)/COUNTIFS($B:$B,$B332,$C:$C,$C332,$H:$H,$H332,$I:$I,$I332)</f>
        <v>0.05</v>
      </c>
      <c r="L332" s="40">
        <f>VLOOKUP(I332,'Weights and Confidence'!$D$16:$AC$26,6,FALSE)</f>
        <v>0.85</v>
      </c>
      <c r="M332" s="41">
        <f>tScores4[[#This Row],[Raw_Rating_Text]]</f>
        <v>1</v>
      </c>
      <c r="N332" s="38"/>
    </row>
    <row r="333" spans="1:14" x14ac:dyDescent="0.2">
      <c r="A333" s="34" t="s">
        <v>14</v>
      </c>
      <c r="B333" s="34" t="s">
        <v>1</v>
      </c>
      <c r="C333" s="34" t="s">
        <v>70</v>
      </c>
      <c r="D333" s="34" t="s">
        <v>65</v>
      </c>
      <c r="E333" s="34"/>
      <c r="F333" s="34" t="s">
        <v>71</v>
      </c>
      <c r="G333" s="34">
        <v>10</v>
      </c>
      <c r="H333" s="34" t="s">
        <v>18</v>
      </c>
      <c r="I333" s="34" t="s">
        <v>27</v>
      </c>
      <c r="J333" s="34">
        <v>1</v>
      </c>
      <c r="K333" s="35">
        <f>VLOOKUP(I333,'Weights and Confidence'!$D$16:$AC$26,5,FALSE)/COUNTIFS($B:$B,$B333,$C:$C,$C333,$H:$H,$H333,$I:$I,$I333)</f>
        <v>0.05</v>
      </c>
      <c r="L333" s="36">
        <f>VLOOKUP(I333,'Weights and Confidence'!$D$16:$AC$26,6,FALSE)</f>
        <v>0.85</v>
      </c>
      <c r="M333" s="37">
        <f>tScores4[[#This Row],[Raw_Rating_Text]]</f>
        <v>1</v>
      </c>
      <c r="N333" s="34"/>
    </row>
    <row r="334" spans="1:14" x14ac:dyDescent="0.2">
      <c r="A334" s="38" t="s">
        <v>14</v>
      </c>
      <c r="B334" s="38" t="s">
        <v>1</v>
      </c>
      <c r="C334" s="38" t="s">
        <v>70</v>
      </c>
      <c r="D334" s="38" t="s">
        <v>65</v>
      </c>
      <c r="E334" s="38"/>
      <c r="F334" s="38" t="s">
        <v>71</v>
      </c>
      <c r="G334" s="38">
        <v>11</v>
      </c>
      <c r="H334" s="38" t="s">
        <v>17</v>
      </c>
      <c r="I334" s="38" t="s">
        <v>28</v>
      </c>
      <c r="J334" s="38">
        <v>0</v>
      </c>
      <c r="K334" s="39">
        <f>VLOOKUP(I334,'Weights and Confidence'!$D$16:$AC$26,5,FALSE)/COUNTIFS($B:$B,$B334,$C:$C,$C334,$H:$H,$H334,$I:$I,$I334)</f>
        <v>0.05</v>
      </c>
      <c r="L334" s="40">
        <f>VLOOKUP(I334,'Weights and Confidence'!$D$16:$AC$26,6,FALSE)</f>
        <v>1</v>
      </c>
      <c r="M334" s="41">
        <f>tScores4[[#This Row],[Raw_Rating_Text]]</f>
        <v>0</v>
      </c>
      <c r="N334" s="38"/>
    </row>
    <row r="335" spans="1:14" ht="17" thickBot="1" x14ac:dyDescent="0.25">
      <c r="A335" s="34" t="s">
        <v>14</v>
      </c>
      <c r="B335" s="34" t="s">
        <v>1</v>
      </c>
      <c r="C335" s="34" t="s">
        <v>70</v>
      </c>
      <c r="D335" s="34" t="s">
        <v>65</v>
      </c>
      <c r="E335" s="34"/>
      <c r="F335" s="34" t="s">
        <v>71</v>
      </c>
      <c r="G335" s="34">
        <v>11</v>
      </c>
      <c r="H335" s="34" t="s">
        <v>18</v>
      </c>
      <c r="I335" s="34" t="s">
        <v>28</v>
      </c>
      <c r="J335" s="34">
        <v>-1</v>
      </c>
      <c r="K335" s="35">
        <f>VLOOKUP(I335,'Weights and Confidence'!$D$16:$AC$26,5,FALSE)/COUNTIFS($B:$B,$B335,$C:$C,$C335,$H:$H,$H335,$I:$I,$I335)</f>
        <v>0.05</v>
      </c>
      <c r="L335" s="36">
        <f>VLOOKUP(I335,'Weights and Confidence'!$D$16:$AC$26,6,FALSE)</f>
        <v>1</v>
      </c>
      <c r="M335" s="37">
        <f>tScores4[[#This Row],[Raw_Rating_Text]]</f>
        <v>-1</v>
      </c>
      <c r="N335" s="34"/>
    </row>
    <row r="336" spans="1:14" ht="17" thickTop="1" x14ac:dyDescent="0.2">
      <c r="A336" s="42" t="s">
        <v>14</v>
      </c>
      <c r="B336" s="42" t="s">
        <v>1</v>
      </c>
      <c r="C336" s="42" t="s">
        <v>72</v>
      </c>
      <c r="D336" s="42" t="s">
        <v>65</v>
      </c>
      <c r="E336" s="42"/>
      <c r="F336" s="43" t="s">
        <v>73</v>
      </c>
      <c r="G336" s="42">
        <v>1</v>
      </c>
      <c r="H336" s="42" t="s">
        <v>17</v>
      </c>
      <c r="I336" s="42" t="s">
        <v>19</v>
      </c>
      <c r="J336" s="42">
        <v>1</v>
      </c>
      <c r="K336" s="44">
        <f>VLOOKUP(I336,'Weights and Confidence'!$D$16:$AC$26,5,FALSE)/COUNTIFS($B:$B,$B336,$C:$C,$C336,$H:$H,$H336,$I:$I,$I336)</f>
        <v>0.12</v>
      </c>
      <c r="L336" s="45">
        <f>VLOOKUP(I336,'Weights and Confidence'!$D$16:$AC$26,6,FALSE)</f>
        <v>1</v>
      </c>
      <c r="M336" s="46">
        <f>tScores4[[#This Row],[Raw_Rating_Text]]</f>
        <v>1</v>
      </c>
      <c r="N336" s="42"/>
    </row>
    <row r="337" spans="1:14" x14ac:dyDescent="0.2">
      <c r="A337" s="34" t="s">
        <v>14</v>
      </c>
      <c r="B337" s="34" t="s">
        <v>1</v>
      </c>
      <c r="C337" s="34" t="s">
        <v>72</v>
      </c>
      <c r="D337" s="34" t="s">
        <v>65</v>
      </c>
      <c r="E337" s="34"/>
      <c r="F337" s="34" t="s">
        <v>73</v>
      </c>
      <c r="G337" s="34">
        <v>1</v>
      </c>
      <c r="H337" s="34" t="s">
        <v>18</v>
      </c>
      <c r="I337" s="34" t="s">
        <v>19</v>
      </c>
      <c r="J337" s="34">
        <v>1</v>
      </c>
      <c r="K337" s="35">
        <f>VLOOKUP(I337,'Weights and Confidence'!$D$16:$AC$26,5,FALSE)/COUNTIFS($B:$B,$B337,$C:$C,$C337,$H:$H,$H337,$I:$I,$I337)</f>
        <v>0.12</v>
      </c>
      <c r="L337" s="36">
        <f>VLOOKUP(I337,'Weights and Confidence'!$D$16:$AC$26,6,FALSE)</f>
        <v>1</v>
      </c>
      <c r="M337" s="37">
        <f>tScores4[[#This Row],[Raw_Rating_Text]]</f>
        <v>1</v>
      </c>
      <c r="N337" s="34"/>
    </row>
    <row r="338" spans="1:14" x14ac:dyDescent="0.2">
      <c r="A338" s="38" t="s">
        <v>14</v>
      </c>
      <c r="B338" s="38" t="s">
        <v>1</v>
      </c>
      <c r="C338" s="38" t="s">
        <v>72</v>
      </c>
      <c r="D338" s="38" t="s">
        <v>65</v>
      </c>
      <c r="E338" s="38"/>
      <c r="F338" s="38" t="s">
        <v>73</v>
      </c>
      <c r="G338" s="38">
        <v>2</v>
      </c>
      <c r="H338" s="38" t="s">
        <v>17</v>
      </c>
      <c r="I338" s="38" t="s">
        <v>20</v>
      </c>
      <c r="J338" s="38"/>
      <c r="K338" s="39">
        <f>VLOOKUP(I338,'Weights and Confidence'!$D$16:$AC$26,5,FALSE)/COUNTIFS($B:$B,$B338,$C:$C,$C338,$H:$H,$H338,$I:$I,$I338)</f>
        <v>0.08</v>
      </c>
      <c r="L338" s="40">
        <f>VLOOKUP(I338,'Weights and Confidence'!$D$16:$AC$26,6,FALSE)</f>
        <v>0.8</v>
      </c>
      <c r="M338" s="41">
        <f>tScores4[[#This Row],[Raw_Rating_Text]]</f>
        <v>0</v>
      </c>
      <c r="N338" s="38"/>
    </row>
    <row r="339" spans="1:14" x14ac:dyDescent="0.2">
      <c r="A339" s="34" t="s">
        <v>14</v>
      </c>
      <c r="B339" s="34" t="s">
        <v>1</v>
      </c>
      <c r="C339" s="34" t="s">
        <v>72</v>
      </c>
      <c r="D339" s="34" t="s">
        <v>65</v>
      </c>
      <c r="E339" s="34"/>
      <c r="F339" s="34" t="s">
        <v>73</v>
      </c>
      <c r="G339" s="34">
        <v>2</v>
      </c>
      <c r="H339" s="34" t="s">
        <v>18</v>
      </c>
      <c r="I339" s="34" t="s">
        <v>20</v>
      </c>
      <c r="J339" s="34">
        <v>1</v>
      </c>
      <c r="K339" s="35">
        <f>VLOOKUP(I339,'Weights and Confidence'!$D$16:$AC$26,5,FALSE)/COUNTIFS($B:$B,$B339,$C:$C,$C339,$H:$H,$H339,$I:$I,$I339)</f>
        <v>0.08</v>
      </c>
      <c r="L339" s="36">
        <f>VLOOKUP(I339,'Weights and Confidence'!$D$16:$AC$26,6,FALSE)</f>
        <v>0.8</v>
      </c>
      <c r="M339" s="37">
        <f>tScores4[[#This Row],[Raw_Rating_Text]]</f>
        <v>1</v>
      </c>
      <c r="N339" s="34"/>
    </row>
    <row r="340" spans="1:14" x14ac:dyDescent="0.2">
      <c r="A340" s="38" t="s">
        <v>14</v>
      </c>
      <c r="B340" s="38" t="s">
        <v>1</v>
      </c>
      <c r="C340" s="38" t="s">
        <v>72</v>
      </c>
      <c r="D340" s="38" t="s">
        <v>65</v>
      </c>
      <c r="E340" s="38"/>
      <c r="F340" s="38" t="s">
        <v>73</v>
      </c>
      <c r="G340" s="38">
        <v>3</v>
      </c>
      <c r="H340" s="38" t="s">
        <v>17</v>
      </c>
      <c r="I340" s="38" t="s">
        <v>21</v>
      </c>
      <c r="J340" s="38">
        <v>1</v>
      </c>
      <c r="K340" s="39">
        <f>VLOOKUP(I340,'Weights and Confidence'!$D$16:$AC$26,5,FALSE)/COUNTIFS($B:$B,$B340,$C:$C,$C340,$H:$H,$H340,$I:$I,$I340)</f>
        <v>0.05</v>
      </c>
      <c r="L340" s="40">
        <f>VLOOKUP(I340,'Weights and Confidence'!$D$16:$AC$26,6,FALSE)</f>
        <v>1</v>
      </c>
      <c r="M340" s="41">
        <f>tScores4[[#This Row],[Raw_Rating_Text]]</f>
        <v>1</v>
      </c>
      <c r="N340" s="38"/>
    </row>
    <row r="341" spans="1:14" x14ac:dyDescent="0.2">
      <c r="A341" s="34" t="s">
        <v>14</v>
      </c>
      <c r="B341" s="34" t="s">
        <v>1</v>
      </c>
      <c r="C341" s="34" t="s">
        <v>72</v>
      </c>
      <c r="D341" s="34" t="s">
        <v>65</v>
      </c>
      <c r="E341" s="34"/>
      <c r="F341" s="34" t="s">
        <v>73</v>
      </c>
      <c r="G341" s="34">
        <v>3</v>
      </c>
      <c r="H341" s="34" t="s">
        <v>18</v>
      </c>
      <c r="I341" s="34" t="s">
        <v>21</v>
      </c>
      <c r="J341" s="34">
        <v>0</v>
      </c>
      <c r="K341" s="35">
        <f>VLOOKUP(I341,'Weights and Confidence'!$D$16:$AC$26,5,FALSE)/COUNTIFS($B:$B,$B341,$C:$C,$C341,$H:$H,$H341,$I:$I,$I341)</f>
        <v>0.05</v>
      </c>
      <c r="L341" s="36">
        <f>VLOOKUP(I341,'Weights and Confidence'!$D$16:$AC$26,6,FALSE)</f>
        <v>1</v>
      </c>
      <c r="M341" s="37">
        <f>tScores4[[#This Row],[Raw_Rating_Text]]</f>
        <v>0</v>
      </c>
      <c r="N341" s="34"/>
    </row>
    <row r="342" spans="1:14" x14ac:dyDescent="0.2">
      <c r="A342" s="38" t="s">
        <v>14</v>
      </c>
      <c r="B342" s="38" t="s">
        <v>1</v>
      </c>
      <c r="C342" s="38" t="s">
        <v>72</v>
      </c>
      <c r="D342" s="38" t="s">
        <v>65</v>
      </c>
      <c r="E342" s="38"/>
      <c r="F342" s="38" t="s">
        <v>73</v>
      </c>
      <c r="G342" s="38">
        <v>4</v>
      </c>
      <c r="H342" s="38" t="s">
        <v>17</v>
      </c>
      <c r="I342" s="38" t="s">
        <v>22</v>
      </c>
      <c r="J342" s="38">
        <v>-1</v>
      </c>
      <c r="K342" s="39">
        <f>VLOOKUP(I342,'Weights and Confidence'!$D$16:$AC$26,5,FALSE)/COUNTIFS($B:$B,$B342,$C:$C,$C342,$H:$H,$H342,$I:$I,$I342)</f>
        <v>0.14000000000000001</v>
      </c>
      <c r="L342" s="40">
        <f>VLOOKUP(I342,'Weights and Confidence'!$D$16:$AC$26,6,FALSE)</f>
        <v>1</v>
      </c>
      <c r="M342" s="41">
        <f>tScores4[[#This Row],[Raw_Rating_Text]]</f>
        <v>-1</v>
      </c>
      <c r="N342" s="38"/>
    </row>
    <row r="343" spans="1:14" x14ac:dyDescent="0.2">
      <c r="A343" s="34" t="s">
        <v>14</v>
      </c>
      <c r="B343" s="34" t="s">
        <v>1</v>
      </c>
      <c r="C343" s="34" t="s">
        <v>72</v>
      </c>
      <c r="D343" s="34" t="s">
        <v>65</v>
      </c>
      <c r="E343" s="34"/>
      <c r="F343" s="34" t="s">
        <v>73</v>
      </c>
      <c r="G343" s="34">
        <v>4</v>
      </c>
      <c r="H343" s="34" t="s">
        <v>18</v>
      </c>
      <c r="I343" s="34" t="s">
        <v>22</v>
      </c>
      <c r="J343" s="34">
        <v>0</v>
      </c>
      <c r="K343" s="35">
        <f>VLOOKUP(I343,'Weights and Confidence'!$D$16:$AC$26,5,FALSE)/COUNTIFS($B:$B,$B343,$C:$C,$C343,$H:$H,$H343,$I:$I,$I343)</f>
        <v>0.14000000000000001</v>
      </c>
      <c r="L343" s="36">
        <f>VLOOKUP(I343,'Weights and Confidence'!$D$16:$AC$26,6,FALSE)</f>
        <v>1</v>
      </c>
      <c r="M343" s="37">
        <f>tScores4[[#This Row],[Raw_Rating_Text]]</f>
        <v>0</v>
      </c>
      <c r="N343" s="34"/>
    </row>
    <row r="344" spans="1:14" x14ac:dyDescent="0.2">
      <c r="A344" s="38" t="s">
        <v>14</v>
      </c>
      <c r="B344" s="38" t="s">
        <v>1</v>
      </c>
      <c r="C344" s="38" t="s">
        <v>72</v>
      </c>
      <c r="D344" s="38" t="s">
        <v>65</v>
      </c>
      <c r="E344" s="38"/>
      <c r="F344" s="38" t="s">
        <v>73</v>
      </c>
      <c r="G344" s="38">
        <v>5</v>
      </c>
      <c r="H344" s="38" t="s">
        <v>17</v>
      </c>
      <c r="I344" s="38" t="s">
        <v>23</v>
      </c>
      <c r="J344" s="38">
        <v>-1</v>
      </c>
      <c r="K344" s="39">
        <f>VLOOKUP(I344,'Weights and Confidence'!$D$16:$AC$26,5,FALSE)/COUNTIFS($B:$B,$B344,$C:$C,$C344,$H:$H,$H344,$I:$I,$I344)</f>
        <v>0.11</v>
      </c>
      <c r="L344" s="40">
        <f>VLOOKUP(I344,'Weights and Confidence'!$D$16:$AC$26,6,FALSE)</f>
        <v>1</v>
      </c>
      <c r="M344" s="41">
        <f>tScores4[[#This Row],[Raw_Rating_Text]]</f>
        <v>-1</v>
      </c>
      <c r="N344" s="38"/>
    </row>
    <row r="345" spans="1:14" x14ac:dyDescent="0.2">
      <c r="A345" s="34" t="s">
        <v>14</v>
      </c>
      <c r="B345" s="34" t="s">
        <v>1</v>
      </c>
      <c r="C345" s="34" t="s">
        <v>72</v>
      </c>
      <c r="D345" s="34" t="s">
        <v>65</v>
      </c>
      <c r="E345" s="34"/>
      <c r="F345" s="34" t="s">
        <v>73</v>
      </c>
      <c r="G345" s="34">
        <v>5</v>
      </c>
      <c r="H345" s="34" t="s">
        <v>18</v>
      </c>
      <c r="I345" s="34" t="s">
        <v>23</v>
      </c>
      <c r="J345" s="34">
        <v>0</v>
      </c>
      <c r="K345" s="35">
        <f>VLOOKUP(I345,'Weights and Confidence'!$D$16:$AC$26,5,FALSE)/COUNTIFS($B:$B,$B345,$C:$C,$C345,$H:$H,$H345,$I:$I,$I345)</f>
        <v>0.11</v>
      </c>
      <c r="L345" s="36">
        <f>VLOOKUP(I345,'Weights and Confidence'!$D$16:$AC$26,6,FALSE)</f>
        <v>1</v>
      </c>
      <c r="M345" s="37">
        <f>tScores4[[#This Row],[Raw_Rating_Text]]</f>
        <v>0</v>
      </c>
      <c r="N345" s="34"/>
    </row>
    <row r="346" spans="1:14" x14ac:dyDescent="0.2">
      <c r="A346" s="38" t="s">
        <v>14</v>
      </c>
      <c r="B346" s="38" t="s">
        <v>1</v>
      </c>
      <c r="C346" s="38" t="s">
        <v>72</v>
      </c>
      <c r="D346" s="38" t="s">
        <v>65</v>
      </c>
      <c r="E346" s="38"/>
      <c r="F346" s="38" t="s">
        <v>73</v>
      </c>
      <c r="G346" s="38">
        <v>6</v>
      </c>
      <c r="H346" s="38" t="s">
        <v>17</v>
      </c>
      <c r="I346" s="38" t="s">
        <v>24</v>
      </c>
      <c r="J346" s="38">
        <v>0</v>
      </c>
      <c r="K346" s="39">
        <f>VLOOKUP(I346,'Weights and Confidence'!$D$16:$AC$26,5,FALSE)/COUNTIFS($B:$B,$B346,$C:$C,$C346,$H:$H,$H346,$I:$I,$I346)</f>
        <v>0.15</v>
      </c>
      <c r="L346" s="40">
        <f>VLOOKUP(I346,'Weights and Confidence'!$D$16:$AC$26,6,FALSE)</f>
        <v>1</v>
      </c>
      <c r="M346" s="41">
        <f>tScores4[[#This Row],[Raw_Rating_Text]]</f>
        <v>0</v>
      </c>
      <c r="N346" s="38"/>
    </row>
    <row r="347" spans="1:14" x14ac:dyDescent="0.2">
      <c r="A347" s="34" t="s">
        <v>14</v>
      </c>
      <c r="B347" s="34" t="s">
        <v>1</v>
      </c>
      <c r="C347" s="34" t="s">
        <v>72</v>
      </c>
      <c r="D347" s="34" t="s">
        <v>65</v>
      </c>
      <c r="E347" s="34"/>
      <c r="F347" s="34" t="s">
        <v>73</v>
      </c>
      <c r="G347" s="34">
        <v>6</v>
      </c>
      <c r="H347" s="34" t="s">
        <v>18</v>
      </c>
      <c r="I347" s="34" t="s">
        <v>24</v>
      </c>
      <c r="J347" s="34">
        <v>0</v>
      </c>
      <c r="K347" s="35">
        <f>VLOOKUP(I347,'Weights and Confidence'!$D$16:$AC$26,5,FALSE)/COUNTIFS($B:$B,$B347,$C:$C,$C347,$H:$H,$H347,$I:$I,$I347)</f>
        <v>0.15</v>
      </c>
      <c r="L347" s="36">
        <f>VLOOKUP(I347,'Weights and Confidence'!$D$16:$AC$26,6,FALSE)</f>
        <v>1</v>
      </c>
      <c r="M347" s="37">
        <f>tScores4[[#This Row],[Raw_Rating_Text]]</f>
        <v>0</v>
      </c>
      <c r="N347" s="34"/>
    </row>
    <row r="348" spans="1:14" x14ac:dyDescent="0.2">
      <c r="A348" s="38" t="s">
        <v>14</v>
      </c>
      <c r="B348" s="38" t="s">
        <v>1</v>
      </c>
      <c r="C348" s="38" t="s">
        <v>72</v>
      </c>
      <c r="D348" s="38" t="s">
        <v>65</v>
      </c>
      <c r="E348" s="38"/>
      <c r="F348" s="38" t="s">
        <v>73</v>
      </c>
      <c r="G348" s="38">
        <v>7</v>
      </c>
      <c r="H348" s="38" t="s">
        <v>17</v>
      </c>
      <c r="I348" s="38" t="s">
        <v>25</v>
      </c>
      <c r="J348" s="38">
        <v>-1</v>
      </c>
      <c r="K348" s="39">
        <f>VLOOKUP(I348,'Weights and Confidence'!$D$16:$AC$26,5,FALSE)/COUNTIFS($B:$B,$B348,$C:$C,$C348,$H:$H,$H348,$I:$I,$I348)</f>
        <v>0.1</v>
      </c>
      <c r="L348" s="40">
        <f>VLOOKUP(I348,'Weights and Confidence'!$D$16:$AC$26,6,FALSE)</f>
        <v>1</v>
      </c>
      <c r="M348" s="41">
        <f>tScores4[[#This Row],[Raw_Rating_Text]]</f>
        <v>-1</v>
      </c>
      <c r="N348" s="38"/>
    </row>
    <row r="349" spans="1:14" x14ac:dyDescent="0.2">
      <c r="A349" s="34" t="s">
        <v>14</v>
      </c>
      <c r="B349" s="34" t="s">
        <v>1</v>
      </c>
      <c r="C349" s="34" t="s">
        <v>72</v>
      </c>
      <c r="D349" s="34" t="s">
        <v>65</v>
      </c>
      <c r="E349" s="34"/>
      <c r="F349" s="34" t="s">
        <v>73</v>
      </c>
      <c r="G349" s="34">
        <v>7</v>
      </c>
      <c r="H349" s="34" t="s">
        <v>18</v>
      </c>
      <c r="I349" s="34" t="s">
        <v>25</v>
      </c>
      <c r="J349" s="34">
        <v>-1</v>
      </c>
      <c r="K349" s="35">
        <f>VLOOKUP(I349,'Weights and Confidence'!$D$16:$AC$26,5,FALSE)/COUNTIFS($B:$B,$B349,$C:$C,$C349,$H:$H,$H349,$I:$I,$I349)</f>
        <v>0.1</v>
      </c>
      <c r="L349" s="36">
        <f>VLOOKUP(I349,'Weights and Confidence'!$D$16:$AC$26,6,FALSE)</f>
        <v>1</v>
      </c>
      <c r="M349" s="37">
        <f>tScores4[[#This Row],[Raw_Rating_Text]]</f>
        <v>-1</v>
      </c>
      <c r="N349" s="34"/>
    </row>
    <row r="350" spans="1:14" x14ac:dyDescent="0.2">
      <c r="A350" s="38" t="s">
        <v>14</v>
      </c>
      <c r="B350" s="38" t="s">
        <v>1</v>
      </c>
      <c r="C350" s="38" t="s">
        <v>72</v>
      </c>
      <c r="D350" s="38" t="s">
        <v>65</v>
      </c>
      <c r="E350" s="38"/>
      <c r="F350" s="38" t="s">
        <v>73</v>
      </c>
      <c r="G350" s="38">
        <v>8</v>
      </c>
      <c r="H350" s="38" t="s">
        <v>17</v>
      </c>
      <c r="I350" s="38" t="s">
        <v>26</v>
      </c>
      <c r="J350" s="38">
        <v>-1</v>
      </c>
      <c r="K350" s="39">
        <f>VLOOKUP(I350,'Weights and Confidence'!$D$16:$AC$26,5,FALSE)/COUNTIFS($B:$B,$B350,$C:$C,$C350,$H:$H,$H350,$I:$I,$I350)</f>
        <v>0.1</v>
      </c>
      <c r="L350" s="40">
        <f>VLOOKUP(I350,'Weights and Confidence'!$D$16:$AC$26,6,FALSE)</f>
        <v>1</v>
      </c>
      <c r="M350" s="41">
        <f>tScores4[[#This Row],[Raw_Rating_Text]]</f>
        <v>-1</v>
      </c>
      <c r="N350" s="38"/>
    </row>
    <row r="351" spans="1:14" x14ac:dyDescent="0.2">
      <c r="A351" s="34" t="s">
        <v>14</v>
      </c>
      <c r="B351" s="34" t="s">
        <v>1</v>
      </c>
      <c r="C351" s="34" t="s">
        <v>72</v>
      </c>
      <c r="D351" s="34" t="s">
        <v>65</v>
      </c>
      <c r="E351" s="34"/>
      <c r="F351" s="34" t="s">
        <v>73</v>
      </c>
      <c r="G351" s="34">
        <v>8</v>
      </c>
      <c r="H351" s="34" t="s">
        <v>18</v>
      </c>
      <c r="I351" s="34" t="s">
        <v>26</v>
      </c>
      <c r="J351" s="34">
        <v>-1</v>
      </c>
      <c r="K351" s="35">
        <f>VLOOKUP(I351,'Weights and Confidence'!$D$16:$AC$26,5,FALSE)/COUNTIFS($B:$B,$B351,$C:$C,$C351,$H:$H,$H351,$I:$I,$I351)</f>
        <v>0.1</v>
      </c>
      <c r="L351" s="36">
        <f>VLOOKUP(I351,'Weights and Confidence'!$D$16:$AC$26,6,FALSE)</f>
        <v>1</v>
      </c>
      <c r="M351" s="37">
        <f>tScores4[[#This Row],[Raw_Rating_Text]]</f>
        <v>-1</v>
      </c>
      <c r="N351" s="34"/>
    </row>
    <row r="352" spans="1:14" x14ac:dyDescent="0.2">
      <c r="A352" s="38" t="s">
        <v>14</v>
      </c>
      <c r="B352" s="38" t="s">
        <v>1</v>
      </c>
      <c r="C352" s="38" t="s">
        <v>72</v>
      </c>
      <c r="D352" s="38" t="s">
        <v>65</v>
      </c>
      <c r="E352" s="38"/>
      <c r="F352" s="38" t="s">
        <v>73</v>
      </c>
      <c r="G352" s="38">
        <v>9</v>
      </c>
      <c r="H352" s="38" t="s">
        <v>17</v>
      </c>
      <c r="I352" s="38" t="s">
        <v>27</v>
      </c>
      <c r="J352" s="38">
        <v>-1</v>
      </c>
      <c r="K352" s="39">
        <f>VLOOKUP(I352,'Weights and Confidence'!$D$16:$AC$26,5,FALSE)/COUNTIFS($B:$B,$B352,$C:$C,$C352,$H:$H,$H352,$I:$I,$I352)</f>
        <v>0.05</v>
      </c>
      <c r="L352" s="40">
        <f>VLOOKUP(I352,'Weights and Confidence'!$D$16:$AC$26,6,FALSE)</f>
        <v>0.85</v>
      </c>
      <c r="M352" s="41">
        <f>tScores4[[#This Row],[Raw_Rating_Text]]</f>
        <v>-1</v>
      </c>
      <c r="N352" s="38"/>
    </row>
    <row r="353" spans="1:14" x14ac:dyDescent="0.2">
      <c r="A353" s="34" t="s">
        <v>14</v>
      </c>
      <c r="B353" s="34" t="s">
        <v>1</v>
      </c>
      <c r="C353" s="34" t="s">
        <v>72</v>
      </c>
      <c r="D353" s="34" t="s">
        <v>65</v>
      </c>
      <c r="E353" s="34"/>
      <c r="F353" s="34" t="s">
        <v>73</v>
      </c>
      <c r="G353" s="34">
        <v>9</v>
      </c>
      <c r="H353" s="34" t="s">
        <v>18</v>
      </c>
      <c r="I353" s="34" t="s">
        <v>27</v>
      </c>
      <c r="J353" s="34">
        <v>0</v>
      </c>
      <c r="K353" s="35">
        <f>VLOOKUP(I353,'Weights and Confidence'!$D$16:$AC$26,5,FALSE)/COUNTIFS($B:$B,$B353,$C:$C,$C353,$H:$H,$H353,$I:$I,$I353)</f>
        <v>0.05</v>
      </c>
      <c r="L353" s="36">
        <f>VLOOKUP(I353,'Weights and Confidence'!$D$16:$AC$26,6,FALSE)</f>
        <v>0.85</v>
      </c>
      <c r="M353" s="37">
        <f>tScores4[[#This Row],[Raw_Rating_Text]]</f>
        <v>0</v>
      </c>
      <c r="N353" s="34"/>
    </row>
    <row r="354" spans="1:14" x14ac:dyDescent="0.2">
      <c r="A354" s="38" t="s">
        <v>14</v>
      </c>
      <c r="B354" s="38" t="s">
        <v>1</v>
      </c>
      <c r="C354" s="38" t="s">
        <v>72</v>
      </c>
      <c r="D354" s="38" t="s">
        <v>65</v>
      </c>
      <c r="E354" s="38"/>
      <c r="F354" s="38" t="s">
        <v>73</v>
      </c>
      <c r="G354" s="38">
        <v>10</v>
      </c>
      <c r="H354" s="38" t="s">
        <v>17</v>
      </c>
      <c r="I354" s="38" t="s">
        <v>27</v>
      </c>
      <c r="J354" s="38">
        <v>-1</v>
      </c>
      <c r="K354" s="39">
        <f>VLOOKUP(I354,'Weights and Confidence'!$D$16:$AC$26,5,FALSE)/COUNTIFS($B:$B,$B354,$C:$C,$C354,$H:$H,$H354,$I:$I,$I354)</f>
        <v>0.05</v>
      </c>
      <c r="L354" s="40">
        <f>VLOOKUP(I354,'Weights and Confidence'!$D$16:$AC$26,6,FALSE)</f>
        <v>0.85</v>
      </c>
      <c r="M354" s="41">
        <f>tScores4[[#This Row],[Raw_Rating_Text]]</f>
        <v>-1</v>
      </c>
      <c r="N354" s="38"/>
    </row>
    <row r="355" spans="1:14" x14ac:dyDescent="0.2">
      <c r="A355" s="34" t="s">
        <v>14</v>
      </c>
      <c r="B355" s="34" t="s">
        <v>1</v>
      </c>
      <c r="C355" s="34" t="s">
        <v>72</v>
      </c>
      <c r="D355" s="34" t="s">
        <v>65</v>
      </c>
      <c r="E355" s="34"/>
      <c r="F355" s="34" t="s">
        <v>73</v>
      </c>
      <c r="G355" s="34">
        <v>10</v>
      </c>
      <c r="H355" s="34" t="s">
        <v>18</v>
      </c>
      <c r="I355" s="34" t="s">
        <v>27</v>
      </c>
      <c r="J355" s="34">
        <v>0</v>
      </c>
      <c r="K355" s="35">
        <f>VLOOKUP(I355,'Weights and Confidence'!$D$16:$AC$26,5,FALSE)/COUNTIFS($B:$B,$B355,$C:$C,$C355,$H:$H,$H355,$I:$I,$I355)</f>
        <v>0.05</v>
      </c>
      <c r="L355" s="36">
        <f>VLOOKUP(I355,'Weights and Confidence'!$D$16:$AC$26,6,FALSE)</f>
        <v>0.85</v>
      </c>
      <c r="M355" s="37">
        <f>tScores4[[#This Row],[Raw_Rating_Text]]</f>
        <v>0</v>
      </c>
      <c r="N355" s="34"/>
    </row>
    <row r="356" spans="1:14" x14ac:dyDescent="0.2">
      <c r="A356" s="38" t="s">
        <v>14</v>
      </c>
      <c r="B356" s="38" t="s">
        <v>1</v>
      </c>
      <c r="C356" s="38" t="s">
        <v>72</v>
      </c>
      <c r="D356" s="38" t="s">
        <v>65</v>
      </c>
      <c r="E356" s="38"/>
      <c r="F356" s="38" t="s">
        <v>73</v>
      </c>
      <c r="G356" s="38">
        <v>11</v>
      </c>
      <c r="H356" s="38" t="s">
        <v>17</v>
      </c>
      <c r="I356" s="38" t="s">
        <v>28</v>
      </c>
      <c r="J356" s="38">
        <v>-1</v>
      </c>
      <c r="K356" s="39">
        <f>VLOOKUP(I356,'Weights and Confidence'!$D$16:$AC$26,5,FALSE)/COUNTIFS($B:$B,$B356,$C:$C,$C356,$H:$H,$H356,$I:$I,$I356)</f>
        <v>0.05</v>
      </c>
      <c r="L356" s="40">
        <f>VLOOKUP(I356,'Weights and Confidence'!$D$16:$AC$26,6,FALSE)</f>
        <v>1</v>
      </c>
      <c r="M356" s="41">
        <f>tScores4[[#This Row],[Raw_Rating_Text]]</f>
        <v>-1</v>
      </c>
      <c r="N356" s="38"/>
    </row>
    <row r="357" spans="1:14" ht="17" thickBot="1" x14ac:dyDescent="0.25">
      <c r="A357" s="34" t="s">
        <v>14</v>
      </c>
      <c r="B357" s="34" t="s">
        <v>1</v>
      </c>
      <c r="C357" s="34" t="s">
        <v>72</v>
      </c>
      <c r="D357" s="34" t="s">
        <v>65</v>
      </c>
      <c r="E357" s="34"/>
      <c r="F357" s="34" t="s">
        <v>73</v>
      </c>
      <c r="G357" s="34">
        <v>11</v>
      </c>
      <c r="H357" s="34" t="s">
        <v>18</v>
      </c>
      <c r="I357" s="34" t="s">
        <v>28</v>
      </c>
      <c r="J357" s="34">
        <v>-1</v>
      </c>
      <c r="K357" s="35">
        <f>VLOOKUP(I357,'Weights and Confidence'!$D$16:$AC$26,5,FALSE)/COUNTIFS($B:$B,$B357,$C:$C,$C357,$H:$H,$H357,$I:$I,$I357)</f>
        <v>0.05</v>
      </c>
      <c r="L357" s="36">
        <f>VLOOKUP(I357,'Weights and Confidence'!$D$16:$AC$26,6,FALSE)</f>
        <v>1</v>
      </c>
      <c r="M357" s="37">
        <f>tScores4[[#This Row],[Raw_Rating_Text]]</f>
        <v>-1</v>
      </c>
      <c r="N357" s="34"/>
    </row>
    <row r="358" spans="1:14" x14ac:dyDescent="0.2">
      <c r="A358" s="29" t="s">
        <v>14</v>
      </c>
      <c r="B358" s="29" t="s">
        <v>0</v>
      </c>
      <c r="C358" s="29" t="s">
        <v>15</v>
      </c>
      <c r="D358" s="29" t="s">
        <v>5</v>
      </c>
      <c r="E358" s="29" t="s">
        <v>102</v>
      </c>
      <c r="F358" s="30" t="s">
        <v>74</v>
      </c>
      <c r="G358" s="29">
        <v>1</v>
      </c>
      <c r="H358" s="29" t="s">
        <v>17</v>
      </c>
      <c r="I358" s="29" t="s">
        <v>19</v>
      </c>
      <c r="J358" s="29">
        <v>1</v>
      </c>
      <c r="K358" s="31">
        <f>VLOOKUP(I358,'Weights and Confidence'!$D$16:$AC$26,5,FALSE)/COUNTIFS($B:$B,$B358,$C:$C,$C358,$H:$H,$H358,$I:$I,$I358)</f>
        <v>0.12</v>
      </c>
      <c r="L358" s="32">
        <f>VLOOKUP(I358,'Weights and Confidence'!$D$16:$AC$26,6,FALSE)</f>
        <v>1</v>
      </c>
      <c r="M358" s="33">
        <f>tScores4[[#This Row],[Raw_Rating_Text]]</f>
        <v>1</v>
      </c>
      <c r="N358" s="29"/>
    </row>
    <row r="359" spans="1:14" x14ac:dyDescent="0.2">
      <c r="A359" s="34" t="s">
        <v>14</v>
      </c>
      <c r="B359" s="34" t="s">
        <v>0</v>
      </c>
      <c r="C359" s="34" t="s">
        <v>15</v>
      </c>
      <c r="D359" s="34" t="s">
        <v>5</v>
      </c>
      <c r="E359" s="34" t="s">
        <v>102</v>
      </c>
      <c r="F359" s="34" t="s">
        <v>74</v>
      </c>
      <c r="G359" s="34">
        <v>1</v>
      </c>
      <c r="H359" s="34" t="s">
        <v>18</v>
      </c>
      <c r="I359" s="34" t="s">
        <v>19</v>
      </c>
      <c r="J359" s="34">
        <v>1</v>
      </c>
      <c r="K359" s="35">
        <f>VLOOKUP(I359,'Weights and Confidence'!$D$16:$AC$26,5,FALSE)/COUNTIFS($B:$B,$B359,$C:$C,$C359,$H:$H,$H359,$I:$I,$I359)</f>
        <v>0.12</v>
      </c>
      <c r="L359" s="36">
        <f>VLOOKUP(I359,'Weights and Confidence'!$D$16:$AC$26,6,FALSE)</f>
        <v>1</v>
      </c>
      <c r="M359" s="37">
        <f>tScores4[[#This Row],[Raw_Rating_Text]]</f>
        <v>1</v>
      </c>
      <c r="N359" s="34"/>
    </row>
    <row r="360" spans="1:14" x14ac:dyDescent="0.2">
      <c r="A360" s="38" t="s">
        <v>14</v>
      </c>
      <c r="B360" s="38" t="s">
        <v>0</v>
      </c>
      <c r="C360" s="38" t="s">
        <v>15</v>
      </c>
      <c r="D360" s="38" t="s">
        <v>5</v>
      </c>
      <c r="E360" s="38" t="s">
        <v>102</v>
      </c>
      <c r="F360" s="38" t="s">
        <v>74</v>
      </c>
      <c r="G360" s="38">
        <v>2</v>
      </c>
      <c r="H360" s="38" t="s">
        <v>17</v>
      </c>
      <c r="I360" s="38" t="s">
        <v>20</v>
      </c>
      <c r="J360" s="38">
        <v>1</v>
      </c>
      <c r="K360" s="39">
        <f>VLOOKUP(I360,'Weights and Confidence'!$D$16:$AC$26,5,FALSE)/COUNTIFS($B:$B,$B360,$C:$C,$C360,$H:$H,$H360,$I:$I,$I360)</f>
        <v>0.08</v>
      </c>
      <c r="L360" s="40">
        <f>VLOOKUP(I360,'Weights and Confidence'!$D$16:$AC$26,6,FALSE)</f>
        <v>0.8</v>
      </c>
      <c r="M360" s="41">
        <f>tScores4[[#This Row],[Raw_Rating_Text]]</f>
        <v>1</v>
      </c>
      <c r="N360" s="38"/>
    </row>
    <row r="361" spans="1:14" x14ac:dyDescent="0.2">
      <c r="A361" s="34" t="s">
        <v>14</v>
      </c>
      <c r="B361" s="34" t="s">
        <v>0</v>
      </c>
      <c r="C361" s="34" t="s">
        <v>15</v>
      </c>
      <c r="D361" s="34" t="s">
        <v>5</v>
      </c>
      <c r="E361" s="34" t="s">
        <v>102</v>
      </c>
      <c r="F361" s="34" t="s">
        <v>74</v>
      </c>
      <c r="G361" s="34">
        <v>2</v>
      </c>
      <c r="H361" s="34" t="s">
        <v>18</v>
      </c>
      <c r="I361" s="34" t="s">
        <v>20</v>
      </c>
      <c r="J361" s="34">
        <v>1</v>
      </c>
      <c r="K361" s="35">
        <f>VLOOKUP(I361,'Weights and Confidence'!$D$16:$AC$26,5,FALSE)/COUNTIFS($B:$B,$B361,$C:$C,$C361,$H:$H,$H361,$I:$I,$I361)</f>
        <v>0.08</v>
      </c>
      <c r="L361" s="36">
        <f>VLOOKUP(I361,'Weights and Confidence'!$D$16:$AC$26,6,FALSE)</f>
        <v>0.8</v>
      </c>
      <c r="M361" s="37">
        <f>tScores4[[#This Row],[Raw_Rating_Text]]</f>
        <v>1</v>
      </c>
      <c r="N361" s="34"/>
    </row>
    <row r="362" spans="1:14" x14ac:dyDescent="0.2">
      <c r="A362" s="38" t="s">
        <v>14</v>
      </c>
      <c r="B362" s="38" t="s">
        <v>0</v>
      </c>
      <c r="C362" s="38" t="s">
        <v>15</v>
      </c>
      <c r="D362" s="38" t="s">
        <v>5</v>
      </c>
      <c r="E362" s="38" t="s">
        <v>102</v>
      </c>
      <c r="F362" s="38" t="s">
        <v>74</v>
      </c>
      <c r="G362" s="38">
        <v>3</v>
      </c>
      <c r="H362" s="38" t="s">
        <v>17</v>
      </c>
      <c r="I362" s="38" t="s">
        <v>21</v>
      </c>
      <c r="J362" s="38">
        <v>1</v>
      </c>
      <c r="K362" s="39">
        <f>VLOOKUP(I362,'Weights and Confidence'!$D$16:$AC$26,5,FALSE)/COUNTIFS($B:$B,$B362,$C:$C,$C362,$H:$H,$H362,$I:$I,$I362)</f>
        <v>0.05</v>
      </c>
      <c r="L362" s="40">
        <f>VLOOKUP(I362,'Weights and Confidence'!$D$16:$AC$26,6,FALSE)</f>
        <v>1</v>
      </c>
      <c r="M362" s="41">
        <f>tScores4[[#This Row],[Raw_Rating_Text]]</f>
        <v>1</v>
      </c>
      <c r="N362" s="38"/>
    </row>
    <row r="363" spans="1:14" x14ac:dyDescent="0.2">
      <c r="A363" s="34" t="s">
        <v>14</v>
      </c>
      <c r="B363" s="34" t="s">
        <v>0</v>
      </c>
      <c r="C363" s="34" t="s">
        <v>15</v>
      </c>
      <c r="D363" s="34" t="s">
        <v>5</v>
      </c>
      <c r="E363" s="34" t="s">
        <v>102</v>
      </c>
      <c r="F363" s="34" t="s">
        <v>74</v>
      </c>
      <c r="G363" s="34">
        <v>3</v>
      </c>
      <c r="H363" s="34" t="s">
        <v>18</v>
      </c>
      <c r="I363" s="34" t="s">
        <v>21</v>
      </c>
      <c r="J363" s="34">
        <v>-1</v>
      </c>
      <c r="K363" s="35">
        <f>VLOOKUP(I363,'Weights and Confidence'!$D$16:$AC$26,5,FALSE)/COUNTIFS($B:$B,$B363,$C:$C,$C363,$H:$H,$H363,$I:$I,$I363)</f>
        <v>0.05</v>
      </c>
      <c r="L363" s="36">
        <f>VLOOKUP(I363,'Weights and Confidence'!$D$16:$AC$26,6,FALSE)</f>
        <v>1</v>
      </c>
      <c r="M363" s="37">
        <f>tScores4[[#This Row],[Raw_Rating_Text]]</f>
        <v>-1</v>
      </c>
      <c r="N363" s="34" t="s">
        <v>76</v>
      </c>
    </row>
    <row r="364" spans="1:14" x14ac:dyDescent="0.2">
      <c r="A364" s="38" t="s">
        <v>14</v>
      </c>
      <c r="B364" s="38" t="s">
        <v>0</v>
      </c>
      <c r="C364" s="38" t="s">
        <v>15</v>
      </c>
      <c r="D364" s="38" t="s">
        <v>5</v>
      </c>
      <c r="E364" s="38" t="s">
        <v>102</v>
      </c>
      <c r="F364" s="38" t="s">
        <v>74</v>
      </c>
      <c r="G364" s="38">
        <v>4</v>
      </c>
      <c r="H364" s="38" t="s">
        <v>17</v>
      </c>
      <c r="I364" s="38" t="s">
        <v>22</v>
      </c>
      <c r="J364" s="38">
        <v>1</v>
      </c>
      <c r="K364" s="39">
        <f>VLOOKUP(I364,'Weights and Confidence'!$D$16:$AC$26,5,FALSE)/COUNTIFS($B:$B,$B364,$C:$C,$C364,$H:$H,$H364,$I:$I,$I364)</f>
        <v>0.14000000000000001</v>
      </c>
      <c r="L364" s="40">
        <f>VLOOKUP(I364,'Weights and Confidence'!$D$16:$AC$26,6,FALSE)</f>
        <v>1</v>
      </c>
      <c r="M364" s="41">
        <f>tScores4[[#This Row],[Raw_Rating_Text]]</f>
        <v>1</v>
      </c>
      <c r="N364" s="38"/>
    </row>
    <row r="365" spans="1:14" x14ac:dyDescent="0.2">
      <c r="A365" s="34" t="s">
        <v>14</v>
      </c>
      <c r="B365" s="34" t="s">
        <v>0</v>
      </c>
      <c r="C365" s="34" t="s">
        <v>15</v>
      </c>
      <c r="D365" s="34" t="s">
        <v>5</v>
      </c>
      <c r="E365" s="34" t="s">
        <v>102</v>
      </c>
      <c r="F365" s="34" t="s">
        <v>74</v>
      </c>
      <c r="G365" s="34">
        <v>4</v>
      </c>
      <c r="H365" s="34" t="s">
        <v>18</v>
      </c>
      <c r="I365" s="34" t="s">
        <v>22</v>
      </c>
      <c r="J365" s="34">
        <v>-1</v>
      </c>
      <c r="K365" s="35">
        <f>VLOOKUP(I365,'Weights and Confidence'!$D$16:$AC$26,5,FALSE)/COUNTIFS($B:$B,$B365,$C:$C,$C365,$H:$H,$H365,$I:$I,$I365)</f>
        <v>0.14000000000000001</v>
      </c>
      <c r="L365" s="36">
        <f>VLOOKUP(I365,'Weights and Confidence'!$D$16:$AC$26,6,FALSE)</f>
        <v>1</v>
      </c>
      <c r="M365" s="37">
        <f>tScores4[[#This Row],[Raw_Rating_Text]]</f>
        <v>-1</v>
      </c>
      <c r="N365" s="34" t="s">
        <v>77</v>
      </c>
    </row>
    <row r="366" spans="1:14" x14ac:dyDescent="0.2">
      <c r="A366" s="38" t="s">
        <v>14</v>
      </c>
      <c r="B366" s="38" t="s">
        <v>0</v>
      </c>
      <c r="C366" s="38" t="s">
        <v>15</v>
      </c>
      <c r="D366" s="38" t="s">
        <v>5</v>
      </c>
      <c r="E366" s="38" t="s">
        <v>102</v>
      </c>
      <c r="F366" s="38" t="s">
        <v>74</v>
      </c>
      <c r="G366" s="38">
        <v>5</v>
      </c>
      <c r="H366" s="38" t="s">
        <v>17</v>
      </c>
      <c r="I366" s="38" t="s">
        <v>23</v>
      </c>
      <c r="J366" s="38">
        <v>1</v>
      </c>
      <c r="K366" s="39">
        <f>VLOOKUP(I366,'Weights and Confidence'!$D$16:$AC$26,5,FALSE)/COUNTIFS($B:$B,$B366,$C:$C,$C366,$H:$H,$H366,$I:$I,$I366)</f>
        <v>0.11</v>
      </c>
      <c r="L366" s="40">
        <f>VLOOKUP(I366,'Weights and Confidence'!$D$16:$AC$26,6,FALSE)</f>
        <v>1</v>
      </c>
      <c r="M366" s="41">
        <f>tScores4[[#This Row],[Raw_Rating_Text]]</f>
        <v>1</v>
      </c>
      <c r="N366" s="38"/>
    </row>
    <row r="367" spans="1:14" x14ac:dyDescent="0.2">
      <c r="A367" s="34" t="s">
        <v>14</v>
      </c>
      <c r="B367" s="34" t="s">
        <v>0</v>
      </c>
      <c r="C367" s="34" t="s">
        <v>15</v>
      </c>
      <c r="D367" s="34" t="s">
        <v>5</v>
      </c>
      <c r="E367" s="34" t="s">
        <v>102</v>
      </c>
      <c r="F367" s="34" t="s">
        <v>74</v>
      </c>
      <c r="G367" s="34">
        <v>5</v>
      </c>
      <c r="H367" s="34" t="s">
        <v>18</v>
      </c>
      <c r="I367" s="34" t="s">
        <v>23</v>
      </c>
      <c r="J367" s="34">
        <v>-1</v>
      </c>
      <c r="K367" s="35">
        <f>VLOOKUP(I367,'Weights and Confidence'!$D$16:$AC$26,5,FALSE)/COUNTIFS($B:$B,$B367,$C:$C,$C367,$H:$H,$H367,$I:$I,$I367)</f>
        <v>0.11</v>
      </c>
      <c r="L367" s="36">
        <f>VLOOKUP(I367,'Weights and Confidence'!$D$16:$AC$26,6,FALSE)</f>
        <v>1</v>
      </c>
      <c r="M367" s="37">
        <f>tScores4[[#This Row],[Raw_Rating_Text]]</f>
        <v>-1</v>
      </c>
      <c r="N367" s="34" t="s">
        <v>78</v>
      </c>
    </row>
    <row r="368" spans="1:14" x14ac:dyDescent="0.2">
      <c r="A368" s="38" t="s">
        <v>14</v>
      </c>
      <c r="B368" s="38" t="s">
        <v>0</v>
      </c>
      <c r="C368" s="38" t="s">
        <v>15</v>
      </c>
      <c r="D368" s="38" t="s">
        <v>5</v>
      </c>
      <c r="E368" s="38" t="s">
        <v>102</v>
      </c>
      <c r="F368" s="38" t="s">
        <v>74</v>
      </c>
      <c r="G368" s="38">
        <v>6</v>
      </c>
      <c r="H368" s="38" t="s">
        <v>17</v>
      </c>
      <c r="I368" s="38" t="s">
        <v>24</v>
      </c>
      <c r="J368" s="38">
        <v>1</v>
      </c>
      <c r="K368" s="39">
        <f>VLOOKUP(I368,'Weights and Confidence'!$D$16:$AC$26,5,FALSE)/COUNTIFS($B:$B,$B368,$C:$C,$C368,$H:$H,$H368,$I:$I,$I368)</f>
        <v>0.15</v>
      </c>
      <c r="L368" s="40">
        <f>VLOOKUP(I368,'Weights and Confidence'!$D$16:$AC$26,6,FALSE)</f>
        <v>1</v>
      </c>
      <c r="M368" s="41">
        <f>tScores4[[#This Row],[Raw_Rating_Text]]</f>
        <v>1</v>
      </c>
      <c r="N368" s="38"/>
    </row>
    <row r="369" spans="1:14" x14ac:dyDescent="0.2">
      <c r="A369" s="34" t="s">
        <v>14</v>
      </c>
      <c r="B369" s="34" t="s">
        <v>0</v>
      </c>
      <c r="C369" s="34" t="s">
        <v>15</v>
      </c>
      <c r="D369" s="34" t="s">
        <v>5</v>
      </c>
      <c r="E369" s="34" t="s">
        <v>102</v>
      </c>
      <c r="F369" s="34" t="s">
        <v>74</v>
      </c>
      <c r="G369" s="34">
        <v>6</v>
      </c>
      <c r="H369" s="34" t="s">
        <v>18</v>
      </c>
      <c r="I369" s="34" t="s">
        <v>24</v>
      </c>
      <c r="J369" s="34">
        <v>-1</v>
      </c>
      <c r="K369" s="35">
        <f>VLOOKUP(I369,'Weights and Confidence'!$D$16:$AC$26,5,FALSE)/COUNTIFS($B:$B,$B369,$C:$C,$C369,$H:$H,$H369,$I:$I,$I369)</f>
        <v>0.15</v>
      </c>
      <c r="L369" s="36">
        <f>VLOOKUP(I369,'Weights and Confidence'!$D$16:$AC$26,6,FALSE)</f>
        <v>1</v>
      </c>
      <c r="M369" s="37">
        <f>tScores4[[#This Row],[Raw_Rating_Text]]</f>
        <v>-1</v>
      </c>
      <c r="N369" s="34" t="s">
        <v>79</v>
      </c>
    </row>
    <row r="370" spans="1:14" x14ac:dyDescent="0.2">
      <c r="A370" s="38" t="s">
        <v>14</v>
      </c>
      <c r="B370" s="38" t="s">
        <v>0</v>
      </c>
      <c r="C370" s="38" t="s">
        <v>15</v>
      </c>
      <c r="D370" s="38" t="s">
        <v>5</v>
      </c>
      <c r="E370" s="38" t="s">
        <v>102</v>
      </c>
      <c r="F370" s="38" t="s">
        <v>74</v>
      </c>
      <c r="G370" s="38">
        <v>7</v>
      </c>
      <c r="H370" s="38" t="s">
        <v>17</v>
      </c>
      <c r="I370" s="38" t="s">
        <v>25</v>
      </c>
      <c r="J370" s="38">
        <v>0</v>
      </c>
      <c r="K370" s="39">
        <f>VLOOKUP(I370,'Weights and Confidence'!$D$16:$AC$26,5,FALSE)/COUNTIFS($B:$B,$B370,$C:$C,$C370,$H:$H,$H370,$I:$I,$I370)</f>
        <v>0.1</v>
      </c>
      <c r="L370" s="40">
        <f>VLOOKUP(I370,'Weights and Confidence'!$D$16:$AC$26,6,FALSE)</f>
        <v>1</v>
      </c>
      <c r="M370" s="41">
        <f>tScores4[[#This Row],[Raw_Rating_Text]]</f>
        <v>0</v>
      </c>
      <c r="N370" s="38"/>
    </row>
    <row r="371" spans="1:14" x14ac:dyDescent="0.2">
      <c r="A371" s="34" t="s">
        <v>14</v>
      </c>
      <c r="B371" s="34" t="s">
        <v>0</v>
      </c>
      <c r="C371" s="34" t="s">
        <v>15</v>
      </c>
      <c r="D371" s="34" t="s">
        <v>5</v>
      </c>
      <c r="E371" s="34" t="s">
        <v>102</v>
      </c>
      <c r="F371" s="34" t="s">
        <v>74</v>
      </c>
      <c r="G371" s="34">
        <v>7</v>
      </c>
      <c r="H371" s="34" t="s">
        <v>18</v>
      </c>
      <c r="I371" s="34" t="s">
        <v>25</v>
      </c>
      <c r="J371" s="34">
        <v>-1</v>
      </c>
      <c r="K371" s="35">
        <f>VLOOKUP(I371,'Weights and Confidence'!$D$16:$AC$26,5,FALSE)/COUNTIFS($B:$B,$B371,$C:$C,$C371,$H:$H,$H371,$I:$I,$I371)</f>
        <v>0.1</v>
      </c>
      <c r="L371" s="36">
        <f>VLOOKUP(I371,'Weights and Confidence'!$D$16:$AC$26,6,FALSE)</f>
        <v>1</v>
      </c>
      <c r="M371" s="37">
        <f>tScores4[[#This Row],[Raw_Rating_Text]]</f>
        <v>-1</v>
      </c>
      <c r="N371" s="34" t="s">
        <v>80</v>
      </c>
    </row>
    <row r="372" spans="1:14" x14ac:dyDescent="0.2">
      <c r="A372" s="38" t="s">
        <v>14</v>
      </c>
      <c r="B372" s="38" t="s">
        <v>0</v>
      </c>
      <c r="C372" s="38" t="s">
        <v>15</v>
      </c>
      <c r="D372" s="38" t="s">
        <v>5</v>
      </c>
      <c r="E372" s="38" t="s">
        <v>102</v>
      </c>
      <c r="F372" s="38" t="s">
        <v>74</v>
      </c>
      <c r="G372" s="38">
        <v>8</v>
      </c>
      <c r="H372" s="38" t="s">
        <v>17</v>
      </c>
      <c r="I372" s="38" t="s">
        <v>26</v>
      </c>
      <c r="J372" s="38">
        <v>0</v>
      </c>
      <c r="K372" s="39">
        <f>VLOOKUP(I372,'Weights and Confidence'!$D$16:$AC$26,5,FALSE)/COUNTIFS($B:$B,$B372,$C:$C,$C372,$H:$H,$H372,$I:$I,$I372)</f>
        <v>0.1</v>
      </c>
      <c r="L372" s="40">
        <f>VLOOKUP(I372,'Weights and Confidence'!$D$16:$AC$26,6,FALSE)</f>
        <v>1</v>
      </c>
      <c r="M372" s="41">
        <f>tScores4[[#This Row],[Raw_Rating_Text]]</f>
        <v>0</v>
      </c>
      <c r="N372" s="38"/>
    </row>
    <row r="373" spans="1:14" x14ac:dyDescent="0.2">
      <c r="A373" s="34" t="s">
        <v>14</v>
      </c>
      <c r="B373" s="34" t="s">
        <v>0</v>
      </c>
      <c r="C373" s="34" t="s">
        <v>15</v>
      </c>
      <c r="D373" s="34" t="s">
        <v>5</v>
      </c>
      <c r="E373" s="34" t="s">
        <v>102</v>
      </c>
      <c r="F373" s="34" t="s">
        <v>74</v>
      </c>
      <c r="G373" s="34">
        <v>8</v>
      </c>
      <c r="H373" s="34" t="s">
        <v>18</v>
      </c>
      <c r="I373" s="34" t="s">
        <v>26</v>
      </c>
      <c r="J373" s="34">
        <v>0</v>
      </c>
      <c r="K373" s="35">
        <f>VLOOKUP(I373,'Weights and Confidence'!$D$16:$AC$26,5,FALSE)/COUNTIFS($B:$B,$B373,$C:$C,$C373,$H:$H,$H373,$I:$I,$I373)</f>
        <v>0.1</v>
      </c>
      <c r="L373" s="36">
        <f>VLOOKUP(I373,'Weights and Confidence'!$D$16:$AC$26,6,FALSE)</f>
        <v>1</v>
      </c>
      <c r="M373" s="37">
        <f>tScores4[[#This Row],[Raw_Rating_Text]]</f>
        <v>0</v>
      </c>
      <c r="N373" s="34"/>
    </row>
    <row r="374" spans="1:14" x14ac:dyDescent="0.2">
      <c r="A374" s="38" t="s">
        <v>14</v>
      </c>
      <c r="B374" s="38" t="s">
        <v>0</v>
      </c>
      <c r="C374" s="38" t="s">
        <v>15</v>
      </c>
      <c r="D374" s="38" t="s">
        <v>5</v>
      </c>
      <c r="E374" s="38" t="s">
        <v>102</v>
      </c>
      <c r="F374" s="38" t="s">
        <v>74</v>
      </c>
      <c r="G374" s="38">
        <v>9</v>
      </c>
      <c r="H374" s="38" t="s">
        <v>17</v>
      </c>
      <c r="I374" s="38" t="s">
        <v>27</v>
      </c>
      <c r="J374" s="38">
        <v>0</v>
      </c>
      <c r="K374" s="39">
        <f>VLOOKUP(I374,'Weights and Confidence'!$D$16:$AC$26,5,FALSE)/COUNTIFS($B:$B,$B374,$C:$C,$C374,$H:$H,$H374,$I:$I,$I374)</f>
        <v>0.05</v>
      </c>
      <c r="L374" s="40">
        <f>VLOOKUP(I374,'Weights and Confidence'!$D$16:$AC$26,6,FALSE)</f>
        <v>0.85</v>
      </c>
      <c r="M374" s="41">
        <f>tScores4[[#This Row],[Raw_Rating_Text]]</f>
        <v>0</v>
      </c>
      <c r="N374" s="38"/>
    </row>
    <row r="375" spans="1:14" x14ac:dyDescent="0.2">
      <c r="A375" s="34" t="s">
        <v>14</v>
      </c>
      <c r="B375" s="34" t="s">
        <v>0</v>
      </c>
      <c r="C375" s="34" t="s">
        <v>15</v>
      </c>
      <c r="D375" s="34" t="s">
        <v>5</v>
      </c>
      <c r="E375" s="34" t="s">
        <v>102</v>
      </c>
      <c r="F375" s="34" t="s">
        <v>74</v>
      </c>
      <c r="G375" s="34">
        <v>9</v>
      </c>
      <c r="H375" s="34" t="s">
        <v>18</v>
      </c>
      <c r="I375" s="34" t="s">
        <v>27</v>
      </c>
      <c r="J375" s="34">
        <v>0</v>
      </c>
      <c r="K375" s="35">
        <f>VLOOKUP(I375,'Weights and Confidence'!$D$16:$AC$26,5,FALSE)/COUNTIFS($B:$B,$B375,$C:$C,$C375,$H:$H,$H375,$I:$I,$I375)</f>
        <v>0.05</v>
      </c>
      <c r="L375" s="36">
        <f>VLOOKUP(I375,'Weights and Confidence'!$D$16:$AC$26,6,FALSE)</f>
        <v>0.85</v>
      </c>
      <c r="M375" s="37">
        <f>tScores4[[#This Row],[Raw_Rating_Text]]</f>
        <v>0</v>
      </c>
      <c r="N375" s="34"/>
    </row>
    <row r="376" spans="1:14" x14ac:dyDescent="0.2">
      <c r="A376" s="38" t="s">
        <v>14</v>
      </c>
      <c r="B376" s="38" t="s">
        <v>0</v>
      </c>
      <c r="C376" s="38" t="s">
        <v>15</v>
      </c>
      <c r="D376" s="38" t="s">
        <v>5</v>
      </c>
      <c r="E376" s="38" t="s">
        <v>102</v>
      </c>
      <c r="F376" s="38" t="s">
        <v>74</v>
      </c>
      <c r="G376" s="38">
        <v>10</v>
      </c>
      <c r="H376" s="38" t="s">
        <v>17</v>
      </c>
      <c r="I376" s="38" t="s">
        <v>27</v>
      </c>
      <c r="J376" s="38">
        <v>0</v>
      </c>
      <c r="K376" s="39">
        <f>VLOOKUP(I376,'Weights and Confidence'!$D$16:$AC$26,5,FALSE)/COUNTIFS($B:$B,$B376,$C:$C,$C376,$H:$H,$H376,$I:$I,$I376)</f>
        <v>0.05</v>
      </c>
      <c r="L376" s="40">
        <f>VLOOKUP(I376,'Weights and Confidence'!$D$16:$AC$26,6,FALSE)</f>
        <v>0.85</v>
      </c>
      <c r="M376" s="41">
        <f>tScores4[[#This Row],[Raw_Rating_Text]]</f>
        <v>0</v>
      </c>
      <c r="N376" s="38"/>
    </row>
    <row r="377" spans="1:14" x14ac:dyDescent="0.2">
      <c r="A377" s="34" t="s">
        <v>14</v>
      </c>
      <c r="B377" s="34" t="s">
        <v>0</v>
      </c>
      <c r="C377" s="34" t="s">
        <v>15</v>
      </c>
      <c r="D377" s="34" t="s">
        <v>5</v>
      </c>
      <c r="E377" s="34" t="s">
        <v>102</v>
      </c>
      <c r="F377" s="34" t="s">
        <v>74</v>
      </c>
      <c r="G377" s="34">
        <v>10</v>
      </c>
      <c r="H377" s="34" t="s">
        <v>18</v>
      </c>
      <c r="I377" s="34" t="s">
        <v>27</v>
      </c>
      <c r="J377" s="34">
        <v>0</v>
      </c>
      <c r="K377" s="35">
        <f>VLOOKUP(I377,'Weights and Confidence'!$D$16:$AC$26,5,FALSE)/COUNTIFS($B:$B,$B377,$C:$C,$C377,$H:$H,$H377,$I:$I,$I377)</f>
        <v>0.05</v>
      </c>
      <c r="L377" s="36">
        <f>VLOOKUP(I377,'Weights and Confidence'!$D$16:$AC$26,6,FALSE)</f>
        <v>0.85</v>
      </c>
      <c r="M377" s="37">
        <f>tScores4[[#This Row],[Raw_Rating_Text]]</f>
        <v>0</v>
      </c>
      <c r="N377" s="34"/>
    </row>
    <row r="378" spans="1:14" x14ac:dyDescent="0.2">
      <c r="A378" s="38" t="s">
        <v>14</v>
      </c>
      <c r="B378" s="38" t="s">
        <v>0</v>
      </c>
      <c r="C378" s="38" t="s">
        <v>15</v>
      </c>
      <c r="D378" s="38" t="s">
        <v>5</v>
      </c>
      <c r="E378" s="38" t="s">
        <v>102</v>
      </c>
      <c r="F378" s="38" t="s">
        <v>74</v>
      </c>
      <c r="G378" s="38">
        <v>11</v>
      </c>
      <c r="H378" s="38" t="s">
        <v>17</v>
      </c>
      <c r="I378" s="38" t="s">
        <v>28</v>
      </c>
      <c r="J378" s="38">
        <v>0</v>
      </c>
      <c r="K378" s="39">
        <f>VLOOKUP(I378,'Weights and Confidence'!$D$16:$AC$26,5,FALSE)/COUNTIFS($B:$B,$B378,$C:$C,$C378,$H:$H,$H378,$I:$I,$I378)</f>
        <v>0.05</v>
      </c>
      <c r="L378" s="40">
        <f>VLOOKUP(I378,'Weights and Confidence'!$D$16:$AC$26,6,FALSE)</f>
        <v>1</v>
      </c>
      <c r="M378" s="41">
        <f>tScores4[[#This Row],[Raw_Rating_Text]]</f>
        <v>0</v>
      </c>
      <c r="N378" s="38"/>
    </row>
    <row r="379" spans="1:14" ht="17" thickBot="1" x14ac:dyDescent="0.25">
      <c r="A379" s="34" t="s">
        <v>14</v>
      </c>
      <c r="B379" s="34" t="s">
        <v>0</v>
      </c>
      <c r="C379" s="34" t="s">
        <v>15</v>
      </c>
      <c r="D379" s="34" t="s">
        <v>5</v>
      </c>
      <c r="E379" s="34" t="s">
        <v>102</v>
      </c>
      <c r="F379" s="34" t="s">
        <v>74</v>
      </c>
      <c r="G379" s="34">
        <v>11</v>
      </c>
      <c r="H379" s="34" t="s">
        <v>18</v>
      </c>
      <c r="I379" s="34" t="s">
        <v>28</v>
      </c>
      <c r="J379" s="34">
        <v>-1</v>
      </c>
      <c r="K379" s="35">
        <f>VLOOKUP(I379,'Weights and Confidence'!$D$16:$AC$26,5,FALSE)/COUNTIFS($B:$B,$B379,$C:$C,$C379,$H:$H,$H379,$I:$I,$I379)</f>
        <v>0.05</v>
      </c>
      <c r="L379" s="36">
        <f>VLOOKUP(I379,'Weights and Confidence'!$D$16:$AC$26,6,FALSE)</f>
        <v>1</v>
      </c>
      <c r="M379" s="37">
        <f>tScores4[[#This Row],[Raw_Rating_Text]]</f>
        <v>-1</v>
      </c>
      <c r="N379" s="34" t="s">
        <v>75</v>
      </c>
    </row>
    <row r="380" spans="1:14" ht="17" thickTop="1" x14ac:dyDescent="0.2">
      <c r="A380" s="42" t="s">
        <v>14</v>
      </c>
      <c r="B380" s="42" t="s">
        <v>0</v>
      </c>
      <c r="C380" s="42" t="s">
        <v>44</v>
      </c>
      <c r="D380" s="42" t="s">
        <v>5</v>
      </c>
      <c r="E380" s="42" t="s">
        <v>103</v>
      </c>
      <c r="F380" s="43" t="s">
        <v>45</v>
      </c>
      <c r="G380" s="42">
        <v>1</v>
      </c>
      <c r="H380" s="42" t="s">
        <v>17</v>
      </c>
      <c r="I380" s="42" t="s">
        <v>19</v>
      </c>
      <c r="J380" s="42">
        <v>0</v>
      </c>
      <c r="K380" s="44">
        <f>VLOOKUP(I380,'Weights and Confidence'!$D$16:$AC$26,5,FALSE)/COUNTIFS($B:$B,$B380,$C:$C,$C380,$H:$H,$H380,$I:$I,$I380)</f>
        <v>0.12</v>
      </c>
      <c r="L380" s="45">
        <f>VLOOKUP(I380,'Weights and Confidence'!$D$16:$AC$26,6,FALSE)</f>
        <v>1</v>
      </c>
      <c r="M380" s="46">
        <f>tScores4[[#This Row],[Raw_Rating_Text]]</f>
        <v>0</v>
      </c>
      <c r="N380" s="42"/>
    </row>
    <row r="381" spans="1:14" x14ac:dyDescent="0.2">
      <c r="A381" s="34" t="s">
        <v>14</v>
      </c>
      <c r="B381" s="34" t="s">
        <v>0</v>
      </c>
      <c r="C381" s="34" t="s">
        <v>44</v>
      </c>
      <c r="D381" s="34" t="s">
        <v>5</v>
      </c>
      <c r="E381" s="34" t="s">
        <v>103</v>
      </c>
      <c r="F381" s="34" t="s">
        <v>45</v>
      </c>
      <c r="G381" s="34">
        <v>1</v>
      </c>
      <c r="H381" s="34" t="s">
        <v>18</v>
      </c>
      <c r="I381" s="34" t="s">
        <v>19</v>
      </c>
      <c r="J381" s="34">
        <v>1</v>
      </c>
      <c r="K381" s="35">
        <f>VLOOKUP(I381,'Weights and Confidence'!$D$16:$AC$26,5,FALSE)/COUNTIFS($B:$B,$B381,$C:$C,$C381,$H:$H,$H381,$I:$I,$I381)</f>
        <v>0.12</v>
      </c>
      <c r="L381" s="36">
        <f>VLOOKUP(I381,'Weights and Confidence'!$D$16:$AC$26,6,FALSE)</f>
        <v>1</v>
      </c>
      <c r="M381" s="37">
        <f>tScores4[[#This Row],[Raw_Rating_Text]]</f>
        <v>1</v>
      </c>
      <c r="N381" s="34"/>
    </row>
    <row r="382" spans="1:14" x14ac:dyDescent="0.2">
      <c r="A382" s="38" t="s">
        <v>14</v>
      </c>
      <c r="B382" s="38" t="s">
        <v>0</v>
      </c>
      <c r="C382" s="38" t="s">
        <v>44</v>
      </c>
      <c r="D382" s="38" t="s">
        <v>5</v>
      </c>
      <c r="E382" s="38" t="s">
        <v>103</v>
      </c>
      <c r="F382" s="38" t="s">
        <v>45</v>
      </c>
      <c r="G382" s="38">
        <v>2</v>
      </c>
      <c r="H382" s="38" t="s">
        <v>17</v>
      </c>
      <c r="I382" s="38" t="s">
        <v>20</v>
      </c>
      <c r="J382" s="38">
        <v>0</v>
      </c>
      <c r="K382" s="39">
        <f>VLOOKUP(I382,'Weights and Confidence'!$D$16:$AC$26,5,FALSE)/COUNTIFS($B:$B,$B382,$C:$C,$C382,$H:$H,$H382,$I:$I,$I382)</f>
        <v>0.08</v>
      </c>
      <c r="L382" s="40">
        <f>VLOOKUP(I382,'Weights and Confidence'!$D$16:$AC$26,6,FALSE)</f>
        <v>0.8</v>
      </c>
      <c r="M382" s="41">
        <f>tScores4[[#This Row],[Raw_Rating_Text]]</f>
        <v>0</v>
      </c>
      <c r="N382" s="38"/>
    </row>
    <row r="383" spans="1:14" x14ac:dyDescent="0.2">
      <c r="A383" s="34" t="s">
        <v>14</v>
      </c>
      <c r="B383" s="34" t="s">
        <v>0</v>
      </c>
      <c r="C383" s="34" t="s">
        <v>44</v>
      </c>
      <c r="D383" s="34" t="s">
        <v>5</v>
      </c>
      <c r="E383" s="34" t="s">
        <v>103</v>
      </c>
      <c r="F383" s="34" t="s">
        <v>45</v>
      </c>
      <c r="G383" s="34">
        <v>2</v>
      </c>
      <c r="H383" s="34" t="s">
        <v>18</v>
      </c>
      <c r="I383" s="34" t="s">
        <v>20</v>
      </c>
      <c r="J383" s="34">
        <v>1</v>
      </c>
      <c r="K383" s="35">
        <f>VLOOKUP(I383,'Weights and Confidence'!$D$16:$AC$26,5,FALSE)/COUNTIFS($B:$B,$B383,$C:$C,$C383,$H:$H,$H383,$I:$I,$I383)</f>
        <v>0.08</v>
      </c>
      <c r="L383" s="36">
        <f>VLOOKUP(I383,'Weights and Confidence'!$D$16:$AC$26,6,FALSE)</f>
        <v>0.8</v>
      </c>
      <c r="M383" s="37">
        <f>tScores4[[#This Row],[Raw_Rating_Text]]</f>
        <v>1</v>
      </c>
      <c r="N383" s="34"/>
    </row>
    <row r="384" spans="1:14" x14ac:dyDescent="0.2">
      <c r="A384" s="38" t="s">
        <v>14</v>
      </c>
      <c r="B384" s="38" t="s">
        <v>0</v>
      </c>
      <c r="C384" s="38" t="s">
        <v>44</v>
      </c>
      <c r="D384" s="38" t="s">
        <v>5</v>
      </c>
      <c r="E384" s="38" t="s">
        <v>103</v>
      </c>
      <c r="F384" s="38" t="s">
        <v>45</v>
      </c>
      <c r="G384" s="38">
        <v>3</v>
      </c>
      <c r="H384" s="38" t="s">
        <v>17</v>
      </c>
      <c r="I384" s="38" t="s">
        <v>21</v>
      </c>
      <c r="J384" s="38">
        <v>1</v>
      </c>
      <c r="K384" s="39">
        <f>VLOOKUP(I384,'Weights and Confidence'!$D$16:$AC$26,5,FALSE)/COUNTIFS($B:$B,$B384,$C:$C,$C384,$H:$H,$H384,$I:$I,$I384)</f>
        <v>0.05</v>
      </c>
      <c r="L384" s="40">
        <f>VLOOKUP(I384,'Weights and Confidence'!$D$16:$AC$26,6,FALSE)</f>
        <v>1</v>
      </c>
      <c r="M384" s="41">
        <f>tScores4[[#This Row],[Raw_Rating_Text]]</f>
        <v>1</v>
      </c>
      <c r="N384" s="38" t="s">
        <v>82</v>
      </c>
    </row>
    <row r="385" spans="1:14" x14ac:dyDescent="0.2">
      <c r="A385" s="34" t="s">
        <v>14</v>
      </c>
      <c r="B385" s="34" t="s">
        <v>0</v>
      </c>
      <c r="C385" s="34" t="s">
        <v>44</v>
      </c>
      <c r="D385" s="34" t="s">
        <v>5</v>
      </c>
      <c r="E385" s="34" t="s">
        <v>103</v>
      </c>
      <c r="F385" s="34" t="s">
        <v>45</v>
      </c>
      <c r="G385" s="34">
        <v>3</v>
      </c>
      <c r="H385" s="34" t="s">
        <v>18</v>
      </c>
      <c r="I385" s="34" t="s">
        <v>21</v>
      </c>
      <c r="J385" s="34">
        <v>0</v>
      </c>
      <c r="K385" s="35">
        <f>VLOOKUP(I385,'Weights and Confidence'!$D$16:$AC$26,5,FALSE)/COUNTIFS($B:$B,$B385,$C:$C,$C385,$H:$H,$H385,$I:$I,$I385)</f>
        <v>0.05</v>
      </c>
      <c r="L385" s="36">
        <f>VLOOKUP(I385,'Weights and Confidence'!$D$16:$AC$26,6,FALSE)</f>
        <v>1</v>
      </c>
      <c r="M385" s="37">
        <f>tScores4[[#This Row],[Raw_Rating_Text]]</f>
        <v>0</v>
      </c>
      <c r="N385" s="34"/>
    </row>
    <row r="386" spans="1:14" x14ac:dyDescent="0.2">
      <c r="A386" s="38" t="s">
        <v>14</v>
      </c>
      <c r="B386" s="38" t="s">
        <v>0</v>
      </c>
      <c r="C386" s="38" t="s">
        <v>44</v>
      </c>
      <c r="D386" s="38" t="s">
        <v>5</v>
      </c>
      <c r="E386" s="38" t="s">
        <v>103</v>
      </c>
      <c r="F386" s="38" t="s">
        <v>45</v>
      </c>
      <c r="G386" s="38">
        <v>4</v>
      </c>
      <c r="H386" s="38" t="s">
        <v>17</v>
      </c>
      <c r="I386" s="38" t="s">
        <v>22</v>
      </c>
      <c r="J386" s="38">
        <v>0</v>
      </c>
      <c r="K386" s="39">
        <f>VLOOKUP(I386,'Weights and Confidence'!$D$16:$AC$26,5,FALSE)/COUNTIFS($B:$B,$B386,$C:$C,$C386,$H:$H,$H386,$I:$I,$I386)</f>
        <v>0.14000000000000001</v>
      </c>
      <c r="L386" s="40">
        <f>VLOOKUP(I386,'Weights and Confidence'!$D$16:$AC$26,6,FALSE)</f>
        <v>1</v>
      </c>
      <c r="M386" s="41">
        <f>tScores4[[#This Row],[Raw_Rating_Text]]</f>
        <v>0</v>
      </c>
      <c r="N386" s="38" t="s">
        <v>81</v>
      </c>
    </row>
    <row r="387" spans="1:14" x14ac:dyDescent="0.2">
      <c r="A387" s="34" t="s">
        <v>14</v>
      </c>
      <c r="B387" s="34" t="s">
        <v>0</v>
      </c>
      <c r="C387" s="34" t="s">
        <v>44</v>
      </c>
      <c r="D387" s="34" t="s">
        <v>5</v>
      </c>
      <c r="E387" s="34" t="s">
        <v>103</v>
      </c>
      <c r="F387" s="34" t="s">
        <v>45</v>
      </c>
      <c r="G387" s="34">
        <v>4</v>
      </c>
      <c r="H387" s="34" t="s">
        <v>18</v>
      </c>
      <c r="I387" s="34" t="s">
        <v>22</v>
      </c>
      <c r="J387" s="34">
        <v>0</v>
      </c>
      <c r="K387" s="35">
        <f>VLOOKUP(I387,'Weights and Confidence'!$D$16:$AC$26,5,FALSE)/COUNTIFS($B:$B,$B387,$C:$C,$C387,$H:$H,$H387,$I:$I,$I387)</f>
        <v>0.14000000000000001</v>
      </c>
      <c r="L387" s="36">
        <f>VLOOKUP(I387,'Weights and Confidence'!$D$16:$AC$26,6,FALSE)</f>
        <v>1</v>
      </c>
      <c r="M387" s="37">
        <f>tScores4[[#This Row],[Raw_Rating_Text]]</f>
        <v>0</v>
      </c>
      <c r="N387" s="34"/>
    </row>
    <row r="388" spans="1:14" x14ac:dyDescent="0.2">
      <c r="A388" s="38" t="s">
        <v>14</v>
      </c>
      <c r="B388" s="38" t="s">
        <v>0</v>
      </c>
      <c r="C388" s="38" t="s">
        <v>44</v>
      </c>
      <c r="D388" s="38" t="s">
        <v>5</v>
      </c>
      <c r="E388" s="38" t="s">
        <v>103</v>
      </c>
      <c r="F388" s="38" t="s">
        <v>45</v>
      </c>
      <c r="G388" s="38">
        <v>5</v>
      </c>
      <c r="H388" s="38" t="s">
        <v>17</v>
      </c>
      <c r="I388" s="38" t="s">
        <v>23</v>
      </c>
      <c r="J388" s="38">
        <v>0</v>
      </c>
      <c r="K388" s="39">
        <f>VLOOKUP(I388,'Weights and Confidence'!$D$16:$AC$26,5,FALSE)/COUNTIFS($B:$B,$B388,$C:$C,$C388,$H:$H,$H388,$I:$I,$I388)</f>
        <v>0.11</v>
      </c>
      <c r="L388" s="40">
        <f>VLOOKUP(I388,'Weights and Confidence'!$D$16:$AC$26,6,FALSE)</f>
        <v>1</v>
      </c>
      <c r="M388" s="41">
        <f>tScores4[[#This Row],[Raw_Rating_Text]]</f>
        <v>0</v>
      </c>
      <c r="N388" s="38"/>
    </row>
    <row r="389" spans="1:14" x14ac:dyDescent="0.2">
      <c r="A389" s="34" t="s">
        <v>14</v>
      </c>
      <c r="B389" s="34" t="s">
        <v>0</v>
      </c>
      <c r="C389" s="34" t="s">
        <v>44</v>
      </c>
      <c r="D389" s="34" t="s">
        <v>5</v>
      </c>
      <c r="E389" s="34" t="s">
        <v>103</v>
      </c>
      <c r="F389" s="34" t="s">
        <v>45</v>
      </c>
      <c r="G389" s="34">
        <v>5</v>
      </c>
      <c r="H389" s="34" t="s">
        <v>18</v>
      </c>
      <c r="I389" s="34" t="s">
        <v>23</v>
      </c>
      <c r="J389" s="34">
        <v>-1</v>
      </c>
      <c r="K389" s="35">
        <f>VLOOKUP(I389,'Weights and Confidence'!$D$16:$AC$26,5,FALSE)/COUNTIFS($B:$B,$B389,$C:$C,$C389,$H:$H,$H389,$I:$I,$I389)</f>
        <v>0.11</v>
      </c>
      <c r="L389" s="36">
        <f>VLOOKUP(I389,'Weights and Confidence'!$D$16:$AC$26,6,FALSE)</f>
        <v>1</v>
      </c>
      <c r="M389" s="37">
        <f>tScores4[[#This Row],[Raw_Rating_Text]]</f>
        <v>-1</v>
      </c>
      <c r="N389" s="34" t="s">
        <v>83</v>
      </c>
    </row>
    <row r="390" spans="1:14" x14ac:dyDescent="0.2">
      <c r="A390" s="38" t="s">
        <v>14</v>
      </c>
      <c r="B390" s="38" t="s">
        <v>0</v>
      </c>
      <c r="C390" s="38" t="s">
        <v>44</v>
      </c>
      <c r="D390" s="38" t="s">
        <v>5</v>
      </c>
      <c r="E390" s="38" t="s">
        <v>103</v>
      </c>
      <c r="F390" s="38" t="s">
        <v>45</v>
      </c>
      <c r="G390" s="38">
        <v>6</v>
      </c>
      <c r="H390" s="38" t="s">
        <v>17</v>
      </c>
      <c r="I390" s="38" t="s">
        <v>24</v>
      </c>
      <c r="J390" s="38">
        <v>0</v>
      </c>
      <c r="K390" s="39">
        <f>VLOOKUP(I390,'Weights and Confidence'!$D$16:$AC$26,5,FALSE)/COUNTIFS($B:$B,$B390,$C:$C,$C390,$H:$H,$H390,$I:$I,$I390)</f>
        <v>0.15</v>
      </c>
      <c r="L390" s="40">
        <f>VLOOKUP(I390,'Weights and Confidence'!$D$16:$AC$26,6,FALSE)</f>
        <v>1</v>
      </c>
      <c r="M390" s="41">
        <f>tScores4[[#This Row],[Raw_Rating_Text]]</f>
        <v>0</v>
      </c>
      <c r="N390" s="38"/>
    </row>
    <row r="391" spans="1:14" x14ac:dyDescent="0.2">
      <c r="A391" s="34" t="s">
        <v>14</v>
      </c>
      <c r="B391" s="34" t="s">
        <v>0</v>
      </c>
      <c r="C391" s="34" t="s">
        <v>44</v>
      </c>
      <c r="D391" s="34" t="s">
        <v>5</v>
      </c>
      <c r="E391" s="34" t="s">
        <v>103</v>
      </c>
      <c r="F391" s="34" t="s">
        <v>45</v>
      </c>
      <c r="G391" s="34">
        <v>6</v>
      </c>
      <c r="H391" s="34" t="s">
        <v>18</v>
      </c>
      <c r="I391" s="34" t="s">
        <v>24</v>
      </c>
      <c r="J391" s="34">
        <v>-1</v>
      </c>
      <c r="K391" s="35">
        <f>VLOOKUP(I391,'Weights and Confidence'!$D$16:$AC$26,5,FALSE)/COUNTIFS($B:$B,$B391,$C:$C,$C391,$H:$H,$H391,$I:$I,$I391)</f>
        <v>0.15</v>
      </c>
      <c r="L391" s="36">
        <f>VLOOKUP(I391,'Weights and Confidence'!$D$16:$AC$26,6,FALSE)</f>
        <v>1</v>
      </c>
      <c r="M391" s="37">
        <f>tScores4[[#This Row],[Raw_Rating_Text]]</f>
        <v>-1</v>
      </c>
      <c r="N391" s="34" t="s">
        <v>83</v>
      </c>
    </row>
    <row r="392" spans="1:14" x14ac:dyDescent="0.2">
      <c r="A392" s="38" t="s">
        <v>14</v>
      </c>
      <c r="B392" s="38" t="s">
        <v>0</v>
      </c>
      <c r="C392" s="38" t="s">
        <v>44</v>
      </c>
      <c r="D392" s="38" t="s">
        <v>5</v>
      </c>
      <c r="E392" s="38" t="s">
        <v>103</v>
      </c>
      <c r="F392" s="38" t="s">
        <v>45</v>
      </c>
      <c r="G392" s="38">
        <v>7</v>
      </c>
      <c r="H392" s="38" t="s">
        <v>17</v>
      </c>
      <c r="I392" s="38" t="s">
        <v>25</v>
      </c>
      <c r="J392" s="38">
        <v>0</v>
      </c>
      <c r="K392" s="39">
        <f>VLOOKUP(I392,'Weights and Confidence'!$D$16:$AC$26,5,FALSE)/COUNTIFS($B:$B,$B392,$C:$C,$C392,$H:$H,$H392,$I:$I,$I392)</f>
        <v>0.1</v>
      </c>
      <c r="L392" s="40">
        <f>VLOOKUP(I392,'Weights and Confidence'!$D$16:$AC$26,6,FALSE)</f>
        <v>1</v>
      </c>
      <c r="M392" s="41">
        <f>tScores4[[#This Row],[Raw_Rating_Text]]</f>
        <v>0</v>
      </c>
      <c r="N392" s="38"/>
    </row>
    <row r="393" spans="1:14" x14ac:dyDescent="0.2">
      <c r="A393" s="34" t="s">
        <v>14</v>
      </c>
      <c r="B393" s="34" t="s">
        <v>0</v>
      </c>
      <c r="C393" s="34" t="s">
        <v>44</v>
      </c>
      <c r="D393" s="34" t="s">
        <v>5</v>
      </c>
      <c r="E393" s="34" t="s">
        <v>103</v>
      </c>
      <c r="F393" s="34" t="s">
        <v>45</v>
      </c>
      <c r="G393" s="34">
        <v>7</v>
      </c>
      <c r="H393" s="34" t="s">
        <v>18</v>
      </c>
      <c r="I393" s="34" t="s">
        <v>25</v>
      </c>
      <c r="J393" s="34">
        <v>-1</v>
      </c>
      <c r="K393" s="35">
        <f>VLOOKUP(I393,'Weights and Confidence'!$D$16:$AC$26,5,FALSE)/COUNTIFS($B:$B,$B393,$C:$C,$C393,$H:$H,$H393,$I:$I,$I393)</f>
        <v>0.1</v>
      </c>
      <c r="L393" s="36">
        <f>VLOOKUP(I393,'Weights and Confidence'!$D$16:$AC$26,6,FALSE)</f>
        <v>1</v>
      </c>
      <c r="M393" s="37">
        <f>tScores4[[#This Row],[Raw_Rating_Text]]</f>
        <v>-1</v>
      </c>
      <c r="N393" s="34"/>
    </row>
    <row r="394" spans="1:14" x14ac:dyDescent="0.2">
      <c r="A394" s="38" t="s">
        <v>14</v>
      </c>
      <c r="B394" s="38" t="s">
        <v>0</v>
      </c>
      <c r="C394" s="38" t="s">
        <v>44</v>
      </c>
      <c r="D394" s="38" t="s">
        <v>5</v>
      </c>
      <c r="E394" s="38" t="s">
        <v>103</v>
      </c>
      <c r="F394" s="38" t="s">
        <v>45</v>
      </c>
      <c r="G394" s="38">
        <v>8</v>
      </c>
      <c r="H394" s="38" t="s">
        <v>17</v>
      </c>
      <c r="I394" s="38" t="s">
        <v>26</v>
      </c>
      <c r="J394" s="38">
        <v>0</v>
      </c>
      <c r="K394" s="39">
        <f>VLOOKUP(I394,'Weights and Confidence'!$D$16:$AC$26,5,FALSE)/COUNTIFS($B:$B,$B394,$C:$C,$C394,$H:$H,$H394,$I:$I,$I394)</f>
        <v>0.1</v>
      </c>
      <c r="L394" s="40">
        <f>VLOOKUP(I394,'Weights and Confidence'!$D$16:$AC$26,6,FALSE)</f>
        <v>1</v>
      </c>
      <c r="M394" s="41">
        <f>tScores4[[#This Row],[Raw_Rating_Text]]</f>
        <v>0</v>
      </c>
      <c r="N394" s="38"/>
    </row>
    <row r="395" spans="1:14" x14ac:dyDescent="0.2">
      <c r="A395" s="34" t="s">
        <v>14</v>
      </c>
      <c r="B395" s="34" t="s">
        <v>0</v>
      </c>
      <c r="C395" s="34" t="s">
        <v>44</v>
      </c>
      <c r="D395" s="34" t="s">
        <v>5</v>
      </c>
      <c r="E395" s="34" t="s">
        <v>103</v>
      </c>
      <c r="F395" s="34" t="s">
        <v>45</v>
      </c>
      <c r="G395" s="34">
        <v>8</v>
      </c>
      <c r="H395" s="34" t="s">
        <v>18</v>
      </c>
      <c r="I395" s="34" t="s">
        <v>26</v>
      </c>
      <c r="J395" s="34">
        <v>-1</v>
      </c>
      <c r="K395" s="35">
        <f>VLOOKUP(I395,'Weights and Confidence'!$D$16:$AC$26,5,FALSE)/COUNTIFS($B:$B,$B395,$C:$C,$C395,$H:$H,$H395,$I:$I,$I395)</f>
        <v>0.1</v>
      </c>
      <c r="L395" s="36">
        <f>VLOOKUP(I395,'Weights and Confidence'!$D$16:$AC$26,6,FALSE)</f>
        <v>1</v>
      </c>
      <c r="M395" s="37">
        <f>tScores4[[#This Row],[Raw_Rating_Text]]</f>
        <v>-1</v>
      </c>
      <c r="N395" s="34" t="s">
        <v>84</v>
      </c>
    </row>
    <row r="396" spans="1:14" x14ac:dyDescent="0.2">
      <c r="A396" s="38" t="s">
        <v>14</v>
      </c>
      <c r="B396" s="38" t="s">
        <v>0</v>
      </c>
      <c r="C396" s="38" t="s">
        <v>44</v>
      </c>
      <c r="D396" s="38" t="s">
        <v>5</v>
      </c>
      <c r="E396" s="38" t="s">
        <v>103</v>
      </c>
      <c r="F396" s="38" t="s">
        <v>45</v>
      </c>
      <c r="G396" s="38">
        <v>9</v>
      </c>
      <c r="H396" s="38" t="s">
        <v>17</v>
      </c>
      <c r="I396" s="38" t="s">
        <v>27</v>
      </c>
      <c r="J396" s="38">
        <v>0</v>
      </c>
      <c r="K396" s="39">
        <f>VLOOKUP(I396,'Weights and Confidence'!$D$16:$AC$26,5,FALSE)/COUNTIFS($B:$B,$B396,$C:$C,$C396,$H:$H,$H396,$I:$I,$I396)</f>
        <v>0.05</v>
      </c>
      <c r="L396" s="40">
        <f>VLOOKUP(I396,'Weights and Confidence'!$D$16:$AC$26,6,FALSE)</f>
        <v>0.85</v>
      </c>
      <c r="M396" s="41">
        <f>tScores4[[#This Row],[Raw_Rating_Text]]</f>
        <v>0</v>
      </c>
      <c r="N396" s="38"/>
    </row>
    <row r="397" spans="1:14" x14ac:dyDescent="0.2">
      <c r="A397" s="34" t="s">
        <v>14</v>
      </c>
      <c r="B397" s="34" t="s">
        <v>0</v>
      </c>
      <c r="C397" s="34" t="s">
        <v>44</v>
      </c>
      <c r="D397" s="34" t="s">
        <v>5</v>
      </c>
      <c r="E397" s="34" t="s">
        <v>103</v>
      </c>
      <c r="F397" s="34" t="s">
        <v>45</v>
      </c>
      <c r="G397" s="34">
        <v>9</v>
      </c>
      <c r="H397" s="34" t="s">
        <v>18</v>
      </c>
      <c r="I397" s="34" t="s">
        <v>27</v>
      </c>
      <c r="J397" s="34">
        <v>1</v>
      </c>
      <c r="K397" s="35">
        <f>VLOOKUP(I397,'Weights and Confidence'!$D$16:$AC$26,5,FALSE)/COUNTIFS($B:$B,$B397,$C:$C,$C397,$H:$H,$H397,$I:$I,$I397)</f>
        <v>0.05</v>
      </c>
      <c r="L397" s="36">
        <f>VLOOKUP(I397,'Weights and Confidence'!$D$16:$AC$26,6,FALSE)</f>
        <v>0.85</v>
      </c>
      <c r="M397" s="37">
        <f>tScores4[[#This Row],[Raw_Rating_Text]]</f>
        <v>1</v>
      </c>
      <c r="N397" s="34"/>
    </row>
    <row r="398" spans="1:14" x14ac:dyDescent="0.2">
      <c r="A398" s="38" t="s">
        <v>14</v>
      </c>
      <c r="B398" s="38" t="s">
        <v>0</v>
      </c>
      <c r="C398" s="38" t="s">
        <v>44</v>
      </c>
      <c r="D398" s="38" t="s">
        <v>5</v>
      </c>
      <c r="E398" s="38" t="s">
        <v>103</v>
      </c>
      <c r="F398" s="38" t="s">
        <v>45</v>
      </c>
      <c r="G398" s="38">
        <v>10</v>
      </c>
      <c r="H398" s="38" t="s">
        <v>17</v>
      </c>
      <c r="I398" s="38" t="s">
        <v>27</v>
      </c>
      <c r="J398" s="38">
        <v>-1</v>
      </c>
      <c r="K398" s="39">
        <f>VLOOKUP(I398,'Weights and Confidence'!$D$16:$AC$26,5,FALSE)/COUNTIFS($B:$B,$B398,$C:$C,$C398,$H:$H,$H398,$I:$I,$I398)</f>
        <v>0.05</v>
      </c>
      <c r="L398" s="40">
        <f>VLOOKUP(I398,'Weights and Confidence'!$D$16:$AC$26,6,FALSE)</f>
        <v>0.85</v>
      </c>
      <c r="M398" s="41">
        <f>tScores4[[#This Row],[Raw_Rating_Text]]</f>
        <v>-1</v>
      </c>
      <c r="N398" s="38"/>
    </row>
    <row r="399" spans="1:14" x14ac:dyDescent="0.2">
      <c r="A399" s="34" t="s">
        <v>14</v>
      </c>
      <c r="B399" s="34" t="s">
        <v>0</v>
      </c>
      <c r="C399" s="34" t="s">
        <v>44</v>
      </c>
      <c r="D399" s="34" t="s">
        <v>5</v>
      </c>
      <c r="E399" s="34" t="s">
        <v>103</v>
      </c>
      <c r="F399" s="34" t="s">
        <v>45</v>
      </c>
      <c r="G399" s="34">
        <v>10</v>
      </c>
      <c r="H399" s="34" t="s">
        <v>18</v>
      </c>
      <c r="I399" s="34" t="s">
        <v>27</v>
      </c>
      <c r="J399" s="34">
        <v>1</v>
      </c>
      <c r="K399" s="35">
        <f>VLOOKUP(I399,'Weights and Confidence'!$D$16:$AC$26,5,FALSE)/COUNTIFS($B:$B,$B399,$C:$C,$C399,$H:$H,$H399,$I:$I,$I399)</f>
        <v>0.05</v>
      </c>
      <c r="L399" s="36">
        <f>VLOOKUP(I399,'Weights and Confidence'!$D$16:$AC$26,6,FALSE)</f>
        <v>0.85</v>
      </c>
      <c r="M399" s="37">
        <f>tScores4[[#This Row],[Raw_Rating_Text]]</f>
        <v>1</v>
      </c>
      <c r="N399" s="34"/>
    </row>
    <row r="400" spans="1:14" x14ac:dyDescent="0.2">
      <c r="A400" s="38" t="s">
        <v>14</v>
      </c>
      <c r="B400" s="38" t="s">
        <v>0</v>
      </c>
      <c r="C400" s="38" t="s">
        <v>44</v>
      </c>
      <c r="D400" s="38" t="s">
        <v>5</v>
      </c>
      <c r="E400" s="38" t="s">
        <v>103</v>
      </c>
      <c r="F400" s="38" t="s">
        <v>45</v>
      </c>
      <c r="G400" s="38">
        <v>11</v>
      </c>
      <c r="H400" s="38" t="s">
        <v>17</v>
      </c>
      <c r="I400" s="38" t="s">
        <v>28</v>
      </c>
      <c r="J400" s="38">
        <v>0</v>
      </c>
      <c r="K400" s="39">
        <f>VLOOKUP(I400,'Weights and Confidence'!$D$16:$AC$26,5,FALSE)/COUNTIFS($B:$B,$B400,$C:$C,$C400,$H:$H,$H400,$I:$I,$I400)</f>
        <v>0.05</v>
      </c>
      <c r="L400" s="40">
        <f>VLOOKUP(I400,'Weights and Confidence'!$D$16:$AC$26,6,FALSE)</f>
        <v>1</v>
      </c>
      <c r="M400" s="41">
        <f>tScores4[[#This Row],[Raw_Rating_Text]]</f>
        <v>0</v>
      </c>
      <c r="N400" s="38"/>
    </row>
    <row r="401" spans="1:14" ht="17" thickBot="1" x14ac:dyDescent="0.25">
      <c r="A401" s="34" t="s">
        <v>14</v>
      </c>
      <c r="B401" s="34" t="s">
        <v>0</v>
      </c>
      <c r="C401" s="34" t="s">
        <v>44</v>
      </c>
      <c r="D401" s="34" t="s">
        <v>5</v>
      </c>
      <c r="E401" s="34" t="s">
        <v>103</v>
      </c>
      <c r="F401" s="34" t="s">
        <v>45</v>
      </c>
      <c r="G401" s="34">
        <v>11</v>
      </c>
      <c r="H401" s="34" t="s">
        <v>18</v>
      </c>
      <c r="I401" s="34" t="s">
        <v>28</v>
      </c>
      <c r="J401" s="34">
        <v>-1</v>
      </c>
      <c r="K401" s="35">
        <f>VLOOKUP(I401,'Weights and Confidence'!$D$16:$AC$26,5,FALSE)/COUNTIFS($B:$B,$B401,$C:$C,$C401,$H:$H,$H401,$I:$I,$I401)</f>
        <v>0.05</v>
      </c>
      <c r="L401" s="36">
        <f>VLOOKUP(I401,'Weights and Confidence'!$D$16:$AC$26,6,FALSE)</f>
        <v>1</v>
      </c>
      <c r="M401" s="37">
        <f>tScores4[[#This Row],[Raw_Rating_Text]]</f>
        <v>-1</v>
      </c>
      <c r="N401" s="34" t="s">
        <v>85</v>
      </c>
    </row>
    <row r="402" spans="1:14" ht="17" thickTop="1" x14ac:dyDescent="0.2">
      <c r="A402" s="42" t="s">
        <v>14</v>
      </c>
      <c r="B402" s="42" t="s">
        <v>0</v>
      </c>
      <c r="C402" s="42" t="s">
        <v>47</v>
      </c>
      <c r="D402" s="42" t="s">
        <v>5</v>
      </c>
      <c r="E402" s="42" t="s">
        <v>104</v>
      </c>
      <c r="F402" s="43" t="s">
        <v>46</v>
      </c>
      <c r="G402" s="42">
        <v>1</v>
      </c>
      <c r="H402" s="42" t="s">
        <v>17</v>
      </c>
      <c r="I402" s="42" t="s">
        <v>19</v>
      </c>
      <c r="J402" s="42">
        <v>-1</v>
      </c>
      <c r="K402" s="44">
        <f>VLOOKUP(I402,'Weights and Confidence'!$D$16:$AC$26,5,FALSE)/COUNTIFS($B:$B,$B402,$C:$C,$C402,$H:$H,$H402,$I:$I,$I402)</f>
        <v>0.12</v>
      </c>
      <c r="L402" s="45">
        <f>VLOOKUP(I402,'Weights and Confidence'!$D$16:$AC$26,6,FALSE)</f>
        <v>1</v>
      </c>
      <c r="M402" s="46">
        <f>tScores4[[#This Row],[Raw_Rating_Text]]</f>
        <v>-1</v>
      </c>
      <c r="N402" s="42"/>
    </row>
    <row r="403" spans="1:14" x14ac:dyDescent="0.2">
      <c r="A403" s="34" t="s">
        <v>14</v>
      </c>
      <c r="B403" s="34" t="s">
        <v>0</v>
      </c>
      <c r="C403" s="34" t="s">
        <v>47</v>
      </c>
      <c r="D403" s="34" t="s">
        <v>5</v>
      </c>
      <c r="E403" s="34" t="s">
        <v>104</v>
      </c>
      <c r="F403" s="34" t="s">
        <v>46</v>
      </c>
      <c r="G403" s="34">
        <v>1</v>
      </c>
      <c r="H403" s="34" t="s">
        <v>18</v>
      </c>
      <c r="I403" s="34" t="s">
        <v>19</v>
      </c>
      <c r="J403" s="34">
        <v>1</v>
      </c>
      <c r="K403" s="35">
        <f>VLOOKUP(I403,'Weights and Confidence'!$D$16:$AC$26,5,FALSE)/COUNTIFS($B:$B,$B403,$C:$C,$C403,$H:$H,$H403,$I:$I,$I403)</f>
        <v>0.12</v>
      </c>
      <c r="L403" s="36">
        <f>VLOOKUP(I403,'Weights and Confidence'!$D$16:$AC$26,6,FALSE)</f>
        <v>1</v>
      </c>
      <c r="M403" s="37">
        <f>tScores4[[#This Row],[Raw_Rating_Text]]</f>
        <v>1</v>
      </c>
      <c r="N403" s="34"/>
    </row>
    <row r="404" spans="1:14" x14ac:dyDescent="0.2">
      <c r="A404" s="38" t="s">
        <v>14</v>
      </c>
      <c r="B404" s="38" t="s">
        <v>0</v>
      </c>
      <c r="C404" s="38" t="s">
        <v>47</v>
      </c>
      <c r="D404" s="38" t="s">
        <v>5</v>
      </c>
      <c r="E404" s="38" t="s">
        <v>104</v>
      </c>
      <c r="F404" s="38" t="s">
        <v>46</v>
      </c>
      <c r="G404" s="38">
        <v>2</v>
      </c>
      <c r="H404" s="38" t="s">
        <v>17</v>
      </c>
      <c r="I404" s="38" t="s">
        <v>20</v>
      </c>
      <c r="J404" s="38">
        <v>0</v>
      </c>
      <c r="K404" s="39">
        <f>VLOOKUP(I404,'Weights and Confidence'!$D$16:$AC$26,5,FALSE)/COUNTIFS($B:$B,$B404,$C:$C,$C404,$H:$H,$H404,$I:$I,$I404)</f>
        <v>0.08</v>
      </c>
      <c r="L404" s="40">
        <f>VLOOKUP(I404,'Weights and Confidence'!$D$16:$AC$26,6,FALSE)</f>
        <v>0.8</v>
      </c>
      <c r="M404" s="41">
        <f>tScores4[[#This Row],[Raw_Rating_Text]]</f>
        <v>0</v>
      </c>
      <c r="N404" s="38"/>
    </row>
    <row r="405" spans="1:14" x14ac:dyDescent="0.2">
      <c r="A405" s="34" t="s">
        <v>14</v>
      </c>
      <c r="B405" s="34" t="s">
        <v>0</v>
      </c>
      <c r="C405" s="34" t="s">
        <v>47</v>
      </c>
      <c r="D405" s="34" t="s">
        <v>5</v>
      </c>
      <c r="E405" s="34" t="s">
        <v>104</v>
      </c>
      <c r="F405" s="34" t="s">
        <v>46</v>
      </c>
      <c r="G405" s="34">
        <v>2</v>
      </c>
      <c r="H405" s="34" t="s">
        <v>18</v>
      </c>
      <c r="I405" s="34" t="s">
        <v>20</v>
      </c>
      <c r="J405" s="34">
        <v>1</v>
      </c>
      <c r="K405" s="35">
        <f>VLOOKUP(I405,'Weights and Confidence'!$D$16:$AC$26,5,FALSE)/COUNTIFS($B:$B,$B405,$C:$C,$C405,$H:$H,$H405,$I:$I,$I405)</f>
        <v>0.08</v>
      </c>
      <c r="L405" s="36">
        <f>VLOOKUP(I405,'Weights and Confidence'!$D$16:$AC$26,6,FALSE)</f>
        <v>0.8</v>
      </c>
      <c r="M405" s="37">
        <f>tScores4[[#This Row],[Raw_Rating_Text]]</f>
        <v>1</v>
      </c>
      <c r="N405" s="34"/>
    </row>
    <row r="406" spans="1:14" x14ac:dyDescent="0.2">
      <c r="A406" s="38" t="s">
        <v>14</v>
      </c>
      <c r="B406" s="38" t="s">
        <v>0</v>
      </c>
      <c r="C406" s="38" t="s">
        <v>47</v>
      </c>
      <c r="D406" s="38" t="s">
        <v>5</v>
      </c>
      <c r="E406" s="38" t="s">
        <v>104</v>
      </c>
      <c r="F406" s="38" t="s">
        <v>46</v>
      </c>
      <c r="G406" s="38">
        <v>3</v>
      </c>
      <c r="H406" s="38" t="s">
        <v>17</v>
      </c>
      <c r="I406" s="38" t="s">
        <v>21</v>
      </c>
      <c r="J406" s="38">
        <v>0</v>
      </c>
      <c r="K406" s="39">
        <f>VLOOKUP(I406,'Weights and Confidence'!$D$16:$AC$26,5,FALSE)/COUNTIFS($B:$B,$B406,$C:$C,$C406,$H:$H,$H406,$I:$I,$I406)</f>
        <v>0.05</v>
      </c>
      <c r="L406" s="40">
        <f>VLOOKUP(I406,'Weights and Confidence'!$D$16:$AC$26,6,FALSE)</f>
        <v>1</v>
      </c>
      <c r="M406" s="41">
        <f>tScores4[[#This Row],[Raw_Rating_Text]]</f>
        <v>0</v>
      </c>
      <c r="N406" s="38"/>
    </row>
    <row r="407" spans="1:14" x14ac:dyDescent="0.2">
      <c r="A407" s="34" t="s">
        <v>14</v>
      </c>
      <c r="B407" s="34" t="s">
        <v>0</v>
      </c>
      <c r="C407" s="34" t="s">
        <v>47</v>
      </c>
      <c r="D407" s="34" t="s">
        <v>5</v>
      </c>
      <c r="E407" s="34" t="s">
        <v>104</v>
      </c>
      <c r="F407" s="34" t="s">
        <v>46</v>
      </c>
      <c r="G407" s="34">
        <v>3</v>
      </c>
      <c r="H407" s="34" t="s">
        <v>18</v>
      </c>
      <c r="I407" s="34" t="s">
        <v>21</v>
      </c>
      <c r="J407" s="34">
        <v>1</v>
      </c>
      <c r="K407" s="35">
        <f>VLOOKUP(I407,'Weights and Confidence'!$D$16:$AC$26,5,FALSE)/COUNTIFS($B:$B,$B407,$C:$C,$C407,$H:$H,$H407,$I:$I,$I407)</f>
        <v>0.05</v>
      </c>
      <c r="L407" s="36">
        <f>VLOOKUP(I407,'Weights and Confidence'!$D$16:$AC$26,6,FALSE)</f>
        <v>1</v>
      </c>
      <c r="M407" s="37">
        <f>tScores4[[#This Row],[Raw_Rating_Text]]</f>
        <v>1</v>
      </c>
      <c r="N407" s="34"/>
    </row>
    <row r="408" spans="1:14" x14ac:dyDescent="0.2">
      <c r="A408" s="38" t="s">
        <v>14</v>
      </c>
      <c r="B408" s="38" t="s">
        <v>0</v>
      </c>
      <c r="C408" s="38" t="s">
        <v>47</v>
      </c>
      <c r="D408" s="38" t="s">
        <v>5</v>
      </c>
      <c r="E408" s="38" t="s">
        <v>104</v>
      </c>
      <c r="F408" s="38" t="s">
        <v>46</v>
      </c>
      <c r="G408" s="38">
        <v>4</v>
      </c>
      <c r="H408" s="38" t="s">
        <v>17</v>
      </c>
      <c r="I408" s="38" t="s">
        <v>22</v>
      </c>
      <c r="J408" s="38">
        <v>0</v>
      </c>
      <c r="K408" s="39">
        <f>VLOOKUP(I408,'Weights and Confidence'!$D$16:$AC$26,5,FALSE)/COUNTIFS($B:$B,$B408,$C:$C,$C408,$H:$H,$H408,$I:$I,$I408)</f>
        <v>0.14000000000000001</v>
      </c>
      <c r="L408" s="40">
        <f>VLOOKUP(I408,'Weights and Confidence'!$D$16:$AC$26,6,FALSE)</f>
        <v>1</v>
      </c>
      <c r="M408" s="41">
        <f>tScores4[[#This Row],[Raw_Rating_Text]]</f>
        <v>0</v>
      </c>
      <c r="N408" s="38"/>
    </row>
    <row r="409" spans="1:14" x14ac:dyDescent="0.2">
      <c r="A409" s="34" t="s">
        <v>14</v>
      </c>
      <c r="B409" s="34" t="s">
        <v>0</v>
      </c>
      <c r="C409" s="34" t="s">
        <v>47</v>
      </c>
      <c r="D409" s="34" t="s">
        <v>5</v>
      </c>
      <c r="E409" s="34" t="s">
        <v>104</v>
      </c>
      <c r="F409" s="34" t="s">
        <v>46</v>
      </c>
      <c r="G409" s="34">
        <v>4</v>
      </c>
      <c r="H409" s="34" t="s">
        <v>18</v>
      </c>
      <c r="I409" s="34" t="s">
        <v>22</v>
      </c>
      <c r="J409" s="34">
        <v>1</v>
      </c>
      <c r="K409" s="35">
        <f>VLOOKUP(I409,'Weights and Confidence'!$D$16:$AC$26,5,FALSE)/COUNTIFS($B:$B,$B409,$C:$C,$C409,$H:$H,$H409,$I:$I,$I409)</f>
        <v>0.14000000000000001</v>
      </c>
      <c r="L409" s="36">
        <f>VLOOKUP(I409,'Weights and Confidence'!$D$16:$AC$26,6,FALSE)</f>
        <v>1</v>
      </c>
      <c r="M409" s="37">
        <f>tScores4[[#This Row],[Raw_Rating_Text]]</f>
        <v>1</v>
      </c>
      <c r="N409" s="34"/>
    </row>
    <row r="410" spans="1:14" x14ac:dyDescent="0.2">
      <c r="A410" s="38" t="s">
        <v>14</v>
      </c>
      <c r="B410" s="38" t="s">
        <v>0</v>
      </c>
      <c r="C410" s="38" t="s">
        <v>47</v>
      </c>
      <c r="D410" s="38" t="s">
        <v>5</v>
      </c>
      <c r="E410" s="38" t="s">
        <v>104</v>
      </c>
      <c r="F410" s="38" t="s">
        <v>46</v>
      </c>
      <c r="G410" s="38">
        <v>5</v>
      </c>
      <c r="H410" s="38" t="s">
        <v>17</v>
      </c>
      <c r="I410" s="38" t="s">
        <v>23</v>
      </c>
      <c r="J410" s="38">
        <v>0</v>
      </c>
      <c r="K410" s="39">
        <f>VLOOKUP(I410,'Weights and Confidence'!$D$16:$AC$26,5,FALSE)/COUNTIFS($B:$B,$B410,$C:$C,$C410,$H:$H,$H410,$I:$I,$I410)</f>
        <v>0.11</v>
      </c>
      <c r="L410" s="40">
        <f>VLOOKUP(I410,'Weights and Confidence'!$D$16:$AC$26,6,FALSE)</f>
        <v>1</v>
      </c>
      <c r="M410" s="41">
        <f>tScores4[[#This Row],[Raw_Rating_Text]]</f>
        <v>0</v>
      </c>
      <c r="N410" s="38"/>
    </row>
    <row r="411" spans="1:14" x14ac:dyDescent="0.2">
      <c r="A411" s="34" t="s">
        <v>14</v>
      </c>
      <c r="B411" s="34" t="s">
        <v>0</v>
      </c>
      <c r="C411" s="34" t="s">
        <v>47</v>
      </c>
      <c r="D411" s="34" t="s">
        <v>5</v>
      </c>
      <c r="E411" s="34" t="s">
        <v>104</v>
      </c>
      <c r="F411" s="34" t="s">
        <v>46</v>
      </c>
      <c r="G411" s="34">
        <v>5</v>
      </c>
      <c r="H411" s="34" t="s">
        <v>18</v>
      </c>
      <c r="I411" s="34" t="s">
        <v>23</v>
      </c>
      <c r="J411" s="34">
        <v>1</v>
      </c>
      <c r="K411" s="35">
        <f>VLOOKUP(I411,'Weights and Confidence'!$D$16:$AC$26,5,FALSE)/COUNTIFS($B:$B,$B411,$C:$C,$C411,$H:$H,$H411,$I:$I,$I411)</f>
        <v>0.11</v>
      </c>
      <c r="L411" s="36">
        <f>VLOOKUP(I411,'Weights and Confidence'!$D$16:$AC$26,6,FALSE)</f>
        <v>1</v>
      </c>
      <c r="M411" s="37">
        <f>tScores4[[#This Row],[Raw_Rating_Text]]</f>
        <v>1</v>
      </c>
      <c r="N411" s="34"/>
    </row>
    <row r="412" spans="1:14" x14ac:dyDescent="0.2">
      <c r="A412" s="38" t="s">
        <v>14</v>
      </c>
      <c r="B412" s="38" t="s">
        <v>0</v>
      </c>
      <c r="C412" s="38" t="s">
        <v>47</v>
      </c>
      <c r="D412" s="38" t="s">
        <v>5</v>
      </c>
      <c r="E412" s="38" t="s">
        <v>104</v>
      </c>
      <c r="F412" s="38" t="s">
        <v>46</v>
      </c>
      <c r="G412" s="38">
        <v>6</v>
      </c>
      <c r="H412" s="38" t="s">
        <v>17</v>
      </c>
      <c r="I412" s="38" t="s">
        <v>24</v>
      </c>
      <c r="J412" s="38">
        <v>0</v>
      </c>
      <c r="K412" s="39">
        <f>VLOOKUP(I412,'Weights and Confidence'!$D$16:$AC$26,5,FALSE)/COUNTIFS($B:$B,$B412,$C:$C,$C412,$H:$H,$H412,$I:$I,$I412)</f>
        <v>0.15</v>
      </c>
      <c r="L412" s="40">
        <f>VLOOKUP(I412,'Weights and Confidence'!$D$16:$AC$26,6,FALSE)</f>
        <v>1</v>
      </c>
      <c r="M412" s="41">
        <f>tScores4[[#This Row],[Raw_Rating_Text]]</f>
        <v>0</v>
      </c>
      <c r="N412" s="38"/>
    </row>
    <row r="413" spans="1:14" x14ac:dyDescent="0.2">
      <c r="A413" s="34" t="s">
        <v>14</v>
      </c>
      <c r="B413" s="34" t="s">
        <v>0</v>
      </c>
      <c r="C413" s="34" t="s">
        <v>47</v>
      </c>
      <c r="D413" s="34" t="s">
        <v>5</v>
      </c>
      <c r="E413" s="34" t="s">
        <v>104</v>
      </c>
      <c r="F413" s="34" t="s">
        <v>46</v>
      </c>
      <c r="G413" s="34">
        <v>6</v>
      </c>
      <c r="H413" s="34" t="s">
        <v>18</v>
      </c>
      <c r="I413" s="34" t="s">
        <v>24</v>
      </c>
      <c r="J413" s="34">
        <v>1</v>
      </c>
      <c r="K413" s="35">
        <f>VLOOKUP(I413,'Weights and Confidence'!$D$16:$AC$26,5,FALSE)/COUNTIFS($B:$B,$B413,$C:$C,$C413,$H:$H,$H413,$I:$I,$I413)</f>
        <v>0.15</v>
      </c>
      <c r="L413" s="36">
        <f>VLOOKUP(I413,'Weights and Confidence'!$D$16:$AC$26,6,FALSE)</f>
        <v>1</v>
      </c>
      <c r="M413" s="37">
        <f>tScores4[[#This Row],[Raw_Rating_Text]]</f>
        <v>1</v>
      </c>
      <c r="N413" s="58" t="s">
        <v>109</v>
      </c>
    </row>
    <row r="414" spans="1:14" x14ac:dyDescent="0.2">
      <c r="A414" s="38" t="s">
        <v>14</v>
      </c>
      <c r="B414" s="38" t="s">
        <v>0</v>
      </c>
      <c r="C414" s="38" t="s">
        <v>47</v>
      </c>
      <c r="D414" s="38" t="s">
        <v>5</v>
      </c>
      <c r="E414" s="38" t="s">
        <v>104</v>
      </c>
      <c r="F414" s="38" t="s">
        <v>46</v>
      </c>
      <c r="G414" s="38">
        <v>7</v>
      </c>
      <c r="H414" s="38" t="s">
        <v>17</v>
      </c>
      <c r="I414" s="38" t="s">
        <v>25</v>
      </c>
      <c r="J414" s="38">
        <v>0</v>
      </c>
      <c r="K414" s="39">
        <f>VLOOKUP(I414,'Weights and Confidence'!$D$16:$AC$26,5,FALSE)/COUNTIFS($B:$B,$B414,$C:$C,$C414,$H:$H,$H414,$I:$I,$I414)</f>
        <v>0.1</v>
      </c>
      <c r="L414" s="40">
        <f>VLOOKUP(I414,'Weights and Confidence'!$D$16:$AC$26,6,FALSE)</f>
        <v>1</v>
      </c>
      <c r="M414" s="41">
        <f>tScores4[[#This Row],[Raw_Rating_Text]]</f>
        <v>0</v>
      </c>
      <c r="N414" s="38"/>
    </row>
    <row r="415" spans="1:14" x14ac:dyDescent="0.2">
      <c r="A415" s="34" t="s">
        <v>14</v>
      </c>
      <c r="B415" s="34" t="s">
        <v>0</v>
      </c>
      <c r="C415" s="34" t="s">
        <v>47</v>
      </c>
      <c r="D415" s="34" t="s">
        <v>5</v>
      </c>
      <c r="E415" s="34" t="s">
        <v>104</v>
      </c>
      <c r="F415" s="34" t="s">
        <v>46</v>
      </c>
      <c r="G415" s="34">
        <v>7</v>
      </c>
      <c r="H415" s="34" t="s">
        <v>18</v>
      </c>
      <c r="I415" s="34" t="s">
        <v>25</v>
      </c>
      <c r="J415" s="34">
        <v>0</v>
      </c>
      <c r="K415" s="35">
        <f>VLOOKUP(I415,'Weights and Confidence'!$D$16:$AC$26,5,FALSE)/COUNTIFS($B:$B,$B415,$C:$C,$C415,$H:$H,$H415,$I:$I,$I415)</f>
        <v>0.1</v>
      </c>
      <c r="L415" s="36">
        <f>VLOOKUP(I415,'Weights and Confidence'!$D$16:$AC$26,6,FALSE)</f>
        <v>1</v>
      </c>
      <c r="M415" s="37">
        <f>tScores4[[#This Row],[Raw_Rating_Text]]</f>
        <v>0</v>
      </c>
      <c r="N415" s="58" t="s">
        <v>110</v>
      </c>
    </row>
    <row r="416" spans="1:14" x14ac:dyDescent="0.2">
      <c r="A416" s="38" t="s">
        <v>14</v>
      </c>
      <c r="B416" s="38" t="s">
        <v>0</v>
      </c>
      <c r="C416" s="38" t="s">
        <v>47</v>
      </c>
      <c r="D416" s="38" t="s">
        <v>5</v>
      </c>
      <c r="E416" s="38" t="s">
        <v>104</v>
      </c>
      <c r="F416" s="38" t="s">
        <v>46</v>
      </c>
      <c r="G416" s="38">
        <v>8</v>
      </c>
      <c r="H416" s="38" t="s">
        <v>17</v>
      </c>
      <c r="I416" s="38" t="s">
        <v>26</v>
      </c>
      <c r="J416" s="38">
        <v>0</v>
      </c>
      <c r="K416" s="39">
        <f>VLOOKUP(I416,'Weights and Confidence'!$D$16:$AC$26,5,FALSE)/COUNTIFS($B:$B,$B416,$C:$C,$C416,$H:$H,$H416,$I:$I,$I416)</f>
        <v>0.1</v>
      </c>
      <c r="L416" s="40">
        <f>VLOOKUP(I416,'Weights and Confidence'!$D$16:$AC$26,6,FALSE)</f>
        <v>1</v>
      </c>
      <c r="M416" s="41">
        <f>tScores4[[#This Row],[Raw_Rating_Text]]</f>
        <v>0</v>
      </c>
      <c r="N416" s="38"/>
    </row>
    <row r="417" spans="1:14" x14ac:dyDescent="0.2">
      <c r="A417" s="34" t="s">
        <v>14</v>
      </c>
      <c r="B417" s="34" t="s">
        <v>0</v>
      </c>
      <c r="C417" s="34" t="s">
        <v>47</v>
      </c>
      <c r="D417" s="34" t="s">
        <v>5</v>
      </c>
      <c r="E417" s="34" t="s">
        <v>104</v>
      </c>
      <c r="F417" s="34" t="s">
        <v>46</v>
      </c>
      <c r="G417" s="34">
        <v>8</v>
      </c>
      <c r="H417" s="34" t="s">
        <v>18</v>
      </c>
      <c r="I417" s="34" t="s">
        <v>26</v>
      </c>
      <c r="J417" s="34">
        <v>0</v>
      </c>
      <c r="K417" s="35">
        <f>VLOOKUP(I417,'Weights and Confidence'!$D$16:$AC$26,5,FALSE)/COUNTIFS($B:$B,$B417,$C:$C,$C417,$H:$H,$H417,$I:$I,$I417)</f>
        <v>0.1</v>
      </c>
      <c r="L417" s="36">
        <f>VLOOKUP(I417,'Weights and Confidence'!$D$16:$AC$26,6,FALSE)</f>
        <v>1</v>
      </c>
      <c r="M417" s="37">
        <f>tScores4[[#This Row],[Raw_Rating_Text]]</f>
        <v>0</v>
      </c>
      <c r="N417" s="58" t="s">
        <v>111</v>
      </c>
    </row>
    <row r="418" spans="1:14" x14ac:dyDescent="0.2">
      <c r="A418" s="38" t="s">
        <v>14</v>
      </c>
      <c r="B418" s="38" t="s">
        <v>0</v>
      </c>
      <c r="C418" s="38" t="s">
        <v>47</v>
      </c>
      <c r="D418" s="38" t="s">
        <v>5</v>
      </c>
      <c r="E418" s="38" t="s">
        <v>104</v>
      </c>
      <c r="F418" s="38" t="s">
        <v>46</v>
      </c>
      <c r="G418" s="38">
        <v>9</v>
      </c>
      <c r="H418" s="38" t="s">
        <v>17</v>
      </c>
      <c r="I418" s="38" t="s">
        <v>27</v>
      </c>
      <c r="J418" s="38">
        <v>0</v>
      </c>
      <c r="K418" s="39">
        <f>VLOOKUP(I418,'Weights and Confidence'!$D$16:$AC$26,5,FALSE)/COUNTIFS($B:$B,$B418,$C:$C,$C418,$H:$H,$H418,$I:$I,$I418)</f>
        <v>0.05</v>
      </c>
      <c r="L418" s="40">
        <f>VLOOKUP(I418,'Weights and Confidence'!$D$16:$AC$26,6,FALSE)</f>
        <v>0.85</v>
      </c>
      <c r="M418" s="41">
        <f>tScores4[[#This Row],[Raw_Rating_Text]]</f>
        <v>0</v>
      </c>
      <c r="N418" s="38"/>
    </row>
    <row r="419" spans="1:14" x14ac:dyDescent="0.2">
      <c r="A419" s="34" t="s">
        <v>14</v>
      </c>
      <c r="B419" s="34" t="s">
        <v>0</v>
      </c>
      <c r="C419" s="34" t="s">
        <v>47</v>
      </c>
      <c r="D419" s="34" t="s">
        <v>5</v>
      </c>
      <c r="E419" s="34" t="s">
        <v>104</v>
      </c>
      <c r="F419" s="34" t="s">
        <v>46</v>
      </c>
      <c r="G419" s="34">
        <v>9</v>
      </c>
      <c r="H419" s="34" t="s">
        <v>18</v>
      </c>
      <c r="I419" s="34" t="s">
        <v>27</v>
      </c>
      <c r="J419" s="34">
        <v>1</v>
      </c>
      <c r="K419" s="35">
        <f>VLOOKUP(I419,'Weights and Confidence'!$D$16:$AC$26,5,FALSE)/COUNTIFS($B:$B,$B419,$C:$C,$C419,$H:$H,$H419,$I:$I,$I419)</f>
        <v>0.05</v>
      </c>
      <c r="L419" s="36">
        <f>VLOOKUP(I419,'Weights and Confidence'!$D$16:$AC$26,6,FALSE)</f>
        <v>0.85</v>
      </c>
      <c r="M419" s="37">
        <f>tScores4[[#This Row],[Raw_Rating_Text]]</f>
        <v>1</v>
      </c>
      <c r="N419" s="34"/>
    </row>
    <row r="420" spans="1:14" x14ac:dyDescent="0.2">
      <c r="A420" s="38" t="s">
        <v>14</v>
      </c>
      <c r="B420" s="38" t="s">
        <v>0</v>
      </c>
      <c r="C420" s="38" t="s">
        <v>47</v>
      </c>
      <c r="D420" s="38" t="s">
        <v>5</v>
      </c>
      <c r="E420" s="38" t="s">
        <v>104</v>
      </c>
      <c r="F420" s="38" t="s">
        <v>46</v>
      </c>
      <c r="G420" s="38">
        <v>10</v>
      </c>
      <c r="H420" s="38" t="s">
        <v>17</v>
      </c>
      <c r="I420" s="38" t="s">
        <v>27</v>
      </c>
      <c r="J420" s="38">
        <v>0</v>
      </c>
      <c r="K420" s="39">
        <f>VLOOKUP(I420,'Weights and Confidence'!$D$16:$AC$26,5,FALSE)/COUNTIFS($B:$B,$B420,$C:$C,$C420,$H:$H,$H420,$I:$I,$I420)</f>
        <v>0.05</v>
      </c>
      <c r="L420" s="40">
        <f>VLOOKUP(I420,'Weights and Confidence'!$D$16:$AC$26,6,FALSE)</f>
        <v>0.85</v>
      </c>
      <c r="M420" s="41">
        <f>tScores4[[#This Row],[Raw_Rating_Text]]</f>
        <v>0</v>
      </c>
      <c r="N420" s="38"/>
    </row>
    <row r="421" spans="1:14" x14ac:dyDescent="0.2">
      <c r="A421" s="34" t="s">
        <v>14</v>
      </c>
      <c r="B421" s="34" t="s">
        <v>0</v>
      </c>
      <c r="C421" s="34" t="s">
        <v>47</v>
      </c>
      <c r="D421" s="34" t="s">
        <v>5</v>
      </c>
      <c r="E421" s="34" t="s">
        <v>104</v>
      </c>
      <c r="F421" s="34" t="s">
        <v>46</v>
      </c>
      <c r="G421" s="34">
        <v>10</v>
      </c>
      <c r="H421" s="34" t="s">
        <v>18</v>
      </c>
      <c r="I421" s="34" t="s">
        <v>27</v>
      </c>
      <c r="J421" s="34">
        <v>1</v>
      </c>
      <c r="K421" s="35">
        <f>VLOOKUP(I421,'Weights and Confidence'!$D$16:$AC$26,5,FALSE)/COUNTIFS($B:$B,$B421,$C:$C,$C421,$H:$H,$H421,$I:$I,$I421)</f>
        <v>0.05</v>
      </c>
      <c r="L421" s="36">
        <f>VLOOKUP(I421,'Weights and Confidence'!$D$16:$AC$26,6,FALSE)</f>
        <v>0.85</v>
      </c>
      <c r="M421" s="37">
        <f>tScores4[[#This Row],[Raw_Rating_Text]]</f>
        <v>1</v>
      </c>
      <c r="N421" s="34"/>
    </row>
    <row r="422" spans="1:14" x14ac:dyDescent="0.2">
      <c r="A422" s="38" t="s">
        <v>14</v>
      </c>
      <c r="B422" s="38" t="s">
        <v>0</v>
      </c>
      <c r="C422" s="38" t="s">
        <v>47</v>
      </c>
      <c r="D422" s="38" t="s">
        <v>5</v>
      </c>
      <c r="E422" s="38" t="s">
        <v>104</v>
      </c>
      <c r="F422" s="38" t="s">
        <v>46</v>
      </c>
      <c r="G422" s="38">
        <v>11</v>
      </c>
      <c r="H422" s="38" t="s">
        <v>17</v>
      </c>
      <c r="I422" s="38" t="s">
        <v>28</v>
      </c>
      <c r="J422" s="38">
        <v>0</v>
      </c>
      <c r="K422" s="39">
        <f>VLOOKUP(I422,'Weights and Confidence'!$D$16:$AC$26,5,FALSE)/COUNTIFS($B:$B,$B422,$C:$C,$C422,$H:$H,$H422,$I:$I,$I422)</f>
        <v>0.05</v>
      </c>
      <c r="L422" s="40">
        <f>VLOOKUP(I422,'Weights and Confidence'!$D$16:$AC$26,6,FALSE)</f>
        <v>1</v>
      </c>
      <c r="M422" s="41">
        <f>tScores4[[#This Row],[Raw_Rating_Text]]</f>
        <v>0</v>
      </c>
      <c r="N422" s="38"/>
    </row>
    <row r="423" spans="1:14" ht="17" thickBot="1" x14ac:dyDescent="0.25">
      <c r="A423" s="34" t="s">
        <v>14</v>
      </c>
      <c r="B423" s="34" t="s">
        <v>0</v>
      </c>
      <c r="C423" s="34" t="s">
        <v>47</v>
      </c>
      <c r="D423" s="34" t="s">
        <v>5</v>
      </c>
      <c r="E423" s="34" t="s">
        <v>104</v>
      </c>
      <c r="F423" s="34" t="s">
        <v>46</v>
      </c>
      <c r="G423" s="34">
        <v>11</v>
      </c>
      <c r="H423" s="34" t="s">
        <v>18</v>
      </c>
      <c r="I423" s="34" t="s">
        <v>28</v>
      </c>
      <c r="J423" s="34">
        <v>0</v>
      </c>
      <c r="K423" s="35">
        <f>VLOOKUP(I423,'Weights and Confidence'!$D$16:$AC$26,5,FALSE)/COUNTIFS($B:$B,$B423,$C:$C,$C423,$H:$H,$H423,$I:$I,$I423)</f>
        <v>0.05</v>
      </c>
      <c r="L423" s="36">
        <f>VLOOKUP(I423,'Weights and Confidence'!$D$16:$AC$26,6,FALSE)</f>
        <v>1</v>
      </c>
      <c r="M423" s="37">
        <f>tScores4[[#This Row],[Raw_Rating_Text]]</f>
        <v>0</v>
      </c>
      <c r="N423" s="34" t="s">
        <v>83</v>
      </c>
    </row>
    <row r="424" spans="1:14" ht="17" thickTop="1" x14ac:dyDescent="0.2">
      <c r="A424" s="42" t="s">
        <v>14</v>
      </c>
      <c r="B424" s="42" t="s">
        <v>0</v>
      </c>
      <c r="C424" s="42" t="s">
        <v>92</v>
      </c>
      <c r="D424" s="42" t="s">
        <v>5</v>
      </c>
      <c r="E424" s="42"/>
      <c r="F424" s="43" t="s">
        <v>112</v>
      </c>
      <c r="G424" s="42">
        <v>1</v>
      </c>
      <c r="H424" s="42" t="s">
        <v>17</v>
      </c>
      <c r="I424" s="42" t="s">
        <v>19</v>
      </c>
      <c r="J424" s="42">
        <v>1</v>
      </c>
      <c r="K424" s="44">
        <f>VLOOKUP(I424,'Weights and Confidence'!$D$16:$AC$26,5,FALSE)/COUNTIFS($B:$B,$B424,$C:$C,$C424,$H:$H,$H424,$I:$I,$I424)</f>
        <v>0.12</v>
      </c>
      <c r="L424" s="45">
        <f>VLOOKUP(I424,'Weights and Confidence'!$D$16:$AC$26,6,FALSE)</f>
        <v>1</v>
      </c>
      <c r="M424" s="46">
        <f>tScores4[[#This Row],[Raw_Rating_Text]]</f>
        <v>1</v>
      </c>
      <c r="N424" s="42"/>
    </row>
    <row r="425" spans="1:14" x14ac:dyDescent="0.2">
      <c r="A425" s="34" t="s">
        <v>14</v>
      </c>
      <c r="B425" s="34" t="s">
        <v>0</v>
      </c>
      <c r="C425" s="34" t="s">
        <v>92</v>
      </c>
      <c r="D425" s="34" t="s">
        <v>5</v>
      </c>
      <c r="E425" s="34"/>
      <c r="F425" s="34" t="s">
        <v>112</v>
      </c>
      <c r="G425" s="34">
        <v>1</v>
      </c>
      <c r="H425" s="34" t="s">
        <v>18</v>
      </c>
      <c r="I425" s="34" t="s">
        <v>19</v>
      </c>
      <c r="J425" s="34">
        <v>1</v>
      </c>
      <c r="K425" s="35">
        <f>VLOOKUP(I425,'Weights and Confidence'!$D$16:$AC$26,5,FALSE)/COUNTIFS($B:$B,$B425,$C:$C,$C425,$H:$H,$H425,$I:$I,$I425)</f>
        <v>0.12</v>
      </c>
      <c r="L425" s="36">
        <f>VLOOKUP(I425,'Weights and Confidence'!$D$16:$AC$26,6,FALSE)</f>
        <v>1</v>
      </c>
      <c r="M425" s="37">
        <f>tScores4[[#This Row],[Raw_Rating_Text]]</f>
        <v>1</v>
      </c>
      <c r="N425" s="34"/>
    </row>
    <row r="426" spans="1:14" x14ac:dyDescent="0.2">
      <c r="A426" s="38" t="s">
        <v>14</v>
      </c>
      <c r="B426" s="38" t="s">
        <v>0</v>
      </c>
      <c r="C426" s="38" t="s">
        <v>92</v>
      </c>
      <c r="D426" s="38" t="s">
        <v>5</v>
      </c>
      <c r="E426" s="38"/>
      <c r="F426" s="38" t="s">
        <v>112</v>
      </c>
      <c r="G426" s="38">
        <v>2</v>
      </c>
      <c r="H426" s="38" t="s">
        <v>17</v>
      </c>
      <c r="I426" s="38" t="s">
        <v>20</v>
      </c>
      <c r="J426" s="38">
        <v>1</v>
      </c>
      <c r="K426" s="39">
        <f>VLOOKUP(I426,'Weights and Confidence'!$D$16:$AC$26,5,FALSE)/COUNTIFS($B:$B,$B426,$C:$C,$C426,$H:$H,$H426,$I:$I,$I426)</f>
        <v>0.08</v>
      </c>
      <c r="L426" s="40">
        <f>VLOOKUP(I426,'Weights and Confidence'!$D$16:$AC$26,6,FALSE)</f>
        <v>0.8</v>
      </c>
      <c r="M426" s="41">
        <f>tScores4[[#This Row],[Raw_Rating_Text]]</f>
        <v>1</v>
      </c>
      <c r="N426" s="38"/>
    </row>
    <row r="427" spans="1:14" x14ac:dyDescent="0.2">
      <c r="A427" s="34" t="s">
        <v>14</v>
      </c>
      <c r="B427" s="34" t="s">
        <v>0</v>
      </c>
      <c r="C427" s="34" t="s">
        <v>92</v>
      </c>
      <c r="D427" s="34" t="s">
        <v>5</v>
      </c>
      <c r="E427" s="34"/>
      <c r="F427" s="34" t="s">
        <v>112</v>
      </c>
      <c r="G427" s="34">
        <v>2</v>
      </c>
      <c r="H427" s="34" t="s">
        <v>18</v>
      </c>
      <c r="I427" s="34" t="s">
        <v>20</v>
      </c>
      <c r="J427" s="34">
        <v>1</v>
      </c>
      <c r="K427" s="35">
        <f>VLOOKUP(I427,'Weights and Confidence'!$D$16:$AC$26,5,FALSE)/COUNTIFS($B:$B,$B427,$C:$C,$C427,$H:$H,$H427,$I:$I,$I427)</f>
        <v>0.08</v>
      </c>
      <c r="L427" s="36">
        <f>VLOOKUP(I427,'Weights and Confidence'!$D$16:$AC$26,6,FALSE)</f>
        <v>0.8</v>
      </c>
      <c r="M427" s="37">
        <f>tScores4[[#This Row],[Raw_Rating_Text]]</f>
        <v>1</v>
      </c>
      <c r="N427" s="34"/>
    </row>
    <row r="428" spans="1:14" x14ac:dyDescent="0.2">
      <c r="A428" s="38" t="s">
        <v>14</v>
      </c>
      <c r="B428" s="38" t="s">
        <v>0</v>
      </c>
      <c r="C428" s="38" t="s">
        <v>92</v>
      </c>
      <c r="D428" s="38" t="s">
        <v>5</v>
      </c>
      <c r="E428" s="38"/>
      <c r="F428" s="38" t="s">
        <v>112</v>
      </c>
      <c r="G428" s="38">
        <v>3</v>
      </c>
      <c r="H428" s="38" t="s">
        <v>17</v>
      </c>
      <c r="I428" s="38" t="s">
        <v>21</v>
      </c>
      <c r="J428" s="38">
        <v>1</v>
      </c>
      <c r="K428" s="39">
        <f>VLOOKUP(I428,'Weights and Confidence'!$D$16:$AC$26,5,FALSE)/COUNTIFS($B:$B,$B428,$C:$C,$C428,$H:$H,$H428,$I:$I,$I428)</f>
        <v>0.05</v>
      </c>
      <c r="L428" s="40">
        <f>VLOOKUP(I428,'Weights and Confidence'!$D$16:$AC$26,6,FALSE)</f>
        <v>1</v>
      </c>
      <c r="M428" s="41">
        <f>tScores4[[#This Row],[Raw_Rating_Text]]</f>
        <v>1</v>
      </c>
      <c r="N428" s="38"/>
    </row>
    <row r="429" spans="1:14" x14ac:dyDescent="0.2">
      <c r="A429" s="34" t="s">
        <v>14</v>
      </c>
      <c r="B429" s="34" t="s">
        <v>0</v>
      </c>
      <c r="C429" s="34" t="s">
        <v>92</v>
      </c>
      <c r="D429" s="34" t="s">
        <v>5</v>
      </c>
      <c r="E429" s="34"/>
      <c r="F429" s="34" t="s">
        <v>112</v>
      </c>
      <c r="G429" s="34">
        <v>3</v>
      </c>
      <c r="H429" s="34" t="s">
        <v>18</v>
      </c>
      <c r="I429" s="34" t="s">
        <v>21</v>
      </c>
      <c r="J429" s="34">
        <v>1</v>
      </c>
      <c r="K429" s="35">
        <f>VLOOKUP(I429,'Weights and Confidence'!$D$16:$AC$26,5,FALSE)/COUNTIFS($B:$B,$B429,$C:$C,$C429,$H:$H,$H429,$I:$I,$I429)</f>
        <v>0.05</v>
      </c>
      <c r="L429" s="36">
        <f>VLOOKUP(I429,'Weights and Confidence'!$D$16:$AC$26,6,FALSE)</f>
        <v>1</v>
      </c>
      <c r="M429" s="37">
        <f>tScores4[[#This Row],[Raw_Rating_Text]]</f>
        <v>1</v>
      </c>
      <c r="N429" s="58" t="s">
        <v>113</v>
      </c>
    </row>
    <row r="430" spans="1:14" x14ac:dyDescent="0.2">
      <c r="A430" s="38" t="s">
        <v>14</v>
      </c>
      <c r="B430" s="38" t="s">
        <v>0</v>
      </c>
      <c r="C430" s="38" t="s">
        <v>92</v>
      </c>
      <c r="D430" s="38" t="s">
        <v>5</v>
      </c>
      <c r="E430" s="38"/>
      <c r="F430" s="38" t="s">
        <v>112</v>
      </c>
      <c r="G430" s="38">
        <v>4</v>
      </c>
      <c r="H430" s="38" t="s">
        <v>17</v>
      </c>
      <c r="I430" s="38" t="s">
        <v>22</v>
      </c>
      <c r="J430" s="38">
        <v>0</v>
      </c>
      <c r="K430" s="39">
        <f>VLOOKUP(I430,'Weights and Confidence'!$D$16:$AC$26,5,FALSE)/COUNTIFS($B:$B,$B430,$C:$C,$C430,$H:$H,$H430,$I:$I,$I430)</f>
        <v>0.14000000000000001</v>
      </c>
      <c r="L430" s="40">
        <f>VLOOKUP(I430,'Weights and Confidence'!$D$16:$AC$26,6,FALSE)</f>
        <v>1</v>
      </c>
      <c r="M430" s="41">
        <f>tScores4[[#This Row],[Raw_Rating_Text]]</f>
        <v>0</v>
      </c>
      <c r="N430" s="38"/>
    </row>
    <row r="431" spans="1:14" x14ac:dyDescent="0.2">
      <c r="A431" s="34" t="s">
        <v>14</v>
      </c>
      <c r="B431" s="34" t="s">
        <v>0</v>
      </c>
      <c r="C431" s="34" t="s">
        <v>92</v>
      </c>
      <c r="D431" s="34" t="s">
        <v>5</v>
      </c>
      <c r="E431" s="34"/>
      <c r="F431" s="34" t="s">
        <v>112</v>
      </c>
      <c r="G431" s="34">
        <v>4</v>
      </c>
      <c r="H431" s="34" t="s">
        <v>18</v>
      </c>
      <c r="I431" s="34" t="s">
        <v>22</v>
      </c>
      <c r="J431" s="34">
        <v>1</v>
      </c>
      <c r="K431" s="35">
        <f>VLOOKUP(I431,'Weights and Confidence'!$D$16:$AC$26,5,FALSE)/COUNTIFS($B:$B,$B431,$C:$C,$C431,$H:$H,$H431,$I:$I,$I431)</f>
        <v>0.14000000000000001</v>
      </c>
      <c r="L431" s="36">
        <f>VLOOKUP(I431,'Weights and Confidence'!$D$16:$AC$26,6,FALSE)</f>
        <v>1</v>
      </c>
      <c r="M431" s="37">
        <f>tScores4[[#This Row],[Raw_Rating_Text]]</f>
        <v>1</v>
      </c>
      <c r="N431" s="34"/>
    </row>
    <row r="432" spans="1:14" x14ac:dyDescent="0.2">
      <c r="A432" s="38" t="s">
        <v>14</v>
      </c>
      <c r="B432" s="38" t="s">
        <v>0</v>
      </c>
      <c r="C432" s="38" t="s">
        <v>92</v>
      </c>
      <c r="D432" s="38" t="s">
        <v>5</v>
      </c>
      <c r="E432" s="38"/>
      <c r="F432" s="38" t="s">
        <v>112</v>
      </c>
      <c r="G432" s="38">
        <v>5</v>
      </c>
      <c r="H432" s="38" t="s">
        <v>17</v>
      </c>
      <c r="I432" s="38" t="s">
        <v>23</v>
      </c>
      <c r="J432" s="38">
        <v>0</v>
      </c>
      <c r="K432" s="39">
        <f>VLOOKUP(I432,'Weights and Confidence'!$D$16:$AC$26,5,FALSE)/COUNTIFS($B:$B,$B432,$C:$C,$C432,$H:$H,$H432,$I:$I,$I432)</f>
        <v>0.11</v>
      </c>
      <c r="L432" s="40">
        <f>VLOOKUP(I432,'Weights and Confidence'!$D$16:$AC$26,6,FALSE)</f>
        <v>1</v>
      </c>
      <c r="M432" s="41">
        <f>tScores4[[#This Row],[Raw_Rating_Text]]</f>
        <v>0</v>
      </c>
      <c r="N432" s="38"/>
    </row>
    <row r="433" spans="1:14" x14ac:dyDescent="0.2">
      <c r="A433" s="34" t="s">
        <v>14</v>
      </c>
      <c r="B433" s="34" t="s">
        <v>0</v>
      </c>
      <c r="C433" s="34" t="s">
        <v>92</v>
      </c>
      <c r="D433" s="34" t="s">
        <v>5</v>
      </c>
      <c r="E433" s="34"/>
      <c r="F433" s="34" t="s">
        <v>112</v>
      </c>
      <c r="G433" s="34">
        <v>5</v>
      </c>
      <c r="H433" s="34" t="s">
        <v>18</v>
      </c>
      <c r="I433" s="34" t="s">
        <v>23</v>
      </c>
      <c r="J433" s="34">
        <v>1</v>
      </c>
      <c r="K433" s="35">
        <f>VLOOKUP(I433,'Weights and Confidence'!$D$16:$AC$26,5,FALSE)/COUNTIFS($B:$B,$B433,$C:$C,$C433,$H:$H,$H433,$I:$I,$I433)</f>
        <v>0.11</v>
      </c>
      <c r="L433" s="36">
        <f>VLOOKUP(I433,'Weights and Confidence'!$D$16:$AC$26,6,FALSE)</f>
        <v>1</v>
      </c>
      <c r="M433" s="37">
        <f>tScores4[[#This Row],[Raw_Rating_Text]]</f>
        <v>1</v>
      </c>
      <c r="N433" s="34"/>
    </row>
    <row r="434" spans="1:14" x14ac:dyDescent="0.2">
      <c r="A434" s="38" t="s">
        <v>14</v>
      </c>
      <c r="B434" s="38" t="s">
        <v>0</v>
      </c>
      <c r="C434" s="38" t="s">
        <v>92</v>
      </c>
      <c r="D434" s="38" t="s">
        <v>5</v>
      </c>
      <c r="E434" s="38"/>
      <c r="F434" s="38" t="s">
        <v>112</v>
      </c>
      <c r="G434" s="38">
        <v>6</v>
      </c>
      <c r="H434" s="38" t="s">
        <v>17</v>
      </c>
      <c r="I434" s="38" t="s">
        <v>24</v>
      </c>
      <c r="J434" s="38">
        <v>0</v>
      </c>
      <c r="K434" s="39">
        <f>VLOOKUP(I434,'Weights and Confidence'!$D$16:$AC$26,5,FALSE)/COUNTIFS($B:$B,$B434,$C:$C,$C434,$H:$H,$H434,$I:$I,$I434)</f>
        <v>0.15</v>
      </c>
      <c r="L434" s="40">
        <f>VLOOKUP(I434,'Weights and Confidence'!$D$16:$AC$26,6,FALSE)</f>
        <v>1</v>
      </c>
      <c r="M434" s="41">
        <f>tScores4[[#This Row],[Raw_Rating_Text]]</f>
        <v>0</v>
      </c>
      <c r="N434" s="38"/>
    </row>
    <row r="435" spans="1:14" x14ac:dyDescent="0.2">
      <c r="A435" s="34" t="s">
        <v>14</v>
      </c>
      <c r="B435" s="34" t="s">
        <v>0</v>
      </c>
      <c r="C435" s="34" t="s">
        <v>92</v>
      </c>
      <c r="D435" s="34" t="s">
        <v>5</v>
      </c>
      <c r="E435" s="34"/>
      <c r="F435" s="34" t="s">
        <v>112</v>
      </c>
      <c r="G435" s="34">
        <v>6</v>
      </c>
      <c r="H435" s="34" t="s">
        <v>18</v>
      </c>
      <c r="I435" s="34" t="s">
        <v>24</v>
      </c>
      <c r="J435" s="34">
        <v>1</v>
      </c>
      <c r="K435" s="35">
        <f>VLOOKUP(I435,'Weights and Confidence'!$D$16:$AC$26,5,FALSE)/COUNTIFS($B:$B,$B435,$C:$C,$C435,$H:$H,$H435,$I:$I,$I435)</f>
        <v>0.15</v>
      </c>
      <c r="L435" s="36">
        <f>VLOOKUP(I435,'Weights and Confidence'!$D$16:$AC$26,6,FALSE)</f>
        <v>1</v>
      </c>
      <c r="M435" s="37">
        <f>tScores4[[#This Row],[Raw_Rating_Text]]</f>
        <v>1</v>
      </c>
      <c r="N435" s="58" t="s">
        <v>123</v>
      </c>
    </row>
    <row r="436" spans="1:14" x14ac:dyDescent="0.2">
      <c r="A436" s="38" t="s">
        <v>14</v>
      </c>
      <c r="B436" s="38" t="s">
        <v>0</v>
      </c>
      <c r="C436" s="38" t="s">
        <v>92</v>
      </c>
      <c r="D436" s="38" t="s">
        <v>5</v>
      </c>
      <c r="E436" s="38"/>
      <c r="F436" s="38" t="s">
        <v>112</v>
      </c>
      <c r="G436" s="38">
        <v>7</v>
      </c>
      <c r="H436" s="38" t="s">
        <v>17</v>
      </c>
      <c r="I436" s="38" t="s">
        <v>25</v>
      </c>
      <c r="J436" s="38">
        <v>1</v>
      </c>
      <c r="K436" s="39">
        <f>VLOOKUP(I436,'Weights and Confidence'!$D$16:$AC$26,5,FALSE)/COUNTIFS($B:$B,$B436,$C:$C,$C436,$H:$H,$H436,$I:$I,$I436)</f>
        <v>0.1</v>
      </c>
      <c r="L436" s="40">
        <f>VLOOKUP(I436,'Weights and Confidence'!$D$16:$AC$26,6,FALSE)</f>
        <v>1</v>
      </c>
      <c r="M436" s="41">
        <f>tScores4[[#This Row],[Raw_Rating_Text]]</f>
        <v>1</v>
      </c>
      <c r="N436" s="38"/>
    </row>
    <row r="437" spans="1:14" x14ac:dyDescent="0.2">
      <c r="A437" s="34" t="s">
        <v>14</v>
      </c>
      <c r="B437" s="34" t="s">
        <v>0</v>
      </c>
      <c r="C437" s="34" t="s">
        <v>92</v>
      </c>
      <c r="D437" s="34" t="s">
        <v>5</v>
      </c>
      <c r="E437" s="34"/>
      <c r="F437" s="34" t="s">
        <v>112</v>
      </c>
      <c r="G437" s="34">
        <v>7</v>
      </c>
      <c r="H437" s="34" t="s">
        <v>18</v>
      </c>
      <c r="I437" s="34" t="s">
        <v>25</v>
      </c>
      <c r="J437" s="34">
        <v>1</v>
      </c>
      <c r="K437" s="35">
        <f>VLOOKUP(I437,'Weights and Confidence'!$D$16:$AC$26,5,FALSE)/COUNTIFS($B:$B,$B437,$C:$C,$C437,$H:$H,$H437,$I:$I,$I437)</f>
        <v>0.1</v>
      </c>
      <c r="L437" s="36">
        <f>VLOOKUP(I437,'Weights and Confidence'!$D$16:$AC$26,6,FALSE)</f>
        <v>1</v>
      </c>
      <c r="M437" s="37">
        <f>tScores4[[#This Row],[Raw_Rating_Text]]</f>
        <v>1</v>
      </c>
      <c r="N437" s="58" t="s">
        <v>124</v>
      </c>
    </row>
    <row r="438" spans="1:14" x14ac:dyDescent="0.2">
      <c r="A438" s="38" t="s">
        <v>14</v>
      </c>
      <c r="B438" s="38" t="s">
        <v>0</v>
      </c>
      <c r="C438" s="38" t="s">
        <v>92</v>
      </c>
      <c r="D438" s="38" t="s">
        <v>5</v>
      </c>
      <c r="E438" s="38"/>
      <c r="F438" s="38" t="s">
        <v>112</v>
      </c>
      <c r="G438" s="38">
        <v>8</v>
      </c>
      <c r="H438" s="38" t="s">
        <v>17</v>
      </c>
      <c r="I438" s="38" t="s">
        <v>26</v>
      </c>
      <c r="J438" s="38">
        <v>1</v>
      </c>
      <c r="K438" s="39">
        <f>VLOOKUP(I438,'Weights and Confidence'!$D$16:$AC$26,5,FALSE)/COUNTIFS($B:$B,$B438,$C:$C,$C438,$H:$H,$H438,$I:$I,$I438)</f>
        <v>0.1</v>
      </c>
      <c r="L438" s="40">
        <f>VLOOKUP(I438,'Weights and Confidence'!$D$16:$AC$26,6,FALSE)</f>
        <v>1</v>
      </c>
      <c r="M438" s="41">
        <f>tScores4[[#This Row],[Raw_Rating_Text]]</f>
        <v>1</v>
      </c>
      <c r="N438" s="38"/>
    </row>
    <row r="439" spans="1:14" x14ac:dyDescent="0.2">
      <c r="A439" s="34" t="s">
        <v>14</v>
      </c>
      <c r="B439" s="34" t="s">
        <v>0</v>
      </c>
      <c r="C439" s="34" t="s">
        <v>92</v>
      </c>
      <c r="D439" s="34" t="s">
        <v>5</v>
      </c>
      <c r="E439" s="34"/>
      <c r="F439" s="34" t="s">
        <v>112</v>
      </c>
      <c r="G439" s="34">
        <v>8</v>
      </c>
      <c r="H439" s="34" t="s">
        <v>18</v>
      </c>
      <c r="I439" s="34" t="s">
        <v>26</v>
      </c>
      <c r="J439" s="34">
        <v>1</v>
      </c>
      <c r="K439" s="35">
        <f>VLOOKUP(I439,'Weights and Confidence'!$D$16:$AC$26,5,FALSE)/COUNTIFS($B:$B,$B439,$C:$C,$C439,$H:$H,$H439,$I:$I,$I439)</f>
        <v>0.1</v>
      </c>
      <c r="L439" s="36">
        <f>VLOOKUP(I439,'Weights and Confidence'!$D$16:$AC$26,6,FALSE)</f>
        <v>1</v>
      </c>
      <c r="M439" s="37">
        <f>tScores4[[#This Row],[Raw_Rating_Text]]</f>
        <v>1</v>
      </c>
      <c r="N439" s="58"/>
    </row>
    <row r="440" spans="1:14" x14ac:dyDescent="0.2">
      <c r="A440" s="38" t="s">
        <v>14</v>
      </c>
      <c r="B440" s="38" t="s">
        <v>0</v>
      </c>
      <c r="C440" s="38" t="s">
        <v>92</v>
      </c>
      <c r="D440" s="38" t="s">
        <v>5</v>
      </c>
      <c r="E440" s="38"/>
      <c r="F440" s="38" t="s">
        <v>112</v>
      </c>
      <c r="G440" s="38">
        <v>9</v>
      </c>
      <c r="H440" s="38" t="s">
        <v>17</v>
      </c>
      <c r="I440" s="38" t="s">
        <v>27</v>
      </c>
      <c r="J440" s="38">
        <v>0</v>
      </c>
      <c r="K440" s="39">
        <f>VLOOKUP(I440,'Weights and Confidence'!$D$16:$AC$26,5,FALSE)/COUNTIFS($B:$B,$B440,$C:$C,$C440,$H:$H,$H440,$I:$I,$I440)</f>
        <v>0.05</v>
      </c>
      <c r="L440" s="40">
        <f>VLOOKUP(I440,'Weights and Confidence'!$D$16:$AC$26,6,FALSE)</f>
        <v>0.85</v>
      </c>
      <c r="M440" s="41">
        <f>tScores4[[#This Row],[Raw_Rating_Text]]</f>
        <v>0</v>
      </c>
      <c r="N440" s="38"/>
    </row>
    <row r="441" spans="1:14" x14ac:dyDescent="0.2">
      <c r="A441" s="34" t="s">
        <v>14</v>
      </c>
      <c r="B441" s="34" t="s">
        <v>0</v>
      </c>
      <c r="C441" s="34" t="s">
        <v>92</v>
      </c>
      <c r="D441" s="34" t="s">
        <v>5</v>
      </c>
      <c r="E441" s="34"/>
      <c r="F441" s="34" t="s">
        <v>112</v>
      </c>
      <c r="G441" s="34">
        <v>9</v>
      </c>
      <c r="H441" s="34" t="s">
        <v>18</v>
      </c>
      <c r="I441" s="34" t="s">
        <v>27</v>
      </c>
      <c r="J441" s="34">
        <v>1</v>
      </c>
      <c r="K441" s="35">
        <f>VLOOKUP(I441,'Weights and Confidence'!$D$16:$AC$26,5,FALSE)/COUNTIFS($B:$B,$B441,$C:$C,$C441,$H:$H,$H441,$I:$I,$I441)</f>
        <v>0.05</v>
      </c>
      <c r="L441" s="36">
        <f>VLOOKUP(I441,'Weights and Confidence'!$D$16:$AC$26,6,FALSE)</f>
        <v>0.85</v>
      </c>
      <c r="M441" s="37">
        <f>tScores4[[#This Row],[Raw_Rating_Text]]</f>
        <v>1</v>
      </c>
      <c r="N441" s="34"/>
    </row>
    <row r="442" spans="1:14" x14ac:dyDescent="0.2">
      <c r="A442" s="38" t="s">
        <v>14</v>
      </c>
      <c r="B442" s="38" t="s">
        <v>0</v>
      </c>
      <c r="C442" s="38" t="s">
        <v>92</v>
      </c>
      <c r="D442" s="38" t="s">
        <v>5</v>
      </c>
      <c r="E442" s="38"/>
      <c r="F442" s="38" t="s">
        <v>112</v>
      </c>
      <c r="G442" s="38">
        <v>10</v>
      </c>
      <c r="H442" s="38" t="s">
        <v>17</v>
      </c>
      <c r="I442" s="38" t="s">
        <v>27</v>
      </c>
      <c r="J442" s="38">
        <v>0</v>
      </c>
      <c r="K442" s="39">
        <f>VLOOKUP(I442,'Weights and Confidence'!$D$16:$AC$26,5,FALSE)/COUNTIFS($B:$B,$B442,$C:$C,$C442,$H:$H,$H442,$I:$I,$I442)</f>
        <v>0.05</v>
      </c>
      <c r="L442" s="40">
        <f>VLOOKUP(I442,'Weights and Confidence'!$D$16:$AC$26,6,FALSE)</f>
        <v>0.85</v>
      </c>
      <c r="M442" s="41">
        <f>tScores4[[#This Row],[Raw_Rating_Text]]</f>
        <v>0</v>
      </c>
      <c r="N442" s="38"/>
    </row>
    <row r="443" spans="1:14" x14ac:dyDescent="0.2">
      <c r="A443" s="34" t="s">
        <v>14</v>
      </c>
      <c r="B443" s="34" t="s">
        <v>0</v>
      </c>
      <c r="C443" s="34" t="s">
        <v>92</v>
      </c>
      <c r="D443" s="34" t="s">
        <v>5</v>
      </c>
      <c r="E443" s="34"/>
      <c r="F443" s="34" t="s">
        <v>112</v>
      </c>
      <c r="G443" s="34">
        <v>10</v>
      </c>
      <c r="H443" s="34" t="s">
        <v>18</v>
      </c>
      <c r="I443" s="34" t="s">
        <v>27</v>
      </c>
      <c r="J443" s="34">
        <v>1</v>
      </c>
      <c r="K443" s="35">
        <f>VLOOKUP(I443,'Weights and Confidence'!$D$16:$AC$26,5,FALSE)/COUNTIFS($B:$B,$B443,$C:$C,$C443,$H:$H,$H443,$I:$I,$I443)</f>
        <v>0.05</v>
      </c>
      <c r="L443" s="36">
        <f>VLOOKUP(I443,'Weights and Confidence'!$D$16:$AC$26,6,FALSE)</f>
        <v>0.85</v>
      </c>
      <c r="M443" s="37">
        <f>tScores4[[#This Row],[Raw_Rating_Text]]</f>
        <v>1</v>
      </c>
      <c r="N443" s="34"/>
    </row>
    <row r="444" spans="1:14" x14ac:dyDescent="0.2">
      <c r="A444" s="38" t="s">
        <v>14</v>
      </c>
      <c r="B444" s="38" t="s">
        <v>0</v>
      </c>
      <c r="C444" s="38" t="s">
        <v>92</v>
      </c>
      <c r="D444" s="38" t="s">
        <v>5</v>
      </c>
      <c r="E444" s="38"/>
      <c r="F444" s="38" t="s">
        <v>112</v>
      </c>
      <c r="G444" s="38">
        <v>11</v>
      </c>
      <c r="H444" s="38" t="s">
        <v>17</v>
      </c>
      <c r="I444" s="38" t="s">
        <v>28</v>
      </c>
      <c r="J444" s="38">
        <v>0</v>
      </c>
      <c r="K444" s="39">
        <f>VLOOKUP(I444,'Weights and Confidence'!$D$16:$AC$26,5,FALSE)/COUNTIFS($B:$B,$B444,$C:$C,$C444,$H:$H,$H444,$I:$I,$I444)</f>
        <v>0.05</v>
      </c>
      <c r="L444" s="40">
        <f>VLOOKUP(I444,'Weights and Confidence'!$D$16:$AC$26,6,FALSE)</f>
        <v>1</v>
      </c>
      <c r="M444" s="41">
        <f>tScores4[[#This Row],[Raw_Rating_Text]]</f>
        <v>0</v>
      </c>
      <c r="N444" s="38"/>
    </row>
    <row r="445" spans="1:14" ht="17" thickBot="1" x14ac:dyDescent="0.25">
      <c r="A445" s="34" t="s">
        <v>14</v>
      </c>
      <c r="B445" s="34" t="s">
        <v>0</v>
      </c>
      <c r="C445" s="34" t="s">
        <v>92</v>
      </c>
      <c r="D445" s="34" t="s">
        <v>5</v>
      </c>
      <c r="E445" s="34"/>
      <c r="F445" s="34" t="s">
        <v>112</v>
      </c>
      <c r="G445" s="34">
        <v>11</v>
      </c>
      <c r="H445" s="34" t="s">
        <v>18</v>
      </c>
      <c r="I445" s="34" t="s">
        <v>28</v>
      </c>
      <c r="J445" s="34">
        <v>1</v>
      </c>
      <c r="K445" s="35">
        <f>VLOOKUP(I445,'Weights and Confidence'!$D$16:$AC$26,5,FALSE)/COUNTIFS($B:$B,$B445,$C:$C,$C445,$H:$H,$H445,$I:$I,$I445)</f>
        <v>0.05</v>
      </c>
      <c r="L445" s="36">
        <f>VLOOKUP(I445,'Weights and Confidence'!$D$16:$AC$26,6,FALSE)</f>
        <v>1</v>
      </c>
      <c r="M445" s="37">
        <f>tScores4[[#This Row],[Raw_Rating_Text]]</f>
        <v>1</v>
      </c>
      <c r="N445" s="34" t="s">
        <v>125</v>
      </c>
    </row>
    <row r="446" spans="1:14" ht="17" thickTop="1" x14ac:dyDescent="0.2">
      <c r="A446" s="42" t="s">
        <v>14</v>
      </c>
      <c r="B446" s="42" t="s">
        <v>0</v>
      </c>
      <c r="C446" s="42" t="s">
        <v>48</v>
      </c>
      <c r="D446" s="42" t="s">
        <v>5</v>
      </c>
      <c r="E446" s="42" t="s">
        <v>104</v>
      </c>
      <c r="F446" s="49" t="s">
        <v>114</v>
      </c>
      <c r="G446" s="42">
        <v>1</v>
      </c>
      <c r="H446" s="42" t="s">
        <v>17</v>
      </c>
      <c r="I446" s="42" t="s">
        <v>19</v>
      </c>
      <c r="J446" s="42">
        <v>0</v>
      </c>
      <c r="K446" s="44">
        <f>VLOOKUP(I446,'Weights and Confidence'!$D$16:$AC$26,5,FALSE)/COUNTIFS($B:$B,$B446,$C:$C,$C446,$H:$H,$H446,$I:$I,$I446)</f>
        <v>0.12</v>
      </c>
      <c r="L446" s="45">
        <f>VLOOKUP(I446,'Weights and Confidence'!$D$16:$AC$26,6,FALSE)</f>
        <v>1</v>
      </c>
      <c r="M446" s="46">
        <f>tScores4[[#This Row],[Raw_Rating_Text]]</f>
        <v>0</v>
      </c>
      <c r="N446" s="42"/>
    </row>
    <row r="447" spans="1:14" x14ac:dyDescent="0.2">
      <c r="A447" s="34" t="s">
        <v>14</v>
      </c>
      <c r="B447" s="34" t="s">
        <v>0</v>
      </c>
      <c r="C447" s="34" t="s">
        <v>48</v>
      </c>
      <c r="D447" s="34" t="s">
        <v>5</v>
      </c>
      <c r="E447" s="34" t="s">
        <v>104</v>
      </c>
      <c r="F447" s="34" t="s">
        <v>114</v>
      </c>
      <c r="G447" s="34">
        <v>1</v>
      </c>
      <c r="H447" s="34" t="s">
        <v>18</v>
      </c>
      <c r="I447" s="34" t="s">
        <v>19</v>
      </c>
      <c r="J447" s="34">
        <v>0</v>
      </c>
      <c r="K447" s="35">
        <f>VLOOKUP(I447,'Weights and Confidence'!$D$16:$AC$26,5,FALSE)/COUNTIFS($B:$B,$B447,$C:$C,$C447,$H:$H,$H447,$I:$I,$I447)</f>
        <v>0.12</v>
      </c>
      <c r="L447" s="36">
        <f>VLOOKUP(I447,'Weights and Confidence'!$D$16:$AC$26,6,FALSE)</f>
        <v>1</v>
      </c>
      <c r="M447" s="37">
        <f>tScores4[[#This Row],[Raw_Rating_Text]]</f>
        <v>0</v>
      </c>
      <c r="N447" s="58" t="s">
        <v>116</v>
      </c>
    </row>
    <row r="448" spans="1:14" x14ac:dyDescent="0.2">
      <c r="A448" s="38" t="s">
        <v>14</v>
      </c>
      <c r="B448" s="38" t="s">
        <v>0</v>
      </c>
      <c r="C448" s="38" t="s">
        <v>48</v>
      </c>
      <c r="D448" s="38" t="s">
        <v>5</v>
      </c>
      <c r="E448" s="38" t="s">
        <v>104</v>
      </c>
      <c r="F448" s="38" t="s">
        <v>114</v>
      </c>
      <c r="G448" s="38">
        <v>2</v>
      </c>
      <c r="H448" s="38" t="s">
        <v>17</v>
      </c>
      <c r="I448" s="38" t="s">
        <v>20</v>
      </c>
      <c r="J448" s="38">
        <v>0</v>
      </c>
      <c r="K448" s="39">
        <f>VLOOKUP(I448,'Weights and Confidence'!$D$16:$AC$26,5,FALSE)/COUNTIFS($B:$B,$B448,$C:$C,$C448,$H:$H,$H448,$I:$I,$I448)</f>
        <v>0.08</v>
      </c>
      <c r="L448" s="40">
        <f>VLOOKUP(I448,'Weights and Confidence'!$D$16:$AC$26,6,FALSE)</f>
        <v>0.8</v>
      </c>
      <c r="M448" s="41">
        <f>tScores4[[#This Row],[Raw_Rating_Text]]</f>
        <v>0</v>
      </c>
      <c r="N448" s="38"/>
    </row>
    <row r="449" spans="1:14" x14ac:dyDescent="0.2">
      <c r="A449" s="34" t="s">
        <v>14</v>
      </c>
      <c r="B449" s="34" t="s">
        <v>0</v>
      </c>
      <c r="C449" s="34" t="s">
        <v>48</v>
      </c>
      <c r="D449" s="34" t="s">
        <v>5</v>
      </c>
      <c r="E449" s="34" t="s">
        <v>104</v>
      </c>
      <c r="F449" s="34" t="s">
        <v>114</v>
      </c>
      <c r="G449" s="34">
        <v>2</v>
      </c>
      <c r="H449" s="34" t="s">
        <v>18</v>
      </c>
      <c r="I449" s="34" t="s">
        <v>20</v>
      </c>
      <c r="J449" s="34">
        <v>1</v>
      </c>
      <c r="K449" s="35">
        <f>VLOOKUP(I449,'Weights and Confidence'!$D$16:$AC$26,5,FALSE)/COUNTIFS($B:$B,$B449,$C:$C,$C449,$H:$H,$H449,$I:$I,$I449)</f>
        <v>0.08</v>
      </c>
      <c r="L449" s="36">
        <f>VLOOKUP(I449,'Weights and Confidence'!$D$16:$AC$26,6,FALSE)</f>
        <v>0.8</v>
      </c>
      <c r="M449" s="37">
        <f>tScores4[[#This Row],[Raw_Rating_Text]]</f>
        <v>1</v>
      </c>
      <c r="N449" s="34"/>
    </row>
    <row r="450" spans="1:14" x14ac:dyDescent="0.2">
      <c r="A450" s="38" t="s">
        <v>14</v>
      </c>
      <c r="B450" s="38" t="s">
        <v>0</v>
      </c>
      <c r="C450" s="38" t="s">
        <v>48</v>
      </c>
      <c r="D450" s="38" t="s">
        <v>5</v>
      </c>
      <c r="E450" s="38" t="s">
        <v>104</v>
      </c>
      <c r="F450" s="38" t="s">
        <v>114</v>
      </c>
      <c r="G450" s="38">
        <v>3</v>
      </c>
      <c r="H450" s="38" t="s">
        <v>17</v>
      </c>
      <c r="I450" s="38" t="s">
        <v>21</v>
      </c>
      <c r="J450" s="38">
        <v>1</v>
      </c>
      <c r="K450" s="39">
        <f>VLOOKUP(I450,'Weights and Confidence'!$D$16:$AC$26,5,FALSE)/COUNTIFS($B:$B,$B450,$C:$C,$C450,$H:$H,$H450,$I:$I,$I450)</f>
        <v>0.05</v>
      </c>
      <c r="L450" s="40">
        <f>VLOOKUP(I450,'Weights and Confidence'!$D$16:$AC$26,6,FALSE)</f>
        <v>1</v>
      </c>
      <c r="M450" s="41">
        <f>tScores4[[#This Row],[Raw_Rating_Text]]</f>
        <v>1</v>
      </c>
      <c r="N450" s="38"/>
    </row>
    <row r="451" spans="1:14" x14ac:dyDescent="0.2">
      <c r="A451" s="34" t="s">
        <v>14</v>
      </c>
      <c r="B451" s="34" t="s">
        <v>0</v>
      </c>
      <c r="C451" s="34" t="s">
        <v>48</v>
      </c>
      <c r="D451" s="34" t="s">
        <v>5</v>
      </c>
      <c r="E451" s="34" t="s">
        <v>104</v>
      </c>
      <c r="F451" s="34" t="s">
        <v>114</v>
      </c>
      <c r="G451" s="34">
        <v>3</v>
      </c>
      <c r="H451" s="34" t="s">
        <v>18</v>
      </c>
      <c r="I451" s="34" t="s">
        <v>21</v>
      </c>
      <c r="J451" s="34">
        <v>-1</v>
      </c>
      <c r="K451" s="35">
        <f>VLOOKUP(I451,'Weights and Confidence'!$D$16:$AC$26,5,FALSE)/COUNTIFS($B:$B,$B451,$C:$C,$C451,$H:$H,$H451,$I:$I,$I451)</f>
        <v>0.05</v>
      </c>
      <c r="L451" s="36">
        <f>VLOOKUP(I451,'Weights and Confidence'!$D$16:$AC$26,6,FALSE)</f>
        <v>1</v>
      </c>
      <c r="M451" s="37">
        <f>tScores4[[#This Row],[Raw_Rating_Text]]</f>
        <v>-1</v>
      </c>
      <c r="N451" s="58" t="s">
        <v>117</v>
      </c>
    </row>
    <row r="452" spans="1:14" x14ac:dyDescent="0.2">
      <c r="A452" s="38" t="s">
        <v>14</v>
      </c>
      <c r="B452" s="38" t="s">
        <v>0</v>
      </c>
      <c r="C452" s="38" t="s">
        <v>48</v>
      </c>
      <c r="D452" s="38" t="s">
        <v>5</v>
      </c>
      <c r="E452" s="38" t="s">
        <v>104</v>
      </c>
      <c r="F452" s="38" t="s">
        <v>114</v>
      </c>
      <c r="G452" s="38">
        <v>4</v>
      </c>
      <c r="H452" s="38" t="s">
        <v>17</v>
      </c>
      <c r="I452" s="38" t="s">
        <v>22</v>
      </c>
      <c r="J452" s="38">
        <v>0</v>
      </c>
      <c r="K452" s="39">
        <f>VLOOKUP(I452,'Weights and Confidence'!$D$16:$AC$26,5,FALSE)/COUNTIFS($B:$B,$B452,$C:$C,$C452,$H:$H,$H452,$I:$I,$I452)</f>
        <v>0.14000000000000001</v>
      </c>
      <c r="L452" s="40">
        <f>VLOOKUP(I452,'Weights and Confidence'!$D$16:$AC$26,6,FALSE)</f>
        <v>1</v>
      </c>
      <c r="M452" s="41">
        <f>tScores4[[#This Row],[Raw_Rating_Text]]</f>
        <v>0</v>
      </c>
      <c r="N452" s="38"/>
    </row>
    <row r="453" spans="1:14" x14ac:dyDescent="0.2">
      <c r="A453" s="34" t="s">
        <v>14</v>
      </c>
      <c r="B453" s="34" t="s">
        <v>0</v>
      </c>
      <c r="C453" s="34" t="s">
        <v>48</v>
      </c>
      <c r="D453" s="34" t="s">
        <v>5</v>
      </c>
      <c r="E453" s="34" t="s">
        <v>104</v>
      </c>
      <c r="F453" s="34" t="s">
        <v>114</v>
      </c>
      <c r="G453" s="34">
        <v>4</v>
      </c>
      <c r="H453" s="34" t="s">
        <v>18</v>
      </c>
      <c r="I453" s="34" t="s">
        <v>22</v>
      </c>
      <c r="J453" s="34">
        <v>0</v>
      </c>
      <c r="K453" s="35">
        <f>VLOOKUP(I453,'Weights and Confidence'!$D$16:$AC$26,5,FALSE)/COUNTIFS($B:$B,$B453,$C:$C,$C453,$H:$H,$H453,$I:$I,$I453)</f>
        <v>0.14000000000000001</v>
      </c>
      <c r="L453" s="36">
        <f>VLOOKUP(I453,'Weights and Confidence'!$D$16:$AC$26,6,FALSE)</f>
        <v>1</v>
      </c>
      <c r="M453" s="37">
        <f>tScores4[[#This Row],[Raw_Rating_Text]]</f>
        <v>0</v>
      </c>
      <c r="N453" s="58" t="s">
        <v>118</v>
      </c>
    </row>
    <row r="454" spans="1:14" x14ac:dyDescent="0.2">
      <c r="A454" s="38" t="s">
        <v>14</v>
      </c>
      <c r="B454" s="38" t="s">
        <v>0</v>
      </c>
      <c r="C454" s="38" t="s">
        <v>48</v>
      </c>
      <c r="D454" s="38" t="s">
        <v>5</v>
      </c>
      <c r="E454" s="38" t="s">
        <v>104</v>
      </c>
      <c r="F454" s="38" t="s">
        <v>114</v>
      </c>
      <c r="G454" s="38">
        <v>5</v>
      </c>
      <c r="H454" s="38" t="s">
        <v>17</v>
      </c>
      <c r="I454" s="38" t="s">
        <v>23</v>
      </c>
      <c r="J454" s="38">
        <v>-1</v>
      </c>
      <c r="K454" s="39">
        <f>VLOOKUP(I454,'Weights and Confidence'!$D$16:$AC$26,5,FALSE)/COUNTIFS($B:$B,$B454,$C:$C,$C454,$H:$H,$H454,$I:$I,$I454)</f>
        <v>0.11</v>
      </c>
      <c r="L454" s="40">
        <f>VLOOKUP(I454,'Weights and Confidence'!$D$16:$AC$26,6,FALSE)</f>
        <v>1</v>
      </c>
      <c r="M454" s="41">
        <f>tScores4[[#This Row],[Raw_Rating_Text]]</f>
        <v>-1</v>
      </c>
      <c r="N454" s="38"/>
    </row>
    <row r="455" spans="1:14" x14ac:dyDescent="0.2">
      <c r="A455" s="34" t="s">
        <v>14</v>
      </c>
      <c r="B455" s="34" t="s">
        <v>0</v>
      </c>
      <c r="C455" s="34" t="s">
        <v>48</v>
      </c>
      <c r="D455" s="34" t="s">
        <v>5</v>
      </c>
      <c r="E455" s="34" t="s">
        <v>104</v>
      </c>
      <c r="F455" s="34" t="s">
        <v>114</v>
      </c>
      <c r="G455" s="34">
        <v>5</v>
      </c>
      <c r="H455" s="34" t="s">
        <v>18</v>
      </c>
      <c r="I455" s="34" t="s">
        <v>23</v>
      </c>
      <c r="J455" s="34">
        <v>0</v>
      </c>
      <c r="K455" s="35">
        <f>VLOOKUP(I455,'Weights and Confidence'!$D$16:$AC$26,5,FALSE)/COUNTIFS($B:$B,$B455,$C:$C,$C455,$H:$H,$H455,$I:$I,$I455)</f>
        <v>0.11</v>
      </c>
      <c r="L455" s="36">
        <f>VLOOKUP(I455,'Weights and Confidence'!$D$16:$AC$26,6,FALSE)</f>
        <v>1</v>
      </c>
      <c r="M455" s="37">
        <f>tScores4[[#This Row],[Raw_Rating_Text]]</f>
        <v>0</v>
      </c>
      <c r="N455" s="34" t="s">
        <v>119</v>
      </c>
    </row>
    <row r="456" spans="1:14" x14ac:dyDescent="0.2">
      <c r="A456" s="38" t="s">
        <v>14</v>
      </c>
      <c r="B456" s="38" t="s">
        <v>0</v>
      </c>
      <c r="C456" s="38" t="s">
        <v>48</v>
      </c>
      <c r="D456" s="38" t="s">
        <v>5</v>
      </c>
      <c r="E456" s="38" t="s">
        <v>104</v>
      </c>
      <c r="F456" s="38" t="s">
        <v>114</v>
      </c>
      <c r="G456" s="38">
        <v>6</v>
      </c>
      <c r="H456" s="38" t="s">
        <v>17</v>
      </c>
      <c r="I456" s="38" t="s">
        <v>24</v>
      </c>
      <c r="J456" s="38">
        <v>0</v>
      </c>
      <c r="K456" s="39">
        <f>VLOOKUP(I456,'Weights and Confidence'!$D$16:$AC$26,5,FALSE)/COUNTIFS($B:$B,$B456,$C:$C,$C456,$H:$H,$H456,$I:$I,$I456)</f>
        <v>0.15</v>
      </c>
      <c r="L456" s="40">
        <f>VLOOKUP(I456,'Weights and Confidence'!$D$16:$AC$26,6,FALSE)</f>
        <v>1</v>
      </c>
      <c r="M456" s="41">
        <f>tScores4[[#This Row],[Raw_Rating_Text]]</f>
        <v>0</v>
      </c>
      <c r="N456" s="38"/>
    </row>
    <row r="457" spans="1:14" x14ac:dyDescent="0.2">
      <c r="A457" s="34" t="s">
        <v>14</v>
      </c>
      <c r="B457" s="34" t="s">
        <v>0</v>
      </c>
      <c r="C457" s="34" t="s">
        <v>48</v>
      </c>
      <c r="D457" s="34" t="s">
        <v>5</v>
      </c>
      <c r="E457" s="34" t="s">
        <v>104</v>
      </c>
      <c r="F457" s="34" t="s">
        <v>114</v>
      </c>
      <c r="G457" s="34">
        <v>6</v>
      </c>
      <c r="H457" s="34" t="s">
        <v>18</v>
      </c>
      <c r="I457" s="34" t="s">
        <v>24</v>
      </c>
      <c r="J457" s="34">
        <v>0</v>
      </c>
      <c r="K457" s="35">
        <f>VLOOKUP(I457,'Weights and Confidence'!$D$16:$AC$26,5,FALSE)/COUNTIFS($B:$B,$B457,$C:$C,$C457,$H:$H,$H457,$I:$I,$I457)</f>
        <v>0.15</v>
      </c>
      <c r="L457" s="36">
        <f>VLOOKUP(I457,'Weights and Confidence'!$D$16:$AC$26,6,FALSE)</f>
        <v>1</v>
      </c>
      <c r="M457" s="37">
        <f>tScores4[[#This Row],[Raw_Rating_Text]]</f>
        <v>0</v>
      </c>
      <c r="N457" s="58" t="s">
        <v>120</v>
      </c>
    </row>
    <row r="458" spans="1:14" x14ac:dyDescent="0.2">
      <c r="A458" s="38" t="s">
        <v>14</v>
      </c>
      <c r="B458" s="38" t="s">
        <v>0</v>
      </c>
      <c r="C458" s="38" t="s">
        <v>48</v>
      </c>
      <c r="D458" s="38" t="s">
        <v>5</v>
      </c>
      <c r="E458" s="38" t="s">
        <v>104</v>
      </c>
      <c r="F458" s="38" t="s">
        <v>114</v>
      </c>
      <c r="G458" s="38">
        <v>7</v>
      </c>
      <c r="H458" s="38" t="s">
        <v>17</v>
      </c>
      <c r="I458" s="38" t="s">
        <v>25</v>
      </c>
      <c r="J458" s="38">
        <v>0</v>
      </c>
      <c r="K458" s="39">
        <f>VLOOKUP(I458,'Weights and Confidence'!$D$16:$AC$26,5,FALSE)/COUNTIFS($B:$B,$B458,$C:$C,$C458,$H:$H,$H458,$I:$I,$I458)</f>
        <v>0.1</v>
      </c>
      <c r="L458" s="40">
        <f>VLOOKUP(I458,'Weights and Confidence'!$D$16:$AC$26,6,FALSE)</f>
        <v>1</v>
      </c>
      <c r="M458" s="41">
        <f>tScores4[[#This Row],[Raw_Rating_Text]]</f>
        <v>0</v>
      </c>
      <c r="N458" s="38"/>
    </row>
    <row r="459" spans="1:14" x14ac:dyDescent="0.2">
      <c r="A459" s="34" t="s">
        <v>14</v>
      </c>
      <c r="B459" s="34" t="s">
        <v>0</v>
      </c>
      <c r="C459" s="34" t="s">
        <v>48</v>
      </c>
      <c r="D459" s="34" t="s">
        <v>5</v>
      </c>
      <c r="E459" s="34" t="s">
        <v>104</v>
      </c>
      <c r="F459" s="34" t="s">
        <v>114</v>
      </c>
      <c r="G459" s="34">
        <v>7</v>
      </c>
      <c r="H459" s="34" t="s">
        <v>18</v>
      </c>
      <c r="I459" s="34" t="s">
        <v>25</v>
      </c>
      <c r="J459" s="34">
        <v>0</v>
      </c>
      <c r="K459" s="35">
        <f>VLOOKUP(I459,'Weights and Confidence'!$D$16:$AC$26,5,FALSE)/COUNTIFS($B:$B,$B459,$C:$C,$C459,$H:$H,$H459,$I:$I,$I459)</f>
        <v>0.1</v>
      </c>
      <c r="L459" s="36">
        <f>VLOOKUP(I459,'Weights and Confidence'!$D$16:$AC$26,6,FALSE)</f>
        <v>1</v>
      </c>
      <c r="M459" s="37">
        <f>tScores4[[#This Row],[Raw_Rating_Text]]</f>
        <v>0</v>
      </c>
      <c r="N459" s="58" t="s">
        <v>121</v>
      </c>
    </row>
    <row r="460" spans="1:14" x14ac:dyDescent="0.2">
      <c r="A460" s="38" t="s">
        <v>14</v>
      </c>
      <c r="B460" s="38" t="s">
        <v>0</v>
      </c>
      <c r="C460" s="38" t="s">
        <v>48</v>
      </c>
      <c r="D460" s="38" t="s">
        <v>5</v>
      </c>
      <c r="E460" s="38" t="s">
        <v>104</v>
      </c>
      <c r="F460" s="38" t="s">
        <v>114</v>
      </c>
      <c r="G460" s="38">
        <v>8</v>
      </c>
      <c r="H460" s="38" t="s">
        <v>17</v>
      </c>
      <c r="I460" s="38" t="s">
        <v>26</v>
      </c>
      <c r="J460" s="38">
        <v>0</v>
      </c>
      <c r="K460" s="39">
        <f>VLOOKUP(I460,'Weights and Confidence'!$D$16:$AC$26,5,FALSE)/COUNTIFS($B:$B,$B460,$C:$C,$C460,$H:$H,$H460,$I:$I,$I460)</f>
        <v>0.1</v>
      </c>
      <c r="L460" s="40">
        <f>VLOOKUP(I460,'Weights and Confidence'!$D$16:$AC$26,6,FALSE)</f>
        <v>1</v>
      </c>
      <c r="M460" s="41">
        <f>tScores4[[#This Row],[Raw_Rating_Text]]</f>
        <v>0</v>
      </c>
      <c r="N460" s="38"/>
    </row>
    <row r="461" spans="1:14" x14ac:dyDescent="0.2">
      <c r="A461" s="34" t="s">
        <v>14</v>
      </c>
      <c r="B461" s="34" t="s">
        <v>0</v>
      </c>
      <c r="C461" s="34" t="s">
        <v>48</v>
      </c>
      <c r="D461" s="34" t="s">
        <v>5</v>
      </c>
      <c r="E461" s="34" t="s">
        <v>104</v>
      </c>
      <c r="F461" s="34" t="s">
        <v>114</v>
      </c>
      <c r="G461" s="34">
        <v>8</v>
      </c>
      <c r="H461" s="34" t="s">
        <v>18</v>
      </c>
      <c r="I461" s="34" t="s">
        <v>26</v>
      </c>
      <c r="J461" s="34">
        <v>1</v>
      </c>
      <c r="K461" s="35">
        <f>VLOOKUP(I461,'Weights and Confidence'!$D$16:$AC$26,5,FALSE)/COUNTIFS($B:$B,$B461,$C:$C,$C461,$H:$H,$H461,$I:$I,$I461)</f>
        <v>0.1</v>
      </c>
      <c r="L461" s="36">
        <f>VLOOKUP(I461,'Weights and Confidence'!$D$16:$AC$26,6,FALSE)</f>
        <v>1</v>
      </c>
      <c r="M461" s="37">
        <f>tScores4[[#This Row],[Raw_Rating_Text]]</f>
        <v>1</v>
      </c>
      <c r="N461" s="58" t="s">
        <v>122</v>
      </c>
    </row>
    <row r="462" spans="1:14" x14ac:dyDescent="0.2">
      <c r="A462" s="38" t="s">
        <v>14</v>
      </c>
      <c r="B462" s="38" t="s">
        <v>0</v>
      </c>
      <c r="C462" s="38" t="s">
        <v>48</v>
      </c>
      <c r="D462" s="38" t="s">
        <v>5</v>
      </c>
      <c r="E462" s="38" t="s">
        <v>104</v>
      </c>
      <c r="F462" s="38" t="s">
        <v>114</v>
      </c>
      <c r="G462" s="38">
        <v>9</v>
      </c>
      <c r="H462" s="38" t="s">
        <v>17</v>
      </c>
      <c r="I462" s="38" t="s">
        <v>27</v>
      </c>
      <c r="J462" s="38">
        <v>0</v>
      </c>
      <c r="K462" s="39">
        <f>VLOOKUP(I462,'Weights and Confidence'!$D$16:$AC$26,5,FALSE)/COUNTIFS($B:$B,$B462,$C:$C,$C462,$H:$H,$H462,$I:$I,$I462)</f>
        <v>0.05</v>
      </c>
      <c r="L462" s="40">
        <f>VLOOKUP(I462,'Weights and Confidence'!$D$16:$AC$26,6,FALSE)</f>
        <v>0.85</v>
      </c>
      <c r="M462" s="41">
        <f>tScores4[[#This Row],[Raw_Rating_Text]]</f>
        <v>0</v>
      </c>
      <c r="N462" s="38"/>
    </row>
    <row r="463" spans="1:14" x14ac:dyDescent="0.2">
      <c r="A463" s="34" t="s">
        <v>14</v>
      </c>
      <c r="B463" s="34" t="s">
        <v>0</v>
      </c>
      <c r="C463" s="34" t="s">
        <v>48</v>
      </c>
      <c r="D463" s="34" t="s">
        <v>5</v>
      </c>
      <c r="E463" s="34" t="s">
        <v>104</v>
      </c>
      <c r="F463" s="34" t="s">
        <v>114</v>
      </c>
      <c r="G463" s="34">
        <v>9</v>
      </c>
      <c r="H463" s="34" t="s">
        <v>18</v>
      </c>
      <c r="I463" s="34" t="s">
        <v>27</v>
      </c>
      <c r="J463" s="34">
        <v>1</v>
      </c>
      <c r="K463" s="35">
        <f>VLOOKUP(I463,'Weights and Confidence'!$D$16:$AC$26,5,FALSE)/COUNTIFS($B:$B,$B463,$C:$C,$C463,$H:$H,$H463,$I:$I,$I463)</f>
        <v>0.05</v>
      </c>
      <c r="L463" s="36">
        <f>VLOOKUP(I463,'Weights and Confidence'!$D$16:$AC$26,6,FALSE)</f>
        <v>0.85</v>
      </c>
      <c r="M463" s="37">
        <f>tScores4[[#This Row],[Raw_Rating_Text]]</f>
        <v>1</v>
      </c>
      <c r="N463" s="34"/>
    </row>
    <row r="464" spans="1:14" x14ac:dyDescent="0.2">
      <c r="A464" s="38" t="s">
        <v>14</v>
      </c>
      <c r="B464" s="38" t="s">
        <v>0</v>
      </c>
      <c r="C464" s="38" t="s">
        <v>48</v>
      </c>
      <c r="D464" s="38" t="s">
        <v>5</v>
      </c>
      <c r="E464" s="38" t="s">
        <v>104</v>
      </c>
      <c r="F464" s="38" t="s">
        <v>114</v>
      </c>
      <c r="G464" s="38">
        <v>10</v>
      </c>
      <c r="H464" s="38" t="s">
        <v>17</v>
      </c>
      <c r="I464" s="38" t="s">
        <v>27</v>
      </c>
      <c r="J464" s="38">
        <v>0</v>
      </c>
      <c r="K464" s="39">
        <f>VLOOKUP(I464,'Weights and Confidence'!$D$16:$AC$26,5,FALSE)/COUNTIFS($B:$B,$B464,$C:$C,$C464,$H:$H,$H464,$I:$I,$I464)</f>
        <v>0.05</v>
      </c>
      <c r="L464" s="40">
        <f>VLOOKUP(I464,'Weights and Confidence'!$D$16:$AC$26,6,FALSE)</f>
        <v>0.85</v>
      </c>
      <c r="M464" s="41">
        <f>tScores4[[#This Row],[Raw_Rating_Text]]</f>
        <v>0</v>
      </c>
      <c r="N464" s="38"/>
    </row>
    <row r="465" spans="1:16" x14ac:dyDescent="0.2">
      <c r="A465" s="34" t="s">
        <v>14</v>
      </c>
      <c r="B465" s="34" t="s">
        <v>0</v>
      </c>
      <c r="C465" s="34" t="s">
        <v>48</v>
      </c>
      <c r="D465" s="34" t="s">
        <v>5</v>
      </c>
      <c r="E465" s="34" t="s">
        <v>104</v>
      </c>
      <c r="F465" s="34" t="s">
        <v>114</v>
      </c>
      <c r="G465" s="34">
        <v>10</v>
      </c>
      <c r="H465" s="34" t="s">
        <v>18</v>
      </c>
      <c r="I465" s="34" t="s">
        <v>27</v>
      </c>
      <c r="J465" s="34">
        <v>1</v>
      </c>
      <c r="K465" s="35">
        <f>VLOOKUP(I465,'Weights and Confidence'!$D$16:$AC$26,5,FALSE)/COUNTIFS($B:$B,$B465,$C:$C,$C465,$H:$H,$H465,$I:$I,$I465)</f>
        <v>0.05</v>
      </c>
      <c r="L465" s="36">
        <f>VLOOKUP(I465,'Weights and Confidence'!$D$16:$AC$26,6,FALSE)</f>
        <v>0.85</v>
      </c>
      <c r="M465" s="37">
        <f>tScores4[[#This Row],[Raw_Rating_Text]]</f>
        <v>1</v>
      </c>
      <c r="N465" s="34"/>
    </row>
    <row r="466" spans="1:16" x14ac:dyDescent="0.2">
      <c r="A466" s="38" t="s">
        <v>14</v>
      </c>
      <c r="B466" s="38" t="s">
        <v>0</v>
      </c>
      <c r="C466" s="38" t="s">
        <v>48</v>
      </c>
      <c r="D466" s="38" t="s">
        <v>5</v>
      </c>
      <c r="E466" s="38" t="s">
        <v>104</v>
      </c>
      <c r="F466" s="38" t="s">
        <v>114</v>
      </c>
      <c r="G466" s="38">
        <v>11</v>
      </c>
      <c r="H466" s="38" t="s">
        <v>17</v>
      </c>
      <c r="I466" s="38" t="s">
        <v>28</v>
      </c>
      <c r="J466" s="38">
        <v>0</v>
      </c>
      <c r="K466" s="39">
        <f>VLOOKUP(I466,'Weights and Confidence'!$D$16:$AC$26,5,FALSE)/COUNTIFS($B:$B,$B466,$C:$C,$C466,$H:$H,$H466,$I:$I,$I466)</f>
        <v>0.05</v>
      </c>
      <c r="L466" s="40">
        <f>VLOOKUP(I466,'Weights and Confidence'!$D$16:$AC$26,6,FALSE)</f>
        <v>1</v>
      </c>
      <c r="M466" s="41">
        <f>tScores4[[#This Row],[Raw_Rating_Text]]</f>
        <v>0</v>
      </c>
      <c r="N466" s="38"/>
    </row>
    <row r="467" spans="1:16" ht="17" thickBot="1" x14ac:dyDescent="0.25">
      <c r="A467" s="34" t="s">
        <v>14</v>
      </c>
      <c r="B467" s="34" t="s">
        <v>0</v>
      </c>
      <c r="C467" s="34" t="s">
        <v>48</v>
      </c>
      <c r="D467" s="34" t="s">
        <v>5</v>
      </c>
      <c r="E467" s="34" t="s">
        <v>104</v>
      </c>
      <c r="F467" s="34" t="s">
        <v>114</v>
      </c>
      <c r="G467" s="34">
        <v>11</v>
      </c>
      <c r="H467" s="34" t="s">
        <v>18</v>
      </c>
      <c r="I467" s="34" t="s">
        <v>28</v>
      </c>
      <c r="J467" s="34">
        <v>-1</v>
      </c>
      <c r="K467" s="35">
        <f>VLOOKUP(I467,'Weights and Confidence'!$D$16:$AC$26,5,FALSE)/COUNTIFS($B:$B,$B467,$C:$C,$C467,$H:$H,$H467,$I:$I,$I467)</f>
        <v>0.05</v>
      </c>
      <c r="L467" s="36">
        <f>VLOOKUP(I467,'Weights and Confidence'!$D$16:$AC$26,6,FALSE)</f>
        <v>1</v>
      </c>
      <c r="M467" s="37">
        <f>tScores4[[#This Row],[Raw_Rating_Text]]</f>
        <v>-1</v>
      </c>
      <c r="N467" s="34" t="s">
        <v>115</v>
      </c>
    </row>
    <row r="468" spans="1:16" ht="17" thickTop="1" x14ac:dyDescent="0.2">
      <c r="A468" s="42" t="s">
        <v>14</v>
      </c>
      <c r="B468" s="42" t="s">
        <v>0</v>
      </c>
      <c r="C468" s="42" t="s">
        <v>50</v>
      </c>
      <c r="D468" s="42" t="s">
        <v>5</v>
      </c>
      <c r="E468" s="43" t="s">
        <v>103</v>
      </c>
      <c r="F468" s="43" t="s">
        <v>51</v>
      </c>
      <c r="G468" s="42">
        <v>1</v>
      </c>
      <c r="H468" s="42" t="s">
        <v>17</v>
      </c>
      <c r="I468" s="42" t="s">
        <v>19</v>
      </c>
      <c r="J468" s="42">
        <v>1</v>
      </c>
      <c r="K468" s="44">
        <f>VLOOKUP(I468,'Weights and Confidence'!$D$16:$AC$26,5,FALSE)/COUNTIFS($B:$B,$B468,$C:$C,$C468,$H:$H,$H468,$I:$I,$I468)</f>
        <v>0.12</v>
      </c>
      <c r="L468" s="45">
        <f>VLOOKUP(I468,'Weights and Confidence'!$D$16:$AC$26,6,FALSE)</f>
        <v>1</v>
      </c>
      <c r="M468" s="46">
        <f>tScores4[[#This Row],[Raw_Rating_Text]]</f>
        <v>1</v>
      </c>
      <c r="N468" s="42"/>
      <c r="P468" s="8"/>
    </row>
    <row r="469" spans="1:16" x14ac:dyDescent="0.2">
      <c r="A469" s="34" t="s">
        <v>14</v>
      </c>
      <c r="B469" s="34" t="s">
        <v>0</v>
      </c>
      <c r="C469" s="34" t="s">
        <v>50</v>
      </c>
      <c r="D469" s="34" t="s">
        <v>5</v>
      </c>
      <c r="E469" s="34" t="s">
        <v>103</v>
      </c>
      <c r="F469" s="34" t="s">
        <v>51</v>
      </c>
      <c r="G469" s="34">
        <v>1</v>
      </c>
      <c r="H469" s="34" t="s">
        <v>18</v>
      </c>
      <c r="I469" s="34" t="s">
        <v>19</v>
      </c>
      <c r="J469" s="34">
        <v>1</v>
      </c>
      <c r="K469" s="35">
        <f>VLOOKUP(I469,'Weights and Confidence'!$D$16:$AC$26,5,FALSE)/COUNTIFS($B:$B,$B469,$C:$C,$C469,$H:$H,$H469,$I:$I,$I469)</f>
        <v>0.12</v>
      </c>
      <c r="L469" s="36">
        <f>VLOOKUP(I469,'Weights and Confidence'!$D$16:$AC$26,6,FALSE)</f>
        <v>1</v>
      </c>
      <c r="M469" s="37">
        <f>tScores4[[#This Row],[Raw_Rating_Text]]</f>
        <v>1</v>
      </c>
      <c r="N469" s="58"/>
      <c r="P469" s="8"/>
    </row>
    <row r="470" spans="1:16" x14ac:dyDescent="0.2">
      <c r="A470" s="38" t="s">
        <v>14</v>
      </c>
      <c r="B470" s="38" t="s">
        <v>0</v>
      </c>
      <c r="C470" s="38" t="s">
        <v>50</v>
      </c>
      <c r="D470" s="38" t="s">
        <v>5</v>
      </c>
      <c r="E470" s="38" t="s">
        <v>103</v>
      </c>
      <c r="F470" s="38" t="s">
        <v>51</v>
      </c>
      <c r="G470" s="38">
        <v>2</v>
      </c>
      <c r="H470" s="38" t="s">
        <v>17</v>
      </c>
      <c r="I470" s="38" t="s">
        <v>20</v>
      </c>
      <c r="J470" s="38">
        <v>0</v>
      </c>
      <c r="K470" s="39">
        <f>VLOOKUP(I470,'Weights and Confidence'!$D$16:$AC$26,5,FALSE)/COUNTIFS($B:$B,$B470,$C:$C,$C470,$H:$H,$H470,$I:$I,$I470)</f>
        <v>0.08</v>
      </c>
      <c r="L470" s="40">
        <f>VLOOKUP(I470,'Weights and Confidence'!$D$16:$AC$26,6,FALSE)</f>
        <v>0.8</v>
      </c>
      <c r="M470" s="41">
        <f>tScores4[[#This Row],[Raw_Rating_Text]]</f>
        <v>0</v>
      </c>
      <c r="N470" s="38"/>
    </row>
    <row r="471" spans="1:16" x14ac:dyDescent="0.2">
      <c r="A471" s="34" t="s">
        <v>14</v>
      </c>
      <c r="B471" s="34" t="s">
        <v>0</v>
      </c>
      <c r="C471" s="34" t="s">
        <v>50</v>
      </c>
      <c r="D471" s="34" t="s">
        <v>5</v>
      </c>
      <c r="E471" s="34" t="s">
        <v>103</v>
      </c>
      <c r="F471" s="34" t="s">
        <v>51</v>
      </c>
      <c r="G471" s="34">
        <v>2</v>
      </c>
      <c r="H471" s="34" t="s">
        <v>18</v>
      </c>
      <c r="I471" s="34" t="s">
        <v>20</v>
      </c>
      <c r="J471" s="34">
        <v>1</v>
      </c>
      <c r="K471" s="35">
        <f>VLOOKUP(I471,'Weights and Confidence'!$D$16:$AC$26,5,FALSE)/COUNTIFS($B:$B,$B471,$C:$C,$C471,$H:$H,$H471,$I:$I,$I471)</f>
        <v>0.08</v>
      </c>
      <c r="L471" s="36">
        <f>VLOOKUP(I471,'Weights and Confidence'!$D$16:$AC$26,6,FALSE)</f>
        <v>0.8</v>
      </c>
      <c r="M471" s="37">
        <f>tScores4[[#This Row],[Raw_Rating_Text]]</f>
        <v>1</v>
      </c>
      <c r="N471" s="34"/>
    </row>
    <row r="472" spans="1:16" x14ac:dyDescent="0.2">
      <c r="A472" s="38" t="s">
        <v>14</v>
      </c>
      <c r="B472" s="38" t="s">
        <v>0</v>
      </c>
      <c r="C472" s="38" t="s">
        <v>50</v>
      </c>
      <c r="D472" s="38" t="s">
        <v>5</v>
      </c>
      <c r="E472" s="38" t="s">
        <v>103</v>
      </c>
      <c r="F472" s="38" t="s">
        <v>51</v>
      </c>
      <c r="G472" s="38">
        <v>3</v>
      </c>
      <c r="H472" s="38" t="s">
        <v>17</v>
      </c>
      <c r="I472" s="38" t="s">
        <v>21</v>
      </c>
      <c r="J472" s="38">
        <v>1</v>
      </c>
      <c r="K472" s="39">
        <f>VLOOKUP(I472,'Weights and Confidence'!$D$16:$AC$26,5,FALSE)/COUNTIFS($B:$B,$B472,$C:$C,$C472,$H:$H,$H472,$I:$I,$I472)</f>
        <v>0.05</v>
      </c>
      <c r="L472" s="40">
        <f>VLOOKUP(I472,'Weights and Confidence'!$D$16:$AC$26,6,FALSE)</f>
        <v>1</v>
      </c>
      <c r="M472" s="41">
        <f>tScores4[[#This Row],[Raw_Rating_Text]]</f>
        <v>1</v>
      </c>
      <c r="N472" s="38"/>
    </row>
    <row r="473" spans="1:16" x14ac:dyDescent="0.2">
      <c r="A473" s="34" t="s">
        <v>14</v>
      </c>
      <c r="B473" s="34" t="s">
        <v>0</v>
      </c>
      <c r="C473" s="34" t="s">
        <v>50</v>
      </c>
      <c r="D473" s="34" t="s">
        <v>5</v>
      </c>
      <c r="E473" s="34" t="s">
        <v>103</v>
      </c>
      <c r="F473" s="34" t="s">
        <v>51</v>
      </c>
      <c r="G473" s="34">
        <v>3</v>
      </c>
      <c r="H473" s="34" t="s">
        <v>18</v>
      </c>
      <c r="I473" s="34" t="s">
        <v>21</v>
      </c>
      <c r="J473" s="34">
        <v>1</v>
      </c>
      <c r="K473" s="35">
        <f>VLOOKUP(I473,'Weights and Confidence'!$D$16:$AC$26,5,FALSE)/COUNTIFS($B:$B,$B473,$C:$C,$C473,$H:$H,$H473,$I:$I,$I473)</f>
        <v>0.05</v>
      </c>
      <c r="L473" s="36">
        <f>VLOOKUP(I473,'Weights and Confidence'!$D$16:$AC$26,6,FALSE)</f>
        <v>1</v>
      </c>
      <c r="M473" s="37">
        <f>tScores4[[#This Row],[Raw_Rating_Text]]</f>
        <v>1</v>
      </c>
      <c r="N473" s="58" t="s">
        <v>126</v>
      </c>
    </row>
    <row r="474" spans="1:16" x14ac:dyDescent="0.2">
      <c r="A474" s="38" t="s">
        <v>14</v>
      </c>
      <c r="B474" s="38" t="s">
        <v>0</v>
      </c>
      <c r="C474" s="38" t="s">
        <v>50</v>
      </c>
      <c r="D474" s="38" t="s">
        <v>5</v>
      </c>
      <c r="E474" s="38" t="s">
        <v>103</v>
      </c>
      <c r="F474" s="38" t="s">
        <v>51</v>
      </c>
      <c r="G474" s="38">
        <v>4</v>
      </c>
      <c r="H474" s="38" t="s">
        <v>17</v>
      </c>
      <c r="I474" s="38" t="s">
        <v>22</v>
      </c>
      <c r="J474" s="38">
        <v>0</v>
      </c>
      <c r="K474" s="39">
        <f>VLOOKUP(I474,'Weights and Confidence'!$D$16:$AC$26,5,FALSE)/COUNTIFS($B:$B,$B474,$C:$C,$C474,$H:$H,$H474,$I:$I,$I474)</f>
        <v>0.14000000000000001</v>
      </c>
      <c r="L474" s="40">
        <f>VLOOKUP(I474,'Weights and Confidence'!$D$16:$AC$26,6,FALSE)</f>
        <v>1</v>
      </c>
      <c r="M474" s="41">
        <f>tScores4[[#This Row],[Raw_Rating_Text]]</f>
        <v>0</v>
      </c>
      <c r="N474" s="38"/>
    </row>
    <row r="475" spans="1:16" x14ac:dyDescent="0.2">
      <c r="A475" s="34" t="s">
        <v>14</v>
      </c>
      <c r="B475" s="34" t="s">
        <v>0</v>
      </c>
      <c r="C475" s="34" t="s">
        <v>50</v>
      </c>
      <c r="D475" s="34" t="s">
        <v>5</v>
      </c>
      <c r="E475" s="34" t="s">
        <v>103</v>
      </c>
      <c r="F475" s="34" t="s">
        <v>51</v>
      </c>
      <c r="G475" s="34">
        <v>4</v>
      </c>
      <c r="H475" s="34" t="s">
        <v>18</v>
      </c>
      <c r="I475" s="34" t="s">
        <v>22</v>
      </c>
      <c r="J475" s="34">
        <v>1</v>
      </c>
      <c r="K475" s="35">
        <f>VLOOKUP(I475,'Weights and Confidence'!$D$16:$AC$26,5,FALSE)/COUNTIFS($B:$B,$B475,$C:$C,$C475,$H:$H,$H475,$I:$I,$I475)</f>
        <v>0.14000000000000001</v>
      </c>
      <c r="L475" s="36">
        <f>VLOOKUP(I475,'Weights and Confidence'!$D$16:$AC$26,6,FALSE)</f>
        <v>1</v>
      </c>
      <c r="M475" s="37">
        <f>tScores4[[#This Row],[Raw_Rating_Text]]</f>
        <v>1</v>
      </c>
      <c r="N475" s="58"/>
    </row>
    <row r="476" spans="1:16" x14ac:dyDescent="0.2">
      <c r="A476" s="38" t="s">
        <v>14</v>
      </c>
      <c r="B476" s="38" t="s">
        <v>0</v>
      </c>
      <c r="C476" s="38" t="s">
        <v>50</v>
      </c>
      <c r="D476" s="38" t="s">
        <v>5</v>
      </c>
      <c r="E476" s="38" t="s">
        <v>103</v>
      </c>
      <c r="F476" s="38" t="s">
        <v>51</v>
      </c>
      <c r="G476" s="38">
        <v>5</v>
      </c>
      <c r="H476" s="38" t="s">
        <v>17</v>
      </c>
      <c r="I476" s="38" t="s">
        <v>23</v>
      </c>
      <c r="J476" s="38">
        <v>0</v>
      </c>
      <c r="K476" s="39">
        <f>VLOOKUP(I476,'Weights and Confidence'!$D$16:$AC$26,5,FALSE)/COUNTIFS($B:$B,$B476,$C:$C,$C476,$H:$H,$H476,$I:$I,$I476)</f>
        <v>0.11</v>
      </c>
      <c r="L476" s="40">
        <f>VLOOKUP(I476,'Weights and Confidence'!$D$16:$AC$26,6,FALSE)</f>
        <v>1</v>
      </c>
      <c r="M476" s="41">
        <f>tScores4[[#This Row],[Raw_Rating_Text]]</f>
        <v>0</v>
      </c>
      <c r="N476" s="38"/>
    </row>
    <row r="477" spans="1:16" x14ac:dyDescent="0.2">
      <c r="A477" s="34" t="s">
        <v>14</v>
      </c>
      <c r="B477" s="34" t="s">
        <v>0</v>
      </c>
      <c r="C477" s="34" t="s">
        <v>50</v>
      </c>
      <c r="D477" s="34" t="s">
        <v>5</v>
      </c>
      <c r="E477" s="34" t="s">
        <v>103</v>
      </c>
      <c r="F477" s="34" t="s">
        <v>51</v>
      </c>
      <c r="G477" s="34">
        <v>5</v>
      </c>
      <c r="H477" s="34" t="s">
        <v>18</v>
      </c>
      <c r="I477" s="34" t="s">
        <v>23</v>
      </c>
      <c r="J477" s="34">
        <v>1</v>
      </c>
      <c r="K477" s="35">
        <f>VLOOKUP(I477,'Weights and Confidence'!$D$16:$AC$26,5,FALSE)/COUNTIFS($B:$B,$B477,$C:$C,$C477,$H:$H,$H477,$I:$I,$I477)</f>
        <v>0.11</v>
      </c>
      <c r="L477" s="36">
        <f>VLOOKUP(I477,'Weights and Confidence'!$D$16:$AC$26,6,FALSE)</f>
        <v>1</v>
      </c>
      <c r="M477" s="37">
        <f>tScores4[[#This Row],[Raw_Rating_Text]]</f>
        <v>1</v>
      </c>
      <c r="N477" s="34"/>
    </row>
    <row r="478" spans="1:16" x14ac:dyDescent="0.2">
      <c r="A478" s="38" t="s">
        <v>14</v>
      </c>
      <c r="B478" s="38" t="s">
        <v>0</v>
      </c>
      <c r="C478" s="38" t="s">
        <v>50</v>
      </c>
      <c r="D478" s="38" t="s">
        <v>5</v>
      </c>
      <c r="E478" s="38" t="s">
        <v>103</v>
      </c>
      <c r="F478" s="38" t="s">
        <v>51</v>
      </c>
      <c r="G478" s="38">
        <v>6</v>
      </c>
      <c r="H478" s="38" t="s">
        <v>17</v>
      </c>
      <c r="I478" s="38" t="s">
        <v>24</v>
      </c>
      <c r="J478" s="38">
        <v>0</v>
      </c>
      <c r="K478" s="39">
        <f>VLOOKUP(I478,'Weights and Confidence'!$D$16:$AC$26,5,FALSE)/COUNTIFS($B:$B,$B478,$C:$C,$C478,$H:$H,$H478,$I:$I,$I478)</f>
        <v>0.15</v>
      </c>
      <c r="L478" s="40">
        <f>VLOOKUP(I478,'Weights and Confidence'!$D$16:$AC$26,6,FALSE)</f>
        <v>1</v>
      </c>
      <c r="M478" s="41">
        <f>tScores4[[#This Row],[Raw_Rating_Text]]</f>
        <v>0</v>
      </c>
      <c r="N478" s="38"/>
    </row>
    <row r="479" spans="1:16" x14ac:dyDescent="0.2">
      <c r="A479" s="34" t="s">
        <v>14</v>
      </c>
      <c r="B479" s="34" t="s">
        <v>0</v>
      </c>
      <c r="C479" s="34" t="s">
        <v>50</v>
      </c>
      <c r="D479" s="34" t="s">
        <v>5</v>
      </c>
      <c r="E479" s="34" t="s">
        <v>103</v>
      </c>
      <c r="F479" s="34" t="s">
        <v>51</v>
      </c>
      <c r="G479" s="34">
        <v>6</v>
      </c>
      <c r="H479" s="34" t="s">
        <v>18</v>
      </c>
      <c r="I479" s="34" t="s">
        <v>24</v>
      </c>
      <c r="J479" s="34">
        <v>1</v>
      </c>
      <c r="K479" s="35">
        <f>VLOOKUP(I479,'Weights and Confidence'!$D$16:$AC$26,5,FALSE)/COUNTIFS($B:$B,$B479,$C:$C,$C479,$H:$H,$H479,$I:$I,$I479)</f>
        <v>0.15</v>
      </c>
      <c r="L479" s="36">
        <f>VLOOKUP(I479,'Weights and Confidence'!$D$16:$AC$26,6,FALSE)</f>
        <v>1</v>
      </c>
      <c r="M479" s="37">
        <f>tScores4[[#This Row],[Raw_Rating_Text]]</f>
        <v>1</v>
      </c>
      <c r="N479" s="58"/>
    </row>
    <row r="480" spans="1:16" x14ac:dyDescent="0.2">
      <c r="A480" s="38" t="s">
        <v>14</v>
      </c>
      <c r="B480" s="38" t="s">
        <v>0</v>
      </c>
      <c r="C480" s="38" t="s">
        <v>50</v>
      </c>
      <c r="D480" s="38" t="s">
        <v>5</v>
      </c>
      <c r="E480" s="38" t="s">
        <v>103</v>
      </c>
      <c r="F480" s="38" t="s">
        <v>51</v>
      </c>
      <c r="G480" s="38">
        <v>7</v>
      </c>
      <c r="H480" s="38" t="s">
        <v>17</v>
      </c>
      <c r="I480" s="38" t="s">
        <v>25</v>
      </c>
      <c r="J480" s="38">
        <v>0</v>
      </c>
      <c r="K480" s="39">
        <f>VLOOKUP(I480,'Weights and Confidence'!$D$16:$AC$26,5,FALSE)/COUNTIFS($B:$B,$B480,$C:$C,$C480,$H:$H,$H480,$I:$I,$I480)</f>
        <v>0.1</v>
      </c>
      <c r="L480" s="40">
        <f>VLOOKUP(I480,'Weights and Confidence'!$D$16:$AC$26,6,FALSE)</f>
        <v>1</v>
      </c>
      <c r="M480" s="41">
        <f>tScores4[[#This Row],[Raw_Rating_Text]]</f>
        <v>0</v>
      </c>
      <c r="N480" s="38"/>
    </row>
    <row r="481" spans="1:14" x14ac:dyDescent="0.2">
      <c r="A481" s="34" t="s">
        <v>14</v>
      </c>
      <c r="B481" s="34" t="s">
        <v>0</v>
      </c>
      <c r="C481" s="34" t="s">
        <v>50</v>
      </c>
      <c r="D481" s="34" t="s">
        <v>5</v>
      </c>
      <c r="E481" s="34" t="s">
        <v>103</v>
      </c>
      <c r="F481" s="34" t="s">
        <v>51</v>
      </c>
      <c r="G481" s="34">
        <v>7</v>
      </c>
      <c r="H481" s="34" t="s">
        <v>18</v>
      </c>
      <c r="I481" s="34" t="s">
        <v>25</v>
      </c>
      <c r="J481" s="34">
        <v>1</v>
      </c>
      <c r="K481" s="35">
        <f>VLOOKUP(I481,'Weights and Confidence'!$D$16:$AC$26,5,FALSE)/COUNTIFS($B:$B,$B481,$C:$C,$C481,$H:$H,$H481,$I:$I,$I481)</f>
        <v>0.1</v>
      </c>
      <c r="L481" s="36">
        <f>VLOOKUP(I481,'Weights and Confidence'!$D$16:$AC$26,6,FALSE)</f>
        <v>1</v>
      </c>
      <c r="M481" s="37">
        <f>tScores4[[#This Row],[Raw_Rating_Text]]</f>
        <v>1</v>
      </c>
      <c r="N481" s="58"/>
    </row>
    <row r="482" spans="1:14" x14ac:dyDescent="0.2">
      <c r="A482" s="38" t="s">
        <v>14</v>
      </c>
      <c r="B482" s="38" t="s">
        <v>0</v>
      </c>
      <c r="C482" s="38" t="s">
        <v>50</v>
      </c>
      <c r="D482" s="38" t="s">
        <v>5</v>
      </c>
      <c r="E482" s="38" t="s">
        <v>103</v>
      </c>
      <c r="F482" s="38" t="s">
        <v>51</v>
      </c>
      <c r="G482" s="38">
        <v>8</v>
      </c>
      <c r="H482" s="38" t="s">
        <v>17</v>
      </c>
      <c r="I482" s="38" t="s">
        <v>26</v>
      </c>
      <c r="J482" s="38">
        <v>0</v>
      </c>
      <c r="K482" s="39">
        <f>VLOOKUP(I482,'Weights and Confidence'!$D$16:$AC$26,5,FALSE)/COUNTIFS($B:$B,$B482,$C:$C,$C482,$H:$H,$H482,$I:$I,$I482)</f>
        <v>0.1</v>
      </c>
      <c r="L482" s="40">
        <f>VLOOKUP(I482,'Weights and Confidence'!$D$16:$AC$26,6,FALSE)</f>
        <v>1</v>
      </c>
      <c r="M482" s="41">
        <f>tScores4[[#This Row],[Raw_Rating_Text]]</f>
        <v>0</v>
      </c>
      <c r="N482" s="38"/>
    </row>
    <row r="483" spans="1:14" x14ac:dyDescent="0.2">
      <c r="A483" s="34" t="s">
        <v>14</v>
      </c>
      <c r="B483" s="34" t="s">
        <v>0</v>
      </c>
      <c r="C483" s="34" t="s">
        <v>50</v>
      </c>
      <c r="D483" s="34" t="s">
        <v>5</v>
      </c>
      <c r="E483" s="34" t="s">
        <v>103</v>
      </c>
      <c r="F483" s="34" t="s">
        <v>51</v>
      </c>
      <c r="G483" s="34">
        <v>8</v>
      </c>
      <c r="H483" s="34" t="s">
        <v>18</v>
      </c>
      <c r="I483" s="34" t="s">
        <v>26</v>
      </c>
      <c r="J483" s="34">
        <v>1</v>
      </c>
      <c r="K483" s="35">
        <f>VLOOKUP(I483,'Weights and Confidence'!$D$16:$AC$26,5,FALSE)/COUNTIFS($B:$B,$B483,$C:$C,$C483,$H:$H,$H483,$I:$I,$I483)</f>
        <v>0.1</v>
      </c>
      <c r="L483" s="36">
        <f>VLOOKUP(I483,'Weights and Confidence'!$D$16:$AC$26,6,FALSE)</f>
        <v>1</v>
      </c>
      <c r="M483" s="37">
        <f>tScores4[[#This Row],[Raw_Rating_Text]]</f>
        <v>1</v>
      </c>
      <c r="N483" s="58"/>
    </row>
    <row r="484" spans="1:14" x14ac:dyDescent="0.2">
      <c r="A484" s="38" t="s">
        <v>14</v>
      </c>
      <c r="B484" s="38" t="s">
        <v>0</v>
      </c>
      <c r="C484" s="38" t="s">
        <v>50</v>
      </c>
      <c r="D484" s="38" t="s">
        <v>5</v>
      </c>
      <c r="E484" s="38" t="s">
        <v>103</v>
      </c>
      <c r="F484" s="38" t="s">
        <v>51</v>
      </c>
      <c r="G484" s="38">
        <v>9</v>
      </c>
      <c r="H484" s="38" t="s">
        <v>17</v>
      </c>
      <c r="I484" s="38" t="s">
        <v>27</v>
      </c>
      <c r="J484" s="38">
        <v>0</v>
      </c>
      <c r="K484" s="39">
        <f>VLOOKUP(I484,'Weights and Confidence'!$D$16:$AC$26,5,FALSE)/COUNTIFS($B:$B,$B484,$C:$C,$C484,$H:$H,$H484,$I:$I,$I484)</f>
        <v>0.05</v>
      </c>
      <c r="L484" s="40">
        <f>VLOOKUP(I484,'Weights and Confidence'!$D$16:$AC$26,6,FALSE)</f>
        <v>0.85</v>
      </c>
      <c r="M484" s="41">
        <f>tScores4[[#This Row],[Raw_Rating_Text]]</f>
        <v>0</v>
      </c>
      <c r="N484" s="38"/>
    </row>
    <row r="485" spans="1:14" x14ac:dyDescent="0.2">
      <c r="A485" s="34" t="s">
        <v>14</v>
      </c>
      <c r="B485" s="34" t="s">
        <v>0</v>
      </c>
      <c r="C485" s="34" t="s">
        <v>50</v>
      </c>
      <c r="D485" s="34" t="s">
        <v>5</v>
      </c>
      <c r="E485" s="34" t="s">
        <v>103</v>
      </c>
      <c r="F485" s="34" t="s">
        <v>51</v>
      </c>
      <c r="G485" s="34">
        <v>9</v>
      </c>
      <c r="H485" s="34" t="s">
        <v>18</v>
      </c>
      <c r="I485" s="34" t="s">
        <v>27</v>
      </c>
      <c r="J485" s="34">
        <v>1</v>
      </c>
      <c r="K485" s="35">
        <f>VLOOKUP(I485,'Weights and Confidence'!$D$16:$AC$26,5,FALSE)/COUNTIFS($B:$B,$B485,$C:$C,$C485,$H:$H,$H485,$I:$I,$I485)</f>
        <v>0.05</v>
      </c>
      <c r="L485" s="36">
        <f>VLOOKUP(I485,'Weights and Confidence'!$D$16:$AC$26,6,FALSE)</f>
        <v>0.85</v>
      </c>
      <c r="M485" s="37">
        <f>tScores4[[#This Row],[Raw_Rating_Text]]</f>
        <v>1</v>
      </c>
      <c r="N485" s="34"/>
    </row>
    <row r="486" spans="1:14" x14ac:dyDescent="0.2">
      <c r="A486" s="38" t="s">
        <v>14</v>
      </c>
      <c r="B486" s="38" t="s">
        <v>0</v>
      </c>
      <c r="C486" s="38" t="s">
        <v>50</v>
      </c>
      <c r="D486" s="38" t="s">
        <v>5</v>
      </c>
      <c r="E486" s="38" t="s">
        <v>103</v>
      </c>
      <c r="F486" s="38" t="s">
        <v>51</v>
      </c>
      <c r="G486" s="38">
        <v>10</v>
      </c>
      <c r="H486" s="38" t="s">
        <v>17</v>
      </c>
      <c r="I486" s="38" t="s">
        <v>27</v>
      </c>
      <c r="J486" s="38">
        <v>0</v>
      </c>
      <c r="K486" s="39">
        <f>VLOOKUP(I486,'Weights and Confidence'!$D$16:$AC$26,5,FALSE)/COUNTIFS($B:$B,$B486,$C:$C,$C486,$H:$H,$H486,$I:$I,$I486)</f>
        <v>0.05</v>
      </c>
      <c r="L486" s="40">
        <f>VLOOKUP(I486,'Weights and Confidence'!$D$16:$AC$26,6,FALSE)</f>
        <v>0.85</v>
      </c>
      <c r="M486" s="41">
        <f>tScores4[[#This Row],[Raw_Rating_Text]]</f>
        <v>0</v>
      </c>
      <c r="N486" s="38"/>
    </row>
    <row r="487" spans="1:14" x14ac:dyDescent="0.2">
      <c r="A487" s="34" t="s">
        <v>14</v>
      </c>
      <c r="B487" s="34" t="s">
        <v>0</v>
      </c>
      <c r="C487" s="34" t="s">
        <v>50</v>
      </c>
      <c r="D487" s="34" t="s">
        <v>5</v>
      </c>
      <c r="E487" s="34" t="s">
        <v>103</v>
      </c>
      <c r="F487" s="34" t="s">
        <v>51</v>
      </c>
      <c r="G487" s="34">
        <v>10</v>
      </c>
      <c r="H487" s="34" t="s">
        <v>18</v>
      </c>
      <c r="I487" s="34" t="s">
        <v>27</v>
      </c>
      <c r="J487" s="34">
        <v>1</v>
      </c>
      <c r="K487" s="35">
        <f>VLOOKUP(I487,'Weights and Confidence'!$D$16:$AC$26,5,FALSE)/COUNTIFS($B:$B,$B487,$C:$C,$C487,$H:$H,$H487,$I:$I,$I487)</f>
        <v>0.05</v>
      </c>
      <c r="L487" s="36">
        <f>VLOOKUP(I487,'Weights and Confidence'!$D$16:$AC$26,6,FALSE)</f>
        <v>0.85</v>
      </c>
      <c r="M487" s="37">
        <f>tScores4[[#This Row],[Raw_Rating_Text]]</f>
        <v>1</v>
      </c>
      <c r="N487" s="34"/>
    </row>
    <row r="488" spans="1:14" x14ac:dyDescent="0.2">
      <c r="A488" s="38" t="s">
        <v>14</v>
      </c>
      <c r="B488" s="38" t="s">
        <v>0</v>
      </c>
      <c r="C488" s="38" t="s">
        <v>50</v>
      </c>
      <c r="D488" s="38" t="s">
        <v>5</v>
      </c>
      <c r="E488" s="38" t="s">
        <v>103</v>
      </c>
      <c r="F488" s="38" t="s">
        <v>51</v>
      </c>
      <c r="G488" s="38">
        <v>11</v>
      </c>
      <c r="H488" s="38" t="s">
        <v>17</v>
      </c>
      <c r="I488" s="38" t="s">
        <v>28</v>
      </c>
      <c r="J488" s="38">
        <v>0</v>
      </c>
      <c r="K488" s="39">
        <f>VLOOKUP(I488,'Weights and Confidence'!$D$16:$AC$26,5,FALSE)/COUNTIFS($B:$B,$B488,$C:$C,$C488,$H:$H,$H488,$I:$I,$I488)</f>
        <v>0.05</v>
      </c>
      <c r="L488" s="40">
        <f>VLOOKUP(I488,'Weights and Confidence'!$D$16:$AC$26,6,FALSE)</f>
        <v>1</v>
      </c>
      <c r="M488" s="41">
        <f>tScores4[[#This Row],[Raw_Rating_Text]]</f>
        <v>0</v>
      </c>
      <c r="N488" s="38"/>
    </row>
    <row r="489" spans="1:14" ht="17" thickBot="1" x14ac:dyDescent="0.25">
      <c r="A489" s="34" t="s">
        <v>14</v>
      </c>
      <c r="B489" s="34" t="s">
        <v>0</v>
      </c>
      <c r="C489" s="34" t="s">
        <v>50</v>
      </c>
      <c r="D489" s="34" t="s">
        <v>5</v>
      </c>
      <c r="E489" s="34" t="s">
        <v>103</v>
      </c>
      <c r="F489" s="34" t="s">
        <v>51</v>
      </c>
      <c r="G489" s="34">
        <v>11</v>
      </c>
      <c r="H489" s="34" t="s">
        <v>18</v>
      </c>
      <c r="I489" s="34" t="s">
        <v>28</v>
      </c>
      <c r="J489" s="34">
        <v>1</v>
      </c>
      <c r="K489" s="35">
        <f>VLOOKUP(I489,'Weights and Confidence'!$D$16:$AC$26,5,FALSE)/COUNTIFS($B:$B,$B489,$C:$C,$C489,$H:$H,$H489,$I:$I,$I489)</f>
        <v>0.05</v>
      </c>
      <c r="L489" s="36">
        <f>VLOOKUP(I489,'Weights and Confidence'!$D$16:$AC$26,6,FALSE)</f>
        <v>1</v>
      </c>
      <c r="M489" s="37">
        <f>tScores4[[#This Row],[Raw_Rating_Text]]</f>
        <v>1</v>
      </c>
      <c r="N489" s="34"/>
    </row>
    <row r="490" spans="1:14" ht="17" thickTop="1" x14ac:dyDescent="0.2">
      <c r="A490" s="42" t="s">
        <v>14</v>
      </c>
      <c r="B490" s="42" t="s">
        <v>0</v>
      </c>
      <c r="C490" s="42" t="s">
        <v>52</v>
      </c>
      <c r="D490" s="42" t="s">
        <v>5</v>
      </c>
      <c r="E490" s="43" t="s">
        <v>105</v>
      </c>
      <c r="F490" s="43" t="s">
        <v>127</v>
      </c>
      <c r="G490" s="42">
        <v>1</v>
      </c>
      <c r="H490" s="42" t="s">
        <v>17</v>
      </c>
      <c r="I490" s="42" t="s">
        <v>19</v>
      </c>
      <c r="J490" s="42">
        <v>1</v>
      </c>
      <c r="K490" s="44">
        <f>VLOOKUP(I490,'Weights and Confidence'!$D$16:$AC$26,5,FALSE)/COUNTIFS($B:$B,$B490,$C:$C,$C490,$H:$H,$H490,$I:$I,$I490)</f>
        <v>0.12</v>
      </c>
      <c r="L490" s="45">
        <f>VLOOKUP(I490,'Weights and Confidence'!$D$16:$AC$26,6,FALSE)</f>
        <v>1</v>
      </c>
      <c r="M490" s="46">
        <f>tScores4[[#This Row],[Raw_Rating_Text]]</f>
        <v>1</v>
      </c>
      <c r="N490" s="42"/>
    </row>
    <row r="491" spans="1:14" x14ac:dyDescent="0.2">
      <c r="A491" s="34" t="s">
        <v>14</v>
      </c>
      <c r="B491" s="34" t="s">
        <v>0</v>
      </c>
      <c r="C491" s="34" t="s">
        <v>52</v>
      </c>
      <c r="D491" s="34" t="s">
        <v>5</v>
      </c>
      <c r="E491" s="34" t="s">
        <v>105</v>
      </c>
      <c r="F491" s="34" t="s">
        <v>127</v>
      </c>
      <c r="G491" s="34">
        <v>1</v>
      </c>
      <c r="H491" s="34" t="s">
        <v>18</v>
      </c>
      <c r="I491" s="34" t="s">
        <v>19</v>
      </c>
      <c r="J491" s="34">
        <v>1</v>
      </c>
      <c r="K491" s="35">
        <f>VLOOKUP(I491,'Weights and Confidence'!$D$16:$AC$26,5,FALSE)/COUNTIFS($B:$B,$B491,$C:$C,$C491,$H:$H,$H491,$I:$I,$I491)</f>
        <v>0.12</v>
      </c>
      <c r="L491" s="36">
        <f>VLOOKUP(I491,'Weights and Confidence'!$D$16:$AC$26,6,FALSE)</f>
        <v>1</v>
      </c>
      <c r="M491" s="37">
        <f>tScores4[[#This Row],[Raw_Rating_Text]]</f>
        <v>1</v>
      </c>
      <c r="N491" s="58"/>
    </row>
    <row r="492" spans="1:14" x14ac:dyDescent="0.2">
      <c r="A492" s="38" t="s">
        <v>14</v>
      </c>
      <c r="B492" s="38" t="s">
        <v>0</v>
      </c>
      <c r="C492" s="38" t="s">
        <v>52</v>
      </c>
      <c r="D492" s="38" t="s">
        <v>5</v>
      </c>
      <c r="E492" s="38" t="s">
        <v>105</v>
      </c>
      <c r="F492" s="38" t="s">
        <v>127</v>
      </c>
      <c r="G492" s="38">
        <v>2</v>
      </c>
      <c r="H492" s="38" t="s">
        <v>17</v>
      </c>
      <c r="I492" s="38" t="s">
        <v>20</v>
      </c>
      <c r="J492" s="38">
        <v>1</v>
      </c>
      <c r="K492" s="39">
        <f>VLOOKUP(I492,'Weights and Confidence'!$D$16:$AC$26,5,FALSE)/COUNTIFS($B:$B,$B492,$C:$C,$C492,$H:$H,$H492,$I:$I,$I492)</f>
        <v>0.08</v>
      </c>
      <c r="L492" s="40">
        <f>VLOOKUP(I492,'Weights and Confidence'!$D$16:$AC$26,6,FALSE)</f>
        <v>0.8</v>
      </c>
      <c r="M492" s="41">
        <f>tScores4[[#This Row],[Raw_Rating_Text]]</f>
        <v>1</v>
      </c>
      <c r="N492" s="38"/>
    </row>
    <row r="493" spans="1:14" x14ac:dyDescent="0.2">
      <c r="A493" s="34" t="s">
        <v>14</v>
      </c>
      <c r="B493" s="34" t="s">
        <v>0</v>
      </c>
      <c r="C493" s="34" t="s">
        <v>52</v>
      </c>
      <c r="D493" s="34" t="s">
        <v>5</v>
      </c>
      <c r="E493" s="34" t="s">
        <v>105</v>
      </c>
      <c r="F493" s="34" t="s">
        <v>127</v>
      </c>
      <c r="G493" s="34">
        <v>2</v>
      </c>
      <c r="H493" s="34" t="s">
        <v>18</v>
      </c>
      <c r="I493" s="34" t="s">
        <v>20</v>
      </c>
      <c r="J493" s="34">
        <v>1</v>
      </c>
      <c r="K493" s="35">
        <f>VLOOKUP(I493,'Weights and Confidence'!$D$16:$AC$26,5,FALSE)/COUNTIFS($B:$B,$B493,$C:$C,$C493,$H:$H,$H493,$I:$I,$I493)</f>
        <v>0.08</v>
      </c>
      <c r="L493" s="36">
        <f>VLOOKUP(I493,'Weights and Confidence'!$D$16:$AC$26,6,FALSE)</f>
        <v>0.8</v>
      </c>
      <c r="M493" s="37">
        <f>tScores4[[#This Row],[Raw_Rating_Text]]</f>
        <v>1</v>
      </c>
      <c r="N493" s="34"/>
    </row>
    <row r="494" spans="1:14" x14ac:dyDescent="0.2">
      <c r="A494" s="38" t="s">
        <v>14</v>
      </c>
      <c r="B494" s="38" t="s">
        <v>0</v>
      </c>
      <c r="C494" s="38" t="s">
        <v>52</v>
      </c>
      <c r="D494" s="38" t="s">
        <v>5</v>
      </c>
      <c r="E494" s="38" t="s">
        <v>105</v>
      </c>
      <c r="F494" s="38" t="s">
        <v>127</v>
      </c>
      <c r="G494" s="38">
        <v>3</v>
      </c>
      <c r="H494" s="38" t="s">
        <v>17</v>
      </c>
      <c r="I494" s="38" t="s">
        <v>21</v>
      </c>
      <c r="J494" s="38">
        <v>1</v>
      </c>
      <c r="K494" s="39">
        <f>VLOOKUP(I494,'Weights and Confidence'!$D$16:$AC$26,5,FALSE)/COUNTIFS($B:$B,$B494,$C:$C,$C494,$H:$H,$H494,$I:$I,$I494)</f>
        <v>0.05</v>
      </c>
      <c r="L494" s="40">
        <f>VLOOKUP(I494,'Weights and Confidence'!$D$16:$AC$26,6,FALSE)</f>
        <v>1</v>
      </c>
      <c r="M494" s="41">
        <f>tScores4[[#This Row],[Raw_Rating_Text]]</f>
        <v>1</v>
      </c>
      <c r="N494" s="38"/>
    </row>
    <row r="495" spans="1:14" x14ac:dyDescent="0.2">
      <c r="A495" s="34" t="s">
        <v>14</v>
      </c>
      <c r="B495" s="34" t="s">
        <v>0</v>
      </c>
      <c r="C495" s="34" t="s">
        <v>52</v>
      </c>
      <c r="D495" s="34" t="s">
        <v>5</v>
      </c>
      <c r="E495" s="34" t="s">
        <v>105</v>
      </c>
      <c r="F495" s="34" t="s">
        <v>127</v>
      </c>
      <c r="G495" s="34">
        <v>3</v>
      </c>
      <c r="H495" s="34" t="s">
        <v>18</v>
      </c>
      <c r="I495" s="34" t="s">
        <v>21</v>
      </c>
      <c r="J495" s="34">
        <v>1</v>
      </c>
      <c r="K495" s="35">
        <f>VLOOKUP(I495,'Weights and Confidence'!$D$16:$AC$26,5,FALSE)/COUNTIFS($B:$B,$B495,$C:$C,$C495,$H:$H,$H495,$I:$I,$I495)</f>
        <v>0.05</v>
      </c>
      <c r="L495" s="36">
        <f>VLOOKUP(I495,'Weights and Confidence'!$D$16:$AC$26,6,FALSE)</f>
        <v>1</v>
      </c>
      <c r="M495" s="37">
        <f>tScores4[[#This Row],[Raw_Rating_Text]]</f>
        <v>1</v>
      </c>
      <c r="N495" s="58"/>
    </row>
    <row r="496" spans="1:14" x14ac:dyDescent="0.2">
      <c r="A496" s="38" t="s">
        <v>14</v>
      </c>
      <c r="B496" s="38" t="s">
        <v>0</v>
      </c>
      <c r="C496" s="38" t="s">
        <v>52</v>
      </c>
      <c r="D496" s="38" t="s">
        <v>5</v>
      </c>
      <c r="E496" s="38" t="s">
        <v>105</v>
      </c>
      <c r="F496" s="38" t="s">
        <v>127</v>
      </c>
      <c r="G496" s="38">
        <v>4</v>
      </c>
      <c r="H496" s="38" t="s">
        <v>17</v>
      </c>
      <c r="I496" s="38" t="s">
        <v>22</v>
      </c>
      <c r="J496" s="38">
        <v>0</v>
      </c>
      <c r="K496" s="39">
        <f>VLOOKUP(I496,'Weights and Confidence'!$D$16:$AC$26,5,FALSE)/COUNTIFS($B:$B,$B496,$C:$C,$C496,$H:$H,$H496,$I:$I,$I496)</f>
        <v>0.14000000000000001</v>
      </c>
      <c r="L496" s="40">
        <f>VLOOKUP(I496,'Weights and Confidence'!$D$16:$AC$26,6,FALSE)</f>
        <v>1</v>
      </c>
      <c r="M496" s="41">
        <f>tScores4[[#This Row],[Raw_Rating_Text]]</f>
        <v>0</v>
      </c>
      <c r="N496" s="38"/>
    </row>
    <row r="497" spans="1:15" x14ac:dyDescent="0.2">
      <c r="A497" s="34" t="s">
        <v>14</v>
      </c>
      <c r="B497" s="34" t="s">
        <v>0</v>
      </c>
      <c r="C497" s="34" t="s">
        <v>52</v>
      </c>
      <c r="D497" s="34" t="s">
        <v>5</v>
      </c>
      <c r="E497" s="34" t="s">
        <v>105</v>
      </c>
      <c r="F497" s="34" t="s">
        <v>127</v>
      </c>
      <c r="G497" s="34">
        <v>4</v>
      </c>
      <c r="H497" s="34" t="s">
        <v>18</v>
      </c>
      <c r="I497" s="34" t="s">
        <v>22</v>
      </c>
      <c r="J497" s="34">
        <v>0</v>
      </c>
      <c r="K497" s="35">
        <f>VLOOKUP(I497,'Weights and Confidence'!$D$16:$AC$26,5,FALSE)/COUNTIFS($B:$B,$B497,$C:$C,$C497,$H:$H,$H497,$I:$I,$I497)</f>
        <v>0.14000000000000001</v>
      </c>
      <c r="L497" s="36">
        <f>VLOOKUP(I497,'Weights and Confidence'!$D$16:$AC$26,6,FALSE)</f>
        <v>1</v>
      </c>
      <c r="M497" s="37">
        <f>tScores4[[#This Row],[Raw_Rating_Text]]</f>
        <v>0</v>
      </c>
      <c r="N497" s="58" t="s">
        <v>129</v>
      </c>
    </row>
    <row r="498" spans="1:15" x14ac:dyDescent="0.2">
      <c r="A498" s="38" t="s">
        <v>14</v>
      </c>
      <c r="B498" s="38" t="s">
        <v>0</v>
      </c>
      <c r="C498" s="38" t="s">
        <v>52</v>
      </c>
      <c r="D498" s="38" t="s">
        <v>5</v>
      </c>
      <c r="E498" s="38" t="s">
        <v>105</v>
      </c>
      <c r="F498" s="38" t="s">
        <v>127</v>
      </c>
      <c r="G498" s="38">
        <v>5</v>
      </c>
      <c r="H498" s="38" t="s">
        <v>17</v>
      </c>
      <c r="I498" s="38" t="s">
        <v>23</v>
      </c>
      <c r="J498" s="38">
        <v>0</v>
      </c>
      <c r="K498" s="39">
        <f>VLOOKUP(I498,'Weights and Confidence'!$D$16:$AC$26,5,FALSE)/COUNTIFS($B:$B,$B498,$C:$C,$C498,$H:$H,$H498,$I:$I,$I498)</f>
        <v>0.11</v>
      </c>
      <c r="L498" s="40">
        <f>VLOOKUP(I498,'Weights and Confidence'!$D$16:$AC$26,6,FALSE)</f>
        <v>1</v>
      </c>
      <c r="M498" s="41">
        <f>tScores4[[#This Row],[Raw_Rating_Text]]</f>
        <v>0</v>
      </c>
      <c r="N498" s="38"/>
    </row>
    <row r="499" spans="1:15" x14ac:dyDescent="0.2">
      <c r="A499" s="34" t="s">
        <v>14</v>
      </c>
      <c r="B499" s="34" t="s">
        <v>0</v>
      </c>
      <c r="C499" s="34" t="s">
        <v>52</v>
      </c>
      <c r="D499" s="34" t="s">
        <v>5</v>
      </c>
      <c r="E499" s="34" t="s">
        <v>105</v>
      </c>
      <c r="F499" s="34" t="s">
        <v>127</v>
      </c>
      <c r="G499" s="34">
        <v>5</v>
      </c>
      <c r="H499" s="34" t="s">
        <v>18</v>
      </c>
      <c r="I499" s="34" t="s">
        <v>23</v>
      </c>
      <c r="J499" s="34">
        <v>1</v>
      </c>
      <c r="K499" s="35">
        <f>VLOOKUP(I499,'Weights and Confidence'!$D$16:$AC$26,5,FALSE)/COUNTIFS($B:$B,$B499,$C:$C,$C499,$H:$H,$H499,$I:$I,$I499)</f>
        <v>0.11</v>
      </c>
      <c r="L499" s="36">
        <f>VLOOKUP(I499,'Weights and Confidence'!$D$16:$AC$26,6,FALSE)</f>
        <v>1</v>
      </c>
      <c r="M499" s="37">
        <f>tScores4[[#This Row],[Raw_Rating_Text]]</f>
        <v>1</v>
      </c>
      <c r="N499" s="34"/>
    </row>
    <row r="500" spans="1:15" x14ac:dyDescent="0.2">
      <c r="A500" s="38" t="s">
        <v>14</v>
      </c>
      <c r="B500" s="38" t="s">
        <v>0</v>
      </c>
      <c r="C500" s="38" t="s">
        <v>52</v>
      </c>
      <c r="D500" s="38" t="s">
        <v>5</v>
      </c>
      <c r="E500" s="38" t="s">
        <v>105</v>
      </c>
      <c r="F500" s="38" t="s">
        <v>127</v>
      </c>
      <c r="G500" s="38">
        <v>6</v>
      </c>
      <c r="H500" s="38" t="s">
        <v>17</v>
      </c>
      <c r="I500" s="38" t="s">
        <v>24</v>
      </c>
      <c r="J500" s="38">
        <v>1</v>
      </c>
      <c r="K500" s="39">
        <f>VLOOKUP(I500,'Weights and Confidence'!$D$16:$AC$26,5,FALSE)/COUNTIFS($B:$B,$B500,$C:$C,$C500,$H:$H,$H500,$I:$I,$I500)</f>
        <v>0.15</v>
      </c>
      <c r="L500" s="40">
        <f>VLOOKUP(I500,'Weights and Confidence'!$D$16:$AC$26,6,FALSE)</f>
        <v>1</v>
      </c>
      <c r="M500" s="41">
        <f>tScores4[[#This Row],[Raw_Rating_Text]]</f>
        <v>1</v>
      </c>
      <c r="N500" s="38"/>
    </row>
    <row r="501" spans="1:15" x14ac:dyDescent="0.2">
      <c r="A501" s="34" t="s">
        <v>14</v>
      </c>
      <c r="B501" s="34" t="s">
        <v>0</v>
      </c>
      <c r="C501" s="34" t="s">
        <v>52</v>
      </c>
      <c r="D501" s="34" t="s">
        <v>5</v>
      </c>
      <c r="E501" s="34" t="s">
        <v>105</v>
      </c>
      <c r="F501" s="34" t="s">
        <v>127</v>
      </c>
      <c r="G501" s="34">
        <v>6</v>
      </c>
      <c r="H501" s="34" t="s">
        <v>18</v>
      </c>
      <c r="I501" s="34" t="s">
        <v>24</v>
      </c>
      <c r="J501" s="34">
        <v>1</v>
      </c>
      <c r="K501" s="35">
        <f>VLOOKUP(I501,'Weights and Confidence'!$D$16:$AC$26,5,FALSE)/COUNTIFS($B:$B,$B501,$C:$C,$C501,$H:$H,$H501,$I:$I,$I501)</f>
        <v>0.15</v>
      </c>
      <c r="L501" s="36">
        <f>VLOOKUP(I501,'Weights and Confidence'!$D$16:$AC$26,6,FALSE)</f>
        <v>1</v>
      </c>
      <c r="M501" s="37">
        <f>tScores4[[#This Row],[Raw_Rating_Text]]</f>
        <v>1</v>
      </c>
      <c r="N501" s="58" t="s">
        <v>130</v>
      </c>
    </row>
    <row r="502" spans="1:15" x14ac:dyDescent="0.2">
      <c r="A502" s="38" t="s">
        <v>14</v>
      </c>
      <c r="B502" s="38" t="s">
        <v>0</v>
      </c>
      <c r="C502" s="38" t="s">
        <v>52</v>
      </c>
      <c r="D502" s="38" t="s">
        <v>5</v>
      </c>
      <c r="E502" s="38" t="s">
        <v>105</v>
      </c>
      <c r="F502" s="38" t="s">
        <v>127</v>
      </c>
      <c r="G502" s="38">
        <v>7</v>
      </c>
      <c r="H502" s="38" t="s">
        <v>17</v>
      </c>
      <c r="I502" s="38" t="s">
        <v>25</v>
      </c>
      <c r="J502" s="38">
        <v>1</v>
      </c>
      <c r="K502" s="39">
        <f>VLOOKUP(I502,'Weights and Confidence'!$D$16:$AC$26,5,FALSE)/COUNTIFS($B:$B,$B502,$C:$C,$C502,$H:$H,$H502,$I:$I,$I502)</f>
        <v>0.1</v>
      </c>
      <c r="L502" s="40">
        <f>VLOOKUP(I502,'Weights and Confidence'!$D$16:$AC$26,6,FALSE)</f>
        <v>1</v>
      </c>
      <c r="M502" s="41">
        <f>tScores4[[#This Row],[Raw_Rating_Text]]</f>
        <v>1</v>
      </c>
      <c r="N502" s="38"/>
    </row>
    <row r="503" spans="1:15" x14ac:dyDescent="0.2">
      <c r="A503" s="34" t="s">
        <v>14</v>
      </c>
      <c r="B503" s="34" t="s">
        <v>0</v>
      </c>
      <c r="C503" s="34" t="s">
        <v>52</v>
      </c>
      <c r="D503" s="34" t="s">
        <v>5</v>
      </c>
      <c r="E503" s="34" t="s">
        <v>105</v>
      </c>
      <c r="F503" s="34" t="s">
        <v>127</v>
      </c>
      <c r="G503" s="34">
        <v>7</v>
      </c>
      <c r="H503" s="34" t="s">
        <v>18</v>
      </c>
      <c r="I503" s="34" t="s">
        <v>25</v>
      </c>
      <c r="J503" s="34">
        <v>1</v>
      </c>
      <c r="K503" s="35">
        <f>VLOOKUP(I503,'Weights and Confidence'!$D$16:$AC$26,5,FALSE)/COUNTIFS($B:$B,$B503,$C:$C,$C503,$H:$H,$H503,$I:$I,$I503)</f>
        <v>0.1</v>
      </c>
      <c r="L503" s="36">
        <f>VLOOKUP(I503,'Weights and Confidence'!$D$16:$AC$26,6,FALSE)</f>
        <v>1</v>
      </c>
      <c r="M503" s="37">
        <f>tScores4[[#This Row],[Raw_Rating_Text]]</f>
        <v>1</v>
      </c>
      <c r="N503" s="58"/>
    </row>
    <row r="504" spans="1:15" x14ac:dyDescent="0.2">
      <c r="A504" s="38" t="s">
        <v>14</v>
      </c>
      <c r="B504" s="38" t="s">
        <v>0</v>
      </c>
      <c r="C504" s="38" t="s">
        <v>52</v>
      </c>
      <c r="D504" s="38" t="s">
        <v>5</v>
      </c>
      <c r="E504" s="38" t="s">
        <v>105</v>
      </c>
      <c r="F504" s="38" t="s">
        <v>127</v>
      </c>
      <c r="G504" s="38">
        <v>8</v>
      </c>
      <c r="H504" s="38" t="s">
        <v>17</v>
      </c>
      <c r="I504" s="38" t="s">
        <v>26</v>
      </c>
      <c r="J504" s="38">
        <v>1</v>
      </c>
      <c r="K504" s="39">
        <f>VLOOKUP(I504,'Weights and Confidence'!$D$16:$AC$26,5,FALSE)/COUNTIFS($B:$B,$B504,$C:$C,$C504,$H:$H,$H504,$I:$I,$I504)</f>
        <v>0.1</v>
      </c>
      <c r="L504" s="40">
        <f>VLOOKUP(I504,'Weights and Confidence'!$D$16:$AC$26,6,FALSE)</f>
        <v>1</v>
      </c>
      <c r="M504" s="41">
        <f>tScores4[[#This Row],[Raw_Rating_Text]]</f>
        <v>1</v>
      </c>
      <c r="N504" s="38"/>
    </row>
    <row r="505" spans="1:15" x14ac:dyDescent="0.2">
      <c r="A505" s="34" t="s">
        <v>14</v>
      </c>
      <c r="B505" s="34" t="s">
        <v>0</v>
      </c>
      <c r="C505" s="34" t="s">
        <v>52</v>
      </c>
      <c r="D505" s="34" t="s">
        <v>5</v>
      </c>
      <c r="E505" s="34" t="s">
        <v>105</v>
      </c>
      <c r="F505" s="34" t="s">
        <v>127</v>
      </c>
      <c r="G505" s="34">
        <v>8</v>
      </c>
      <c r="H505" s="34" t="s">
        <v>18</v>
      </c>
      <c r="I505" s="34" t="s">
        <v>26</v>
      </c>
      <c r="J505" s="34">
        <v>0</v>
      </c>
      <c r="K505" s="35">
        <f>VLOOKUP(I505,'Weights and Confidence'!$D$16:$AC$26,5,FALSE)/COUNTIFS($B:$B,$B505,$C:$C,$C505,$H:$H,$H505,$I:$I,$I505)</f>
        <v>0.1</v>
      </c>
      <c r="L505" s="36">
        <f>VLOOKUP(I505,'Weights and Confidence'!$D$16:$AC$26,6,FALSE)</f>
        <v>1</v>
      </c>
      <c r="M505" s="37">
        <f>tScores4[[#This Row],[Raw_Rating_Text]]</f>
        <v>0</v>
      </c>
      <c r="N505" s="58" t="s">
        <v>131</v>
      </c>
    </row>
    <row r="506" spans="1:15" x14ac:dyDescent="0.2">
      <c r="A506" s="38" t="s">
        <v>14</v>
      </c>
      <c r="B506" s="38" t="s">
        <v>0</v>
      </c>
      <c r="C506" s="38" t="s">
        <v>52</v>
      </c>
      <c r="D506" s="38" t="s">
        <v>5</v>
      </c>
      <c r="E506" s="38" t="s">
        <v>105</v>
      </c>
      <c r="F506" s="38" t="s">
        <v>127</v>
      </c>
      <c r="G506" s="38">
        <v>9</v>
      </c>
      <c r="H506" s="38" t="s">
        <v>17</v>
      </c>
      <c r="I506" s="38" t="s">
        <v>27</v>
      </c>
      <c r="J506" s="38">
        <v>1</v>
      </c>
      <c r="K506" s="39">
        <f>VLOOKUP(I506,'Weights and Confidence'!$D$16:$AC$26,5,FALSE)/COUNTIFS($B:$B,$B506,$C:$C,$C506,$H:$H,$H506,$I:$I,$I506)</f>
        <v>0.05</v>
      </c>
      <c r="L506" s="40">
        <f>VLOOKUP(I506,'Weights and Confidence'!$D$16:$AC$26,6,FALSE)</f>
        <v>0.85</v>
      </c>
      <c r="M506" s="41">
        <f>tScores4[[#This Row],[Raw_Rating_Text]]</f>
        <v>1</v>
      </c>
      <c r="N506" s="38"/>
    </row>
    <row r="507" spans="1:15" x14ac:dyDescent="0.2">
      <c r="A507" s="34" t="s">
        <v>14</v>
      </c>
      <c r="B507" s="34" t="s">
        <v>0</v>
      </c>
      <c r="C507" s="34" t="s">
        <v>52</v>
      </c>
      <c r="D507" s="34" t="s">
        <v>5</v>
      </c>
      <c r="E507" s="34" t="s">
        <v>105</v>
      </c>
      <c r="F507" s="34" t="s">
        <v>127</v>
      </c>
      <c r="G507" s="34">
        <v>9</v>
      </c>
      <c r="H507" s="34" t="s">
        <v>18</v>
      </c>
      <c r="I507" s="34" t="s">
        <v>27</v>
      </c>
      <c r="J507" s="34">
        <v>1</v>
      </c>
      <c r="K507" s="35">
        <f>VLOOKUP(I507,'Weights and Confidence'!$D$16:$AC$26,5,FALSE)/COUNTIFS($B:$B,$B507,$C:$C,$C507,$H:$H,$H507,$I:$I,$I507)</f>
        <v>0.05</v>
      </c>
      <c r="L507" s="36">
        <f>VLOOKUP(I507,'Weights and Confidence'!$D$16:$AC$26,6,FALSE)</f>
        <v>0.85</v>
      </c>
      <c r="M507" s="37">
        <f>tScores4[[#This Row],[Raw_Rating_Text]]</f>
        <v>1</v>
      </c>
      <c r="N507" s="34"/>
    </row>
    <row r="508" spans="1:15" x14ac:dyDescent="0.2">
      <c r="A508" s="38" t="s">
        <v>14</v>
      </c>
      <c r="B508" s="38" t="s">
        <v>0</v>
      </c>
      <c r="C508" s="38" t="s">
        <v>52</v>
      </c>
      <c r="D508" s="38" t="s">
        <v>5</v>
      </c>
      <c r="E508" s="38" t="s">
        <v>105</v>
      </c>
      <c r="F508" s="38" t="s">
        <v>127</v>
      </c>
      <c r="G508" s="38">
        <v>10</v>
      </c>
      <c r="H508" s="38" t="s">
        <v>17</v>
      </c>
      <c r="I508" s="38" t="s">
        <v>27</v>
      </c>
      <c r="J508" s="38">
        <v>1</v>
      </c>
      <c r="K508" s="39">
        <f>VLOOKUP(I508,'Weights and Confidence'!$D$16:$AC$26,5,FALSE)/COUNTIFS($B:$B,$B508,$C:$C,$C508,$H:$H,$H508,$I:$I,$I508)</f>
        <v>0.05</v>
      </c>
      <c r="L508" s="40">
        <f>VLOOKUP(I508,'Weights and Confidence'!$D$16:$AC$26,6,FALSE)</f>
        <v>0.85</v>
      </c>
      <c r="M508" s="41">
        <f>tScores4[[#This Row],[Raw_Rating_Text]]</f>
        <v>1</v>
      </c>
      <c r="N508" s="38"/>
    </row>
    <row r="509" spans="1:15" x14ac:dyDescent="0.2">
      <c r="A509" s="34" t="s">
        <v>14</v>
      </c>
      <c r="B509" s="34" t="s">
        <v>0</v>
      </c>
      <c r="C509" s="34" t="s">
        <v>52</v>
      </c>
      <c r="D509" s="34" t="s">
        <v>5</v>
      </c>
      <c r="E509" s="34" t="s">
        <v>105</v>
      </c>
      <c r="F509" s="34" t="s">
        <v>127</v>
      </c>
      <c r="G509" s="34">
        <v>10</v>
      </c>
      <c r="H509" s="34" t="s">
        <v>18</v>
      </c>
      <c r="I509" s="34" t="s">
        <v>27</v>
      </c>
      <c r="J509" s="34">
        <v>1</v>
      </c>
      <c r="K509" s="35">
        <f>VLOOKUP(I509,'Weights and Confidence'!$D$16:$AC$26,5,FALSE)/COUNTIFS($B:$B,$B509,$C:$C,$C509,$H:$H,$H509,$I:$I,$I509)</f>
        <v>0.05</v>
      </c>
      <c r="L509" s="36">
        <f>VLOOKUP(I509,'Weights and Confidence'!$D$16:$AC$26,6,FALSE)</f>
        <v>0.85</v>
      </c>
      <c r="M509" s="37">
        <f>tScores4[[#This Row],[Raw_Rating_Text]]</f>
        <v>1</v>
      </c>
      <c r="N509" s="34"/>
    </row>
    <row r="510" spans="1:15" x14ac:dyDescent="0.2">
      <c r="A510" s="38" t="s">
        <v>14</v>
      </c>
      <c r="B510" s="38" t="s">
        <v>0</v>
      </c>
      <c r="C510" s="38" t="s">
        <v>52</v>
      </c>
      <c r="D510" s="38" t="s">
        <v>5</v>
      </c>
      <c r="E510" s="38" t="s">
        <v>105</v>
      </c>
      <c r="F510" s="38" t="s">
        <v>127</v>
      </c>
      <c r="G510" s="38">
        <v>11</v>
      </c>
      <c r="H510" s="38" t="s">
        <v>17</v>
      </c>
      <c r="I510" s="38" t="s">
        <v>28</v>
      </c>
      <c r="J510" s="38">
        <v>1</v>
      </c>
      <c r="K510" s="39">
        <f>VLOOKUP(I510,'Weights and Confidence'!$D$16:$AC$26,5,FALSE)/COUNTIFS($B:$B,$B510,$C:$C,$C510,$H:$H,$H510,$I:$I,$I510)</f>
        <v>0.05</v>
      </c>
      <c r="L510" s="40">
        <f>VLOOKUP(I510,'Weights and Confidence'!$D$16:$AC$26,6,FALSE)</f>
        <v>1</v>
      </c>
      <c r="M510" s="41">
        <f>tScores4[[#This Row],[Raw_Rating_Text]]</f>
        <v>1</v>
      </c>
      <c r="N510" s="38"/>
    </row>
    <row r="511" spans="1:15" ht="17" thickBot="1" x14ac:dyDescent="0.25">
      <c r="A511" s="34" t="s">
        <v>14</v>
      </c>
      <c r="B511" s="34" t="s">
        <v>0</v>
      </c>
      <c r="C511" s="34" t="s">
        <v>52</v>
      </c>
      <c r="D511" s="34" t="s">
        <v>5</v>
      </c>
      <c r="E511" s="34" t="s">
        <v>105</v>
      </c>
      <c r="F511" s="34" t="s">
        <v>127</v>
      </c>
      <c r="G511" s="34">
        <v>11</v>
      </c>
      <c r="H511" s="34" t="s">
        <v>18</v>
      </c>
      <c r="I511" s="34" t="s">
        <v>28</v>
      </c>
      <c r="J511" s="34">
        <v>-1</v>
      </c>
      <c r="K511" s="35">
        <f>VLOOKUP(I511,'Weights and Confidence'!$D$16:$AC$26,5,FALSE)/COUNTIFS($B:$B,$B511,$C:$C,$C511,$H:$H,$H511,$I:$I,$I511)</f>
        <v>0.05</v>
      </c>
      <c r="L511" s="36">
        <f>VLOOKUP(I511,'Weights and Confidence'!$D$16:$AC$26,6,FALSE)</f>
        <v>1</v>
      </c>
      <c r="M511" s="37">
        <f>tScores4[[#This Row],[Raw_Rating_Text]]</f>
        <v>-1</v>
      </c>
      <c r="N511" s="34" t="s">
        <v>128</v>
      </c>
    </row>
    <row r="512" spans="1:15" ht="17" thickTop="1" x14ac:dyDescent="0.2">
      <c r="A512" s="42" t="s">
        <v>14</v>
      </c>
      <c r="B512" s="42" t="s">
        <v>0</v>
      </c>
      <c r="C512" s="42" t="s">
        <v>54</v>
      </c>
      <c r="D512" s="42" t="s">
        <v>5</v>
      </c>
      <c r="E512" s="43" t="s">
        <v>105</v>
      </c>
      <c r="F512" s="49" t="s">
        <v>133</v>
      </c>
      <c r="G512" s="42">
        <v>1</v>
      </c>
      <c r="H512" s="42" t="s">
        <v>17</v>
      </c>
      <c r="I512" s="42" t="s">
        <v>19</v>
      </c>
      <c r="J512" s="42">
        <v>0</v>
      </c>
      <c r="K512" s="44">
        <f>VLOOKUP(I512,'Weights and Confidence'!$D$16:$AC$26,5,FALSE)/COUNTIFS($B:$B,$B512,$C:$C,$C512,$H:$H,$H512,$I:$I,$I512)</f>
        <v>0.12</v>
      </c>
      <c r="L512" s="45">
        <f>VLOOKUP(I512,'Weights and Confidence'!$D$16:$AC$26,6,FALSE)</f>
        <v>1</v>
      </c>
      <c r="M512" s="46">
        <f>tScores4[[#This Row],[Raw_Rating_Text]]</f>
        <v>0</v>
      </c>
      <c r="N512" s="42"/>
      <c r="O512" t="s">
        <v>105</v>
      </c>
    </row>
    <row r="513" spans="1:14" x14ac:dyDescent="0.2">
      <c r="A513" s="34" t="s">
        <v>14</v>
      </c>
      <c r="B513" s="34" t="s">
        <v>0</v>
      </c>
      <c r="C513" s="34" t="s">
        <v>54</v>
      </c>
      <c r="D513" s="34" t="s">
        <v>5</v>
      </c>
      <c r="E513" s="34" t="s">
        <v>105</v>
      </c>
      <c r="F513" s="34" t="s">
        <v>133</v>
      </c>
      <c r="G513" s="34">
        <v>1</v>
      </c>
      <c r="H513" s="34" t="s">
        <v>18</v>
      </c>
      <c r="I513" s="34" t="s">
        <v>19</v>
      </c>
      <c r="J513" s="34">
        <v>1</v>
      </c>
      <c r="K513" s="35">
        <f>VLOOKUP(I513,'Weights and Confidence'!$D$16:$AC$26,5,FALSE)/COUNTIFS($B:$B,$B513,$C:$C,$C513,$H:$H,$H513,$I:$I,$I513)</f>
        <v>0.12</v>
      </c>
      <c r="L513" s="36">
        <f>VLOOKUP(I513,'Weights and Confidence'!$D$16:$AC$26,6,FALSE)</f>
        <v>1</v>
      </c>
      <c r="M513" s="37">
        <f>tScores4[[#This Row],[Raw_Rating_Text]]</f>
        <v>1</v>
      </c>
      <c r="N513" s="58"/>
    </row>
    <row r="514" spans="1:14" x14ac:dyDescent="0.2">
      <c r="A514" s="38" t="s">
        <v>14</v>
      </c>
      <c r="B514" s="38" t="s">
        <v>0</v>
      </c>
      <c r="C514" s="38" t="s">
        <v>54</v>
      </c>
      <c r="D514" s="38" t="s">
        <v>5</v>
      </c>
      <c r="E514" s="38" t="s">
        <v>105</v>
      </c>
      <c r="F514" s="38" t="s">
        <v>133</v>
      </c>
      <c r="G514" s="38">
        <v>2</v>
      </c>
      <c r="H514" s="38" t="s">
        <v>17</v>
      </c>
      <c r="I514" s="38" t="s">
        <v>20</v>
      </c>
      <c r="J514" s="38">
        <v>0</v>
      </c>
      <c r="K514" s="39">
        <f>VLOOKUP(I514,'Weights and Confidence'!$D$16:$AC$26,5,FALSE)/COUNTIFS($B:$B,$B514,$C:$C,$C514,$H:$H,$H514,$I:$I,$I514)</f>
        <v>0.08</v>
      </c>
      <c r="L514" s="40">
        <f>VLOOKUP(I514,'Weights and Confidence'!$D$16:$AC$26,6,FALSE)</f>
        <v>0.8</v>
      </c>
      <c r="M514" s="41">
        <f>tScores4[[#This Row],[Raw_Rating_Text]]</f>
        <v>0</v>
      </c>
      <c r="N514" s="38"/>
    </row>
    <row r="515" spans="1:14" x14ac:dyDescent="0.2">
      <c r="A515" s="34" t="s">
        <v>14</v>
      </c>
      <c r="B515" s="34" t="s">
        <v>0</v>
      </c>
      <c r="C515" s="34" t="s">
        <v>54</v>
      </c>
      <c r="D515" s="34" t="s">
        <v>5</v>
      </c>
      <c r="E515" s="34" t="s">
        <v>105</v>
      </c>
      <c r="F515" s="34" t="s">
        <v>133</v>
      </c>
      <c r="G515" s="34">
        <v>2</v>
      </c>
      <c r="H515" s="34" t="s">
        <v>18</v>
      </c>
      <c r="I515" s="34" t="s">
        <v>20</v>
      </c>
      <c r="J515" s="34">
        <v>1</v>
      </c>
      <c r="K515" s="35">
        <f>VLOOKUP(I515,'Weights and Confidence'!$D$16:$AC$26,5,FALSE)/COUNTIFS($B:$B,$B515,$C:$C,$C515,$H:$H,$H515,$I:$I,$I515)</f>
        <v>0.08</v>
      </c>
      <c r="L515" s="36">
        <f>VLOOKUP(I515,'Weights and Confidence'!$D$16:$AC$26,6,FALSE)</f>
        <v>0.8</v>
      </c>
      <c r="M515" s="37">
        <f>tScores4[[#This Row],[Raw_Rating_Text]]</f>
        <v>1</v>
      </c>
      <c r="N515" s="58"/>
    </row>
    <row r="516" spans="1:14" x14ac:dyDescent="0.2">
      <c r="A516" s="38" t="s">
        <v>14</v>
      </c>
      <c r="B516" s="38" t="s">
        <v>0</v>
      </c>
      <c r="C516" s="38" t="s">
        <v>54</v>
      </c>
      <c r="D516" s="38" t="s">
        <v>5</v>
      </c>
      <c r="E516" s="38" t="s">
        <v>105</v>
      </c>
      <c r="F516" s="38" t="s">
        <v>133</v>
      </c>
      <c r="G516" s="38">
        <v>3</v>
      </c>
      <c r="H516" s="38" t="s">
        <v>17</v>
      </c>
      <c r="I516" s="38" t="s">
        <v>21</v>
      </c>
      <c r="J516" s="38">
        <v>1</v>
      </c>
      <c r="K516" s="39">
        <f>VLOOKUP(I516,'Weights and Confidence'!$D$16:$AC$26,5,FALSE)/COUNTIFS($B:$B,$B516,$C:$C,$C516,$H:$H,$H516,$I:$I,$I516)</f>
        <v>0.05</v>
      </c>
      <c r="L516" s="40">
        <f>VLOOKUP(I516,'Weights and Confidence'!$D$16:$AC$26,6,FALSE)</f>
        <v>1</v>
      </c>
      <c r="M516" s="41">
        <f>tScores4[[#This Row],[Raw_Rating_Text]]</f>
        <v>1</v>
      </c>
      <c r="N516" s="38"/>
    </row>
    <row r="517" spans="1:14" x14ac:dyDescent="0.2">
      <c r="A517" s="34" t="s">
        <v>14</v>
      </c>
      <c r="B517" s="34" t="s">
        <v>0</v>
      </c>
      <c r="C517" s="34" t="s">
        <v>54</v>
      </c>
      <c r="D517" s="34" t="s">
        <v>5</v>
      </c>
      <c r="E517" s="34" t="s">
        <v>105</v>
      </c>
      <c r="F517" s="34" t="s">
        <v>133</v>
      </c>
      <c r="G517" s="34">
        <v>3</v>
      </c>
      <c r="H517" s="34" t="s">
        <v>18</v>
      </c>
      <c r="I517" s="34" t="s">
        <v>21</v>
      </c>
      <c r="J517" s="34">
        <v>0</v>
      </c>
      <c r="K517" s="35">
        <f>VLOOKUP(I517,'Weights and Confidence'!$D$16:$AC$26,5,FALSE)/COUNTIFS($B:$B,$B517,$C:$C,$C517,$H:$H,$H517,$I:$I,$I517)</f>
        <v>0.05</v>
      </c>
      <c r="L517" s="36">
        <f>VLOOKUP(I517,'Weights and Confidence'!$D$16:$AC$26,6,FALSE)</f>
        <v>1</v>
      </c>
      <c r="M517" s="37">
        <f>tScores4[[#This Row],[Raw_Rating_Text]]</f>
        <v>0</v>
      </c>
      <c r="N517" s="58" t="s">
        <v>134</v>
      </c>
    </row>
    <row r="518" spans="1:14" x14ac:dyDescent="0.2">
      <c r="A518" s="38" t="s">
        <v>14</v>
      </c>
      <c r="B518" s="38" t="s">
        <v>0</v>
      </c>
      <c r="C518" s="38" t="s">
        <v>54</v>
      </c>
      <c r="D518" s="38" t="s">
        <v>5</v>
      </c>
      <c r="E518" s="38" t="s">
        <v>105</v>
      </c>
      <c r="F518" s="38" t="s">
        <v>133</v>
      </c>
      <c r="G518" s="38">
        <v>4</v>
      </c>
      <c r="H518" s="38" t="s">
        <v>17</v>
      </c>
      <c r="I518" s="38" t="s">
        <v>22</v>
      </c>
      <c r="J518" s="38">
        <v>-1</v>
      </c>
      <c r="K518" s="39">
        <f>VLOOKUP(I518,'Weights and Confidence'!$D$16:$AC$26,5,FALSE)/COUNTIFS($B:$B,$B518,$C:$C,$C518,$H:$H,$H518,$I:$I,$I518)</f>
        <v>0.14000000000000001</v>
      </c>
      <c r="L518" s="40">
        <f>VLOOKUP(I518,'Weights and Confidence'!$D$16:$AC$26,6,FALSE)</f>
        <v>1</v>
      </c>
      <c r="M518" s="41">
        <f>tScores4[[#This Row],[Raw_Rating_Text]]</f>
        <v>-1</v>
      </c>
      <c r="N518" s="38"/>
    </row>
    <row r="519" spans="1:14" x14ac:dyDescent="0.2">
      <c r="A519" s="34" t="s">
        <v>14</v>
      </c>
      <c r="B519" s="34" t="s">
        <v>0</v>
      </c>
      <c r="C519" s="34" t="s">
        <v>54</v>
      </c>
      <c r="D519" s="34" t="s">
        <v>5</v>
      </c>
      <c r="E519" s="34" t="s">
        <v>105</v>
      </c>
      <c r="F519" s="34" t="s">
        <v>133</v>
      </c>
      <c r="G519" s="34">
        <v>4</v>
      </c>
      <c r="H519" s="34" t="s">
        <v>18</v>
      </c>
      <c r="I519" s="34" t="s">
        <v>22</v>
      </c>
      <c r="J519" s="34">
        <v>1</v>
      </c>
      <c r="K519" s="35">
        <f>VLOOKUP(I519,'Weights and Confidence'!$D$16:$AC$26,5,FALSE)/COUNTIFS($B:$B,$B519,$C:$C,$C519,$H:$H,$H519,$I:$I,$I519)</f>
        <v>0.14000000000000001</v>
      </c>
      <c r="L519" s="36">
        <f>VLOOKUP(I519,'Weights and Confidence'!$D$16:$AC$26,6,FALSE)</f>
        <v>1</v>
      </c>
      <c r="M519" s="37">
        <f>tScores4[[#This Row],[Raw_Rating_Text]]</f>
        <v>1</v>
      </c>
      <c r="N519" s="58"/>
    </row>
    <row r="520" spans="1:14" x14ac:dyDescent="0.2">
      <c r="A520" s="38" t="s">
        <v>14</v>
      </c>
      <c r="B520" s="38" t="s">
        <v>0</v>
      </c>
      <c r="C520" s="38" t="s">
        <v>54</v>
      </c>
      <c r="D520" s="38" t="s">
        <v>5</v>
      </c>
      <c r="E520" s="38" t="s">
        <v>105</v>
      </c>
      <c r="F520" s="38" t="s">
        <v>133</v>
      </c>
      <c r="G520" s="38">
        <v>5</v>
      </c>
      <c r="H520" s="38" t="s">
        <v>17</v>
      </c>
      <c r="I520" s="38" t="s">
        <v>23</v>
      </c>
      <c r="J520" s="38">
        <v>-1</v>
      </c>
      <c r="K520" s="39">
        <f>VLOOKUP(I520,'Weights and Confidence'!$D$16:$AC$26,5,FALSE)/COUNTIFS($B:$B,$B520,$C:$C,$C520,$H:$H,$H520,$I:$I,$I520)</f>
        <v>0.11</v>
      </c>
      <c r="L520" s="40">
        <f>VLOOKUP(I520,'Weights and Confidence'!$D$16:$AC$26,6,FALSE)</f>
        <v>1</v>
      </c>
      <c r="M520" s="41">
        <f>tScores4[[#This Row],[Raw_Rating_Text]]</f>
        <v>-1</v>
      </c>
      <c r="N520" s="38"/>
    </row>
    <row r="521" spans="1:14" x14ac:dyDescent="0.2">
      <c r="A521" s="34" t="s">
        <v>14</v>
      </c>
      <c r="B521" s="34" t="s">
        <v>0</v>
      </c>
      <c r="C521" s="34" t="s">
        <v>54</v>
      </c>
      <c r="D521" s="34" t="s">
        <v>5</v>
      </c>
      <c r="E521" s="34" t="s">
        <v>105</v>
      </c>
      <c r="F521" s="34" t="s">
        <v>133</v>
      </c>
      <c r="G521" s="34">
        <v>5</v>
      </c>
      <c r="H521" s="34" t="s">
        <v>18</v>
      </c>
      <c r="I521" s="34" t="s">
        <v>23</v>
      </c>
      <c r="J521" s="34">
        <v>1</v>
      </c>
      <c r="K521" s="35">
        <f>VLOOKUP(I521,'Weights and Confidence'!$D$16:$AC$26,5,FALSE)/COUNTIFS($B:$B,$B521,$C:$C,$C521,$H:$H,$H521,$I:$I,$I521)</f>
        <v>0.11</v>
      </c>
      <c r="L521" s="36">
        <f>VLOOKUP(I521,'Weights and Confidence'!$D$16:$AC$26,6,FALSE)</f>
        <v>1</v>
      </c>
      <c r="M521" s="37">
        <f>tScores4[[#This Row],[Raw_Rating_Text]]</f>
        <v>1</v>
      </c>
      <c r="N521" s="34"/>
    </row>
    <row r="522" spans="1:14" x14ac:dyDescent="0.2">
      <c r="A522" s="38" t="s">
        <v>14</v>
      </c>
      <c r="B522" s="38" t="s">
        <v>0</v>
      </c>
      <c r="C522" s="38" t="s">
        <v>54</v>
      </c>
      <c r="D522" s="38" t="s">
        <v>5</v>
      </c>
      <c r="E522" s="38" t="s">
        <v>105</v>
      </c>
      <c r="F522" s="38" t="s">
        <v>133</v>
      </c>
      <c r="G522" s="38">
        <v>6</v>
      </c>
      <c r="H522" s="38" t="s">
        <v>17</v>
      </c>
      <c r="I522" s="38" t="s">
        <v>24</v>
      </c>
      <c r="J522" s="38">
        <v>0</v>
      </c>
      <c r="K522" s="39">
        <f>VLOOKUP(I522,'Weights and Confidence'!$D$16:$AC$26,5,FALSE)/COUNTIFS($B:$B,$B522,$C:$C,$C522,$H:$H,$H522,$I:$I,$I522)</f>
        <v>0.15</v>
      </c>
      <c r="L522" s="40">
        <f>VLOOKUP(I522,'Weights and Confidence'!$D$16:$AC$26,6,FALSE)</f>
        <v>1</v>
      </c>
      <c r="M522" s="41">
        <f>tScores4[[#This Row],[Raw_Rating_Text]]</f>
        <v>0</v>
      </c>
      <c r="N522" s="38"/>
    </row>
    <row r="523" spans="1:14" x14ac:dyDescent="0.2">
      <c r="A523" s="34" t="s">
        <v>14</v>
      </c>
      <c r="B523" s="34" t="s">
        <v>0</v>
      </c>
      <c r="C523" s="34" t="s">
        <v>54</v>
      </c>
      <c r="D523" s="34" t="s">
        <v>5</v>
      </c>
      <c r="E523" s="34" t="s">
        <v>105</v>
      </c>
      <c r="F523" s="34" t="s">
        <v>133</v>
      </c>
      <c r="G523" s="34">
        <v>6</v>
      </c>
      <c r="H523" s="34" t="s">
        <v>18</v>
      </c>
      <c r="I523" s="34" t="s">
        <v>24</v>
      </c>
      <c r="J523" s="34">
        <v>1</v>
      </c>
      <c r="K523" s="35">
        <f>VLOOKUP(I523,'Weights and Confidence'!$D$16:$AC$26,5,FALSE)/COUNTIFS($B:$B,$B523,$C:$C,$C523,$H:$H,$H523,$I:$I,$I523)</f>
        <v>0.15</v>
      </c>
      <c r="L523" s="36">
        <f>VLOOKUP(I523,'Weights and Confidence'!$D$16:$AC$26,6,FALSE)</f>
        <v>1</v>
      </c>
      <c r="M523" s="37">
        <f>tScores4[[#This Row],[Raw_Rating_Text]]</f>
        <v>1</v>
      </c>
      <c r="N523" s="58"/>
    </row>
    <row r="524" spans="1:14" x14ac:dyDescent="0.2">
      <c r="A524" s="38" t="s">
        <v>14</v>
      </c>
      <c r="B524" s="38" t="s">
        <v>0</v>
      </c>
      <c r="C524" s="38" t="s">
        <v>54</v>
      </c>
      <c r="D524" s="38" t="s">
        <v>5</v>
      </c>
      <c r="E524" s="38" t="s">
        <v>105</v>
      </c>
      <c r="F524" s="38" t="s">
        <v>133</v>
      </c>
      <c r="G524" s="38">
        <v>7</v>
      </c>
      <c r="H524" s="38" t="s">
        <v>17</v>
      </c>
      <c r="I524" s="38" t="s">
        <v>25</v>
      </c>
      <c r="J524" s="38">
        <v>0</v>
      </c>
      <c r="K524" s="39">
        <f>VLOOKUP(I524,'Weights and Confidence'!$D$16:$AC$26,5,FALSE)/COUNTIFS($B:$B,$B524,$C:$C,$C524,$H:$H,$H524,$I:$I,$I524)</f>
        <v>0.1</v>
      </c>
      <c r="L524" s="40">
        <f>VLOOKUP(I524,'Weights and Confidence'!$D$16:$AC$26,6,FALSE)</f>
        <v>1</v>
      </c>
      <c r="M524" s="41">
        <f>tScores4[[#This Row],[Raw_Rating_Text]]</f>
        <v>0</v>
      </c>
      <c r="N524" s="38"/>
    </row>
    <row r="525" spans="1:14" x14ac:dyDescent="0.2">
      <c r="A525" s="34" t="s">
        <v>14</v>
      </c>
      <c r="B525" s="34" t="s">
        <v>0</v>
      </c>
      <c r="C525" s="34" t="s">
        <v>54</v>
      </c>
      <c r="D525" s="34" t="s">
        <v>5</v>
      </c>
      <c r="E525" s="34" t="s">
        <v>105</v>
      </c>
      <c r="F525" s="34" t="s">
        <v>133</v>
      </c>
      <c r="G525" s="34">
        <v>7</v>
      </c>
      <c r="H525" s="34" t="s">
        <v>18</v>
      </c>
      <c r="I525" s="34" t="s">
        <v>25</v>
      </c>
      <c r="J525" s="34">
        <v>1</v>
      </c>
      <c r="K525" s="35">
        <f>VLOOKUP(I525,'Weights and Confidence'!$D$16:$AC$26,5,FALSE)/COUNTIFS($B:$B,$B525,$C:$C,$C525,$H:$H,$H525,$I:$I,$I525)</f>
        <v>0.1</v>
      </c>
      <c r="L525" s="36">
        <f>VLOOKUP(I525,'Weights and Confidence'!$D$16:$AC$26,6,FALSE)</f>
        <v>1</v>
      </c>
      <c r="M525" s="37">
        <f>tScores4[[#This Row],[Raw_Rating_Text]]</f>
        <v>1</v>
      </c>
      <c r="N525" s="58"/>
    </row>
    <row r="526" spans="1:14" x14ac:dyDescent="0.2">
      <c r="A526" s="38" t="s">
        <v>14</v>
      </c>
      <c r="B526" s="38" t="s">
        <v>0</v>
      </c>
      <c r="C526" s="38" t="s">
        <v>54</v>
      </c>
      <c r="D526" s="38" t="s">
        <v>5</v>
      </c>
      <c r="E526" s="38" t="s">
        <v>105</v>
      </c>
      <c r="F526" s="38" t="s">
        <v>133</v>
      </c>
      <c r="G526" s="38">
        <v>8</v>
      </c>
      <c r="H526" s="38" t="s">
        <v>17</v>
      </c>
      <c r="I526" s="38" t="s">
        <v>26</v>
      </c>
      <c r="J526" s="38">
        <v>1</v>
      </c>
      <c r="K526" s="39">
        <f>VLOOKUP(I526,'Weights and Confidence'!$D$16:$AC$26,5,FALSE)/COUNTIFS($B:$B,$B526,$C:$C,$C526,$H:$H,$H526,$I:$I,$I526)</f>
        <v>0.1</v>
      </c>
      <c r="L526" s="40">
        <f>VLOOKUP(I526,'Weights and Confidence'!$D$16:$AC$26,6,FALSE)</f>
        <v>1</v>
      </c>
      <c r="M526" s="41">
        <f>tScores4[[#This Row],[Raw_Rating_Text]]</f>
        <v>1</v>
      </c>
      <c r="N526" s="38"/>
    </row>
    <row r="527" spans="1:14" x14ac:dyDescent="0.2">
      <c r="A527" s="34" t="s">
        <v>14</v>
      </c>
      <c r="B527" s="34" t="s">
        <v>0</v>
      </c>
      <c r="C527" s="34" t="s">
        <v>54</v>
      </c>
      <c r="D527" s="34" t="s">
        <v>5</v>
      </c>
      <c r="E527" s="34" t="s">
        <v>105</v>
      </c>
      <c r="F527" s="34" t="s">
        <v>133</v>
      </c>
      <c r="G527" s="34">
        <v>8</v>
      </c>
      <c r="H527" s="34" t="s">
        <v>18</v>
      </c>
      <c r="I527" s="34" t="s">
        <v>26</v>
      </c>
      <c r="J527" s="34">
        <v>1</v>
      </c>
      <c r="K527" s="35">
        <f>VLOOKUP(I527,'Weights and Confidence'!$D$16:$AC$26,5,FALSE)/COUNTIFS($B:$B,$B527,$C:$C,$C527,$H:$H,$H527,$I:$I,$I527)</f>
        <v>0.1</v>
      </c>
      <c r="L527" s="36">
        <f>VLOOKUP(I527,'Weights and Confidence'!$D$16:$AC$26,6,FALSE)</f>
        <v>1</v>
      </c>
      <c r="M527" s="37">
        <f>tScores4[[#This Row],[Raw_Rating_Text]]</f>
        <v>1</v>
      </c>
      <c r="N527" s="58"/>
    </row>
    <row r="528" spans="1:14" x14ac:dyDescent="0.2">
      <c r="A528" s="38" t="s">
        <v>14</v>
      </c>
      <c r="B528" s="38" t="s">
        <v>0</v>
      </c>
      <c r="C528" s="38" t="s">
        <v>54</v>
      </c>
      <c r="D528" s="38" t="s">
        <v>5</v>
      </c>
      <c r="E528" s="38" t="s">
        <v>105</v>
      </c>
      <c r="F528" s="38" t="s">
        <v>133</v>
      </c>
      <c r="G528" s="38">
        <v>9</v>
      </c>
      <c r="H528" s="38" t="s">
        <v>17</v>
      </c>
      <c r="I528" s="38" t="s">
        <v>27</v>
      </c>
      <c r="J528" s="38">
        <v>0</v>
      </c>
      <c r="K528" s="39">
        <f>VLOOKUP(I528,'Weights and Confidence'!$D$16:$AC$26,5,FALSE)/COUNTIFS($B:$B,$B528,$C:$C,$C528,$H:$H,$H528,$I:$I,$I528)</f>
        <v>0.05</v>
      </c>
      <c r="L528" s="40">
        <f>VLOOKUP(I528,'Weights and Confidence'!$D$16:$AC$26,6,FALSE)</f>
        <v>0.85</v>
      </c>
      <c r="M528" s="41">
        <f>tScores4[[#This Row],[Raw_Rating_Text]]</f>
        <v>0</v>
      </c>
      <c r="N528" s="38"/>
    </row>
    <row r="529" spans="1:14" x14ac:dyDescent="0.2">
      <c r="A529" s="34" t="s">
        <v>14</v>
      </c>
      <c r="B529" s="34" t="s">
        <v>0</v>
      </c>
      <c r="C529" s="34" t="s">
        <v>54</v>
      </c>
      <c r="D529" s="34" t="s">
        <v>5</v>
      </c>
      <c r="E529" s="34" t="s">
        <v>105</v>
      </c>
      <c r="F529" s="34" t="s">
        <v>133</v>
      </c>
      <c r="G529" s="34">
        <v>9</v>
      </c>
      <c r="H529" s="34" t="s">
        <v>18</v>
      </c>
      <c r="I529" s="34" t="s">
        <v>27</v>
      </c>
      <c r="J529" s="34">
        <v>1</v>
      </c>
      <c r="K529" s="35">
        <f>VLOOKUP(I529,'Weights and Confidence'!$D$16:$AC$26,5,FALSE)/COUNTIFS($B:$B,$B529,$C:$C,$C529,$H:$H,$H529,$I:$I,$I529)</f>
        <v>0.05</v>
      </c>
      <c r="L529" s="36">
        <f>VLOOKUP(I529,'Weights and Confidence'!$D$16:$AC$26,6,FALSE)</f>
        <v>0.85</v>
      </c>
      <c r="M529" s="37">
        <f>tScores4[[#This Row],[Raw_Rating_Text]]</f>
        <v>1</v>
      </c>
      <c r="N529" s="34"/>
    </row>
    <row r="530" spans="1:14" x14ac:dyDescent="0.2">
      <c r="A530" s="38" t="s">
        <v>14</v>
      </c>
      <c r="B530" s="38" t="s">
        <v>0</v>
      </c>
      <c r="C530" s="38" t="s">
        <v>54</v>
      </c>
      <c r="D530" s="38" t="s">
        <v>5</v>
      </c>
      <c r="E530" s="38" t="s">
        <v>105</v>
      </c>
      <c r="F530" s="38" t="s">
        <v>133</v>
      </c>
      <c r="G530" s="38">
        <v>10</v>
      </c>
      <c r="H530" s="38" t="s">
        <v>17</v>
      </c>
      <c r="I530" s="38" t="s">
        <v>27</v>
      </c>
      <c r="J530" s="38">
        <v>0</v>
      </c>
      <c r="K530" s="39">
        <f>VLOOKUP(I530,'Weights and Confidence'!$D$16:$AC$26,5,FALSE)/COUNTIFS($B:$B,$B530,$C:$C,$C530,$H:$H,$H530,$I:$I,$I530)</f>
        <v>0.05</v>
      </c>
      <c r="L530" s="40">
        <f>VLOOKUP(I530,'Weights and Confidence'!$D$16:$AC$26,6,FALSE)</f>
        <v>0.85</v>
      </c>
      <c r="M530" s="41">
        <f>tScores4[[#This Row],[Raw_Rating_Text]]</f>
        <v>0</v>
      </c>
      <c r="N530" s="38"/>
    </row>
    <row r="531" spans="1:14" x14ac:dyDescent="0.2">
      <c r="A531" s="34" t="s">
        <v>14</v>
      </c>
      <c r="B531" s="34" t="s">
        <v>0</v>
      </c>
      <c r="C531" s="34" t="s">
        <v>54</v>
      </c>
      <c r="D531" s="34" t="s">
        <v>5</v>
      </c>
      <c r="E531" s="34" t="s">
        <v>105</v>
      </c>
      <c r="F531" s="34" t="s">
        <v>133</v>
      </c>
      <c r="G531" s="34">
        <v>10</v>
      </c>
      <c r="H531" s="34" t="s">
        <v>18</v>
      </c>
      <c r="I531" s="34" t="s">
        <v>27</v>
      </c>
      <c r="J531" s="34">
        <v>1</v>
      </c>
      <c r="K531" s="35">
        <f>VLOOKUP(I531,'Weights and Confidence'!$D$16:$AC$26,5,FALSE)/COUNTIFS($B:$B,$B531,$C:$C,$C531,$H:$H,$H531,$I:$I,$I531)</f>
        <v>0.05</v>
      </c>
      <c r="L531" s="36">
        <f>VLOOKUP(I531,'Weights and Confidence'!$D$16:$AC$26,6,FALSE)</f>
        <v>0.85</v>
      </c>
      <c r="M531" s="37">
        <f>tScores4[[#This Row],[Raw_Rating_Text]]</f>
        <v>1</v>
      </c>
      <c r="N531" s="34"/>
    </row>
    <row r="532" spans="1:14" x14ac:dyDescent="0.2">
      <c r="A532" s="38" t="s">
        <v>14</v>
      </c>
      <c r="B532" s="38" t="s">
        <v>0</v>
      </c>
      <c r="C532" s="38" t="s">
        <v>54</v>
      </c>
      <c r="D532" s="38" t="s">
        <v>5</v>
      </c>
      <c r="E532" s="38" t="s">
        <v>105</v>
      </c>
      <c r="F532" s="38" t="s">
        <v>133</v>
      </c>
      <c r="G532" s="38">
        <v>11</v>
      </c>
      <c r="H532" s="38" t="s">
        <v>17</v>
      </c>
      <c r="I532" s="38" t="s">
        <v>28</v>
      </c>
      <c r="J532" s="38">
        <v>-1</v>
      </c>
      <c r="K532" s="39">
        <f>VLOOKUP(I532,'Weights and Confidence'!$D$16:$AC$26,5,FALSE)/COUNTIFS($B:$B,$B532,$C:$C,$C532,$H:$H,$H532,$I:$I,$I532)</f>
        <v>0.05</v>
      </c>
      <c r="L532" s="40">
        <f>VLOOKUP(I532,'Weights and Confidence'!$D$16:$AC$26,6,FALSE)</f>
        <v>1</v>
      </c>
      <c r="M532" s="41">
        <f>tScores4[[#This Row],[Raw_Rating_Text]]</f>
        <v>-1</v>
      </c>
      <c r="N532" s="38"/>
    </row>
    <row r="533" spans="1:14" ht="17" thickBot="1" x14ac:dyDescent="0.25">
      <c r="A533" s="34" t="s">
        <v>14</v>
      </c>
      <c r="B533" s="34" t="s">
        <v>0</v>
      </c>
      <c r="C533" s="34" t="s">
        <v>54</v>
      </c>
      <c r="D533" s="34" t="s">
        <v>5</v>
      </c>
      <c r="E533" s="34" t="s">
        <v>105</v>
      </c>
      <c r="F533" s="34" t="s">
        <v>133</v>
      </c>
      <c r="G533" s="34">
        <v>11</v>
      </c>
      <c r="H533" s="34" t="s">
        <v>18</v>
      </c>
      <c r="I533" s="34" t="s">
        <v>28</v>
      </c>
      <c r="J533" s="34">
        <v>1</v>
      </c>
      <c r="K533" s="35">
        <f>VLOOKUP(I533,'Weights and Confidence'!$D$16:$AC$26,5,FALSE)/COUNTIFS($B:$B,$B533,$C:$C,$C533,$H:$H,$H533,$I:$I,$I533)</f>
        <v>0.05</v>
      </c>
      <c r="L533" s="36">
        <f>VLOOKUP(I533,'Weights and Confidence'!$D$16:$AC$26,6,FALSE)</f>
        <v>1</v>
      </c>
      <c r="M533" s="37">
        <f>tScores4[[#This Row],[Raw_Rating_Text]]</f>
        <v>1</v>
      </c>
      <c r="N533" s="34" t="s">
        <v>125</v>
      </c>
    </row>
    <row r="534" spans="1:14" ht="17" thickTop="1" x14ac:dyDescent="0.2">
      <c r="A534" s="42" t="s">
        <v>14</v>
      </c>
      <c r="B534" s="42" t="s">
        <v>0</v>
      </c>
      <c r="C534" s="42" t="s">
        <v>55</v>
      </c>
      <c r="D534" s="42" t="s">
        <v>5</v>
      </c>
      <c r="E534" s="43" t="s">
        <v>107</v>
      </c>
      <c r="F534" s="49" t="s">
        <v>135</v>
      </c>
      <c r="G534" s="42">
        <v>1</v>
      </c>
      <c r="H534" s="42" t="s">
        <v>17</v>
      </c>
      <c r="I534" s="42" t="s">
        <v>19</v>
      </c>
      <c r="J534" s="42">
        <v>1</v>
      </c>
      <c r="K534" s="44">
        <f>VLOOKUP(I534,'Weights and Confidence'!$D$16:$AC$26,5,FALSE)/COUNTIFS($B:$B,$B534,$C:$C,$C534,$H:$H,$H534,$I:$I,$I534)</f>
        <v>0.12</v>
      </c>
      <c r="L534" s="45">
        <f>VLOOKUP(I534,'Weights and Confidence'!$D$16:$AC$26,6,FALSE)</f>
        <v>1</v>
      </c>
      <c r="M534" s="46">
        <f>tScores4[[#This Row],[Raw_Rating_Text]]</f>
        <v>1</v>
      </c>
      <c r="N534" s="42"/>
    </row>
    <row r="535" spans="1:14" x14ac:dyDescent="0.2">
      <c r="A535" s="34" t="s">
        <v>14</v>
      </c>
      <c r="B535" s="34" t="s">
        <v>0</v>
      </c>
      <c r="C535" s="34" t="s">
        <v>55</v>
      </c>
      <c r="D535" s="34" t="s">
        <v>5</v>
      </c>
      <c r="E535" s="34" t="s">
        <v>107</v>
      </c>
      <c r="F535" s="34" t="s">
        <v>135</v>
      </c>
      <c r="G535" s="34">
        <v>1</v>
      </c>
      <c r="H535" s="34" t="s">
        <v>18</v>
      </c>
      <c r="I535" s="34" t="s">
        <v>19</v>
      </c>
      <c r="J535" s="34">
        <v>1</v>
      </c>
      <c r="K535" s="35">
        <f>VLOOKUP(I535,'Weights and Confidence'!$D$16:$AC$26,5,FALSE)/COUNTIFS($B:$B,$B535,$C:$C,$C535,$H:$H,$H535,$I:$I,$I535)</f>
        <v>0.12</v>
      </c>
      <c r="L535" s="36">
        <f>VLOOKUP(I535,'Weights and Confidence'!$D$16:$AC$26,6,FALSE)</f>
        <v>1</v>
      </c>
      <c r="M535" s="37">
        <f>tScores4[[#This Row],[Raw_Rating_Text]]</f>
        <v>1</v>
      </c>
      <c r="N535" s="58"/>
    </row>
    <row r="536" spans="1:14" x14ac:dyDescent="0.2">
      <c r="A536" s="38" t="s">
        <v>14</v>
      </c>
      <c r="B536" s="38" t="s">
        <v>0</v>
      </c>
      <c r="C536" s="38" t="s">
        <v>55</v>
      </c>
      <c r="D536" s="38" t="s">
        <v>5</v>
      </c>
      <c r="E536" s="38" t="s">
        <v>107</v>
      </c>
      <c r="F536" s="38" t="s">
        <v>135</v>
      </c>
      <c r="G536" s="38">
        <v>2</v>
      </c>
      <c r="H536" s="38" t="s">
        <v>17</v>
      </c>
      <c r="I536" s="38" t="s">
        <v>20</v>
      </c>
      <c r="J536" s="38">
        <v>1</v>
      </c>
      <c r="K536" s="39">
        <f>VLOOKUP(I536,'Weights and Confidence'!$D$16:$AC$26,5,FALSE)/COUNTIFS($B:$B,$B536,$C:$C,$C536,$H:$H,$H536,$I:$I,$I536)</f>
        <v>0.08</v>
      </c>
      <c r="L536" s="40">
        <f>VLOOKUP(I536,'Weights and Confidence'!$D$16:$AC$26,6,FALSE)</f>
        <v>0.8</v>
      </c>
      <c r="M536" s="41">
        <f>tScores4[[#This Row],[Raw_Rating_Text]]</f>
        <v>1</v>
      </c>
      <c r="N536" s="38"/>
    </row>
    <row r="537" spans="1:14" x14ac:dyDescent="0.2">
      <c r="A537" s="34" t="s">
        <v>14</v>
      </c>
      <c r="B537" s="34" t="s">
        <v>0</v>
      </c>
      <c r="C537" s="34" t="s">
        <v>55</v>
      </c>
      <c r="D537" s="34" t="s">
        <v>5</v>
      </c>
      <c r="E537" s="34" t="s">
        <v>107</v>
      </c>
      <c r="F537" s="34" t="s">
        <v>135</v>
      </c>
      <c r="G537" s="34">
        <v>2</v>
      </c>
      <c r="H537" s="34" t="s">
        <v>18</v>
      </c>
      <c r="I537" s="34" t="s">
        <v>20</v>
      </c>
      <c r="J537" s="34">
        <v>1</v>
      </c>
      <c r="K537" s="35">
        <f>VLOOKUP(I537,'Weights and Confidence'!$D$16:$AC$26,5,FALSE)/COUNTIFS($B:$B,$B537,$C:$C,$C537,$H:$H,$H537,$I:$I,$I537)</f>
        <v>0.08</v>
      </c>
      <c r="L537" s="36">
        <f>VLOOKUP(I537,'Weights and Confidence'!$D$16:$AC$26,6,FALSE)</f>
        <v>0.8</v>
      </c>
      <c r="M537" s="37">
        <f>tScores4[[#This Row],[Raw_Rating_Text]]</f>
        <v>1</v>
      </c>
      <c r="N537" s="58"/>
    </row>
    <row r="538" spans="1:14" x14ac:dyDescent="0.2">
      <c r="A538" s="38" t="s">
        <v>14</v>
      </c>
      <c r="B538" s="38" t="s">
        <v>0</v>
      </c>
      <c r="C538" s="38" t="s">
        <v>55</v>
      </c>
      <c r="D538" s="38" t="s">
        <v>5</v>
      </c>
      <c r="E538" s="38" t="s">
        <v>107</v>
      </c>
      <c r="F538" s="38" t="s">
        <v>135</v>
      </c>
      <c r="G538" s="38">
        <v>3</v>
      </c>
      <c r="H538" s="38" t="s">
        <v>17</v>
      </c>
      <c r="I538" s="38" t="s">
        <v>21</v>
      </c>
      <c r="J538" s="38">
        <v>1</v>
      </c>
      <c r="K538" s="39">
        <f>VLOOKUP(I538,'Weights and Confidence'!$D$16:$AC$26,5,FALSE)/COUNTIFS($B:$B,$B538,$C:$C,$C538,$H:$H,$H538,$I:$I,$I538)</f>
        <v>0.05</v>
      </c>
      <c r="L538" s="40">
        <f>VLOOKUP(I538,'Weights and Confidence'!$D$16:$AC$26,6,FALSE)</f>
        <v>1</v>
      </c>
      <c r="M538" s="41">
        <f>tScores4[[#This Row],[Raw_Rating_Text]]</f>
        <v>1</v>
      </c>
      <c r="N538" s="38"/>
    </row>
    <row r="539" spans="1:14" x14ac:dyDescent="0.2">
      <c r="A539" s="34" t="s">
        <v>14</v>
      </c>
      <c r="B539" s="34" t="s">
        <v>0</v>
      </c>
      <c r="C539" s="34" t="s">
        <v>55</v>
      </c>
      <c r="D539" s="34" t="s">
        <v>5</v>
      </c>
      <c r="E539" s="34" t="s">
        <v>107</v>
      </c>
      <c r="F539" s="34" t="s">
        <v>135</v>
      </c>
      <c r="G539" s="34">
        <v>3</v>
      </c>
      <c r="H539" s="34" t="s">
        <v>18</v>
      </c>
      <c r="I539" s="34" t="s">
        <v>21</v>
      </c>
      <c r="J539" s="34">
        <v>1</v>
      </c>
      <c r="K539" s="35">
        <f>VLOOKUP(I539,'Weights and Confidence'!$D$16:$AC$26,5,FALSE)/COUNTIFS($B:$B,$B539,$C:$C,$C539,$H:$H,$H539,$I:$I,$I539)</f>
        <v>0.05</v>
      </c>
      <c r="L539" s="36">
        <f>VLOOKUP(I539,'Weights and Confidence'!$D$16:$AC$26,6,FALSE)</f>
        <v>1</v>
      </c>
      <c r="M539" s="37">
        <f>tScores4[[#This Row],[Raw_Rating_Text]]</f>
        <v>1</v>
      </c>
      <c r="N539" s="58"/>
    </row>
    <row r="540" spans="1:14" x14ac:dyDescent="0.2">
      <c r="A540" s="38" t="s">
        <v>14</v>
      </c>
      <c r="B540" s="38" t="s">
        <v>0</v>
      </c>
      <c r="C540" s="38" t="s">
        <v>55</v>
      </c>
      <c r="D540" s="38" t="s">
        <v>5</v>
      </c>
      <c r="E540" s="38" t="s">
        <v>107</v>
      </c>
      <c r="F540" s="38" t="s">
        <v>135</v>
      </c>
      <c r="G540" s="38">
        <v>4</v>
      </c>
      <c r="H540" s="38" t="s">
        <v>17</v>
      </c>
      <c r="I540" s="38" t="s">
        <v>22</v>
      </c>
      <c r="J540" s="38">
        <v>1</v>
      </c>
      <c r="K540" s="39">
        <f>VLOOKUP(I540,'Weights and Confidence'!$D$16:$AC$26,5,FALSE)/COUNTIFS($B:$B,$B540,$C:$C,$C540,$H:$H,$H540,$I:$I,$I540)</f>
        <v>0.14000000000000001</v>
      </c>
      <c r="L540" s="40">
        <f>VLOOKUP(I540,'Weights and Confidence'!$D$16:$AC$26,6,FALSE)</f>
        <v>1</v>
      </c>
      <c r="M540" s="41">
        <f>tScores4[[#This Row],[Raw_Rating_Text]]</f>
        <v>1</v>
      </c>
      <c r="N540" s="38"/>
    </row>
    <row r="541" spans="1:14" x14ac:dyDescent="0.2">
      <c r="A541" s="34" t="s">
        <v>14</v>
      </c>
      <c r="B541" s="34" t="s">
        <v>0</v>
      </c>
      <c r="C541" s="34" t="s">
        <v>55</v>
      </c>
      <c r="D541" s="34" t="s">
        <v>5</v>
      </c>
      <c r="E541" s="34" t="s">
        <v>107</v>
      </c>
      <c r="F541" s="34" t="s">
        <v>135</v>
      </c>
      <c r="G541" s="34">
        <v>4</v>
      </c>
      <c r="H541" s="34" t="s">
        <v>18</v>
      </c>
      <c r="I541" s="34" t="s">
        <v>22</v>
      </c>
      <c r="J541" s="34">
        <v>1</v>
      </c>
      <c r="K541" s="35">
        <f>VLOOKUP(I541,'Weights and Confidence'!$D$16:$AC$26,5,FALSE)/COUNTIFS($B:$B,$B541,$C:$C,$C541,$H:$H,$H541,$I:$I,$I541)</f>
        <v>0.14000000000000001</v>
      </c>
      <c r="L541" s="36">
        <f>VLOOKUP(I541,'Weights and Confidence'!$D$16:$AC$26,6,FALSE)</f>
        <v>1</v>
      </c>
      <c r="M541" s="37">
        <f>tScores4[[#This Row],[Raw_Rating_Text]]</f>
        <v>1</v>
      </c>
      <c r="N541" s="58"/>
    </row>
    <row r="542" spans="1:14" x14ac:dyDescent="0.2">
      <c r="A542" s="38" t="s">
        <v>14</v>
      </c>
      <c r="B542" s="38" t="s">
        <v>0</v>
      </c>
      <c r="C542" s="38" t="s">
        <v>55</v>
      </c>
      <c r="D542" s="38" t="s">
        <v>5</v>
      </c>
      <c r="E542" s="38" t="s">
        <v>107</v>
      </c>
      <c r="F542" s="38" t="s">
        <v>135</v>
      </c>
      <c r="G542" s="38">
        <v>5</v>
      </c>
      <c r="H542" s="38" t="s">
        <v>17</v>
      </c>
      <c r="I542" s="38" t="s">
        <v>23</v>
      </c>
      <c r="J542" s="38">
        <v>1</v>
      </c>
      <c r="K542" s="39">
        <f>VLOOKUP(I542,'Weights and Confidence'!$D$16:$AC$26,5,FALSE)/COUNTIFS($B:$B,$B542,$C:$C,$C542,$H:$H,$H542,$I:$I,$I542)</f>
        <v>0.11</v>
      </c>
      <c r="L542" s="40">
        <f>VLOOKUP(I542,'Weights and Confidence'!$D$16:$AC$26,6,FALSE)</f>
        <v>1</v>
      </c>
      <c r="M542" s="41">
        <f>tScores4[[#This Row],[Raw_Rating_Text]]</f>
        <v>1</v>
      </c>
      <c r="N542" s="38"/>
    </row>
    <row r="543" spans="1:14" x14ac:dyDescent="0.2">
      <c r="A543" s="34" t="s">
        <v>14</v>
      </c>
      <c r="B543" s="34" t="s">
        <v>0</v>
      </c>
      <c r="C543" s="34" t="s">
        <v>55</v>
      </c>
      <c r="D543" s="34" t="s">
        <v>5</v>
      </c>
      <c r="E543" s="34" t="s">
        <v>107</v>
      </c>
      <c r="F543" s="34" t="s">
        <v>135</v>
      </c>
      <c r="G543" s="34">
        <v>5</v>
      </c>
      <c r="H543" s="34" t="s">
        <v>18</v>
      </c>
      <c r="I543" s="34" t="s">
        <v>23</v>
      </c>
      <c r="J543" s="34">
        <v>1</v>
      </c>
      <c r="K543" s="35">
        <f>VLOOKUP(I543,'Weights and Confidence'!$D$16:$AC$26,5,FALSE)/COUNTIFS($B:$B,$B543,$C:$C,$C543,$H:$H,$H543,$I:$I,$I543)</f>
        <v>0.11</v>
      </c>
      <c r="L543" s="36">
        <f>VLOOKUP(I543,'Weights and Confidence'!$D$16:$AC$26,6,FALSE)</f>
        <v>1</v>
      </c>
      <c r="M543" s="37">
        <f>tScores4[[#This Row],[Raw_Rating_Text]]</f>
        <v>1</v>
      </c>
      <c r="N543" s="58" t="s">
        <v>136</v>
      </c>
    </row>
    <row r="544" spans="1:14" x14ac:dyDescent="0.2">
      <c r="A544" s="38" t="s">
        <v>14</v>
      </c>
      <c r="B544" s="38" t="s">
        <v>0</v>
      </c>
      <c r="C544" s="38" t="s">
        <v>55</v>
      </c>
      <c r="D544" s="38" t="s">
        <v>5</v>
      </c>
      <c r="E544" s="38" t="s">
        <v>107</v>
      </c>
      <c r="F544" s="38" t="s">
        <v>135</v>
      </c>
      <c r="G544" s="38">
        <v>6</v>
      </c>
      <c r="H544" s="38" t="s">
        <v>17</v>
      </c>
      <c r="I544" s="38" t="s">
        <v>24</v>
      </c>
      <c r="J544" s="38">
        <v>1</v>
      </c>
      <c r="K544" s="39">
        <f>VLOOKUP(I544,'Weights and Confidence'!$D$16:$AC$26,5,FALSE)/COUNTIFS($B:$B,$B544,$C:$C,$C544,$H:$H,$H544,$I:$I,$I544)</f>
        <v>0.15</v>
      </c>
      <c r="L544" s="40">
        <f>VLOOKUP(I544,'Weights and Confidence'!$D$16:$AC$26,6,FALSE)</f>
        <v>1</v>
      </c>
      <c r="M544" s="41">
        <f>tScores4[[#This Row],[Raw_Rating_Text]]</f>
        <v>1</v>
      </c>
      <c r="N544" s="59"/>
    </row>
    <row r="545" spans="1:14" x14ac:dyDescent="0.2">
      <c r="A545" s="34" t="s">
        <v>14</v>
      </c>
      <c r="B545" s="34" t="s">
        <v>0</v>
      </c>
      <c r="C545" s="34" t="s">
        <v>55</v>
      </c>
      <c r="D545" s="34" t="s">
        <v>5</v>
      </c>
      <c r="E545" s="34" t="s">
        <v>107</v>
      </c>
      <c r="F545" s="34" t="s">
        <v>135</v>
      </c>
      <c r="G545" s="34">
        <v>6</v>
      </c>
      <c r="H545" s="34" t="s">
        <v>18</v>
      </c>
      <c r="I545" s="34" t="s">
        <v>24</v>
      </c>
      <c r="J545" s="34">
        <v>0</v>
      </c>
      <c r="K545" s="35">
        <f>VLOOKUP(I545,'Weights and Confidence'!$D$16:$AC$26,5,FALSE)/COUNTIFS($B:$B,$B545,$C:$C,$C545,$H:$H,$H545,$I:$I,$I545)</f>
        <v>0.15</v>
      </c>
      <c r="L545" s="36">
        <f>VLOOKUP(I545,'Weights and Confidence'!$D$16:$AC$26,6,FALSE)</f>
        <v>1</v>
      </c>
      <c r="M545" s="37">
        <f>tScores4[[#This Row],[Raw_Rating_Text]]</f>
        <v>0</v>
      </c>
      <c r="N545" s="58" t="s">
        <v>137</v>
      </c>
    </row>
    <row r="546" spans="1:14" x14ac:dyDescent="0.2">
      <c r="A546" s="38" t="s">
        <v>14</v>
      </c>
      <c r="B546" s="38" t="s">
        <v>0</v>
      </c>
      <c r="C546" s="38" t="s">
        <v>55</v>
      </c>
      <c r="D546" s="38" t="s">
        <v>5</v>
      </c>
      <c r="E546" s="38" t="s">
        <v>107</v>
      </c>
      <c r="F546" s="38" t="s">
        <v>135</v>
      </c>
      <c r="G546" s="38">
        <v>7</v>
      </c>
      <c r="H546" s="38" t="s">
        <v>17</v>
      </c>
      <c r="I546" s="38" t="s">
        <v>25</v>
      </c>
      <c r="J546" s="38">
        <v>1</v>
      </c>
      <c r="K546" s="39">
        <f>VLOOKUP(I546,'Weights and Confidence'!$D$16:$AC$26,5,FALSE)/COUNTIFS($B:$B,$B546,$C:$C,$C546,$H:$H,$H546,$I:$I,$I546)</f>
        <v>0.1</v>
      </c>
      <c r="L546" s="40">
        <f>VLOOKUP(I546,'Weights and Confidence'!$D$16:$AC$26,6,FALSE)</f>
        <v>1</v>
      </c>
      <c r="M546" s="41">
        <f>tScores4[[#This Row],[Raw_Rating_Text]]</f>
        <v>1</v>
      </c>
      <c r="N546" s="38"/>
    </row>
    <row r="547" spans="1:14" x14ac:dyDescent="0.2">
      <c r="A547" s="34" t="s">
        <v>14</v>
      </c>
      <c r="B547" s="34" t="s">
        <v>0</v>
      </c>
      <c r="C547" s="34" t="s">
        <v>55</v>
      </c>
      <c r="D547" s="34" t="s">
        <v>5</v>
      </c>
      <c r="E547" s="34" t="s">
        <v>107</v>
      </c>
      <c r="F547" s="34" t="s">
        <v>135</v>
      </c>
      <c r="G547" s="34">
        <v>7</v>
      </c>
      <c r="H547" s="34" t="s">
        <v>18</v>
      </c>
      <c r="I547" s="34" t="s">
        <v>25</v>
      </c>
      <c r="J547" s="34">
        <v>1</v>
      </c>
      <c r="K547" s="35">
        <f>VLOOKUP(I547,'Weights and Confidence'!$D$16:$AC$26,5,FALSE)/COUNTIFS($B:$B,$B547,$C:$C,$C547,$H:$H,$H547,$I:$I,$I547)</f>
        <v>0.1</v>
      </c>
      <c r="L547" s="36">
        <f>VLOOKUP(I547,'Weights and Confidence'!$D$16:$AC$26,6,FALSE)</f>
        <v>1</v>
      </c>
      <c r="M547" s="37">
        <f>tScores4[[#This Row],[Raw_Rating_Text]]</f>
        <v>1</v>
      </c>
      <c r="N547" s="58" t="s">
        <v>138</v>
      </c>
    </row>
    <row r="548" spans="1:14" x14ac:dyDescent="0.2">
      <c r="A548" s="38" t="s">
        <v>14</v>
      </c>
      <c r="B548" s="38" t="s">
        <v>0</v>
      </c>
      <c r="C548" s="38" t="s">
        <v>55</v>
      </c>
      <c r="D548" s="38" t="s">
        <v>5</v>
      </c>
      <c r="E548" s="38" t="s">
        <v>107</v>
      </c>
      <c r="F548" s="38" t="s">
        <v>135</v>
      </c>
      <c r="G548" s="38">
        <v>8</v>
      </c>
      <c r="H548" s="38" t="s">
        <v>17</v>
      </c>
      <c r="I548" s="38" t="s">
        <v>26</v>
      </c>
      <c r="J548" s="38">
        <v>0</v>
      </c>
      <c r="K548" s="39">
        <f>VLOOKUP(I548,'Weights and Confidence'!$D$16:$AC$26,5,FALSE)/COUNTIFS($B:$B,$B548,$C:$C,$C548,$H:$H,$H548,$I:$I,$I548)</f>
        <v>0.1</v>
      </c>
      <c r="L548" s="40">
        <f>VLOOKUP(I548,'Weights and Confidence'!$D$16:$AC$26,6,FALSE)</f>
        <v>1</v>
      </c>
      <c r="M548" s="41">
        <f>tScores4[[#This Row],[Raw_Rating_Text]]</f>
        <v>0</v>
      </c>
      <c r="N548" s="38"/>
    </row>
    <row r="549" spans="1:14" x14ac:dyDescent="0.2">
      <c r="A549" s="34" t="s">
        <v>14</v>
      </c>
      <c r="B549" s="34" t="s">
        <v>0</v>
      </c>
      <c r="C549" s="34" t="s">
        <v>55</v>
      </c>
      <c r="D549" s="34" t="s">
        <v>5</v>
      </c>
      <c r="E549" s="34" t="s">
        <v>107</v>
      </c>
      <c r="F549" s="34" t="s">
        <v>135</v>
      </c>
      <c r="G549" s="34">
        <v>8</v>
      </c>
      <c r="H549" s="34" t="s">
        <v>18</v>
      </c>
      <c r="I549" s="34" t="s">
        <v>26</v>
      </c>
      <c r="J549" s="34">
        <v>1</v>
      </c>
      <c r="K549" s="35">
        <f>VLOOKUP(I549,'Weights and Confidence'!$D$16:$AC$26,5,FALSE)/COUNTIFS($B:$B,$B549,$C:$C,$C549,$H:$H,$H549,$I:$I,$I549)</f>
        <v>0.1</v>
      </c>
      <c r="L549" s="36">
        <f>VLOOKUP(I549,'Weights and Confidence'!$D$16:$AC$26,6,FALSE)</f>
        <v>1</v>
      </c>
      <c r="M549" s="37">
        <f>tScores4[[#This Row],[Raw_Rating_Text]]</f>
        <v>1</v>
      </c>
      <c r="N549" s="58"/>
    </row>
    <row r="550" spans="1:14" x14ac:dyDescent="0.2">
      <c r="A550" s="38" t="s">
        <v>14</v>
      </c>
      <c r="B550" s="38" t="s">
        <v>0</v>
      </c>
      <c r="C550" s="38" t="s">
        <v>55</v>
      </c>
      <c r="D550" s="38" t="s">
        <v>5</v>
      </c>
      <c r="E550" s="38" t="s">
        <v>107</v>
      </c>
      <c r="F550" s="38" t="s">
        <v>135</v>
      </c>
      <c r="G550" s="38">
        <v>9</v>
      </c>
      <c r="H550" s="38" t="s">
        <v>17</v>
      </c>
      <c r="I550" s="38" t="s">
        <v>27</v>
      </c>
      <c r="J550" s="38">
        <v>1</v>
      </c>
      <c r="K550" s="39">
        <f>VLOOKUP(I550,'Weights and Confidence'!$D$16:$AC$26,5,FALSE)/COUNTIFS($B:$B,$B550,$C:$C,$C550,$H:$H,$H550,$I:$I,$I550)</f>
        <v>0.05</v>
      </c>
      <c r="L550" s="40">
        <f>VLOOKUP(I550,'Weights and Confidence'!$D$16:$AC$26,6,FALSE)</f>
        <v>0.85</v>
      </c>
      <c r="M550" s="41">
        <f>tScores4[[#This Row],[Raw_Rating_Text]]</f>
        <v>1</v>
      </c>
      <c r="N550" s="38"/>
    </row>
    <row r="551" spans="1:14" x14ac:dyDescent="0.2">
      <c r="A551" s="34" t="s">
        <v>14</v>
      </c>
      <c r="B551" s="34" t="s">
        <v>0</v>
      </c>
      <c r="C551" s="34" t="s">
        <v>55</v>
      </c>
      <c r="D551" s="34" t="s">
        <v>5</v>
      </c>
      <c r="E551" s="34" t="s">
        <v>107</v>
      </c>
      <c r="F551" s="34" t="s">
        <v>135</v>
      </c>
      <c r="G551" s="34">
        <v>9</v>
      </c>
      <c r="H551" s="34" t="s">
        <v>18</v>
      </c>
      <c r="I551" s="34" t="s">
        <v>27</v>
      </c>
      <c r="J551" s="34">
        <v>1</v>
      </c>
      <c r="K551" s="35">
        <f>VLOOKUP(I551,'Weights and Confidence'!$D$16:$AC$26,5,FALSE)/COUNTIFS($B:$B,$B551,$C:$C,$C551,$H:$H,$H551,$I:$I,$I551)</f>
        <v>0.05</v>
      </c>
      <c r="L551" s="36">
        <f>VLOOKUP(I551,'Weights and Confidence'!$D$16:$AC$26,6,FALSE)</f>
        <v>0.85</v>
      </c>
      <c r="M551" s="37">
        <f>tScores4[[#This Row],[Raw_Rating_Text]]</f>
        <v>1</v>
      </c>
      <c r="N551" s="34"/>
    </row>
    <row r="552" spans="1:14" x14ac:dyDescent="0.2">
      <c r="A552" s="38" t="s">
        <v>14</v>
      </c>
      <c r="B552" s="38" t="s">
        <v>0</v>
      </c>
      <c r="C552" s="38" t="s">
        <v>55</v>
      </c>
      <c r="D552" s="38" t="s">
        <v>5</v>
      </c>
      <c r="E552" s="38" t="s">
        <v>107</v>
      </c>
      <c r="F552" s="38" t="s">
        <v>135</v>
      </c>
      <c r="G552" s="38">
        <v>10</v>
      </c>
      <c r="H552" s="38" t="s">
        <v>17</v>
      </c>
      <c r="I552" s="38" t="s">
        <v>27</v>
      </c>
      <c r="J552" s="38">
        <v>0</v>
      </c>
      <c r="K552" s="39">
        <f>VLOOKUP(I552,'Weights and Confidence'!$D$16:$AC$26,5,FALSE)/COUNTIFS($B:$B,$B552,$C:$C,$C552,$H:$H,$H552,$I:$I,$I552)</f>
        <v>0.05</v>
      </c>
      <c r="L552" s="40">
        <f>VLOOKUP(I552,'Weights and Confidence'!$D$16:$AC$26,6,FALSE)</f>
        <v>0.85</v>
      </c>
      <c r="M552" s="41">
        <f>tScores4[[#This Row],[Raw_Rating_Text]]</f>
        <v>0</v>
      </c>
      <c r="N552" s="38"/>
    </row>
    <row r="553" spans="1:14" x14ac:dyDescent="0.2">
      <c r="A553" s="34" t="s">
        <v>14</v>
      </c>
      <c r="B553" s="34" t="s">
        <v>0</v>
      </c>
      <c r="C553" s="34" t="s">
        <v>55</v>
      </c>
      <c r="D553" s="34" t="s">
        <v>5</v>
      </c>
      <c r="E553" s="34" t="s">
        <v>107</v>
      </c>
      <c r="F553" s="34" t="s">
        <v>135</v>
      </c>
      <c r="G553" s="34">
        <v>10</v>
      </c>
      <c r="H553" s="34" t="s">
        <v>18</v>
      </c>
      <c r="I553" s="34" t="s">
        <v>27</v>
      </c>
      <c r="J553" s="34">
        <v>1</v>
      </c>
      <c r="K553" s="35">
        <f>VLOOKUP(I553,'Weights and Confidence'!$D$16:$AC$26,5,FALSE)/COUNTIFS($B:$B,$B553,$C:$C,$C553,$H:$H,$H553,$I:$I,$I553)</f>
        <v>0.05</v>
      </c>
      <c r="L553" s="36">
        <f>VLOOKUP(I553,'Weights and Confidence'!$D$16:$AC$26,6,FALSE)</f>
        <v>0.85</v>
      </c>
      <c r="M553" s="37">
        <f>tScores4[[#This Row],[Raw_Rating_Text]]</f>
        <v>1</v>
      </c>
      <c r="N553" s="34"/>
    </row>
    <row r="554" spans="1:14" x14ac:dyDescent="0.2">
      <c r="A554" s="38" t="s">
        <v>14</v>
      </c>
      <c r="B554" s="38" t="s">
        <v>0</v>
      </c>
      <c r="C554" s="38" t="s">
        <v>55</v>
      </c>
      <c r="D554" s="38" t="s">
        <v>5</v>
      </c>
      <c r="E554" s="38" t="s">
        <v>107</v>
      </c>
      <c r="F554" s="38" t="s">
        <v>135</v>
      </c>
      <c r="G554" s="38">
        <v>11</v>
      </c>
      <c r="H554" s="38" t="s">
        <v>17</v>
      </c>
      <c r="I554" s="38" t="s">
        <v>28</v>
      </c>
      <c r="J554" s="38">
        <v>1</v>
      </c>
      <c r="K554" s="39">
        <f>VLOOKUP(I554,'Weights and Confidence'!$D$16:$AC$26,5,FALSE)/COUNTIFS($B:$B,$B554,$C:$C,$C554,$H:$H,$H554,$I:$I,$I554)</f>
        <v>0.05</v>
      </c>
      <c r="L554" s="40">
        <f>VLOOKUP(I554,'Weights and Confidence'!$D$16:$AC$26,6,FALSE)</f>
        <v>1</v>
      </c>
      <c r="M554" s="41">
        <f>tScores4[[#This Row],[Raw_Rating_Text]]</f>
        <v>1</v>
      </c>
      <c r="N554" s="38"/>
    </row>
    <row r="555" spans="1:14" ht="17" thickBot="1" x14ac:dyDescent="0.25">
      <c r="A555" s="34" t="s">
        <v>14</v>
      </c>
      <c r="B555" s="34" t="s">
        <v>0</v>
      </c>
      <c r="C555" s="34" t="s">
        <v>55</v>
      </c>
      <c r="D555" s="34" t="s">
        <v>5</v>
      </c>
      <c r="E555" s="34" t="s">
        <v>107</v>
      </c>
      <c r="F555" s="34" t="s">
        <v>135</v>
      </c>
      <c r="G555" s="34">
        <v>11</v>
      </c>
      <c r="H555" s="34" t="s">
        <v>18</v>
      </c>
      <c r="I555" s="34" t="s">
        <v>28</v>
      </c>
      <c r="J555" s="34">
        <v>0</v>
      </c>
      <c r="K555" s="35">
        <f>VLOOKUP(I555,'Weights and Confidence'!$D$16:$AC$26,5,FALSE)/COUNTIFS($B:$B,$B555,$C:$C,$C555,$H:$H,$H555,$I:$I,$I555)</f>
        <v>0.05</v>
      </c>
      <c r="L555" s="36">
        <f>VLOOKUP(I555,'Weights and Confidence'!$D$16:$AC$26,6,FALSE)</f>
        <v>1</v>
      </c>
      <c r="M555" s="37">
        <f>tScores4[[#This Row],[Raw_Rating_Text]]</f>
        <v>0</v>
      </c>
      <c r="N555" s="58" t="s">
        <v>139</v>
      </c>
    </row>
    <row r="556" spans="1:14" ht="17" thickTop="1" x14ac:dyDescent="0.2">
      <c r="A556" s="42" t="s">
        <v>14</v>
      </c>
      <c r="B556" s="42" t="s">
        <v>0</v>
      </c>
      <c r="C556" s="42" t="s">
        <v>57</v>
      </c>
      <c r="D556" s="42" t="s">
        <v>5</v>
      </c>
      <c r="E556" s="42" t="s">
        <v>107</v>
      </c>
      <c r="F556" s="49" t="s">
        <v>140</v>
      </c>
      <c r="G556" s="42">
        <v>1</v>
      </c>
      <c r="H556" s="42" t="s">
        <v>17</v>
      </c>
      <c r="I556" s="42" t="s">
        <v>19</v>
      </c>
      <c r="J556" s="42">
        <v>0</v>
      </c>
      <c r="K556" s="44">
        <f>VLOOKUP(I556,'Weights and Confidence'!$D$16:$AC$26,5,FALSE)/COUNTIFS($B:$B,$B556,$C:$C,$C556,$H:$H,$H556,$I:$I,$I556)</f>
        <v>0.12</v>
      </c>
      <c r="L556" s="45">
        <f>VLOOKUP(I556,'Weights and Confidence'!$D$16:$AC$26,6,FALSE)</f>
        <v>1</v>
      </c>
      <c r="M556" s="46">
        <f>tScores4[[#This Row],[Raw_Rating_Text]]</f>
        <v>0</v>
      </c>
      <c r="N556" s="29"/>
    </row>
    <row r="557" spans="1:14" x14ac:dyDescent="0.2">
      <c r="A557" s="34" t="s">
        <v>14</v>
      </c>
      <c r="B557" s="34" t="s">
        <v>0</v>
      </c>
      <c r="C557" s="34" t="s">
        <v>57</v>
      </c>
      <c r="D557" s="34" t="s">
        <v>5</v>
      </c>
      <c r="E557" s="34" t="s">
        <v>107</v>
      </c>
      <c r="F557" s="50" t="s">
        <v>140</v>
      </c>
      <c r="G557" s="34">
        <v>1</v>
      </c>
      <c r="H557" s="34" t="s">
        <v>18</v>
      </c>
      <c r="I557" s="34" t="s">
        <v>19</v>
      </c>
      <c r="J557" s="34">
        <v>-1</v>
      </c>
      <c r="K557" s="35">
        <f>VLOOKUP(I557,'Weights and Confidence'!$D$16:$AC$26,5,FALSE)/COUNTIFS($B:$B,$B557,$C:$C,$C557,$H:$H,$H557,$I:$I,$I557)</f>
        <v>0.12</v>
      </c>
      <c r="L557" s="36">
        <f>VLOOKUP(I557,'Weights and Confidence'!$D$16:$AC$26,6,FALSE)</f>
        <v>1</v>
      </c>
      <c r="M557" s="37">
        <f>tScores4[[#This Row],[Raw_Rating_Text]]</f>
        <v>-1</v>
      </c>
      <c r="N557" s="58"/>
    </row>
    <row r="558" spans="1:14" x14ac:dyDescent="0.2">
      <c r="A558" s="38" t="s">
        <v>14</v>
      </c>
      <c r="B558" s="38" t="s">
        <v>0</v>
      </c>
      <c r="C558" s="38" t="s">
        <v>57</v>
      </c>
      <c r="D558" s="38" t="s">
        <v>5</v>
      </c>
      <c r="E558" s="38" t="s">
        <v>107</v>
      </c>
      <c r="F558" s="51" t="s">
        <v>140</v>
      </c>
      <c r="G558" s="38">
        <v>2</v>
      </c>
      <c r="H558" s="38" t="s">
        <v>17</v>
      </c>
      <c r="I558" s="38" t="s">
        <v>20</v>
      </c>
      <c r="J558" s="38">
        <v>0</v>
      </c>
      <c r="K558" s="39">
        <f>VLOOKUP(I558,'Weights and Confidence'!$D$16:$AC$26,5,FALSE)/COUNTIFS($B:$B,$B558,$C:$C,$C558,$H:$H,$H558,$I:$I,$I558)</f>
        <v>0.08</v>
      </c>
      <c r="L558" s="40">
        <f>VLOOKUP(I558,'Weights and Confidence'!$D$16:$AC$26,6,FALSE)</f>
        <v>0.8</v>
      </c>
      <c r="M558" s="41">
        <f>tScores4[[#This Row],[Raw_Rating_Text]]</f>
        <v>0</v>
      </c>
      <c r="N558" s="38"/>
    </row>
    <row r="559" spans="1:14" x14ac:dyDescent="0.2">
      <c r="A559" s="34" t="s">
        <v>14</v>
      </c>
      <c r="B559" s="34" t="s">
        <v>0</v>
      </c>
      <c r="C559" s="34" t="s">
        <v>57</v>
      </c>
      <c r="D559" s="34" t="s">
        <v>5</v>
      </c>
      <c r="E559" s="34" t="s">
        <v>107</v>
      </c>
      <c r="F559" s="50" t="s">
        <v>140</v>
      </c>
      <c r="G559" s="34">
        <v>2</v>
      </c>
      <c r="H559" s="34" t="s">
        <v>18</v>
      </c>
      <c r="I559" s="34" t="s">
        <v>20</v>
      </c>
      <c r="J559" s="34">
        <v>-1</v>
      </c>
      <c r="K559" s="35">
        <f>VLOOKUP(I559,'Weights and Confidence'!$D$16:$AC$26,5,FALSE)/COUNTIFS($B:$B,$B559,$C:$C,$C559,$H:$H,$H559,$I:$I,$I559)</f>
        <v>0.08</v>
      </c>
      <c r="L559" s="36">
        <f>VLOOKUP(I559,'Weights and Confidence'!$D$16:$AC$26,6,FALSE)</f>
        <v>0.8</v>
      </c>
      <c r="M559" s="37">
        <f>tScores4[[#This Row],[Raw_Rating_Text]]</f>
        <v>-1</v>
      </c>
      <c r="N559" s="58"/>
    </row>
    <row r="560" spans="1:14" x14ac:dyDescent="0.2">
      <c r="A560" s="38" t="s">
        <v>14</v>
      </c>
      <c r="B560" s="38" t="s">
        <v>0</v>
      </c>
      <c r="C560" s="38" t="s">
        <v>57</v>
      </c>
      <c r="D560" s="38" t="s">
        <v>5</v>
      </c>
      <c r="E560" s="38" t="s">
        <v>107</v>
      </c>
      <c r="F560" s="51" t="s">
        <v>140</v>
      </c>
      <c r="G560" s="38">
        <v>3</v>
      </c>
      <c r="H560" s="38" t="s">
        <v>17</v>
      </c>
      <c r="I560" s="38" t="s">
        <v>21</v>
      </c>
      <c r="J560" s="38">
        <v>0</v>
      </c>
      <c r="K560" s="39">
        <f>VLOOKUP(I560,'Weights and Confidence'!$D$16:$AC$26,5,FALSE)/COUNTIFS($B:$B,$B560,$C:$C,$C560,$H:$H,$H560,$I:$I,$I560)</f>
        <v>0.05</v>
      </c>
      <c r="L560" s="40">
        <f>VLOOKUP(I560,'Weights and Confidence'!$D$16:$AC$26,6,FALSE)</f>
        <v>1</v>
      </c>
      <c r="M560" s="41">
        <f>tScores4[[#This Row],[Raw_Rating_Text]]</f>
        <v>0</v>
      </c>
      <c r="N560" s="38"/>
    </row>
    <row r="561" spans="1:16" x14ac:dyDescent="0.2">
      <c r="A561" s="34" t="s">
        <v>14</v>
      </c>
      <c r="B561" s="34" t="s">
        <v>0</v>
      </c>
      <c r="C561" s="34" t="s">
        <v>57</v>
      </c>
      <c r="D561" s="34" t="s">
        <v>5</v>
      </c>
      <c r="E561" s="34" t="s">
        <v>107</v>
      </c>
      <c r="F561" s="50" t="s">
        <v>140</v>
      </c>
      <c r="G561" s="34">
        <v>3</v>
      </c>
      <c r="H561" s="34" t="s">
        <v>18</v>
      </c>
      <c r="I561" s="34" t="s">
        <v>21</v>
      </c>
      <c r="J561" s="34">
        <v>-1</v>
      </c>
      <c r="K561" s="35">
        <f>VLOOKUP(I561,'Weights and Confidence'!$D$16:$AC$26,5,FALSE)/COUNTIFS($B:$B,$B561,$C:$C,$C561,$H:$H,$H561,$I:$I,$I561)</f>
        <v>0.05</v>
      </c>
      <c r="L561" s="36">
        <f>VLOOKUP(I561,'Weights and Confidence'!$D$16:$AC$26,6,FALSE)</f>
        <v>1</v>
      </c>
      <c r="M561" s="37">
        <f>tScores4[[#This Row],[Raw_Rating_Text]]</f>
        <v>-1</v>
      </c>
      <c r="N561" s="58" t="s">
        <v>76</v>
      </c>
    </row>
    <row r="562" spans="1:16" x14ac:dyDescent="0.2">
      <c r="A562" s="38" t="s">
        <v>14</v>
      </c>
      <c r="B562" s="38" t="s">
        <v>0</v>
      </c>
      <c r="C562" s="38" t="s">
        <v>57</v>
      </c>
      <c r="D562" s="38" t="s">
        <v>5</v>
      </c>
      <c r="E562" s="38" t="s">
        <v>107</v>
      </c>
      <c r="F562" s="51" t="s">
        <v>140</v>
      </c>
      <c r="G562" s="38">
        <v>4</v>
      </c>
      <c r="H562" s="38" t="s">
        <v>17</v>
      </c>
      <c r="I562" s="38" t="s">
        <v>22</v>
      </c>
      <c r="J562" s="38">
        <v>-1</v>
      </c>
      <c r="K562" s="39">
        <f>VLOOKUP(I562,'Weights and Confidence'!$D$16:$AC$26,5,FALSE)/COUNTIFS($B:$B,$B562,$C:$C,$C562,$H:$H,$H562,$I:$I,$I562)</f>
        <v>0.14000000000000001</v>
      </c>
      <c r="L562" s="40">
        <f>VLOOKUP(I562,'Weights and Confidence'!$D$16:$AC$26,6,FALSE)</f>
        <v>1</v>
      </c>
      <c r="M562" s="41">
        <f>tScores4[[#This Row],[Raw_Rating_Text]]</f>
        <v>-1</v>
      </c>
      <c r="N562" s="38"/>
    </row>
    <row r="563" spans="1:16" x14ac:dyDescent="0.2">
      <c r="A563" s="34" t="s">
        <v>14</v>
      </c>
      <c r="B563" s="34" t="s">
        <v>0</v>
      </c>
      <c r="C563" s="34" t="s">
        <v>57</v>
      </c>
      <c r="D563" s="34" t="s">
        <v>5</v>
      </c>
      <c r="E563" s="34" t="s">
        <v>107</v>
      </c>
      <c r="F563" s="50" t="s">
        <v>140</v>
      </c>
      <c r="G563" s="34">
        <v>4</v>
      </c>
      <c r="H563" s="34" t="s">
        <v>18</v>
      </c>
      <c r="I563" s="34" t="s">
        <v>22</v>
      </c>
      <c r="J563" s="34">
        <v>-1</v>
      </c>
      <c r="K563" s="35">
        <f>VLOOKUP(I563,'Weights and Confidence'!$D$16:$AC$26,5,FALSE)/COUNTIFS($B:$B,$B563,$C:$C,$C563,$H:$H,$H563,$I:$I,$I563)</f>
        <v>0.14000000000000001</v>
      </c>
      <c r="L563" s="36">
        <f>VLOOKUP(I563,'Weights and Confidence'!$D$16:$AC$26,6,FALSE)</f>
        <v>1</v>
      </c>
      <c r="M563" s="37">
        <f>tScores4[[#This Row],[Raw_Rating_Text]]</f>
        <v>-1</v>
      </c>
      <c r="N563" s="58" t="s">
        <v>83</v>
      </c>
    </row>
    <row r="564" spans="1:16" x14ac:dyDescent="0.2">
      <c r="A564" s="38" t="s">
        <v>14</v>
      </c>
      <c r="B564" s="38" t="s">
        <v>0</v>
      </c>
      <c r="C564" s="38" t="s">
        <v>57</v>
      </c>
      <c r="D564" s="38" t="s">
        <v>5</v>
      </c>
      <c r="E564" s="38" t="s">
        <v>107</v>
      </c>
      <c r="F564" s="51" t="s">
        <v>140</v>
      </c>
      <c r="G564" s="38">
        <v>5</v>
      </c>
      <c r="H564" s="38" t="s">
        <v>17</v>
      </c>
      <c r="I564" s="38" t="s">
        <v>23</v>
      </c>
      <c r="J564" s="38">
        <v>-1</v>
      </c>
      <c r="K564" s="39">
        <f>VLOOKUP(I564,'Weights and Confidence'!$D$16:$AC$26,5,FALSE)/COUNTIFS($B:$B,$B564,$C:$C,$C564,$H:$H,$H564,$I:$I,$I564)</f>
        <v>0.11</v>
      </c>
      <c r="L564" s="40">
        <f>VLOOKUP(I564,'Weights and Confidence'!$D$16:$AC$26,6,FALSE)</f>
        <v>1</v>
      </c>
      <c r="M564" s="41">
        <f>tScores4[[#This Row],[Raw_Rating_Text]]</f>
        <v>-1</v>
      </c>
      <c r="N564" s="38"/>
      <c r="P564" s="20"/>
    </row>
    <row r="565" spans="1:16" x14ac:dyDescent="0.2">
      <c r="A565" s="34" t="s">
        <v>14</v>
      </c>
      <c r="B565" s="34" t="s">
        <v>0</v>
      </c>
      <c r="C565" s="34" t="s">
        <v>57</v>
      </c>
      <c r="D565" s="34" t="s">
        <v>5</v>
      </c>
      <c r="E565" s="34" t="s">
        <v>107</v>
      </c>
      <c r="F565" s="50" t="s">
        <v>140</v>
      </c>
      <c r="G565" s="34">
        <v>5</v>
      </c>
      <c r="H565" s="34" t="s">
        <v>18</v>
      </c>
      <c r="I565" s="34" t="s">
        <v>23</v>
      </c>
      <c r="J565" s="34">
        <v>-1</v>
      </c>
      <c r="K565" s="35">
        <f>VLOOKUP(I565,'Weights and Confidence'!$D$16:$AC$26,5,FALSE)/COUNTIFS($B:$B,$B565,$C:$C,$C565,$H:$H,$H565,$I:$I,$I565)</f>
        <v>0.11</v>
      </c>
      <c r="L565" s="36">
        <f>VLOOKUP(I565,'Weights and Confidence'!$D$16:$AC$26,6,FALSE)</f>
        <v>1</v>
      </c>
      <c r="M565" s="37">
        <f>tScores4[[#This Row],[Raw_Rating_Text]]</f>
        <v>-1</v>
      </c>
      <c r="N565" s="58"/>
    </row>
    <row r="566" spans="1:16" x14ac:dyDescent="0.2">
      <c r="A566" s="38" t="s">
        <v>14</v>
      </c>
      <c r="B566" s="38" t="s">
        <v>0</v>
      </c>
      <c r="C566" s="38" t="s">
        <v>57</v>
      </c>
      <c r="D566" s="38" t="s">
        <v>5</v>
      </c>
      <c r="E566" s="38" t="s">
        <v>107</v>
      </c>
      <c r="F566" s="51" t="s">
        <v>140</v>
      </c>
      <c r="G566" s="38">
        <v>6</v>
      </c>
      <c r="H566" s="38" t="s">
        <v>17</v>
      </c>
      <c r="I566" s="38" t="s">
        <v>24</v>
      </c>
      <c r="J566" s="38">
        <v>0</v>
      </c>
      <c r="K566" s="39">
        <f>VLOOKUP(I566,'Weights and Confidence'!$D$16:$AC$26,5,FALSE)/COUNTIFS($B:$B,$B566,$C:$C,$C566,$H:$H,$H566,$I:$I,$I566)</f>
        <v>0.15</v>
      </c>
      <c r="L566" s="40">
        <f>VLOOKUP(I566,'Weights and Confidence'!$D$16:$AC$26,6,FALSE)</f>
        <v>1</v>
      </c>
      <c r="M566" s="41">
        <f>tScores4[[#This Row],[Raw_Rating_Text]]</f>
        <v>0</v>
      </c>
      <c r="N566" s="59"/>
    </row>
    <row r="567" spans="1:16" x14ac:dyDescent="0.2">
      <c r="A567" s="34" t="s">
        <v>14</v>
      </c>
      <c r="B567" s="34" t="s">
        <v>0</v>
      </c>
      <c r="C567" s="34" t="s">
        <v>57</v>
      </c>
      <c r="D567" s="34" t="s">
        <v>5</v>
      </c>
      <c r="E567" s="34" t="s">
        <v>107</v>
      </c>
      <c r="F567" s="50" t="s">
        <v>140</v>
      </c>
      <c r="G567" s="34">
        <v>6</v>
      </c>
      <c r="H567" s="34" t="s">
        <v>18</v>
      </c>
      <c r="I567" s="34" t="s">
        <v>24</v>
      </c>
      <c r="J567" s="34">
        <v>-1</v>
      </c>
      <c r="K567" s="35">
        <f>VLOOKUP(I567,'Weights and Confidence'!$D$16:$AC$26,5,FALSE)/COUNTIFS($B:$B,$B567,$C:$C,$C567,$H:$H,$H567,$I:$I,$I567)</f>
        <v>0.15</v>
      </c>
      <c r="L567" s="36">
        <f>VLOOKUP(I567,'Weights and Confidence'!$D$16:$AC$26,6,FALSE)</f>
        <v>1</v>
      </c>
      <c r="M567" s="37">
        <f>tScores4[[#This Row],[Raw_Rating_Text]]</f>
        <v>-1</v>
      </c>
      <c r="N567" s="58" t="s">
        <v>141</v>
      </c>
    </row>
    <row r="568" spans="1:16" x14ac:dyDescent="0.2">
      <c r="A568" s="38" t="s">
        <v>14</v>
      </c>
      <c r="B568" s="38" t="s">
        <v>0</v>
      </c>
      <c r="C568" s="38" t="s">
        <v>57</v>
      </c>
      <c r="D568" s="38" t="s">
        <v>5</v>
      </c>
      <c r="E568" s="38" t="s">
        <v>107</v>
      </c>
      <c r="F568" s="51" t="s">
        <v>140</v>
      </c>
      <c r="G568" s="38">
        <v>7</v>
      </c>
      <c r="H568" s="38" t="s">
        <v>17</v>
      </c>
      <c r="I568" s="38" t="s">
        <v>25</v>
      </c>
      <c r="J568" s="38">
        <v>0</v>
      </c>
      <c r="K568" s="39">
        <f>VLOOKUP(I568,'Weights and Confidence'!$D$16:$AC$26,5,FALSE)/COUNTIFS($B:$B,$B568,$C:$C,$C568,$H:$H,$H568,$I:$I,$I568)</f>
        <v>0.1</v>
      </c>
      <c r="L568" s="40">
        <f>VLOOKUP(I568,'Weights and Confidence'!$D$16:$AC$26,6,FALSE)</f>
        <v>1</v>
      </c>
      <c r="M568" s="41">
        <f>tScores4[[#This Row],[Raw_Rating_Text]]</f>
        <v>0</v>
      </c>
      <c r="N568" s="38"/>
    </row>
    <row r="569" spans="1:16" x14ac:dyDescent="0.2">
      <c r="A569" s="34" t="s">
        <v>14</v>
      </c>
      <c r="B569" s="34" t="s">
        <v>0</v>
      </c>
      <c r="C569" s="34" t="s">
        <v>57</v>
      </c>
      <c r="D569" s="34" t="s">
        <v>5</v>
      </c>
      <c r="E569" s="34" t="s">
        <v>107</v>
      </c>
      <c r="F569" s="50" t="s">
        <v>140</v>
      </c>
      <c r="G569" s="34">
        <v>7</v>
      </c>
      <c r="H569" s="34" t="s">
        <v>18</v>
      </c>
      <c r="I569" s="34" t="s">
        <v>25</v>
      </c>
      <c r="J569" s="34">
        <v>-1</v>
      </c>
      <c r="K569" s="35">
        <f>VLOOKUP(I569,'Weights and Confidence'!$D$16:$AC$26,5,FALSE)/COUNTIFS($B:$B,$B569,$C:$C,$C569,$H:$H,$H569,$I:$I,$I569)</f>
        <v>0.1</v>
      </c>
      <c r="L569" s="36">
        <f>VLOOKUP(I569,'Weights and Confidence'!$D$16:$AC$26,6,FALSE)</f>
        <v>1</v>
      </c>
      <c r="M569" s="37">
        <f>tScores4[[#This Row],[Raw_Rating_Text]]</f>
        <v>-1</v>
      </c>
      <c r="N569" s="58" t="s">
        <v>142</v>
      </c>
    </row>
    <row r="570" spans="1:16" x14ac:dyDescent="0.2">
      <c r="A570" s="38" t="s">
        <v>14</v>
      </c>
      <c r="B570" s="38" t="s">
        <v>0</v>
      </c>
      <c r="C570" s="38" t="s">
        <v>57</v>
      </c>
      <c r="D570" s="38" t="s">
        <v>5</v>
      </c>
      <c r="E570" s="38" t="s">
        <v>107</v>
      </c>
      <c r="F570" s="51" t="s">
        <v>140</v>
      </c>
      <c r="G570" s="38">
        <v>8</v>
      </c>
      <c r="H570" s="38" t="s">
        <v>17</v>
      </c>
      <c r="I570" s="38" t="s">
        <v>26</v>
      </c>
      <c r="J570" s="38">
        <v>0</v>
      </c>
      <c r="K570" s="39">
        <f>VLOOKUP(I570,'Weights and Confidence'!$D$16:$AC$26,5,FALSE)/COUNTIFS($B:$B,$B570,$C:$C,$C570,$H:$H,$H570,$I:$I,$I570)</f>
        <v>0.1</v>
      </c>
      <c r="L570" s="40">
        <f>VLOOKUP(I570,'Weights and Confidence'!$D$16:$AC$26,6,FALSE)</f>
        <v>1</v>
      </c>
      <c r="M570" s="41">
        <f>tScores4[[#This Row],[Raw_Rating_Text]]</f>
        <v>0</v>
      </c>
      <c r="N570" s="38"/>
    </row>
    <row r="571" spans="1:16" x14ac:dyDescent="0.2">
      <c r="A571" s="34" t="s">
        <v>14</v>
      </c>
      <c r="B571" s="34" t="s">
        <v>0</v>
      </c>
      <c r="C571" s="34" t="s">
        <v>57</v>
      </c>
      <c r="D571" s="34" t="s">
        <v>5</v>
      </c>
      <c r="E571" s="34" t="s">
        <v>107</v>
      </c>
      <c r="F571" s="50" t="s">
        <v>140</v>
      </c>
      <c r="G571" s="34">
        <v>8</v>
      </c>
      <c r="H571" s="34" t="s">
        <v>18</v>
      </c>
      <c r="I571" s="34" t="s">
        <v>26</v>
      </c>
      <c r="J571" s="34">
        <v>-1</v>
      </c>
      <c r="K571" s="35">
        <f>VLOOKUP(I571,'Weights and Confidence'!$D$16:$AC$26,5,FALSE)/COUNTIFS($B:$B,$B571,$C:$C,$C571,$H:$H,$H571,$I:$I,$I571)</f>
        <v>0.1</v>
      </c>
      <c r="L571" s="36">
        <f>VLOOKUP(I571,'Weights and Confidence'!$D$16:$AC$26,6,FALSE)</f>
        <v>1</v>
      </c>
      <c r="M571" s="37">
        <f>tScores4[[#This Row],[Raw_Rating_Text]]</f>
        <v>-1</v>
      </c>
      <c r="N571" s="58"/>
    </row>
    <row r="572" spans="1:16" x14ac:dyDescent="0.2">
      <c r="A572" s="38" t="s">
        <v>14</v>
      </c>
      <c r="B572" s="38" t="s">
        <v>0</v>
      </c>
      <c r="C572" s="38" t="s">
        <v>57</v>
      </c>
      <c r="D572" s="38" t="s">
        <v>5</v>
      </c>
      <c r="E572" s="38" t="s">
        <v>107</v>
      </c>
      <c r="F572" s="51" t="s">
        <v>140</v>
      </c>
      <c r="G572" s="38">
        <v>9</v>
      </c>
      <c r="H572" s="38" t="s">
        <v>17</v>
      </c>
      <c r="I572" s="38" t="s">
        <v>27</v>
      </c>
      <c r="J572" s="38">
        <v>-1</v>
      </c>
      <c r="K572" s="39">
        <f>VLOOKUP(I572,'Weights and Confidence'!$D$16:$AC$26,5,FALSE)/COUNTIFS($B:$B,$B572,$C:$C,$C572,$H:$H,$H572,$I:$I,$I572)</f>
        <v>0.05</v>
      </c>
      <c r="L572" s="40">
        <f>VLOOKUP(I572,'Weights and Confidence'!$D$16:$AC$26,6,FALSE)</f>
        <v>0.85</v>
      </c>
      <c r="M572" s="41">
        <f>tScores4[[#This Row],[Raw_Rating_Text]]</f>
        <v>-1</v>
      </c>
      <c r="N572" s="38"/>
    </row>
    <row r="573" spans="1:16" x14ac:dyDescent="0.2">
      <c r="A573" s="34" t="s">
        <v>14</v>
      </c>
      <c r="B573" s="34" t="s">
        <v>0</v>
      </c>
      <c r="C573" s="34" t="s">
        <v>57</v>
      </c>
      <c r="D573" s="34" t="s">
        <v>5</v>
      </c>
      <c r="E573" s="34" t="s">
        <v>107</v>
      </c>
      <c r="F573" s="50" t="s">
        <v>140</v>
      </c>
      <c r="G573" s="34">
        <v>9</v>
      </c>
      <c r="H573" s="34" t="s">
        <v>18</v>
      </c>
      <c r="I573" s="34" t="s">
        <v>27</v>
      </c>
      <c r="J573" s="34">
        <v>0</v>
      </c>
      <c r="K573" s="35">
        <f>VLOOKUP(I573,'Weights and Confidence'!$D$16:$AC$26,5,FALSE)/COUNTIFS($B:$B,$B573,$C:$C,$C573,$H:$H,$H573,$I:$I,$I573)</f>
        <v>0.05</v>
      </c>
      <c r="L573" s="36">
        <f>VLOOKUP(I573,'Weights and Confidence'!$D$16:$AC$26,6,FALSE)</f>
        <v>0.85</v>
      </c>
      <c r="M573" s="37">
        <f>tScores4[[#This Row],[Raw_Rating_Text]]</f>
        <v>0</v>
      </c>
      <c r="N573" s="34"/>
    </row>
    <row r="574" spans="1:16" x14ac:dyDescent="0.2">
      <c r="A574" s="38" t="s">
        <v>14</v>
      </c>
      <c r="B574" s="38" t="s">
        <v>0</v>
      </c>
      <c r="C574" s="38" t="s">
        <v>57</v>
      </c>
      <c r="D574" s="38" t="s">
        <v>5</v>
      </c>
      <c r="E574" s="38" t="s">
        <v>107</v>
      </c>
      <c r="F574" s="51" t="s">
        <v>140</v>
      </c>
      <c r="G574" s="38">
        <v>10</v>
      </c>
      <c r="H574" s="38" t="s">
        <v>17</v>
      </c>
      <c r="I574" s="38" t="s">
        <v>27</v>
      </c>
      <c r="J574" s="38">
        <v>0</v>
      </c>
      <c r="K574" s="39">
        <f>VLOOKUP(I574,'Weights and Confidence'!$D$16:$AC$26,5,FALSE)/COUNTIFS($B:$B,$B574,$C:$C,$C574,$H:$H,$H574,$I:$I,$I574)</f>
        <v>0.05</v>
      </c>
      <c r="L574" s="40">
        <f>VLOOKUP(I574,'Weights and Confidence'!$D$16:$AC$26,6,FALSE)</f>
        <v>0.85</v>
      </c>
      <c r="M574" s="41">
        <f>tScores4[[#This Row],[Raw_Rating_Text]]</f>
        <v>0</v>
      </c>
      <c r="N574" s="38"/>
    </row>
    <row r="575" spans="1:16" x14ac:dyDescent="0.2">
      <c r="A575" s="34" t="s">
        <v>14</v>
      </c>
      <c r="B575" s="34" t="s">
        <v>0</v>
      </c>
      <c r="C575" s="34" t="s">
        <v>57</v>
      </c>
      <c r="D575" s="34" t="s">
        <v>5</v>
      </c>
      <c r="E575" s="34" t="s">
        <v>107</v>
      </c>
      <c r="F575" s="50" t="s">
        <v>140</v>
      </c>
      <c r="G575" s="34">
        <v>10</v>
      </c>
      <c r="H575" s="34" t="s">
        <v>18</v>
      </c>
      <c r="I575" s="34" t="s">
        <v>27</v>
      </c>
      <c r="J575" s="34">
        <v>0</v>
      </c>
      <c r="K575" s="35">
        <f>VLOOKUP(I575,'Weights and Confidence'!$D$16:$AC$26,5,FALSE)/COUNTIFS($B:$B,$B575,$C:$C,$C575,$H:$H,$H575,$I:$I,$I575)</f>
        <v>0.05</v>
      </c>
      <c r="L575" s="36">
        <f>VLOOKUP(I575,'Weights and Confidence'!$D$16:$AC$26,6,FALSE)</f>
        <v>0.85</v>
      </c>
      <c r="M575" s="37">
        <f>tScores4[[#This Row],[Raw_Rating_Text]]</f>
        <v>0</v>
      </c>
      <c r="N575" s="34"/>
    </row>
    <row r="576" spans="1:16" x14ac:dyDescent="0.2">
      <c r="A576" s="38" t="s">
        <v>14</v>
      </c>
      <c r="B576" s="38" t="s">
        <v>0</v>
      </c>
      <c r="C576" s="38" t="s">
        <v>57</v>
      </c>
      <c r="D576" s="38" t="s">
        <v>5</v>
      </c>
      <c r="E576" s="38" t="s">
        <v>107</v>
      </c>
      <c r="F576" s="51" t="s">
        <v>140</v>
      </c>
      <c r="G576" s="38">
        <v>11</v>
      </c>
      <c r="H576" s="38" t="s">
        <v>17</v>
      </c>
      <c r="I576" s="38" t="s">
        <v>28</v>
      </c>
      <c r="J576" s="38">
        <v>-1</v>
      </c>
      <c r="K576" s="39">
        <f>VLOOKUP(I576,'Weights and Confidence'!$D$16:$AC$26,5,FALSE)/COUNTIFS($B:$B,$B576,$C:$C,$C576,$H:$H,$H576,$I:$I,$I576)</f>
        <v>0.05</v>
      </c>
      <c r="L576" s="40">
        <f>VLOOKUP(I576,'Weights and Confidence'!$D$16:$AC$26,6,FALSE)</f>
        <v>1</v>
      </c>
      <c r="M576" s="41">
        <f>tScores4[[#This Row],[Raw_Rating_Text]]</f>
        <v>-1</v>
      </c>
      <c r="N576" s="38"/>
    </row>
    <row r="577" spans="1:14" ht="17" thickBot="1" x14ac:dyDescent="0.25">
      <c r="A577" s="34" t="s">
        <v>14</v>
      </c>
      <c r="B577" s="34" t="s">
        <v>0</v>
      </c>
      <c r="C577" s="34" t="s">
        <v>57</v>
      </c>
      <c r="D577" s="34" t="s">
        <v>5</v>
      </c>
      <c r="E577" s="34" t="s">
        <v>107</v>
      </c>
      <c r="F577" s="50" t="s">
        <v>140</v>
      </c>
      <c r="G577" s="34">
        <v>11</v>
      </c>
      <c r="H577" s="34" t="s">
        <v>18</v>
      </c>
      <c r="I577" s="34" t="s">
        <v>28</v>
      </c>
      <c r="J577" s="34">
        <v>-1</v>
      </c>
      <c r="K577" s="35">
        <f>VLOOKUP(I577,'Weights and Confidence'!$D$16:$AC$26,5,FALSE)/COUNTIFS($B:$B,$B577,$C:$C,$C577,$H:$H,$H577,$I:$I,$I577)</f>
        <v>0.05</v>
      </c>
      <c r="L577" s="36">
        <f>VLOOKUP(I577,'Weights and Confidence'!$D$16:$AC$26,6,FALSE)</f>
        <v>1</v>
      </c>
      <c r="M577" s="37">
        <f>tScores4[[#This Row],[Raw_Rating_Text]]</f>
        <v>-1</v>
      </c>
      <c r="N577" s="58" t="s">
        <v>143</v>
      </c>
    </row>
    <row r="578" spans="1:14" ht="17" thickTop="1" x14ac:dyDescent="0.2">
      <c r="A578" s="42" t="s">
        <v>14</v>
      </c>
      <c r="B578" s="42" t="s">
        <v>0</v>
      </c>
      <c r="C578" s="42" t="s">
        <v>59</v>
      </c>
      <c r="D578" s="42" t="s">
        <v>5</v>
      </c>
      <c r="E578" s="42" t="s">
        <v>103</v>
      </c>
      <c r="F578" s="49" t="s">
        <v>60</v>
      </c>
      <c r="G578" s="42">
        <v>1</v>
      </c>
      <c r="H578" s="42" t="s">
        <v>17</v>
      </c>
      <c r="I578" s="42" t="s">
        <v>19</v>
      </c>
      <c r="J578" s="42">
        <v>0</v>
      </c>
      <c r="K578" s="44">
        <f>VLOOKUP(I578,'Weights and Confidence'!$D$16:$AC$26,5,FALSE)/COUNTIFS($B:$B,$B578,$C:$C,$C578,$H:$H,$H578,$I:$I,$I578)</f>
        <v>0.12</v>
      </c>
      <c r="L578" s="45">
        <f>VLOOKUP(I578,'Weights and Confidence'!$D$16:$AC$26,6,FALSE)</f>
        <v>1</v>
      </c>
      <c r="M578" s="46">
        <f>tScores4[[#This Row],[Raw_Rating_Text]]</f>
        <v>0</v>
      </c>
      <c r="N578" s="29"/>
    </row>
    <row r="579" spans="1:14" x14ac:dyDescent="0.2">
      <c r="A579" s="34" t="s">
        <v>14</v>
      </c>
      <c r="B579" s="34" t="s">
        <v>0</v>
      </c>
      <c r="C579" s="34" t="s">
        <v>59</v>
      </c>
      <c r="D579" s="34" t="s">
        <v>5</v>
      </c>
      <c r="E579" s="34" t="s">
        <v>103</v>
      </c>
      <c r="F579" s="50" t="s">
        <v>60</v>
      </c>
      <c r="G579" s="34">
        <v>1</v>
      </c>
      <c r="H579" s="34" t="s">
        <v>18</v>
      </c>
      <c r="I579" s="34" t="s">
        <v>19</v>
      </c>
      <c r="J579" s="34">
        <v>1</v>
      </c>
      <c r="K579" s="35">
        <f>VLOOKUP(I579,'Weights and Confidence'!$D$16:$AC$26,5,FALSE)/COUNTIFS($B:$B,$B579,$C:$C,$C579,$H:$H,$H579,$I:$I,$I579)</f>
        <v>0.12</v>
      </c>
      <c r="L579" s="36">
        <f>VLOOKUP(I579,'Weights and Confidence'!$D$16:$AC$26,6,FALSE)</f>
        <v>1</v>
      </c>
      <c r="M579" s="37">
        <f>tScores4[[#This Row],[Raw_Rating_Text]]</f>
        <v>1</v>
      </c>
      <c r="N579" s="58"/>
    </row>
    <row r="580" spans="1:14" x14ac:dyDescent="0.2">
      <c r="A580" s="38" t="s">
        <v>14</v>
      </c>
      <c r="B580" s="38" t="s">
        <v>0</v>
      </c>
      <c r="C580" s="38" t="s">
        <v>59</v>
      </c>
      <c r="D580" s="38" t="s">
        <v>5</v>
      </c>
      <c r="E580" s="38" t="s">
        <v>103</v>
      </c>
      <c r="F580" s="51" t="s">
        <v>60</v>
      </c>
      <c r="G580" s="38">
        <v>2</v>
      </c>
      <c r="H580" s="38" t="s">
        <v>17</v>
      </c>
      <c r="I580" s="38" t="s">
        <v>20</v>
      </c>
      <c r="J580" s="38">
        <v>0</v>
      </c>
      <c r="K580" s="39">
        <f>VLOOKUP(I580,'Weights and Confidence'!$D$16:$AC$26,5,FALSE)/COUNTIFS($B:$B,$B580,$C:$C,$C580,$H:$H,$H580,$I:$I,$I580)</f>
        <v>0.08</v>
      </c>
      <c r="L580" s="40">
        <f>VLOOKUP(I580,'Weights and Confidence'!$D$16:$AC$26,6,FALSE)</f>
        <v>0.8</v>
      </c>
      <c r="M580" s="41">
        <f>tScores4[[#This Row],[Raw_Rating_Text]]</f>
        <v>0</v>
      </c>
      <c r="N580" s="38"/>
    </row>
    <row r="581" spans="1:14" x14ac:dyDescent="0.2">
      <c r="A581" s="34" t="s">
        <v>14</v>
      </c>
      <c r="B581" s="34" t="s">
        <v>0</v>
      </c>
      <c r="C581" s="34" t="s">
        <v>59</v>
      </c>
      <c r="D581" s="34" t="s">
        <v>5</v>
      </c>
      <c r="E581" s="34" t="s">
        <v>103</v>
      </c>
      <c r="F581" s="50" t="s">
        <v>60</v>
      </c>
      <c r="G581" s="34">
        <v>2</v>
      </c>
      <c r="H581" s="34" t="s">
        <v>18</v>
      </c>
      <c r="I581" s="34" t="s">
        <v>20</v>
      </c>
      <c r="J581" s="34">
        <v>1</v>
      </c>
      <c r="K581" s="35">
        <f>VLOOKUP(I581,'Weights and Confidence'!$D$16:$AC$26,5,FALSE)/COUNTIFS($B:$B,$B581,$C:$C,$C581,$H:$H,$H581,$I:$I,$I581)</f>
        <v>0.08</v>
      </c>
      <c r="L581" s="36">
        <f>VLOOKUP(I581,'Weights and Confidence'!$D$16:$AC$26,6,FALSE)</f>
        <v>0.8</v>
      </c>
      <c r="M581" s="37">
        <f>tScores4[[#This Row],[Raw_Rating_Text]]</f>
        <v>1</v>
      </c>
      <c r="N581" s="58"/>
    </row>
    <row r="582" spans="1:14" x14ac:dyDescent="0.2">
      <c r="A582" s="38" t="s">
        <v>14</v>
      </c>
      <c r="B582" s="38" t="s">
        <v>0</v>
      </c>
      <c r="C582" s="38" t="s">
        <v>59</v>
      </c>
      <c r="D582" s="38" t="s">
        <v>5</v>
      </c>
      <c r="E582" s="38" t="s">
        <v>103</v>
      </c>
      <c r="F582" s="51" t="s">
        <v>60</v>
      </c>
      <c r="G582" s="38">
        <v>3</v>
      </c>
      <c r="H582" s="38" t="s">
        <v>17</v>
      </c>
      <c r="I582" s="38" t="s">
        <v>21</v>
      </c>
      <c r="J582" s="38">
        <v>1</v>
      </c>
      <c r="K582" s="39">
        <f>VLOOKUP(I582,'Weights and Confidence'!$D$16:$AC$26,5,FALSE)/COUNTIFS($B:$B,$B582,$C:$C,$C582,$H:$H,$H582,$I:$I,$I582)</f>
        <v>0.05</v>
      </c>
      <c r="L582" s="40">
        <f>VLOOKUP(I582,'Weights and Confidence'!$D$16:$AC$26,6,FALSE)</f>
        <v>1</v>
      </c>
      <c r="M582" s="41">
        <f>tScores4[[#This Row],[Raw_Rating_Text]]</f>
        <v>1</v>
      </c>
      <c r="N582" s="38"/>
    </row>
    <row r="583" spans="1:14" x14ac:dyDescent="0.2">
      <c r="A583" s="34" t="s">
        <v>14</v>
      </c>
      <c r="B583" s="34" t="s">
        <v>0</v>
      </c>
      <c r="C583" s="34" t="s">
        <v>59</v>
      </c>
      <c r="D583" s="34" t="s">
        <v>5</v>
      </c>
      <c r="E583" s="34" t="s">
        <v>103</v>
      </c>
      <c r="F583" s="50" t="s">
        <v>60</v>
      </c>
      <c r="G583" s="34">
        <v>3</v>
      </c>
      <c r="H583" s="34" t="s">
        <v>18</v>
      </c>
      <c r="I583" s="34" t="s">
        <v>21</v>
      </c>
      <c r="J583" s="34">
        <v>1</v>
      </c>
      <c r="K583" s="35">
        <f>VLOOKUP(I583,'Weights and Confidence'!$D$16:$AC$26,5,FALSE)/COUNTIFS($B:$B,$B583,$C:$C,$C583,$H:$H,$H583,$I:$I,$I583)</f>
        <v>0.05</v>
      </c>
      <c r="L583" s="36">
        <f>VLOOKUP(I583,'Weights and Confidence'!$D$16:$AC$26,6,FALSE)</f>
        <v>1</v>
      </c>
      <c r="M583" s="37">
        <f>tScores4[[#This Row],[Raw_Rating_Text]]</f>
        <v>1</v>
      </c>
      <c r="N583" s="58"/>
    </row>
    <row r="584" spans="1:14" x14ac:dyDescent="0.2">
      <c r="A584" s="38" t="s">
        <v>14</v>
      </c>
      <c r="B584" s="38" t="s">
        <v>0</v>
      </c>
      <c r="C584" s="38" t="s">
        <v>59</v>
      </c>
      <c r="D584" s="38" t="s">
        <v>5</v>
      </c>
      <c r="E584" s="38" t="s">
        <v>103</v>
      </c>
      <c r="F584" s="51" t="s">
        <v>60</v>
      </c>
      <c r="G584" s="38">
        <v>4</v>
      </c>
      <c r="H584" s="38" t="s">
        <v>17</v>
      </c>
      <c r="I584" s="38" t="s">
        <v>22</v>
      </c>
      <c r="J584" s="38">
        <v>1</v>
      </c>
      <c r="K584" s="39">
        <f>VLOOKUP(I584,'Weights and Confidence'!$D$16:$AC$26,5,FALSE)/COUNTIFS($B:$B,$B584,$C:$C,$C584,$H:$H,$H584,$I:$I,$I584)</f>
        <v>0.14000000000000001</v>
      </c>
      <c r="L584" s="40">
        <f>VLOOKUP(I584,'Weights and Confidence'!$D$16:$AC$26,6,FALSE)</f>
        <v>1</v>
      </c>
      <c r="M584" s="41">
        <f>tScores4[[#This Row],[Raw_Rating_Text]]</f>
        <v>1</v>
      </c>
      <c r="N584" s="38"/>
    </row>
    <row r="585" spans="1:14" x14ac:dyDescent="0.2">
      <c r="A585" s="34" t="s">
        <v>14</v>
      </c>
      <c r="B585" s="34" t="s">
        <v>0</v>
      </c>
      <c r="C585" s="34" t="s">
        <v>59</v>
      </c>
      <c r="D585" s="34" t="s">
        <v>5</v>
      </c>
      <c r="E585" s="34" t="s">
        <v>103</v>
      </c>
      <c r="F585" s="50" t="s">
        <v>60</v>
      </c>
      <c r="G585" s="34">
        <v>4</v>
      </c>
      <c r="H585" s="34" t="s">
        <v>18</v>
      </c>
      <c r="I585" s="34" t="s">
        <v>22</v>
      </c>
      <c r="J585" s="34">
        <v>1</v>
      </c>
      <c r="K585" s="35">
        <f>VLOOKUP(I585,'Weights and Confidence'!$D$16:$AC$26,5,FALSE)/COUNTIFS($B:$B,$B585,$C:$C,$C585,$H:$H,$H585,$I:$I,$I585)</f>
        <v>0.14000000000000001</v>
      </c>
      <c r="L585" s="36">
        <f>VLOOKUP(I585,'Weights and Confidence'!$D$16:$AC$26,6,FALSE)</f>
        <v>1</v>
      </c>
      <c r="M585" s="37">
        <f>tScores4[[#This Row],[Raw_Rating_Text]]</f>
        <v>1</v>
      </c>
      <c r="N585" s="58"/>
    </row>
    <row r="586" spans="1:14" x14ac:dyDescent="0.2">
      <c r="A586" s="38" t="s">
        <v>14</v>
      </c>
      <c r="B586" s="38" t="s">
        <v>0</v>
      </c>
      <c r="C586" s="38" t="s">
        <v>59</v>
      </c>
      <c r="D586" s="38" t="s">
        <v>5</v>
      </c>
      <c r="E586" s="38" t="s">
        <v>103</v>
      </c>
      <c r="F586" s="51" t="s">
        <v>60</v>
      </c>
      <c r="G586" s="38">
        <v>5</v>
      </c>
      <c r="H586" s="38" t="s">
        <v>17</v>
      </c>
      <c r="I586" s="38" t="s">
        <v>23</v>
      </c>
      <c r="J586" s="38">
        <v>1</v>
      </c>
      <c r="K586" s="39">
        <f>VLOOKUP(I586,'Weights and Confidence'!$D$16:$AC$26,5,FALSE)/COUNTIFS($B:$B,$B586,$C:$C,$C586,$H:$H,$H586,$I:$I,$I586)</f>
        <v>0.11</v>
      </c>
      <c r="L586" s="40">
        <f>VLOOKUP(I586,'Weights and Confidence'!$D$16:$AC$26,6,FALSE)</f>
        <v>1</v>
      </c>
      <c r="M586" s="41">
        <f>tScores4[[#This Row],[Raw_Rating_Text]]</f>
        <v>1</v>
      </c>
      <c r="N586" s="38"/>
    </row>
    <row r="587" spans="1:14" x14ac:dyDescent="0.2">
      <c r="A587" s="34" t="s">
        <v>14</v>
      </c>
      <c r="B587" s="34" t="s">
        <v>0</v>
      </c>
      <c r="C587" s="34" t="s">
        <v>59</v>
      </c>
      <c r="D587" s="34" t="s">
        <v>5</v>
      </c>
      <c r="E587" s="34" t="s">
        <v>103</v>
      </c>
      <c r="F587" s="50" t="s">
        <v>60</v>
      </c>
      <c r="G587" s="34">
        <v>5</v>
      </c>
      <c r="H587" s="34" t="s">
        <v>18</v>
      </c>
      <c r="I587" s="34" t="s">
        <v>23</v>
      </c>
      <c r="J587" s="34">
        <v>1</v>
      </c>
      <c r="K587" s="35">
        <f>VLOOKUP(I587,'Weights and Confidence'!$D$16:$AC$26,5,FALSE)/COUNTIFS($B:$B,$B587,$C:$C,$C587,$H:$H,$H587,$I:$I,$I587)</f>
        <v>0.11</v>
      </c>
      <c r="L587" s="36">
        <f>VLOOKUP(I587,'Weights and Confidence'!$D$16:$AC$26,6,FALSE)</f>
        <v>1</v>
      </c>
      <c r="M587" s="37">
        <f>tScores4[[#This Row],[Raw_Rating_Text]]</f>
        <v>1</v>
      </c>
      <c r="N587" s="58"/>
    </row>
    <row r="588" spans="1:14" x14ac:dyDescent="0.2">
      <c r="A588" s="38" t="s">
        <v>14</v>
      </c>
      <c r="B588" s="38" t="s">
        <v>0</v>
      </c>
      <c r="C588" s="38" t="s">
        <v>59</v>
      </c>
      <c r="D588" s="38" t="s">
        <v>5</v>
      </c>
      <c r="E588" s="38" t="s">
        <v>103</v>
      </c>
      <c r="F588" s="51" t="s">
        <v>60</v>
      </c>
      <c r="G588" s="38">
        <v>6</v>
      </c>
      <c r="H588" s="38" t="s">
        <v>17</v>
      </c>
      <c r="I588" s="38" t="s">
        <v>24</v>
      </c>
      <c r="J588" s="38">
        <v>1</v>
      </c>
      <c r="K588" s="39">
        <f>VLOOKUP(I588,'Weights and Confidence'!$D$16:$AC$26,5,FALSE)/COUNTIFS($B:$B,$B588,$C:$C,$C588,$H:$H,$H588,$I:$I,$I588)</f>
        <v>0.15</v>
      </c>
      <c r="L588" s="40">
        <f>VLOOKUP(I588,'Weights and Confidence'!$D$16:$AC$26,6,FALSE)</f>
        <v>1</v>
      </c>
      <c r="M588" s="41">
        <f>tScores4[[#This Row],[Raw_Rating_Text]]</f>
        <v>1</v>
      </c>
      <c r="N588" s="59"/>
    </row>
    <row r="589" spans="1:14" x14ac:dyDescent="0.2">
      <c r="A589" s="34" t="s">
        <v>14</v>
      </c>
      <c r="B589" s="34" t="s">
        <v>0</v>
      </c>
      <c r="C589" s="34" t="s">
        <v>59</v>
      </c>
      <c r="D589" s="34" t="s">
        <v>5</v>
      </c>
      <c r="E589" s="34" t="s">
        <v>103</v>
      </c>
      <c r="F589" s="50" t="s">
        <v>60</v>
      </c>
      <c r="G589" s="34">
        <v>6</v>
      </c>
      <c r="H589" s="34" t="s">
        <v>18</v>
      </c>
      <c r="I589" s="34" t="s">
        <v>24</v>
      </c>
      <c r="J589" s="34">
        <v>1</v>
      </c>
      <c r="K589" s="35">
        <f>VLOOKUP(I589,'Weights and Confidence'!$D$16:$AC$26,5,FALSE)/COUNTIFS($B:$B,$B589,$C:$C,$C589,$H:$H,$H589,$I:$I,$I589)</f>
        <v>0.15</v>
      </c>
      <c r="L589" s="36">
        <f>VLOOKUP(I589,'Weights and Confidence'!$D$16:$AC$26,6,FALSE)</f>
        <v>1</v>
      </c>
      <c r="M589" s="37">
        <f>tScores4[[#This Row],[Raw_Rating_Text]]</f>
        <v>1</v>
      </c>
      <c r="N589" s="58"/>
    </row>
    <row r="590" spans="1:14" x14ac:dyDescent="0.2">
      <c r="A590" s="38" t="s">
        <v>14</v>
      </c>
      <c r="B590" s="38" t="s">
        <v>0</v>
      </c>
      <c r="C590" s="38" t="s">
        <v>59</v>
      </c>
      <c r="D590" s="38" t="s">
        <v>5</v>
      </c>
      <c r="E590" s="38" t="s">
        <v>103</v>
      </c>
      <c r="F590" s="51" t="s">
        <v>60</v>
      </c>
      <c r="G590" s="38">
        <v>7</v>
      </c>
      <c r="H590" s="38" t="s">
        <v>17</v>
      </c>
      <c r="I590" s="38" t="s">
        <v>25</v>
      </c>
      <c r="J590" s="38">
        <v>1</v>
      </c>
      <c r="K590" s="39">
        <f>VLOOKUP(I590,'Weights and Confidence'!$D$16:$AC$26,5,FALSE)/COUNTIFS($B:$B,$B590,$C:$C,$C590,$H:$H,$H590,$I:$I,$I590)</f>
        <v>0.1</v>
      </c>
      <c r="L590" s="40">
        <f>VLOOKUP(I590,'Weights and Confidence'!$D$16:$AC$26,6,FALSE)</f>
        <v>1</v>
      </c>
      <c r="M590" s="41">
        <f>tScores4[[#This Row],[Raw_Rating_Text]]</f>
        <v>1</v>
      </c>
      <c r="N590" s="38"/>
    </row>
    <row r="591" spans="1:14" x14ac:dyDescent="0.2">
      <c r="A591" s="34" t="s">
        <v>14</v>
      </c>
      <c r="B591" s="34" t="s">
        <v>0</v>
      </c>
      <c r="C591" s="34" t="s">
        <v>59</v>
      </c>
      <c r="D591" s="34" t="s">
        <v>5</v>
      </c>
      <c r="E591" s="34" t="s">
        <v>103</v>
      </c>
      <c r="F591" s="50" t="s">
        <v>60</v>
      </c>
      <c r="G591" s="34">
        <v>7</v>
      </c>
      <c r="H591" s="34" t="s">
        <v>18</v>
      </c>
      <c r="I591" s="34" t="s">
        <v>25</v>
      </c>
      <c r="J591" s="34">
        <v>1</v>
      </c>
      <c r="K591" s="35">
        <f>VLOOKUP(I591,'Weights and Confidence'!$D$16:$AC$26,5,FALSE)/COUNTIFS($B:$B,$B591,$C:$C,$C591,$H:$H,$H591,$I:$I,$I591)</f>
        <v>0.1</v>
      </c>
      <c r="L591" s="36">
        <f>VLOOKUP(I591,'Weights and Confidence'!$D$16:$AC$26,6,FALSE)</f>
        <v>1</v>
      </c>
      <c r="M591" s="37">
        <f>tScores4[[#This Row],[Raw_Rating_Text]]</f>
        <v>1</v>
      </c>
      <c r="N591" s="58"/>
    </row>
    <row r="592" spans="1:14" x14ac:dyDescent="0.2">
      <c r="A592" s="38" t="s">
        <v>14</v>
      </c>
      <c r="B592" s="38" t="s">
        <v>0</v>
      </c>
      <c r="C592" s="38" t="s">
        <v>59</v>
      </c>
      <c r="D592" s="38" t="s">
        <v>5</v>
      </c>
      <c r="E592" s="38" t="s">
        <v>103</v>
      </c>
      <c r="F592" s="51" t="s">
        <v>60</v>
      </c>
      <c r="G592" s="38">
        <v>8</v>
      </c>
      <c r="H592" s="38" t="s">
        <v>17</v>
      </c>
      <c r="I592" s="38" t="s">
        <v>26</v>
      </c>
      <c r="J592" s="38">
        <v>1</v>
      </c>
      <c r="K592" s="39">
        <f>VLOOKUP(I592,'Weights and Confidence'!$D$16:$AC$26,5,FALSE)/COUNTIFS($B:$B,$B592,$C:$C,$C592,$H:$H,$H592,$I:$I,$I592)</f>
        <v>0.1</v>
      </c>
      <c r="L592" s="40">
        <f>VLOOKUP(I592,'Weights and Confidence'!$D$16:$AC$26,6,FALSE)</f>
        <v>1</v>
      </c>
      <c r="M592" s="41">
        <f>tScores4[[#This Row],[Raw_Rating_Text]]</f>
        <v>1</v>
      </c>
      <c r="N592" s="38"/>
    </row>
    <row r="593" spans="1:14" x14ac:dyDescent="0.2">
      <c r="A593" s="34" t="s">
        <v>14</v>
      </c>
      <c r="B593" s="34" t="s">
        <v>0</v>
      </c>
      <c r="C593" s="34" t="s">
        <v>59</v>
      </c>
      <c r="D593" s="34" t="s">
        <v>5</v>
      </c>
      <c r="E593" s="34" t="s">
        <v>103</v>
      </c>
      <c r="F593" s="50" t="s">
        <v>60</v>
      </c>
      <c r="G593" s="34">
        <v>8</v>
      </c>
      <c r="H593" s="34" t="s">
        <v>18</v>
      </c>
      <c r="I593" s="34" t="s">
        <v>26</v>
      </c>
      <c r="J593" s="34">
        <v>1</v>
      </c>
      <c r="K593" s="35">
        <f>VLOOKUP(I593,'Weights and Confidence'!$D$16:$AC$26,5,FALSE)/COUNTIFS($B:$B,$B593,$C:$C,$C593,$H:$H,$H593,$I:$I,$I593)</f>
        <v>0.1</v>
      </c>
      <c r="L593" s="36">
        <f>VLOOKUP(I593,'Weights and Confidence'!$D$16:$AC$26,6,FALSE)</f>
        <v>1</v>
      </c>
      <c r="M593" s="37">
        <f>tScores4[[#This Row],[Raw_Rating_Text]]</f>
        <v>1</v>
      </c>
      <c r="N593" s="58"/>
    </row>
    <row r="594" spans="1:14" x14ac:dyDescent="0.2">
      <c r="A594" s="38" t="s">
        <v>14</v>
      </c>
      <c r="B594" s="38" t="s">
        <v>0</v>
      </c>
      <c r="C594" s="38" t="s">
        <v>59</v>
      </c>
      <c r="D594" s="38" t="s">
        <v>5</v>
      </c>
      <c r="E594" s="38" t="s">
        <v>103</v>
      </c>
      <c r="F594" s="51" t="s">
        <v>60</v>
      </c>
      <c r="G594" s="38">
        <v>9</v>
      </c>
      <c r="H594" s="38" t="s">
        <v>17</v>
      </c>
      <c r="I594" s="38" t="s">
        <v>27</v>
      </c>
      <c r="J594" s="38">
        <v>1</v>
      </c>
      <c r="K594" s="39">
        <f>VLOOKUP(I594,'Weights and Confidence'!$D$16:$AC$26,5,FALSE)/COUNTIFS($B:$B,$B594,$C:$C,$C594,$H:$H,$H594,$I:$I,$I594)</f>
        <v>0.05</v>
      </c>
      <c r="L594" s="40">
        <f>VLOOKUP(I594,'Weights and Confidence'!$D$16:$AC$26,6,FALSE)</f>
        <v>0.85</v>
      </c>
      <c r="M594" s="41">
        <f>tScores4[[#This Row],[Raw_Rating_Text]]</f>
        <v>1</v>
      </c>
      <c r="N594" s="38"/>
    </row>
    <row r="595" spans="1:14" x14ac:dyDescent="0.2">
      <c r="A595" s="34" t="s">
        <v>14</v>
      </c>
      <c r="B595" s="34" t="s">
        <v>0</v>
      </c>
      <c r="C595" s="34" t="s">
        <v>59</v>
      </c>
      <c r="D595" s="34" t="s">
        <v>5</v>
      </c>
      <c r="E595" s="34" t="s">
        <v>103</v>
      </c>
      <c r="F595" s="50" t="s">
        <v>60</v>
      </c>
      <c r="G595" s="34">
        <v>9</v>
      </c>
      <c r="H595" s="34" t="s">
        <v>18</v>
      </c>
      <c r="I595" s="34" t="s">
        <v>27</v>
      </c>
      <c r="J595" s="34">
        <v>1</v>
      </c>
      <c r="K595" s="35">
        <f>VLOOKUP(I595,'Weights and Confidence'!$D$16:$AC$26,5,FALSE)/COUNTIFS($B:$B,$B595,$C:$C,$C595,$H:$H,$H595,$I:$I,$I595)</f>
        <v>0.05</v>
      </c>
      <c r="L595" s="36">
        <f>VLOOKUP(I595,'Weights and Confidence'!$D$16:$AC$26,6,FALSE)</f>
        <v>0.85</v>
      </c>
      <c r="M595" s="37">
        <f>tScores4[[#This Row],[Raw_Rating_Text]]</f>
        <v>1</v>
      </c>
      <c r="N595" s="34"/>
    </row>
    <row r="596" spans="1:14" x14ac:dyDescent="0.2">
      <c r="A596" s="38" t="s">
        <v>14</v>
      </c>
      <c r="B596" s="38" t="s">
        <v>0</v>
      </c>
      <c r="C596" s="38" t="s">
        <v>59</v>
      </c>
      <c r="D596" s="38" t="s">
        <v>5</v>
      </c>
      <c r="E596" s="38" t="s">
        <v>103</v>
      </c>
      <c r="F596" s="51" t="s">
        <v>60</v>
      </c>
      <c r="G596" s="38">
        <v>10</v>
      </c>
      <c r="H596" s="38" t="s">
        <v>17</v>
      </c>
      <c r="I596" s="38" t="s">
        <v>27</v>
      </c>
      <c r="J596" s="38">
        <v>0</v>
      </c>
      <c r="K596" s="39">
        <f>VLOOKUP(I596,'Weights and Confidence'!$D$16:$AC$26,5,FALSE)/COUNTIFS($B:$B,$B596,$C:$C,$C596,$H:$H,$H596,$I:$I,$I596)</f>
        <v>0.05</v>
      </c>
      <c r="L596" s="40">
        <f>VLOOKUP(I596,'Weights and Confidence'!$D$16:$AC$26,6,FALSE)</f>
        <v>0.85</v>
      </c>
      <c r="M596" s="41">
        <f>tScores4[[#This Row],[Raw_Rating_Text]]</f>
        <v>0</v>
      </c>
      <c r="N596" s="38"/>
    </row>
    <row r="597" spans="1:14" x14ac:dyDescent="0.2">
      <c r="A597" s="34" t="s">
        <v>14</v>
      </c>
      <c r="B597" s="34" t="s">
        <v>0</v>
      </c>
      <c r="C597" s="34" t="s">
        <v>59</v>
      </c>
      <c r="D597" s="34" t="s">
        <v>5</v>
      </c>
      <c r="E597" s="34" t="s">
        <v>103</v>
      </c>
      <c r="F597" s="50" t="s">
        <v>60</v>
      </c>
      <c r="G597" s="34">
        <v>10</v>
      </c>
      <c r="H597" s="34" t="s">
        <v>18</v>
      </c>
      <c r="I597" s="34" t="s">
        <v>27</v>
      </c>
      <c r="J597" s="34">
        <v>1</v>
      </c>
      <c r="K597" s="35">
        <f>VLOOKUP(I597,'Weights and Confidence'!$D$16:$AC$26,5,FALSE)/COUNTIFS($B:$B,$B597,$C:$C,$C597,$H:$H,$H597,$I:$I,$I597)</f>
        <v>0.05</v>
      </c>
      <c r="L597" s="36">
        <f>VLOOKUP(I597,'Weights and Confidence'!$D$16:$AC$26,6,FALSE)</f>
        <v>0.85</v>
      </c>
      <c r="M597" s="37">
        <f>tScores4[[#This Row],[Raw_Rating_Text]]</f>
        <v>1</v>
      </c>
      <c r="N597" s="34"/>
    </row>
    <row r="598" spans="1:14" x14ac:dyDescent="0.2">
      <c r="A598" s="38" t="s">
        <v>14</v>
      </c>
      <c r="B598" s="38" t="s">
        <v>0</v>
      </c>
      <c r="C598" s="38" t="s">
        <v>59</v>
      </c>
      <c r="D598" s="38" t="s">
        <v>5</v>
      </c>
      <c r="E598" s="38" t="s">
        <v>103</v>
      </c>
      <c r="F598" s="51" t="s">
        <v>60</v>
      </c>
      <c r="G598" s="38">
        <v>11</v>
      </c>
      <c r="H598" s="38" t="s">
        <v>17</v>
      </c>
      <c r="I598" s="38" t="s">
        <v>28</v>
      </c>
      <c r="J598" s="38">
        <v>1</v>
      </c>
      <c r="K598" s="39">
        <f>VLOOKUP(I598,'Weights and Confidence'!$D$16:$AC$26,5,FALSE)/COUNTIFS($B:$B,$B598,$C:$C,$C598,$H:$H,$H598,$I:$I,$I598)</f>
        <v>0.05</v>
      </c>
      <c r="L598" s="40">
        <f>VLOOKUP(I598,'Weights and Confidence'!$D$16:$AC$26,6,FALSE)</f>
        <v>1</v>
      </c>
      <c r="M598" s="41">
        <f>tScores4[[#This Row],[Raw_Rating_Text]]</f>
        <v>1</v>
      </c>
      <c r="N598" s="38"/>
    </row>
    <row r="599" spans="1:14" ht="17" thickBot="1" x14ac:dyDescent="0.25">
      <c r="A599" s="34" t="s">
        <v>14</v>
      </c>
      <c r="B599" s="34" t="s">
        <v>0</v>
      </c>
      <c r="C599" s="34" t="s">
        <v>59</v>
      </c>
      <c r="D599" s="34" t="s">
        <v>5</v>
      </c>
      <c r="E599" s="34" t="s">
        <v>103</v>
      </c>
      <c r="F599" s="50" t="s">
        <v>60</v>
      </c>
      <c r="G599" s="34">
        <v>11</v>
      </c>
      <c r="H599" s="34" t="s">
        <v>18</v>
      </c>
      <c r="I599" s="34" t="s">
        <v>28</v>
      </c>
      <c r="J599" s="34">
        <v>1</v>
      </c>
      <c r="K599" s="35">
        <f>VLOOKUP(I599,'Weights and Confidence'!$D$16:$AC$26,5,FALSE)/COUNTIFS($B:$B,$B599,$C:$C,$C599,$H:$H,$H599,$I:$I,$I599)</f>
        <v>0.05</v>
      </c>
      <c r="L599" s="36">
        <f>VLOOKUP(I599,'Weights and Confidence'!$D$16:$AC$26,6,FALSE)</f>
        <v>1</v>
      </c>
      <c r="M599" s="37">
        <f>tScores4[[#This Row],[Raw_Rating_Text]]</f>
        <v>1</v>
      </c>
      <c r="N599" s="58" t="s">
        <v>125</v>
      </c>
    </row>
    <row r="600" spans="1:14" ht="17" thickTop="1" x14ac:dyDescent="0.2">
      <c r="A600" s="42" t="s">
        <v>14</v>
      </c>
      <c r="B600" s="42" t="s">
        <v>0</v>
      </c>
      <c r="C600" s="42" t="s">
        <v>144</v>
      </c>
      <c r="D600" s="42" t="s">
        <v>5</v>
      </c>
      <c r="E600" s="42"/>
      <c r="F600" s="49" t="s">
        <v>145</v>
      </c>
      <c r="G600" s="42">
        <v>1</v>
      </c>
      <c r="H600" s="42" t="s">
        <v>17</v>
      </c>
      <c r="I600" s="42" t="s">
        <v>19</v>
      </c>
      <c r="J600" s="42">
        <v>1</v>
      </c>
      <c r="K600" s="44">
        <f>VLOOKUP(I600,'Weights and Confidence'!$D$16:$AC$26,5,FALSE)/COUNTIFS($B:$B,$B600,$C:$C,$C600,$H:$H,$H600,$I:$I,$I600)</f>
        <v>0.12</v>
      </c>
      <c r="L600" s="45">
        <f>VLOOKUP(I600,'Weights and Confidence'!$D$16:$AC$26,6,FALSE)</f>
        <v>1</v>
      </c>
      <c r="M600" s="46">
        <f>tScores4[[#This Row],[Raw_Rating_Text]]</f>
        <v>1</v>
      </c>
      <c r="N600" s="29"/>
    </row>
    <row r="601" spans="1:14" x14ac:dyDescent="0.2">
      <c r="A601" s="34" t="s">
        <v>14</v>
      </c>
      <c r="B601" s="34" t="s">
        <v>0</v>
      </c>
      <c r="C601" s="34" t="s">
        <v>144</v>
      </c>
      <c r="D601" s="34" t="s">
        <v>5</v>
      </c>
      <c r="E601" s="34"/>
      <c r="F601" s="50" t="s">
        <v>145</v>
      </c>
      <c r="G601" s="34">
        <v>1</v>
      </c>
      <c r="H601" s="34" t="s">
        <v>18</v>
      </c>
      <c r="I601" s="34" t="s">
        <v>19</v>
      </c>
      <c r="J601" s="34">
        <v>1</v>
      </c>
      <c r="K601" s="35">
        <f>VLOOKUP(I601,'Weights and Confidence'!$D$16:$AC$26,5,FALSE)/COUNTIFS($B:$B,$B601,$C:$C,$C601,$H:$H,$H601,$I:$I,$I601)</f>
        <v>0.12</v>
      </c>
      <c r="L601" s="36">
        <f>VLOOKUP(I601,'Weights and Confidence'!$D$16:$AC$26,6,FALSE)</f>
        <v>1</v>
      </c>
      <c r="M601" s="37">
        <f>tScores4[[#This Row],[Raw_Rating_Text]]</f>
        <v>1</v>
      </c>
      <c r="N601" s="58"/>
    </row>
    <row r="602" spans="1:14" x14ac:dyDescent="0.2">
      <c r="A602" s="38" t="s">
        <v>14</v>
      </c>
      <c r="B602" s="38" t="s">
        <v>0</v>
      </c>
      <c r="C602" s="38" t="s">
        <v>144</v>
      </c>
      <c r="D602" s="38" t="s">
        <v>5</v>
      </c>
      <c r="E602" s="38"/>
      <c r="F602" s="51" t="s">
        <v>145</v>
      </c>
      <c r="G602" s="38">
        <v>2</v>
      </c>
      <c r="H602" s="38" t="s">
        <v>17</v>
      </c>
      <c r="I602" s="38" t="s">
        <v>20</v>
      </c>
      <c r="J602" s="38">
        <v>1</v>
      </c>
      <c r="K602" s="39">
        <f>VLOOKUP(I602,'Weights and Confidence'!$D$16:$AC$26,5,FALSE)/COUNTIFS($B:$B,$B602,$C:$C,$C602,$H:$H,$H602,$I:$I,$I602)</f>
        <v>0.08</v>
      </c>
      <c r="L602" s="40">
        <f>VLOOKUP(I602,'Weights and Confidence'!$D$16:$AC$26,6,FALSE)</f>
        <v>0.8</v>
      </c>
      <c r="M602" s="41">
        <f>tScores4[[#This Row],[Raw_Rating_Text]]</f>
        <v>1</v>
      </c>
      <c r="N602" s="38"/>
    </row>
    <row r="603" spans="1:14" x14ac:dyDescent="0.2">
      <c r="A603" s="34" t="s">
        <v>14</v>
      </c>
      <c r="B603" s="34" t="s">
        <v>0</v>
      </c>
      <c r="C603" s="34" t="s">
        <v>144</v>
      </c>
      <c r="D603" s="34" t="s">
        <v>5</v>
      </c>
      <c r="E603" s="34"/>
      <c r="F603" s="50" t="s">
        <v>145</v>
      </c>
      <c r="G603" s="34">
        <v>2</v>
      </c>
      <c r="H603" s="34" t="s">
        <v>18</v>
      </c>
      <c r="I603" s="34" t="s">
        <v>20</v>
      </c>
      <c r="J603" s="34">
        <v>1</v>
      </c>
      <c r="K603" s="35">
        <f>VLOOKUP(I603,'Weights and Confidence'!$D$16:$AC$26,5,FALSE)/COUNTIFS($B:$B,$B603,$C:$C,$C603,$H:$H,$H603,$I:$I,$I603)</f>
        <v>0.08</v>
      </c>
      <c r="L603" s="36">
        <f>VLOOKUP(I603,'Weights and Confidence'!$D$16:$AC$26,6,FALSE)</f>
        <v>0.8</v>
      </c>
      <c r="M603" s="37">
        <f>tScores4[[#This Row],[Raw_Rating_Text]]</f>
        <v>1</v>
      </c>
      <c r="N603" s="58"/>
    </row>
    <row r="604" spans="1:14" x14ac:dyDescent="0.2">
      <c r="A604" s="38" t="s">
        <v>14</v>
      </c>
      <c r="B604" s="38" t="s">
        <v>0</v>
      </c>
      <c r="C604" s="38" t="s">
        <v>144</v>
      </c>
      <c r="D604" s="38" t="s">
        <v>5</v>
      </c>
      <c r="E604" s="38"/>
      <c r="F604" s="51" t="s">
        <v>145</v>
      </c>
      <c r="G604" s="38">
        <v>3</v>
      </c>
      <c r="H604" s="38" t="s">
        <v>17</v>
      </c>
      <c r="I604" s="38" t="s">
        <v>21</v>
      </c>
      <c r="J604" s="38">
        <v>1</v>
      </c>
      <c r="K604" s="39">
        <f>VLOOKUP(I604,'Weights and Confidence'!$D$16:$AC$26,5,FALSE)/COUNTIFS($B:$B,$B604,$C:$C,$C604,$H:$H,$H604,$I:$I,$I604)</f>
        <v>0.05</v>
      </c>
      <c r="L604" s="40">
        <f>VLOOKUP(I604,'Weights and Confidence'!$D$16:$AC$26,6,FALSE)</f>
        <v>1</v>
      </c>
      <c r="M604" s="41">
        <f>tScores4[[#This Row],[Raw_Rating_Text]]</f>
        <v>1</v>
      </c>
      <c r="N604" s="38"/>
    </row>
    <row r="605" spans="1:14" x14ac:dyDescent="0.2">
      <c r="A605" s="34" t="s">
        <v>14</v>
      </c>
      <c r="B605" s="34" t="s">
        <v>0</v>
      </c>
      <c r="C605" s="34" t="s">
        <v>144</v>
      </c>
      <c r="D605" s="34" t="s">
        <v>5</v>
      </c>
      <c r="E605" s="34"/>
      <c r="F605" s="50" t="s">
        <v>145</v>
      </c>
      <c r="G605" s="34">
        <v>3</v>
      </c>
      <c r="H605" s="34" t="s">
        <v>18</v>
      </c>
      <c r="I605" s="34" t="s">
        <v>21</v>
      </c>
      <c r="J605" s="34">
        <v>1</v>
      </c>
      <c r="K605" s="35">
        <f>VLOOKUP(I605,'Weights and Confidence'!$D$16:$AC$26,5,FALSE)/COUNTIFS($B:$B,$B605,$C:$C,$C605,$H:$H,$H605,$I:$I,$I605)</f>
        <v>0.05</v>
      </c>
      <c r="L605" s="36">
        <f>VLOOKUP(I605,'Weights and Confidence'!$D$16:$AC$26,6,FALSE)</f>
        <v>1</v>
      </c>
      <c r="M605" s="37">
        <f>tScores4[[#This Row],[Raw_Rating_Text]]</f>
        <v>1</v>
      </c>
      <c r="N605" s="58" t="s">
        <v>146</v>
      </c>
    </row>
    <row r="606" spans="1:14" x14ac:dyDescent="0.2">
      <c r="A606" s="38" t="s">
        <v>14</v>
      </c>
      <c r="B606" s="38" t="s">
        <v>0</v>
      </c>
      <c r="C606" s="38" t="s">
        <v>144</v>
      </c>
      <c r="D606" s="38" t="s">
        <v>5</v>
      </c>
      <c r="E606" s="38"/>
      <c r="F606" s="51" t="s">
        <v>145</v>
      </c>
      <c r="G606" s="38">
        <v>4</v>
      </c>
      <c r="H606" s="38" t="s">
        <v>17</v>
      </c>
      <c r="I606" s="38" t="s">
        <v>22</v>
      </c>
      <c r="J606" s="38">
        <v>1</v>
      </c>
      <c r="K606" s="39">
        <f>VLOOKUP(I606,'Weights and Confidence'!$D$16:$AC$26,5,FALSE)/COUNTIFS($B:$B,$B606,$C:$C,$C606,$H:$H,$H606,$I:$I,$I606)</f>
        <v>0.14000000000000001</v>
      </c>
      <c r="L606" s="40">
        <f>VLOOKUP(I606,'Weights and Confidence'!$D$16:$AC$26,6,FALSE)</f>
        <v>1</v>
      </c>
      <c r="M606" s="41">
        <f>tScores4[[#This Row],[Raw_Rating_Text]]</f>
        <v>1</v>
      </c>
      <c r="N606" s="38"/>
    </row>
    <row r="607" spans="1:14" x14ac:dyDescent="0.2">
      <c r="A607" s="34" t="s">
        <v>14</v>
      </c>
      <c r="B607" s="34" t="s">
        <v>0</v>
      </c>
      <c r="C607" s="34" t="s">
        <v>144</v>
      </c>
      <c r="D607" s="34" t="s">
        <v>5</v>
      </c>
      <c r="E607" s="34"/>
      <c r="F607" s="50" t="s">
        <v>145</v>
      </c>
      <c r="G607" s="34">
        <v>4</v>
      </c>
      <c r="H607" s="34" t="s">
        <v>18</v>
      </c>
      <c r="I607" s="34" t="s">
        <v>22</v>
      </c>
      <c r="J607" s="34">
        <v>1</v>
      </c>
      <c r="K607" s="35">
        <f>VLOOKUP(I607,'Weights and Confidence'!$D$16:$AC$26,5,FALSE)/COUNTIFS($B:$B,$B607,$C:$C,$C607,$H:$H,$H607,$I:$I,$I607)</f>
        <v>0.14000000000000001</v>
      </c>
      <c r="L607" s="36">
        <f>VLOOKUP(I607,'Weights and Confidence'!$D$16:$AC$26,6,FALSE)</f>
        <v>1</v>
      </c>
      <c r="M607" s="37">
        <f>tScores4[[#This Row],[Raw_Rating_Text]]</f>
        <v>1</v>
      </c>
      <c r="N607" s="58"/>
    </row>
    <row r="608" spans="1:14" x14ac:dyDescent="0.2">
      <c r="A608" s="38" t="s">
        <v>14</v>
      </c>
      <c r="B608" s="38" t="s">
        <v>0</v>
      </c>
      <c r="C608" s="38" t="s">
        <v>144</v>
      </c>
      <c r="D608" s="38" t="s">
        <v>5</v>
      </c>
      <c r="E608" s="38"/>
      <c r="F608" s="51" t="s">
        <v>145</v>
      </c>
      <c r="G608" s="38">
        <v>5</v>
      </c>
      <c r="H608" s="38" t="s">
        <v>17</v>
      </c>
      <c r="I608" s="38" t="s">
        <v>23</v>
      </c>
      <c r="J608" s="38">
        <v>1</v>
      </c>
      <c r="K608" s="39">
        <f>VLOOKUP(I608,'Weights and Confidence'!$D$16:$AC$26,5,FALSE)/COUNTIFS($B:$B,$B608,$C:$C,$C608,$H:$H,$H608,$I:$I,$I608)</f>
        <v>0.11</v>
      </c>
      <c r="L608" s="40">
        <f>VLOOKUP(I608,'Weights and Confidence'!$D$16:$AC$26,6,FALSE)</f>
        <v>1</v>
      </c>
      <c r="M608" s="41">
        <f>tScores4[[#This Row],[Raw_Rating_Text]]</f>
        <v>1</v>
      </c>
      <c r="N608" s="38"/>
    </row>
    <row r="609" spans="1:14" x14ac:dyDescent="0.2">
      <c r="A609" s="34" t="s">
        <v>14</v>
      </c>
      <c r="B609" s="34" t="s">
        <v>0</v>
      </c>
      <c r="C609" s="34" t="s">
        <v>144</v>
      </c>
      <c r="D609" s="34" t="s">
        <v>5</v>
      </c>
      <c r="E609" s="34"/>
      <c r="F609" s="50" t="s">
        <v>145</v>
      </c>
      <c r="G609" s="34">
        <v>5</v>
      </c>
      <c r="H609" s="34" t="s">
        <v>18</v>
      </c>
      <c r="I609" s="34" t="s">
        <v>23</v>
      </c>
      <c r="J609" s="34">
        <v>1</v>
      </c>
      <c r="K609" s="35">
        <f>VLOOKUP(I609,'Weights and Confidence'!$D$16:$AC$26,5,FALSE)/COUNTIFS($B:$B,$B609,$C:$C,$C609,$H:$H,$H609,$I:$I,$I609)</f>
        <v>0.11</v>
      </c>
      <c r="L609" s="36">
        <f>VLOOKUP(I609,'Weights and Confidence'!$D$16:$AC$26,6,FALSE)</f>
        <v>1</v>
      </c>
      <c r="M609" s="37">
        <f>tScores4[[#This Row],[Raw_Rating_Text]]</f>
        <v>1</v>
      </c>
      <c r="N609" s="58"/>
    </row>
    <row r="610" spans="1:14" x14ac:dyDescent="0.2">
      <c r="A610" s="38" t="s">
        <v>14</v>
      </c>
      <c r="B610" s="38" t="s">
        <v>0</v>
      </c>
      <c r="C610" s="38" t="s">
        <v>144</v>
      </c>
      <c r="D610" s="38" t="s">
        <v>5</v>
      </c>
      <c r="E610" s="38"/>
      <c r="F610" s="51" t="s">
        <v>145</v>
      </c>
      <c r="G610" s="38">
        <v>6</v>
      </c>
      <c r="H610" s="38" t="s">
        <v>17</v>
      </c>
      <c r="I610" s="38" t="s">
        <v>24</v>
      </c>
      <c r="J610" s="38">
        <v>1</v>
      </c>
      <c r="K610" s="39">
        <f>VLOOKUP(I610,'Weights and Confidence'!$D$16:$AC$26,5,FALSE)/COUNTIFS($B:$B,$B610,$C:$C,$C610,$H:$H,$H610,$I:$I,$I610)</f>
        <v>0.15</v>
      </c>
      <c r="L610" s="40">
        <f>VLOOKUP(I610,'Weights and Confidence'!$D$16:$AC$26,6,FALSE)</f>
        <v>1</v>
      </c>
      <c r="M610" s="41">
        <f>tScores4[[#This Row],[Raw_Rating_Text]]</f>
        <v>1</v>
      </c>
      <c r="N610" s="59"/>
    </row>
    <row r="611" spans="1:14" x14ac:dyDescent="0.2">
      <c r="A611" s="34" t="s">
        <v>14</v>
      </c>
      <c r="B611" s="34" t="s">
        <v>0</v>
      </c>
      <c r="C611" s="34" t="s">
        <v>144</v>
      </c>
      <c r="D611" s="34" t="s">
        <v>5</v>
      </c>
      <c r="E611" s="34"/>
      <c r="F611" s="50" t="s">
        <v>145</v>
      </c>
      <c r="G611" s="34">
        <v>6</v>
      </c>
      <c r="H611" s="34" t="s">
        <v>18</v>
      </c>
      <c r="I611" s="34" t="s">
        <v>24</v>
      </c>
      <c r="J611" s="34">
        <v>0</v>
      </c>
      <c r="K611" s="35">
        <f>VLOOKUP(I611,'Weights and Confidence'!$D$16:$AC$26,5,FALSE)/COUNTIFS($B:$B,$B611,$C:$C,$C611,$H:$H,$H611,$I:$I,$I611)</f>
        <v>0.15</v>
      </c>
      <c r="L611" s="36">
        <f>VLOOKUP(I611,'Weights and Confidence'!$D$16:$AC$26,6,FALSE)</f>
        <v>1</v>
      </c>
      <c r="M611" s="37">
        <f>tScores4[[#This Row],[Raw_Rating_Text]]</f>
        <v>0</v>
      </c>
      <c r="N611" s="58" t="s">
        <v>147</v>
      </c>
    </row>
    <row r="612" spans="1:14" x14ac:dyDescent="0.2">
      <c r="A612" s="38" t="s">
        <v>14</v>
      </c>
      <c r="B612" s="38" t="s">
        <v>0</v>
      </c>
      <c r="C612" s="38" t="s">
        <v>144</v>
      </c>
      <c r="D612" s="38" t="s">
        <v>5</v>
      </c>
      <c r="E612" s="38"/>
      <c r="F612" s="51" t="s">
        <v>145</v>
      </c>
      <c r="G612" s="38">
        <v>7</v>
      </c>
      <c r="H612" s="38" t="s">
        <v>17</v>
      </c>
      <c r="I612" s="38" t="s">
        <v>25</v>
      </c>
      <c r="J612" s="38">
        <v>1</v>
      </c>
      <c r="K612" s="39">
        <f>VLOOKUP(I612,'Weights and Confidence'!$D$16:$AC$26,5,FALSE)/COUNTIFS($B:$B,$B612,$C:$C,$C612,$H:$H,$H612,$I:$I,$I612)</f>
        <v>0.1</v>
      </c>
      <c r="L612" s="40">
        <f>VLOOKUP(I612,'Weights and Confidence'!$D$16:$AC$26,6,FALSE)</f>
        <v>1</v>
      </c>
      <c r="M612" s="41">
        <f>tScores4[[#This Row],[Raw_Rating_Text]]</f>
        <v>1</v>
      </c>
      <c r="N612" s="38"/>
    </row>
    <row r="613" spans="1:14" x14ac:dyDescent="0.2">
      <c r="A613" s="34" t="s">
        <v>14</v>
      </c>
      <c r="B613" s="34" t="s">
        <v>0</v>
      </c>
      <c r="C613" s="34" t="s">
        <v>144</v>
      </c>
      <c r="D613" s="34" t="s">
        <v>5</v>
      </c>
      <c r="E613" s="34"/>
      <c r="F613" s="50" t="s">
        <v>145</v>
      </c>
      <c r="G613" s="34">
        <v>7</v>
      </c>
      <c r="H613" s="34" t="s">
        <v>18</v>
      </c>
      <c r="I613" s="34" t="s">
        <v>25</v>
      </c>
      <c r="J613" s="34">
        <v>1</v>
      </c>
      <c r="K613" s="35">
        <f>VLOOKUP(I613,'Weights and Confidence'!$D$16:$AC$26,5,FALSE)/COUNTIFS($B:$B,$B613,$C:$C,$C613,$H:$H,$H613,$I:$I,$I613)</f>
        <v>0.1</v>
      </c>
      <c r="L613" s="36">
        <f>VLOOKUP(I613,'Weights and Confidence'!$D$16:$AC$26,6,FALSE)</f>
        <v>1</v>
      </c>
      <c r="M613" s="37">
        <f>tScores4[[#This Row],[Raw_Rating_Text]]</f>
        <v>1</v>
      </c>
      <c r="N613" s="58"/>
    </row>
    <row r="614" spans="1:14" x14ac:dyDescent="0.2">
      <c r="A614" s="38" t="s">
        <v>14</v>
      </c>
      <c r="B614" s="38" t="s">
        <v>0</v>
      </c>
      <c r="C614" s="38" t="s">
        <v>144</v>
      </c>
      <c r="D614" s="38" t="s">
        <v>5</v>
      </c>
      <c r="E614" s="38"/>
      <c r="F614" s="51" t="s">
        <v>145</v>
      </c>
      <c r="G614" s="38">
        <v>8</v>
      </c>
      <c r="H614" s="38" t="s">
        <v>17</v>
      </c>
      <c r="I614" s="38" t="s">
        <v>26</v>
      </c>
      <c r="J614" s="38">
        <v>0</v>
      </c>
      <c r="K614" s="39">
        <f>VLOOKUP(I614,'Weights and Confidence'!$D$16:$AC$26,5,FALSE)/COUNTIFS($B:$B,$B614,$C:$C,$C614,$H:$H,$H614,$I:$I,$I614)</f>
        <v>0.1</v>
      </c>
      <c r="L614" s="40">
        <f>VLOOKUP(I614,'Weights and Confidence'!$D$16:$AC$26,6,FALSE)</f>
        <v>1</v>
      </c>
      <c r="M614" s="41">
        <f>tScores4[[#This Row],[Raw_Rating_Text]]</f>
        <v>0</v>
      </c>
      <c r="N614" s="38"/>
    </row>
    <row r="615" spans="1:14" x14ac:dyDescent="0.2">
      <c r="A615" s="34" t="s">
        <v>14</v>
      </c>
      <c r="B615" s="34" t="s">
        <v>0</v>
      </c>
      <c r="C615" s="34" t="s">
        <v>144</v>
      </c>
      <c r="D615" s="34" t="s">
        <v>5</v>
      </c>
      <c r="E615" s="34"/>
      <c r="F615" s="50" t="s">
        <v>145</v>
      </c>
      <c r="G615" s="34">
        <v>8</v>
      </c>
      <c r="H615" s="34" t="s">
        <v>18</v>
      </c>
      <c r="I615" s="34" t="s">
        <v>26</v>
      </c>
      <c r="J615" s="34">
        <v>1</v>
      </c>
      <c r="K615" s="35">
        <f>VLOOKUP(I615,'Weights and Confidence'!$D$16:$AC$26,5,FALSE)/COUNTIFS($B:$B,$B615,$C:$C,$C615,$H:$H,$H615,$I:$I,$I615)</f>
        <v>0.1</v>
      </c>
      <c r="L615" s="36">
        <f>VLOOKUP(I615,'Weights and Confidence'!$D$16:$AC$26,6,FALSE)</f>
        <v>1</v>
      </c>
      <c r="M615" s="37">
        <f>tScores4[[#This Row],[Raw_Rating_Text]]</f>
        <v>1</v>
      </c>
      <c r="N615" s="58"/>
    </row>
    <row r="616" spans="1:14" x14ac:dyDescent="0.2">
      <c r="A616" s="38" t="s">
        <v>14</v>
      </c>
      <c r="B616" s="38" t="s">
        <v>0</v>
      </c>
      <c r="C616" s="38" t="s">
        <v>144</v>
      </c>
      <c r="D616" s="38" t="s">
        <v>5</v>
      </c>
      <c r="E616" s="38"/>
      <c r="F616" s="51" t="s">
        <v>145</v>
      </c>
      <c r="G616" s="38">
        <v>9</v>
      </c>
      <c r="H616" s="38" t="s">
        <v>17</v>
      </c>
      <c r="I616" s="38" t="s">
        <v>27</v>
      </c>
      <c r="J616" s="38">
        <v>0</v>
      </c>
      <c r="K616" s="39">
        <f>VLOOKUP(I616,'Weights and Confidence'!$D$16:$AC$26,5,FALSE)/COUNTIFS($B:$B,$B616,$C:$C,$C616,$H:$H,$H616,$I:$I,$I616)</f>
        <v>0.05</v>
      </c>
      <c r="L616" s="40">
        <f>VLOOKUP(I616,'Weights and Confidence'!$D$16:$AC$26,6,FALSE)</f>
        <v>0.85</v>
      </c>
      <c r="M616" s="41">
        <f>tScores4[[#This Row],[Raw_Rating_Text]]</f>
        <v>0</v>
      </c>
      <c r="N616" s="38"/>
    </row>
    <row r="617" spans="1:14" x14ac:dyDescent="0.2">
      <c r="A617" s="34" t="s">
        <v>14</v>
      </c>
      <c r="B617" s="34" t="s">
        <v>0</v>
      </c>
      <c r="C617" s="34" t="s">
        <v>144</v>
      </c>
      <c r="D617" s="34" t="s">
        <v>5</v>
      </c>
      <c r="E617" s="34"/>
      <c r="F617" s="50" t="s">
        <v>145</v>
      </c>
      <c r="G617" s="34">
        <v>9</v>
      </c>
      <c r="H617" s="34" t="s">
        <v>18</v>
      </c>
      <c r="I617" s="34" t="s">
        <v>27</v>
      </c>
      <c r="J617" s="34">
        <v>1</v>
      </c>
      <c r="K617" s="35">
        <f>VLOOKUP(I617,'Weights and Confidence'!$D$16:$AC$26,5,FALSE)/COUNTIFS($B:$B,$B617,$C:$C,$C617,$H:$H,$H617,$I:$I,$I617)</f>
        <v>0.05</v>
      </c>
      <c r="L617" s="36">
        <f>VLOOKUP(I617,'Weights and Confidence'!$D$16:$AC$26,6,FALSE)</f>
        <v>0.85</v>
      </c>
      <c r="M617" s="37">
        <f>tScores4[[#This Row],[Raw_Rating_Text]]</f>
        <v>1</v>
      </c>
      <c r="N617" s="34"/>
    </row>
    <row r="618" spans="1:14" x14ac:dyDescent="0.2">
      <c r="A618" s="38" t="s">
        <v>14</v>
      </c>
      <c r="B618" s="38" t="s">
        <v>0</v>
      </c>
      <c r="C618" s="38" t="s">
        <v>144</v>
      </c>
      <c r="D618" s="38" t="s">
        <v>5</v>
      </c>
      <c r="E618" s="38"/>
      <c r="F618" s="51" t="s">
        <v>145</v>
      </c>
      <c r="G618" s="38">
        <v>10</v>
      </c>
      <c r="H618" s="38" t="s">
        <v>17</v>
      </c>
      <c r="I618" s="38" t="s">
        <v>27</v>
      </c>
      <c r="J618" s="38">
        <v>0</v>
      </c>
      <c r="K618" s="39">
        <f>VLOOKUP(I618,'Weights and Confidence'!$D$16:$AC$26,5,FALSE)/COUNTIFS($B:$B,$B618,$C:$C,$C618,$H:$H,$H618,$I:$I,$I618)</f>
        <v>0.05</v>
      </c>
      <c r="L618" s="40">
        <f>VLOOKUP(I618,'Weights and Confidence'!$D$16:$AC$26,6,FALSE)</f>
        <v>0.85</v>
      </c>
      <c r="M618" s="41">
        <f>tScores4[[#This Row],[Raw_Rating_Text]]</f>
        <v>0</v>
      </c>
      <c r="N618" s="38"/>
    </row>
    <row r="619" spans="1:14" x14ac:dyDescent="0.2">
      <c r="A619" s="34" t="s">
        <v>14</v>
      </c>
      <c r="B619" s="34" t="s">
        <v>0</v>
      </c>
      <c r="C619" s="34" t="s">
        <v>144</v>
      </c>
      <c r="D619" s="34" t="s">
        <v>5</v>
      </c>
      <c r="E619" s="34"/>
      <c r="F619" s="50" t="s">
        <v>145</v>
      </c>
      <c r="G619" s="34">
        <v>10</v>
      </c>
      <c r="H619" s="34" t="s">
        <v>18</v>
      </c>
      <c r="I619" s="34" t="s">
        <v>27</v>
      </c>
      <c r="J619" s="34">
        <v>1</v>
      </c>
      <c r="K619" s="35">
        <f>VLOOKUP(I619,'Weights and Confidence'!$D$16:$AC$26,5,FALSE)/COUNTIFS($B:$B,$B619,$C:$C,$C619,$H:$H,$H619,$I:$I,$I619)</f>
        <v>0.05</v>
      </c>
      <c r="L619" s="36">
        <f>VLOOKUP(I619,'Weights and Confidence'!$D$16:$AC$26,6,FALSE)</f>
        <v>0.85</v>
      </c>
      <c r="M619" s="37">
        <f>tScores4[[#This Row],[Raw_Rating_Text]]</f>
        <v>1</v>
      </c>
      <c r="N619" s="34"/>
    </row>
    <row r="620" spans="1:14" x14ac:dyDescent="0.2">
      <c r="A620" s="38" t="s">
        <v>14</v>
      </c>
      <c r="B620" s="38" t="s">
        <v>0</v>
      </c>
      <c r="C620" s="38" t="s">
        <v>144</v>
      </c>
      <c r="D620" s="38" t="s">
        <v>5</v>
      </c>
      <c r="E620" s="38"/>
      <c r="F620" s="51" t="s">
        <v>145</v>
      </c>
      <c r="G620" s="38">
        <v>11</v>
      </c>
      <c r="H620" s="38" t="s">
        <v>17</v>
      </c>
      <c r="I620" s="38" t="s">
        <v>28</v>
      </c>
      <c r="J620" s="38">
        <v>0</v>
      </c>
      <c r="K620" s="39">
        <f>VLOOKUP(I620,'Weights and Confidence'!$D$16:$AC$26,5,FALSE)/COUNTIFS($B:$B,$B620,$C:$C,$C620,$H:$H,$H620,$I:$I,$I620)</f>
        <v>0.05</v>
      </c>
      <c r="L620" s="40">
        <f>VLOOKUP(I620,'Weights and Confidence'!$D$16:$AC$26,6,FALSE)</f>
        <v>1</v>
      </c>
      <c r="M620" s="41">
        <f>tScores4[[#This Row],[Raw_Rating_Text]]</f>
        <v>0</v>
      </c>
      <c r="N620" s="38"/>
    </row>
    <row r="621" spans="1:14" ht="17" thickBot="1" x14ac:dyDescent="0.25">
      <c r="A621" s="34" t="s">
        <v>14</v>
      </c>
      <c r="B621" s="34" t="s">
        <v>0</v>
      </c>
      <c r="C621" s="34" t="s">
        <v>144</v>
      </c>
      <c r="D621" s="34" t="s">
        <v>5</v>
      </c>
      <c r="E621" s="34"/>
      <c r="F621" s="50" t="s">
        <v>145</v>
      </c>
      <c r="G621" s="34">
        <v>11</v>
      </c>
      <c r="H621" s="34" t="s">
        <v>18</v>
      </c>
      <c r="I621" s="34" t="s">
        <v>28</v>
      </c>
      <c r="J621" s="34">
        <v>0</v>
      </c>
      <c r="K621" s="35">
        <f>VLOOKUP(I621,'Weights and Confidence'!$D$16:$AC$26,5,FALSE)/COUNTIFS($B:$B,$B621,$C:$C,$C621,$H:$H,$H621,$I:$I,$I621)</f>
        <v>0.05</v>
      </c>
      <c r="L621" s="36">
        <f>VLOOKUP(I621,'Weights and Confidence'!$D$16:$AC$26,6,FALSE)</f>
        <v>1</v>
      </c>
      <c r="M621" s="37">
        <f>tScores4[[#This Row],[Raw_Rating_Text]]</f>
        <v>0</v>
      </c>
      <c r="N621" s="58" t="s">
        <v>148</v>
      </c>
    </row>
    <row r="622" spans="1:14" ht="17" thickTop="1" x14ac:dyDescent="0.2">
      <c r="A622" s="42" t="s">
        <v>14</v>
      </c>
      <c r="B622" s="42" t="s">
        <v>0</v>
      </c>
      <c r="C622" s="42" t="s">
        <v>149</v>
      </c>
      <c r="D622" s="42" t="s">
        <v>5</v>
      </c>
      <c r="E622" s="42"/>
      <c r="F622" s="49" t="s">
        <v>150</v>
      </c>
      <c r="G622" s="42">
        <v>1</v>
      </c>
      <c r="H622" s="42" t="s">
        <v>17</v>
      </c>
      <c r="I622" s="42" t="s">
        <v>19</v>
      </c>
      <c r="J622" s="42">
        <v>0</v>
      </c>
      <c r="K622" s="44">
        <f>VLOOKUP(I622,'Weights and Confidence'!$D$16:$AC$26,5,FALSE)/COUNTIFS($B:$B,$B622,$C:$C,$C622,$H:$H,$H622,$I:$I,$I622)</f>
        <v>0.12</v>
      </c>
      <c r="L622" s="45">
        <f>VLOOKUP(I622,'Weights and Confidence'!$D$16:$AC$26,6,FALSE)</f>
        <v>1</v>
      </c>
      <c r="M622" s="46">
        <f>tScores4[[#This Row],[Raw_Rating_Text]]</f>
        <v>0</v>
      </c>
      <c r="N622" s="42"/>
    </row>
    <row r="623" spans="1:14" x14ac:dyDescent="0.2">
      <c r="A623" s="34" t="s">
        <v>14</v>
      </c>
      <c r="B623" s="34" t="s">
        <v>0</v>
      </c>
      <c r="C623" s="34" t="s">
        <v>149</v>
      </c>
      <c r="D623" s="34" t="s">
        <v>5</v>
      </c>
      <c r="E623" s="34"/>
      <c r="F623" s="50" t="s">
        <v>150</v>
      </c>
      <c r="G623" s="34">
        <v>1</v>
      </c>
      <c r="H623" s="34" t="s">
        <v>18</v>
      </c>
      <c r="I623" s="34" t="s">
        <v>19</v>
      </c>
      <c r="J623" s="34">
        <v>1</v>
      </c>
      <c r="K623" s="35">
        <f>VLOOKUP(I623,'Weights and Confidence'!$D$16:$AC$26,5,FALSE)/COUNTIFS($B:$B,$B623,$C:$C,$C623,$H:$H,$H623,$I:$I,$I623)</f>
        <v>0.12</v>
      </c>
      <c r="L623" s="36">
        <f>VLOOKUP(I623,'Weights and Confidence'!$D$16:$AC$26,6,FALSE)</f>
        <v>1</v>
      </c>
      <c r="M623" s="37">
        <f>tScores4[[#This Row],[Raw_Rating_Text]]</f>
        <v>1</v>
      </c>
      <c r="N623" s="58"/>
    </row>
    <row r="624" spans="1:14" x14ac:dyDescent="0.2">
      <c r="A624" s="38" t="s">
        <v>14</v>
      </c>
      <c r="B624" s="38" t="s">
        <v>0</v>
      </c>
      <c r="C624" s="38" t="s">
        <v>149</v>
      </c>
      <c r="D624" s="38" t="s">
        <v>5</v>
      </c>
      <c r="E624" s="38"/>
      <c r="F624" s="51" t="s">
        <v>150</v>
      </c>
      <c r="G624" s="38">
        <v>2</v>
      </c>
      <c r="H624" s="38" t="s">
        <v>17</v>
      </c>
      <c r="I624" s="38" t="s">
        <v>20</v>
      </c>
      <c r="J624" s="38">
        <v>0</v>
      </c>
      <c r="K624" s="39">
        <f>VLOOKUP(I624,'Weights and Confidence'!$D$16:$AC$26,5,FALSE)/COUNTIFS($B:$B,$B624,$C:$C,$C624,$H:$H,$H624,$I:$I,$I624)</f>
        <v>0.08</v>
      </c>
      <c r="L624" s="40">
        <f>VLOOKUP(I624,'Weights and Confidence'!$D$16:$AC$26,6,FALSE)</f>
        <v>0.8</v>
      </c>
      <c r="M624" s="41">
        <f>tScores4[[#This Row],[Raw_Rating_Text]]</f>
        <v>0</v>
      </c>
      <c r="N624" s="38"/>
    </row>
    <row r="625" spans="1:14" x14ac:dyDescent="0.2">
      <c r="A625" s="34" t="s">
        <v>14</v>
      </c>
      <c r="B625" s="34" t="s">
        <v>0</v>
      </c>
      <c r="C625" s="34" t="s">
        <v>149</v>
      </c>
      <c r="D625" s="34" t="s">
        <v>5</v>
      </c>
      <c r="E625" s="34"/>
      <c r="F625" s="50" t="s">
        <v>150</v>
      </c>
      <c r="G625" s="34">
        <v>2</v>
      </c>
      <c r="H625" s="34" t="s">
        <v>18</v>
      </c>
      <c r="I625" s="34" t="s">
        <v>20</v>
      </c>
      <c r="J625" s="34">
        <v>1</v>
      </c>
      <c r="K625" s="35">
        <f>VLOOKUP(I625,'Weights and Confidence'!$D$16:$AC$26,5,FALSE)/COUNTIFS($B:$B,$B625,$C:$C,$C625,$H:$H,$H625,$I:$I,$I625)</f>
        <v>0.08</v>
      </c>
      <c r="L625" s="36">
        <f>VLOOKUP(I625,'Weights and Confidence'!$D$16:$AC$26,6,FALSE)</f>
        <v>0.8</v>
      </c>
      <c r="M625" s="37">
        <f>tScores4[[#This Row],[Raw_Rating_Text]]</f>
        <v>1</v>
      </c>
      <c r="N625" s="58"/>
    </row>
    <row r="626" spans="1:14" x14ac:dyDescent="0.2">
      <c r="A626" s="38" t="s">
        <v>14</v>
      </c>
      <c r="B626" s="38" t="s">
        <v>0</v>
      </c>
      <c r="C626" s="38" t="s">
        <v>149</v>
      </c>
      <c r="D626" s="38" t="s">
        <v>5</v>
      </c>
      <c r="E626" s="38"/>
      <c r="F626" s="51" t="s">
        <v>150</v>
      </c>
      <c r="G626" s="38">
        <v>3</v>
      </c>
      <c r="H626" s="38" t="s">
        <v>17</v>
      </c>
      <c r="I626" s="38" t="s">
        <v>21</v>
      </c>
      <c r="J626" s="38">
        <v>1</v>
      </c>
      <c r="K626" s="39">
        <f>VLOOKUP(I626,'Weights and Confidence'!$D$16:$AC$26,5,FALSE)/COUNTIFS($B:$B,$B626,$C:$C,$C626,$H:$H,$H626,$I:$I,$I626)</f>
        <v>0.05</v>
      </c>
      <c r="L626" s="40">
        <f>VLOOKUP(I626,'Weights and Confidence'!$D$16:$AC$26,6,FALSE)</f>
        <v>1</v>
      </c>
      <c r="M626" s="41">
        <f>tScores4[[#This Row],[Raw_Rating_Text]]</f>
        <v>1</v>
      </c>
      <c r="N626" s="38"/>
    </row>
    <row r="627" spans="1:14" x14ac:dyDescent="0.2">
      <c r="A627" s="34" t="s">
        <v>14</v>
      </c>
      <c r="B627" s="34" t="s">
        <v>0</v>
      </c>
      <c r="C627" s="34" t="s">
        <v>149</v>
      </c>
      <c r="D627" s="34" t="s">
        <v>5</v>
      </c>
      <c r="E627" s="34"/>
      <c r="F627" s="50" t="s">
        <v>150</v>
      </c>
      <c r="G627" s="34">
        <v>3</v>
      </c>
      <c r="H627" s="34" t="s">
        <v>18</v>
      </c>
      <c r="I627" s="34" t="s">
        <v>21</v>
      </c>
      <c r="J627" s="34">
        <v>1</v>
      </c>
      <c r="K627" s="35">
        <f>VLOOKUP(I627,'Weights and Confidence'!$D$16:$AC$26,5,FALSE)/COUNTIFS($B:$B,$B627,$C:$C,$C627,$H:$H,$H627,$I:$I,$I627)</f>
        <v>0.05</v>
      </c>
      <c r="L627" s="36">
        <f>VLOOKUP(I627,'Weights and Confidence'!$D$16:$AC$26,6,FALSE)</f>
        <v>1</v>
      </c>
      <c r="M627" s="37">
        <f>tScores4[[#This Row],[Raw_Rating_Text]]</f>
        <v>1</v>
      </c>
      <c r="N627" s="58"/>
    </row>
    <row r="628" spans="1:14" x14ac:dyDescent="0.2">
      <c r="A628" s="38" t="s">
        <v>14</v>
      </c>
      <c r="B628" s="38" t="s">
        <v>0</v>
      </c>
      <c r="C628" s="38" t="s">
        <v>149</v>
      </c>
      <c r="D628" s="38" t="s">
        <v>5</v>
      </c>
      <c r="E628" s="38"/>
      <c r="F628" s="51" t="s">
        <v>150</v>
      </c>
      <c r="G628" s="38">
        <v>4</v>
      </c>
      <c r="H628" s="38" t="s">
        <v>17</v>
      </c>
      <c r="I628" s="38" t="s">
        <v>22</v>
      </c>
      <c r="J628" s="38">
        <v>0</v>
      </c>
      <c r="K628" s="39">
        <f>VLOOKUP(I628,'Weights and Confidence'!$D$16:$AC$26,5,FALSE)/COUNTIFS($B:$B,$B628,$C:$C,$C628,$H:$H,$H628,$I:$I,$I628)</f>
        <v>0.14000000000000001</v>
      </c>
      <c r="L628" s="40">
        <f>VLOOKUP(I628,'Weights and Confidence'!$D$16:$AC$26,6,FALSE)</f>
        <v>1</v>
      </c>
      <c r="M628" s="41">
        <f>tScores4[[#This Row],[Raw_Rating_Text]]</f>
        <v>0</v>
      </c>
      <c r="N628" s="38"/>
    </row>
    <row r="629" spans="1:14" x14ac:dyDescent="0.2">
      <c r="A629" s="34" t="s">
        <v>14</v>
      </c>
      <c r="B629" s="34" t="s">
        <v>0</v>
      </c>
      <c r="C629" s="34" t="s">
        <v>149</v>
      </c>
      <c r="D629" s="34" t="s">
        <v>5</v>
      </c>
      <c r="E629" s="34"/>
      <c r="F629" s="50" t="s">
        <v>150</v>
      </c>
      <c r="G629" s="34">
        <v>4</v>
      </c>
      <c r="H629" s="34" t="s">
        <v>18</v>
      </c>
      <c r="I629" s="34" t="s">
        <v>22</v>
      </c>
      <c r="J629" s="34">
        <v>1</v>
      </c>
      <c r="K629" s="35">
        <f>VLOOKUP(I629,'Weights and Confidence'!$D$16:$AC$26,5,FALSE)/COUNTIFS($B:$B,$B629,$C:$C,$C629,$H:$H,$H629,$I:$I,$I629)</f>
        <v>0.14000000000000001</v>
      </c>
      <c r="L629" s="36">
        <f>VLOOKUP(I629,'Weights and Confidence'!$D$16:$AC$26,6,FALSE)</f>
        <v>1</v>
      </c>
      <c r="M629" s="37">
        <f>tScores4[[#This Row],[Raw_Rating_Text]]</f>
        <v>1</v>
      </c>
      <c r="N629" s="58"/>
    </row>
    <row r="630" spans="1:14" x14ac:dyDescent="0.2">
      <c r="A630" s="38" t="s">
        <v>14</v>
      </c>
      <c r="B630" s="38" t="s">
        <v>0</v>
      </c>
      <c r="C630" s="38" t="s">
        <v>149</v>
      </c>
      <c r="D630" s="38" t="s">
        <v>5</v>
      </c>
      <c r="E630" s="38"/>
      <c r="F630" s="51" t="s">
        <v>150</v>
      </c>
      <c r="G630" s="38">
        <v>5</v>
      </c>
      <c r="H630" s="38" t="s">
        <v>17</v>
      </c>
      <c r="I630" s="38" t="s">
        <v>23</v>
      </c>
      <c r="J630" s="38">
        <v>-1</v>
      </c>
      <c r="K630" s="39">
        <f>VLOOKUP(I630,'Weights and Confidence'!$D$16:$AC$26,5,FALSE)/COUNTIFS($B:$B,$B630,$C:$C,$C630,$H:$H,$H630,$I:$I,$I630)</f>
        <v>0.11</v>
      </c>
      <c r="L630" s="40">
        <f>VLOOKUP(I630,'Weights and Confidence'!$D$16:$AC$26,6,FALSE)</f>
        <v>1</v>
      </c>
      <c r="M630" s="41">
        <f>tScores4[[#This Row],[Raw_Rating_Text]]</f>
        <v>-1</v>
      </c>
      <c r="N630" s="38"/>
    </row>
    <row r="631" spans="1:14" x14ac:dyDescent="0.2">
      <c r="A631" s="34" t="s">
        <v>14</v>
      </c>
      <c r="B631" s="34" t="s">
        <v>0</v>
      </c>
      <c r="C631" s="34" t="s">
        <v>149</v>
      </c>
      <c r="D631" s="34" t="s">
        <v>5</v>
      </c>
      <c r="E631" s="34"/>
      <c r="F631" s="50" t="s">
        <v>150</v>
      </c>
      <c r="G631" s="34">
        <v>5</v>
      </c>
      <c r="H631" s="34" t="s">
        <v>18</v>
      </c>
      <c r="I631" s="34" t="s">
        <v>23</v>
      </c>
      <c r="J631" s="34">
        <v>0</v>
      </c>
      <c r="K631" s="35">
        <f>VLOOKUP(I631,'Weights and Confidence'!$D$16:$AC$26,5,FALSE)/COUNTIFS($B:$B,$B631,$C:$C,$C631,$H:$H,$H631,$I:$I,$I631)</f>
        <v>0.11</v>
      </c>
      <c r="L631" s="36">
        <f>VLOOKUP(I631,'Weights and Confidence'!$D$16:$AC$26,6,FALSE)</f>
        <v>1</v>
      </c>
      <c r="M631" s="37">
        <f>tScores4[[#This Row],[Raw_Rating_Text]]</f>
        <v>0</v>
      </c>
      <c r="N631" s="58"/>
    </row>
    <row r="632" spans="1:14" x14ac:dyDescent="0.2">
      <c r="A632" s="38" t="s">
        <v>14</v>
      </c>
      <c r="B632" s="38" t="s">
        <v>0</v>
      </c>
      <c r="C632" s="38" t="s">
        <v>149</v>
      </c>
      <c r="D632" s="38" t="s">
        <v>5</v>
      </c>
      <c r="E632" s="38"/>
      <c r="F632" s="51" t="s">
        <v>150</v>
      </c>
      <c r="G632" s="38">
        <v>6</v>
      </c>
      <c r="H632" s="38" t="s">
        <v>17</v>
      </c>
      <c r="I632" s="38" t="s">
        <v>24</v>
      </c>
      <c r="J632" s="38">
        <v>0</v>
      </c>
      <c r="K632" s="39">
        <f>VLOOKUP(I632,'Weights and Confidence'!$D$16:$AC$26,5,FALSE)/COUNTIFS($B:$B,$B632,$C:$C,$C632,$H:$H,$H632,$I:$I,$I632)</f>
        <v>0.15</v>
      </c>
      <c r="L632" s="40">
        <f>VLOOKUP(I632,'Weights and Confidence'!$D$16:$AC$26,6,FALSE)</f>
        <v>1</v>
      </c>
      <c r="M632" s="41">
        <f>tScores4[[#This Row],[Raw_Rating_Text]]</f>
        <v>0</v>
      </c>
      <c r="N632" s="59"/>
    </row>
    <row r="633" spans="1:14" x14ac:dyDescent="0.2">
      <c r="A633" s="34" t="s">
        <v>14</v>
      </c>
      <c r="B633" s="34" t="s">
        <v>0</v>
      </c>
      <c r="C633" s="34" t="s">
        <v>149</v>
      </c>
      <c r="D633" s="34" t="s">
        <v>5</v>
      </c>
      <c r="E633" s="34"/>
      <c r="F633" s="50" t="s">
        <v>150</v>
      </c>
      <c r="G633" s="34">
        <v>6</v>
      </c>
      <c r="H633" s="34" t="s">
        <v>18</v>
      </c>
      <c r="I633" s="34" t="s">
        <v>24</v>
      </c>
      <c r="J633" s="34">
        <v>1</v>
      </c>
      <c r="K633" s="35">
        <f>VLOOKUP(I633,'Weights and Confidence'!$D$16:$AC$26,5,FALSE)/COUNTIFS($B:$B,$B633,$C:$C,$C633,$H:$H,$H633,$I:$I,$I633)</f>
        <v>0.15</v>
      </c>
      <c r="L633" s="36">
        <f>VLOOKUP(I633,'Weights and Confidence'!$D$16:$AC$26,6,FALSE)</f>
        <v>1</v>
      </c>
      <c r="M633" s="37">
        <f>tScores4[[#This Row],[Raw_Rating_Text]]</f>
        <v>1</v>
      </c>
      <c r="N633" s="58"/>
    </row>
    <row r="634" spans="1:14" x14ac:dyDescent="0.2">
      <c r="A634" s="38" t="s">
        <v>14</v>
      </c>
      <c r="B634" s="38" t="s">
        <v>0</v>
      </c>
      <c r="C634" s="38" t="s">
        <v>149</v>
      </c>
      <c r="D634" s="38" t="s">
        <v>5</v>
      </c>
      <c r="E634" s="38"/>
      <c r="F634" s="51" t="s">
        <v>150</v>
      </c>
      <c r="G634" s="38">
        <v>7</v>
      </c>
      <c r="H634" s="38" t="s">
        <v>17</v>
      </c>
      <c r="I634" s="38" t="s">
        <v>25</v>
      </c>
      <c r="J634" s="38">
        <v>0</v>
      </c>
      <c r="K634" s="39">
        <f>VLOOKUP(I634,'Weights and Confidence'!$D$16:$AC$26,5,FALSE)/COUNTIFS($B:$B,$B634,$C:$C,$C634,$H:$H,$H634,$I:$I,$I634)</f>
        <v>0.1</v>
      </c>
      <c r="L634" s="40">
        <f>VLOOKUP(I634,'Weights and Confidence'!$D$16:$AC$26,6,FALSE)</f>
        <v>1</v>
      </c>
      <c r="M634" s="41">
        <f>tScores4[[#This Row],[Raw_Rating_Text]]</f>
        <v>0</v>
      </c>
      <c r="N634" s="38"/>
    </row>
    <row r="635" spans="1:14" x14ac:dyDescent="0.2">
      <c r="A635" s="34" t="s">
        <v>14</v>
      </c>
      <c r="B635" s="34" t="s">
        <v>0</v>
      </c>
      <c r="C635" s="34" t="s">
        <v>149</v>
      </c>
      <c r="D635" s="34" t="s">
        <v>5</v>
      </c>
      <c r="E635" s="34"/>
      <c r="F635" s="50" t="s">
        <v>150</v>
      </c>
      <c r="G635" s="34">
        <v>7</v>
      </c>
      <c r="H635" s="34" t="s">
        <v>18</v>
      </c>
      <c r="I635" s="34" t="s">
        <v>25</v>
      </c>
      <c r="J635" s="34">
        <v>1</v>
      </c>
      <c r="K635" s="35">
        <f>VLOOKUP(I635,'Weights and Confidence'!$D$16:$AC$26,5,FALSE)/COUNTIFS($B:$B,$B635,$C:$C,$C635,$H:$H,$H635,$I:$I,$I635)</f>
        <v>0.1</v>
      </c>
      <c r="L635" s="36">
        <f>VLOOKUP(I635,'Weights and Confidence'!$D$16:$AC$26,6,FALSE)</f>
        <v>1</v>
      </c>
      <c r="M635" s="37">
        <f>tScores4[[#This Row],[Raw_Rating_Text]]</f>
        <v>1</v>
      </c>
      <c r="N635" s="58" t="s">
        <v>151</v>
      </c>
    </row>
    <row r="636" spans="1:14" x14ac:dyDescent="0.2">
      <c r="A636" s="38" t="s">
        <v>14</v>
      </c>
      <c r="B636" s="38" t="s">
        <v>0</v>
      </c>
      <c r="C636" s="38" t="s">
        <v>149</v>
      </c>
      <c r="D636" s="38" t="s">
        <v>5</v>
      </c>
      <c r="E636" s="38"/>
      <c r="F636" s="51" t="s">
        <v>150</v>
      </c>
      <c r="G636" s="38">
        <v>8</v>
      </c>
      <c r="H636" s="38" t="s">
        <v>17</v>
      </c>
      <c r="I636" s="38" t="s">
        <v>26</v>
      </c>
      <c r="J636" s="38">
        <v>0</v>
      </c>
      <c r="K636" s="39">
        <f>VLOOKUP(I636,'Weights and Confidence'!$D$16:$AC$26,5,FALSE)/COUNTIFS($B:$B,$B636,$C:$C,$C636,$H:$H,$H636,$I:$I,$I636)</f>
        <v>0.1</v>
      </c>
      <c r="L636" s="40">
        <f>VLOOKUP(I636,'Weights and Confidence'!$D$16:$AC$26,6,FALSE)</f>
        <v>1</v>
      </c>
      <c r="M636" s="41">
        <f>tScores4[[#This Row],[Raw_Rating_Text]]</f>
        <v>0</v>
      </c>
      <c r="N636" s="38"/>
    </row>
    <row r="637" spans="1:14" x14ac:dyDescent="0.2">
      <c r="A637" s="34" t="s">
        <v>14</v>
      </c>
      <c r="B637" s="34" t="s">
        <v>0</v>
      </c>
      <c r="C637" s="34" t="s">
        <v>149</v>
      </c>
      <c r="D637" s="34" t="s">
        <v>5</v>
      </c>
      <c r="E637" s="34"/>
      <c r="F637" s="50" t="s">
        <v>150</v>
      </c>
      <c r="G637" s="34">
        <v>8</v>
      </c>
      <c r="H637" s="34" t="s">
        <v>18</v>
      </c>
      <c r="I637" s="34" t="s">
        <v>26</v>
      </c>
      <c r="J637" s="34">
        <v>1</v>
      </c>
      <c r="K637" s="35">
        <f>VLOOKUP(I637,'Weights and Confidence'!$D$16:$AC$26,5,FALSE)/COUNTIFS($B:$B,$B637,$C:$C,$C637,$H:$H,$H637,$I:$I,$I637)</f>
        <v>0.1</v>
      </c>
      <c r="L637" s="36">
        <f>VLOOKUP(I637,'Weights and Confidence'!$D$16:$AC$26,6,FALSE)</f>
        <v>1</v>
      </c>
      <c r="M637" s="37">
        <f>tScores4[[#This Row],[Raw_Rating_Text]]</f>
        <v>1</v>
      </c>
      <c r="N637" s="58" t="s">
        <v>152</v>
      </c>
    </row>
    <row r="638" spans="1:14" x14ac:dyDescent="0.2">
      <c r="A638" s="38" t="s">
        <v>14</v>
      </c>
      <c r="B638" s="38" t="s">
        <v>0</v>
      </c>
      <c r="C638" s="38" t="s">
        <v>149</v>
      </c>
      <c r="D638" s="38" t="s">
        <v>5</v>
      </c>
      <c r="E638" s="38"/>
      <c r="F638" s="51" t="s">
        <v>150</v>
      </c>
      <c r="G638" s="38">
        <v>9</v>
      </c>
      <c r="H638" s="38" t="s">
        <v>17</v>
      </c>
      <c r="I638" s="38" t="s">
        <v>27</v>
      </c>
      <c r="J638" s="38">
        <v>-1</v>
      </c>
      <c r="K638" s="39">
        <f>VLOOKUP(I638,'Weights and Confidence'!$D$16:$AC$26,5,FALSE)/COUNTIFS($B:$B,$B638,$C:$C,$C638,$H:$H,$H638,$I:$I,$I638)</f>
        <v>0.05</v>
      </c>
      <c r="L638" s="40">
        <f>VLOOKUP(I638,'Weights and Confidence'!$D$16:$AC$26,6,FALSE)</f>
        <v>0.85</v>
      </c>
      <c r="M638" s="41">
        <f>tScores4[[#This Row],[Raw_Rating_Text]]</f>
        <v>-1</v>
      </c>
      <c r="N638" s="38"/>
    </row>
    <row r="639" spans="1:14" x14ac:dyDescent="0.2">
      <c r="A639" s="34" t="s">
        <v>14</v>
      </c>
      <c r="B639" s="34" t="s">
        <v>0</v>
      </c>
      <c r="C639" s="34" t="s">
        <v>149</v>
      </c>
      <c r="D639" s="34" t="s">
        <v>5</v>
      </c>
      <c r="E639" s="34"/>
      <c r="F639" s="50" t="s">
        <v>150</v>
      </c>
      <c r="G639" s="34">
        <v>9</v>
      </c>
      <c r="H639" s="34" t="s">
        <v>18</v>
      </c>
      <c r="I639" s="34" t="s">
        <v>27</v>
      </c>
      <c r="J639" s="34">
        <v>0</v>
      </c>
      <c r="K639" s="35">
        <f>VLOOKUP(I639,'Weights and Confidence'!$D$16:$AC$26,5,FALSE)/COUNTIFS($B:$B,$B639,$C:$C,$C639,$H:$H,$H639,$I:$I,$I639)</f>
        <v>0.05</v>
      </c>
      <c r="L639" s="36">
        <f>VLOOKUP(I639,'Weights and Confidence'!$D$16:$AC$26,6,FALSE)</f>
        <v>0.85</v>
      </c>
      <c r="M639" s="37">
        <f>tScores4[[#This Row],[Raw_Rating_Text]]</f>
        <v>0</v>
      </c>
      <c r="N639" s="34"/>
    </row>
    <row r="640" spans="1:14" x14ac:dyDescent="0.2">
      <c r="A640" s="38" t="s">
        <v>14</v>
      </c>
      <c r="B640" s="38" t="s">
        <v>0</v>
      </c>
      <c r="C640" s="38" t="s">
        <v>149</v>
      </c>
      <c r="D640" s="38" t="s">
        <v>5</v>
      </c>
      <c r="E640" s="38"/>
      <c r="F640" s="51" t="s">
        <v>150</v>
      </c>
      <c r="G640" s="38">
        <v>10</v>
      </c>
      <c r="H640" s="38" t="s">
        <v>17</v>
      </c>
      <c r="I640" s="38" t="s">
        <v>27</v>
      </c>
      <c r="J640" s="38">
        <v>0</v>
      </c>
      <c r="K640" s="39">
        <f>VLOOKUP(I640,'Weights and Confidence'!$D$16:$AC$26,5,FALSE)/COUNTIFS($B:$B,$B640,$C:$C,$C640,$H:$H,$H640,$I:$I,$I640)</f>
        <v>0.05</v>
      </c>
      <c r="L640" s="40">
        <f>VLOOKUP(I640,'Weights and Confidence'!$D$16:$AC$26,6,FALSE)</f>
        <v>0.85</v>
      </c>
      <c r="M640" s="41">
        <f>tScores4[[#This Row],[Raw_Rating_Text]]</f>
        <v>0</v>
      </c>
      <c r="N640" s="38"/>
    </row>
    <row r="641" spans="1:14" x14ac:dyDescent="0.2">
      <c r="A641" s="34" t="s">
        <v>14</v>
      </c>
      <c r="B641" s="34" t="s">
        <v>0</v>
      </c>
      <c r="C641" s="34" t="s">
        <v>149</v>
      </c>
      <c r="D641" s="34" t="s">
        <v>5</v>
      </c>
      <c r="E641" s="34"/>
      <c r="F641" s="50" t="s">
        <v>150</v>
      </c>
      <c r="G641" s="34">
        <v>10</v>
      </c>
      <c r="H641" s="34" t="s">
        <v>18</v>
      </c>
      <c r="I641" s="34" t="s">
        <v>27</v>
      </c>
      <c r="J641" s="34">
        <v>1</v>
      </c>
      <c r="K641" s="35">
        <f>VLOOKUP(I641,'Weights and Confidence'!$D$16:$AC$26,5,FALSE)/COUNTIFS($B:$B,$B641,$C:$C,$C641,$H:$H,$H641,$I:$I,$I641)</f>
        <v>0.05</v>
      </c>
      <c r="L641" s="36">
        <f>VLOOKUP(I641,'Weights and Confidence'!$D$16:$AC$26,6,FALSE)</f>
        <v>0.85</v>
      </c>
      <c r="M641" s="37">
        <f>tScores4[[#This Row],[Raw_Rating_Text]]</f>
        <v>1</v>
      </c>
      <c r="N641" s="34"/>
    </row>
    <row r="642" spans="1:14" x14ac:dyDescent="0.2">
      <c r="A642" s="38" t="s">
        <v>14</v>
      </c>
      <c r="B642" s="38" t="s">
        <v>0</v>
      </c>
      <c r="C642" s="38" t="s">
        <v>149</v>
      </c>
      <c r="D642" s="38" t="s">
        <v>5</v>
      </c>
      <c r="E642" s="38"/>
      <c r="F642" s="51" t="s">
        <v>150</v>
      </c>
      <c r="G642" s="38">
        <v>11</v>
      </c>
      <c r="H642" s="38" t="s">
        <v>17</v>
      </c>
      <c r="I642" s="38" t="s">
        <v>28</v>
      </c>
      <c r="J642" s="38">
        <v>0</v>
      </c>
      <c r="K642" s="39">
        <f>VLOOKUP(I642,'Weights and Confidence'!$D$16:$AC$26,5,FALSE)/COUNTIFS($B:$B,$B642,$C:$C,$C642,$H:$H,$H642,$I:$I,$I642)</f>
        <v>0.05</v>
      </c>
      <c r="L642" s="40">
        <f>VLOOKUP(I642,'Weights and Confidence'!$D$16:$AC$26,6,FALSE)</f>
        <v>1</v>
      </c>
      <c r="M642" s="41">
        <f>tScores4[[#This Row],[Raw_Rating_Text]]</f>
        <v>0</v>
      </c>
      <c r="N642" s="38"/>
    </row>
    <row r="643" spans="1:14" ht="17" thickBot="1" x14ac:dyDescent="0.25">
      <c r="A643" s="34" t="s">
        <v>14</v>
      </c>
      <c r="B643" s="34" t="s">
        <v>0</v>
      </c>
      <c r="C643" s="34" t="s">
        <v>149</v>
      </c>
      <c r="D643" s="34" t="s">
        <v>5</v>
      </c>
      <c r="E643" s="34"/>
      <c r="F643" s="50" t="s">
        <v>150</v>
      </c>
      <c r="G643" s="34">
        <v>11</v>
      </c>
      <c r="H643" s="34" t="s">
        <v>18</v>
      </c>
      <c r="I643" s="34" t="s">
        <v>28</v>
      </c>
      <c r="J643" s="34">
        <v>1</v>
      </c>
      <c r="K643" s="35">
        <f>VLOOKUP(I643,'Weights and Confidence'!$D$16:$AC$26,5,FALSE)/COUNTIFS($B:$B,$B643,$C:$C,$C643,$H:$H,$H643,$I:$I,$I643)</f>
        <v>0.05</v>
      </c>
      <c r="L643" s="36">
        <f>VLOOKUP(I643,'Weights and Confidence'!$D$16:$AC$26,6,FALSE)</f>
        <v>1</v>
      </c>
      <c r="M643" s="37">
        <f>tScores4[[#This Row],[Raw_Rating_Text]]</f>
        <v>1</v>
      </c>
      <c r="N643" s="58" t="s">
        <v>153</v>
      </c>
    </row>
    <row r="644" spans="1:14" ht="17" thickTop="1" x14ac:dyDescent="0.2">
      <c r="A644" s="42" t="s">
        <v>14</v>
      </c>
      <c r="B644" s="42" t="s">
        <v>0</v>
      </c>
      <c r="C644" s="42" t="s">
        <v>154</v>
      </c>
      <c r="D644" s="42" t="s">
        <v>5</v>
      </c>
      <c r="E644" s="42"/>
      <c r="F644" s="49" t="s">
        <v>155</v>
      </c>
      <c r="G644" s="42">
        <v>1</v>
      </c>
      <c r="H644" s="42" t="s">
        <v>17</v>
      </c>
      <c r="I644" s="42" t="s">
        <v>19</v>
      </c>
      <c r="J644" s="42">
        <v>1</v>
      </c>
      <c r="K644" s="44">
        <f>VLOOKUP(I644,'Weights and Confidence'!$D$16:$AC$26,5,FALSE)/COUNTIFS($B:$B,$B644,$C:$C,$C644,$H:$H,$H644,$I:$I,$I644)</f>
        <v>0.12</v>
      </c>
      <c r="L644" s="45">
        <f>VLOOKUP(I644,'Weights and Confidence'!$D$16:$AC$26,6,FALSE)</f>
        <v>1</v>
      </c>
      <c r="M644" s="46">
        <f>tScores4[[#This Row],[Raw_Rating_Text]]</f>
        <v>1</v>
      </c>
      <c r="N644" s="42"/>
    </row>
    <row r="645" spans="1:14" x14ac:dyDescent="0.2">
      <c r="A645" s="34" t="s">
        <v>14</v>
      </c>
      <c r="B645" s="34" t="s">
        <v>0</v>
      </c>
      <c r="C645" s="34" t="s">
        <v>154</v>
      </c>
      <c r="D645" s="34" t="s">
        <v>5</v>
      </c>
      <c r="E645" s="34"/>
      <c r="F645" s="50" t="s">
        <v>155</v>
      </c>
      <c r="G645" s="34">
        <v>1</v>
      </c>
      <c r="H645" s="34" t="s">
        <v>18</v>
      </c>
      <c r="I645" s="34" t="s">
        <v>19</v>
      </c>
      <c r="J645" s="34">
        <v>1</v>
      </c>
      <c r="K645" s="35">
        <f>VLOOKUP(I645,'Weights and Confidence'!$D$16:$AC$26,5,FALSE)/COUNTIFS($B:$B,$B645,$C:$C,$C645,$H:$H,$H645,$I:$I,$I645)</f>
        <v>0.12</v>
      </c>
      <c r="L645" s="36">
        <f>VLOOKUP(I645,'Weights and Confidence'!$D$16:$AC$26,6,FALSE)</f>
        <v>1</v>
      </c>
      <c r="M645" s="37">
        <f>tScores4[[#This Row],[Raw_Rating_Text]]</f>
        <v>1</v>
      </c>
      <c r="N645" s="58"/>
    </row>
    <row r="646" spans="1:14" x14ac:dyDescent="0.2">
      <c r="A646" s="38" t="s">
        <v>14</v>
      </c>
      <c r="B646" s="38" t="s">
        <v>0</v>
      </c>
      <c r="C646" s="38" t="s">
        <v>154</v>
      </c>
      <c r="D646" s="38" t="s">
        <v>5</v>
      </c>
      <c r="E646" s="38"/>
      <c r="F646" s="51" t="s">
        <v>155</v>
      </c>
      <c r="G646" s="38">
        <v>2</v>
      </c>
      <c r="H646" s="38" t="s">
        <v>17</v>
      </c>
      <c r="I646" s="38" t="s">
        <v>20</v>
      </c>
      <c r="J646" s="38">
        <v>1</v>
      </c>
      <c r="K646" s="39">
        <f>VLOOKUP(I646,'Weights and Confidence'!$D$16:$AC$26,5,FALSE)/COUNTIFS($B:$B,$B646,$C:$C,$C646,$H:$H,$H646,$I:$I,$I646)</f>
        <v>0.08</v>
      </c>
      <c r="L646" s="40">
        <f>VLOOKUP(I646,'Weights and Confidence'!$D$16:$AC$26,6,FALSE)</f>
        <v>0.8</v>
      </c>
      <c r="M646" s="41">
        <f>tScores4[[#This Row],[Raw_Rating_Text]]</f>
        <v>1</v>
      </c>
      <c r="N646" s="38"/>
    </row>
    <row r="647" spans="1:14" x14ac:dyDescent="0.2">
      <c r="A647" s="34" t="s">
        <v>14</v>
      </c>
      <c r="B647" s="34" t="s">
        <v>0</v>
      </c>
      <c r="C647" s="34" t="s">
        <v>154</v>
      </c>
      <c r="D647" s="34" t="s">
        <v>5</v>
      </c>
      <c r="E647" s="34"/>
      <c r="F647" s="50" t="s">
        <v>155</v>
      </c>
      <c r="G647" s="34">
        <v>2</v>
      </c>
      <c r="H647" s="34" t="s">
        <v>18</v>
      </c>
      <c r="I647" s="34" t="s">
        <v>20</v>
      </c>
      <c r="J647" s="34">
        <v>1</v>
      </c>
      <c r="K647" s="35">
        <f>VLOOKUP(I647,'Weights and Confidence'!$D$16:$AC$26,5,FALSE)/COUNTIFS($B:$B,$B647,$C:$C,$C647,$H:$H,$H647,$I:$I,$I647)</f>
        <v>0.08</v>
      </c>
      <c r="L647" s="36">
        <f>VLOOKUP(I647,'Weights and Confidence'!$D$16:$AC$26,6,FALSE)</f>
        <v>0.8</v>
      </c>
      <c r="M647" s="37">
        <f>tScores4[[#This Row],[Raw_Rating_Text]]</f>
        <v>1</v>
      </c>
      <c r="N647" s="58"/>
    </row>
    <row r="648" spans="1:14" x14ac:dyDescent="0.2">
      <c r="A648" s="38" t="s">
        <v>14</v>
      </c>
      <c r="B648" s="38" t="s">
        <v>0</v>
      </c>
      <c r="C648" s="38" t="s">
        <v>154</v>
      </c>
      <c r="D648" s="38" t="s">
        <v>5</v>
      </c>
      <c r="E648" s="38"/>
      <c r="F648" s="51" t="s">
        <v>155</v>
      </c>
      <c r="G648" s="38">
        <v>3</v>
      </c>
      <c r="H648" s="38" t="s">
        <v>17</v>
      </c>
      <c r="I648" s="38" t="s">
        <v>21</v>
      </c>
      <c r="J648" s="38">
        <v>1</v>
      </c>
      <c r="K648" s="39">
        <f>VLOOKUP(I648,'Weights and Confidence'!$D$16:$AC$26,5,FALSE)/COUNTIFS($B:$B,$B648,$C:$C,$C648,$H:$H,$H648,$I:$I,$I648)</f>
        <v>0.05</v>
      </c>
      <c r="L648" s="40">
        <f>VLOOKUP(I648,'Weights and Confidence'!$D$16:$AC$26,6,FALSE)</f>
        <v>1</v>
      </c>
      <c r="M648" s="41">
        <f>tScores4[[#This Row],[Raw_Rating_Text]]</f>
        <v>1</v>
      </c>
      <c r="N648" s="38"/>
    </row>
    <row r="649" spans="1:14" x14ac:dyDescent="0.2">
      <c r="A649" s="34" t="s">
        <v>14</v>
      </c>
      <c r="B649" s="34" t="s">
        <v>0</v>
      </c>
      <c r="C649" s="34" t="s">
        <v>154</v>
      </c>
      <c r="D649" s="34" t="s">
        <v>5</v>
      </c>
      <c r="E649" s="34"/>
      <c r="F649" s="50" t="s">
        <v>155</v>
      </c>
      <c r="G649" s="34">
        <v>3</v>
      </c>
      <c r="H649" s="34" t="s">
        <v>18</v>
      </c>
      <c r="I649" s="34" t="s">
        <v>21</v>
      </c>
      <c r="J649" s="34">
        <v>0</v>
      </c>
      <c r="K649" s="35">
        <f>VLOOKUP(I649,'Weights and Confidence'!$D$16:$AC$26,5,FALSE)/COUNTIFS($B:$B,$B649,$C:$C,$C649,$H:$H,$H649,$I:$I,$I649)</f>
        <v>0.05</v>
      </c>
      <c r="L649" s="36">
        <f>VLOOKUP(I649,'Weights and Confidence'!$D$16:$AC$26,6,FALSE)</f>
        <v>1</v>
      </c>
      <c r="M649" s="37">
        <f>tScores4[[#This Row],[Raw_Rating_Text]]</f>
        <v>0</v>
      </c>
      <c r="N649" s="58" t="s">
        <v>156</v>
      </c>
    </row>
    <row r="650" spans="1:14" x14ac:dyDescent="0.2">
      <c r="A650" s="38" t="s">
        <v>14</v>
      </c>
      <c r="B650" s="38" t="s">
        <v>0</v>
      </c>
      <c r="C650" s="38" t="s">
        <v>154</v>
      </c>
      <c r="D650" s="38" t="s">
        <v>5</v>
      </c>
      <c r="E650" s="38"/>
      <c r="F650" s="51" t="s">
        <v>155</v>
      </c>
      <c r="G650" s="38">
        <v>4</v>
      </c>
      <c r="H650" s="38" t="s">
        <v>17</v>
      </c>
      <c r="I650" s="38" t="s">
        <v>22</v>
      </c>
      <c r="J650" s="38">
        <v>1</v>
      </c>
      <c r="K650" s="39">
        <f>VLOOKUP(I650,'Weights and Confidence'!$D$16:$AC$26,5,FALSE)/COUNTIFS($B:$B,$B650,$C:$C,$C650,$H:$H,$H650,$I:$I,$I650)</f>
        <v>0.14000000000000001</v>
      </c>
      <c r="L650" s="40">
        <f>VLOOKUP(I650,'Weights and Confidence'!$D$16:$AC$26,6,FALSE)</f>
        <v>1</v>
      </c>
      <c r="M650" s="41">
        <f>tScores4[[#This Row],[Raw_Rating_Text]]</f>
        <v>1</v>
      </c>
      <c r="N650" s="38"/>
    </row>
    <row r="651" spans="1:14" x14ac:dyDescent="0.2">
      <c r="A651" s="34" t="s">
        <v>14</v>
      </c>
      <c r="B651" s="34" t="s">
        <v>0</v>
      </c>
      <c r="C651" s="34" t="s">
        <v>154</v>
      </c>
      <c r="D651" s="34" t="s">
        <v>5</v>
      </c>
      <c r="E651" s="34"/>
      <c r="F651" s="50" t="s">
        <v>155</v>
      </c>
      <c r="G651" s="34">
        <v>4</v>
      </c>
      <c r="H651" s="34" t="s">
        <v>18</v>
      </c>
      <c r="I651" s="34" t="s">
        <v>22</v>
      </c>
      <c r="J651" s="34">
        <v>0</v>
      </c>
      <c r="K651" s="35">
        <f>VLOOKUP(I651,'Weights and Confidence'!$D$16:$AC$26,5,FALSE)/COUNTIFS($B:$B,$B651,$C:$C,$C651,$H:$H,$H651,$I:$I,$I651)</f>
        <v>0.14000000000000001</v>
      </c>
      <c r="L651" s="36">
        <f>VLOOKUP(I651,'Weights and Confidence'!$D$16:$AC$26,6,FALSE)</f>
        <v>1</v>
      </c>
      <c r="M651" s="37">
        <f>tScores4[[#This Row],[Raw_Rating_Text]]</f>
        <v>0</v>
      </c>
      <c r="N651" s="58" t="s">
        <v>157</v>
      </c>
    </row>
    <row r="652" spans="1:14" x14ac:dyDescent="0.2">
      <c r="A652" s="38" t="s">
        <v>14</v>
      </c>
      <c r="B652" s="38" t="s">
        <v>0</v>
      </c>
      <c r="C652" s="38" t="s">
        <v>154</v>
      </c>
      <c r="D652" s="38" t="s">
        <v>5</v>
      </c>
      <c r="E652" s="38"/>
      <c r="F652" s="51" t="s">
        <v>155</v>
      </c>
      <c r="G652" s="38">
        <v>5</v>
      </c>
      <c r="H652" s="38" t="s">
        <v>17</v>
      </c>
      <c r="I652" s="38" t="s">
        <v>23</v>
      </c>
      <c r="J652" s="38">
        <v>0</v>
      </c>
      <c r="K652" s="39">
        <f>VLOOKUP(I652,'Weights and Confidence'!$D$16:$AC$26,5,FALSE)/COUNTIFS($B:$B,$B652,$C:$C,$C652,$H:$H,$H652,$I:$I,$I652)</f>
        <v>0.11</v>
      </c>
      <c r="L652" s="40">
        <f>VLOOKUP(I652,'Weights and Confidence'!$D$16:$AC$26,6,FALSE)</f>
        <v>1</v>
      </c>
      <c r="M652" s="41">
        <f>tScores4[[#This Row],[Raw_Rating_Text]]</f>
        <v>0</v>
      </c>
      <c r="N652" s="38"/>
    </row>
    <row r="653" spans="1:14" x14ac:dyDescent="0.2">
      <c r="A653" s="34" t="s">
        <v>14</v>
      </c>
      <c r="B653" s="34" t="s">
        <v>0</v>
      </c>
      <c r="C653" s="34" t="s">
        <v>154</v>
      </c>
      <c r="D653" s="34" t="s">
        <v>5</v>
      </c>
      <c r="E653" s="34"/>
      <c r="F653" s="50" t="s">
        <v>155</v>
      </c>
      <c r="G653" s="34">
        <v>5</v>
      </c>
      <c r="H653" s="34" t="s">
        <v>18</v>
      </c>
      <c r="I653" s="34" t="s">
        <v>23</v>
      </c>
      <c r="J653" s="34">
        <v>0</v>
      </c>
      <c r="K653" s="35">
        <f>VLOOKUP(I653,'Weights and Confidence'!$D$16:$AC$26,5,FALSE)/COUNTIFS($B:$B,$B653,$C:$C,$C653,$H:$H,$H653,$I:$I,$I653)</f>
        <v>0.11</v>
      </c>
      <c r="L653" s="36">
        <f>VLOOKUP(I653,'Weights and Confidence'!$D$16:$AC$26,6,FALSE)</f>
        <v>1</v>
      </c>
      <c r="M653" s="37">
        <f>tScores4[[#This Row],[Raw_Rating_Text]]</f>
        <v>0</v>
      </c>
      <c r="N653" s="58" t="s">
        <v>158</v>
      </c>
    </row>
    <row r="654" spans="1:14" x14ac:dyDescent="0.2">
      <c r="A654" s="38" t="s">
        <v>14</v>
      </c>
      <c r="B654" s="38" t="s">
        <v>0</v>
      </c>
      <c r="C654" s="38" t="s">
        <v>154</v>
      </c>
      <c r="D654" s="38" t="s">
        <v>5</v>
      </c>
      <c r="E654" s="38"/>
      <c r="F654" s="51" t="s">
        <v>155</v>
      </c>
      <c r="G654" s="38">
        <v>6</v>
      </c>
      <c r="H654" s="38" t="s">
        <v>17</v>
      </c>
      <c r="I654" s="38" t="s">
        <v>24</v>
      </c>
      <c r="J654" s="38">
        <v>1</v>
      </c>
      <c r="K654" s="39">
        <f>VLOOKUP(I654,'Weights and Confidence'!$D$16:$AC$26,5,FALSE)/COUNTIFS($B:$B,$B654,$C:$C,$C654,$H:$H,$H654,$I:$I,$I654)</f>
        <v>0.15</v>
      </c>
      <c r="L654" s="40">
        <f>VLOOKUP(I654,'Weights and Confidence'!$D$16:$AC$26,6,FALSE)</f>
        <v>1</v>
      </c>
      <c r="M654" s="41">
        <f>tScores4[[#This Row],[Raw_Rating_Text]]</f>
        <v>1</v>
      </c>
      <c r="N654" s="59"/>
    </row>
    <row r="655" spans="1:14" x14ac:dyDescent="0.2">
      <c r="A655" s="34" t="s">
        <v>14</v>
      </c>
      <c r="B655" s="34" t="s">
        <v>0</v>
      </c>
      <c r="C655" s="34" t="s">
        <v>154</v>
      </c>
      <c r="D655" s="34" t="s">
        <v>5</v>
      </c>
      <c r="E655" s="34"/>
      <c r="F655" s="50" t="s">
        <v>155</v>
      </c>
      <c r="G655" s="34">
        <v>6</v>
      </c>
      <c r="H655" s="34" t="s">
        <v>18</v>
      </c>
      <c r="I655" s="34" t="s">
        <v>24</v>
      </c>
      <c r="J655" s="34">
        <v>0</v>
      </c>
      <c r="K655" s="35">
        <f>VLOOKUP(I655,'Weights and Confidence'!$D$16:$AC$26,5,FALSE)/COUNTIFS($B:$B,$B655,$C:$C,$C655,$H:$H,$H655,$I:$I,$I655)</f>
        <v>0.15</v>
      </c>
      <c r="L655" s="36">
        <f>VLOOKUP(I655,'Weights and Confidence'!$D$16:$AC$26,6,FALSE)</f>
        <v>1</v>
      </c>
      <c r="M655" s="37">
        <f>tScores4[[#This Row],[Raw_Rating_Text]]</f>
        <v>0</v>
      </c>
      <c r="N655" s="58" t="s">
        <v>159</v>
      </c>
    </row>
    <row r="656" spans="1:14" x14ac:dyDescent="0.2">
      <c r="A656" s="38" t="s">
        <v>14</v>
      </c>
      <c r="B656" s="38" t="s">
        <v>0</v>
      </c>
      <c r="C656" s="38" t="s">
        <v>154</v>
      </c>
      <c r="D656" s="38" t="s">
        <v>5</v>
      </c>
      <c r="E656" s="38"/>
      <c r="F656" s="51" t="s">
        <v>155</v>
      </c>
      <c r="G656" s="38">
        <v>7</v>
      </c>
      <c r="H656" s="38" t="s">
        <v>17</v>
      </c>
      <c r="I656" s="38" t="s">
        <v>25</v>
      </c>
      <c r="J656" s="38">
        <v>0</v>
      </c>
      <c r="K656" s="39">
        <f>VLOOKUP(I656,'Weights and Confidence'!$D$16:$AC$26,5,FALSE)/COUNTIFS($B:$B,$B656,$C:$C,$C656,$H:$H,$H656,$I:$I,$I656)</f>
        <v>0.1</v>
      </c>
      <c r="L656" s="40">
        <f>VLOOKUP(I656,'Weights and Confidence'!$D$16:$AC$26,6,FALSE)</f>
        <v>1</v>
      </c>
      <c r="M656" s="41">
        <f>tScores4[[#This Row],[Raw_Rating_Text]]</f>
        <v>0</v>
      </c>
      <c r="N656" s="38"/>
    </row>
    <row r="657" spans="1:14" x14ac:dyDescent="0.2">
      <c r="A657" s="34" t="s">
        <v>14</v>
      </c>
      <c r="B657" s="34" t="s">
        <v>0</v>
      </c>
      <c r="C657" s="34" t="s">
        <v>154</v>
      </c>
      <c r="D657" s="34" t="s">
        <v>5</v>
      </c>
      <c r="E657" s="34"/>
      <c r="F657" s="50" t="s">
        <v>155</v>
      </c>
      <c r="G657" s="34">
        <v>7</v>
      </c>
      <c r="H657" s="34" t="s">
        <v>18</v>
      </c>
      <c r="I657" s="34" t="s">
        <v>25</v>
      </c>
      <c r="J657" s="34">
        <v>0</v>
      </c>
      <c r="K657" s="35">
        <f>VLOOKUP(I657,'Weights and Confidence'!$D$16:$AC$26,5,FALSE)/COUNTIFS($B:$B,$B657,$C:$C,$C657,$H:$H,$H657,$I:$I,$I657)</f>
        <v>0.1</v>
      </c>
      <c r="L657" s="36">
        <f>VLOOKUP(I657,'Weights and Confidence'!$D$16:$AC$26,6,FALSE)</f>
        <v>1</v>
      </c>
      <c r="M657" s="37">
        <f>tScores4[[#This Row],[Raw_Rating_Text]]</f>
        <v>0</v>
      </c>
      <c r="N657" s="58" t="s">
        <v>160</v>
      </c>
    </row>
    <row r="658" spans="1:14" x14ac:dyDescent="0.2">
      <c r="A658" s="38" t="s">
        <v>14</v>
      </c>
      <c r="B658" s="38" t="s">
        <v>0</v>
      </c>
      <c r="C658" s="38" t="s">
        <v>154</v>
      </c>
      <c r="D658" s="38" t="s">
        <v>5</v>
      </c>
      <c r="E658" s="38"/>
      <c r="F658" s="51" t="s">
        <v>155</v>
      </c>
      <c r="G658" s="38">
        <v>8</v>
      </c>
      <c r="H658" s="38" t="s">
        <v>17</v>
      </c>
      <c r="I658" s="38" t="s">
        <v>26</v>
      </c>
      <c r="J658" s="38">
        <v>0</v>
      </c>
      <c r="K658" s="39">
        <f>VLOOKUP(I658,'Weights and Confidence'!$D$16:$AC$26,5,FALSE)/COUNTIFS($B:$B,$B658,$C:$C,$C658,$H:$H,$H658,$I:$I,$I658)</f>
        <v>0.1</v>
      </c>
      <c r="L658" s="40">
        <f>VLOOKUP(I658,'Weights and Confidence'!$D$16:$AC$26,6,FALSE)</f>
        <v>1</v>
      </c>
      <c r="M658" s="41">
        <f>tScores4[[#This Row],[Raw_Rating_Text]]</f>
        <v>0</v>
      </c>
      <c r="N658" s="38"/>
    </row>
    <row r="659" spans="1:14" x14ac:dyDescent="0.2">
      <c r="A659" s="34" t="s">
        <v>14</v>
      </c>
      <c r="B659" s="34" t="s">
        <v>0</v>
      </c>
      <c r="C659" s="34" t="s">
        <v>154</v>
      </c>
      <c r="D659" s="34" t="s">
        <v>5</v>
      </c>
      <c r="E659" s="34"/>
      <c r="F659" s="50" t="s">
        <v>155</v>
      </c>
      <c r="G659" s="34">
        <v>8</v>
      </c>
      <c r="H659" s="34" t="s">
        <v>18</v>
      </c>
      <c r="I659" s="34" t="s">
        <v>26</v>
      </c>
      <c r="J659" s="34">
        <v>0</v>
      </c>
      <c r="K659" s="35">
        <f>VLOOKUP(I659,'Weights and Confidence'!$D$16:$AC$26,5,FALSE)/COUNTIFS($B:$B,$B659,$C:$C,$C659,$H:$H,$H659,$I:$I,$I659)</f>
        <v>0.1</v>
      </c>
      <c r="L659" s="36">
        <f>VLOOKUP(I659,'Weights and Confidence'!$D$16:$AC$26,6,FALSE)</f>
        <v>1</v>
      </c>
      <c r="M659" s="37">
        <f>tScores4[[#This Row],[Raw_Rating_Text]]</f>
        <v>0</v>
      </c>
      <c r="N659" s="58" t="s">
        <v>138</v>
      </c>
    </row>
    <row r="660" spans="1:14" x14ac:dyDescent="0.2">
      <c r="A660" s="38" t="s">
        <v>14</v>
      </c>
      <c r="B660" s="38" t="s">
        <v>0</v>
      </c>
      <c r="C660" s="38" t="s">
        <v>154</v>
      </c>
      <c r="D660" s="38" t="s">
        <v>5</v>
      </c>
      <c r="E660" s="38"/>
      <c r="F660" s="51" t="s">
        <v>155</v>
      </c>
      <c r="G660" s="38">
        <v>9</v>
      </c>
      <c r="H660" s="38" t="s">
        <v>17</v>
      </c>
      <c r="I660" s="38" t="s">
        <v>27</v>
      </c>
      <c r="J660" s="38">
        <v>1</v>
      </c>
      <c r="K660" s="39">
        <f>VLOOKUP(I660,'Weights and Confidence'!$D$16:$AC$26,5,FALSE)/COUNTIFS($B:$B,$B660,$C:$C,$C660,$H:$H,$H660,$I:$I,$I660)</f>
        <v>0.05</v>
      </c>
      <c r="L660" s="40">
        <f>VLOOKUP(I660,'Weights and Confidence'!$D$16:$AC$26,6,FALSE)</f>
        <v>0.85</v>
      </c>
      <c r="M660" s="41">
        <f>tScores4[[#This Row],[Raw_Rating_Text]]</f>
        <v>1</v>
      </c>
      <c r="N660" s="38"/>
    </row>
    <row r="661" spans="1:14" x14ac:dyDescent="0.2">
      <c r="A661" s="34" t="s">
        <v>14</v>
      </c>
      <c r="B661" s="34" t="s">
        <v>0</v>
      </c>
      <c r="C661" s="34" t="s">
        <v>154</v>
      </c>
      <c r="D661" s="34" t="s">
        <v>5</v>
      </c>
      <c r="E661" s="34"/>
      <c r="F661" s="50" t="s">
        <v>155</v>
      </c>
      <c r="G661" s="34">
        <v>9</v>
      </c>
      <c r="H661" s="34" t="s">
        <v>18</v>
      </c>
      <c r="I661" s="34" t="s">
        <v>27</v>
      </c>
      <c r="J661" s="34">
        <v>0</v>
      </c>
      <c r="K661" s="35">
        <f>VLOOKUP(I661,'Weights and Confidence'!$D$16:$AC$26,5,FALSE)/COUNTIFS($B:$B,$B661,$C:$C,$C661,$H:$H,$H661,$I:$I,$I661)</f>
        <v>0.05</v>
      </c>
      <c r="L661" s="36">
        <f>VLOOKUP(I661,'Weights and Confidence'!$D$16:$AC$26,6,FALSE)</f>
        <v>0.85</v>
      </c>
      <c r="M661" s="37">
        <f>tScores4[[#This Row],[Raw_Rating_Text]]</f>
        <v>0</v>
      </c>
      <c r="N661" s="58" t="s">
        <v>138</v>
      </c>
    </row>
    <row r="662" spans="1:14" x14ac:dyDescent="0.2">
      <c r="A662" s="38" t="s">
        <v>14</v>
      </c>
      <c r="B662" s="38" t="s">
        <v>0</v>
      </c>
      <c r="C662" s="38" t="s">
        <v>154</v>
      </c>
      <c r="D662" s="38" t="s">
        <v>5</v>
      </c>
      <c r="E662" s="38"/>
      <c r="F662" s="51" t="s">
        <v>155</v>
      </c>
      <c r="G662" s="38">
        <v>10</v>
      </c>
      <c r="H662" s="38" t="s">
        <v>17</v>
      </c>
      <c r="I662" s="38" t="s">
        <v>27</v>
      </c>
      <c r="J662" s="38">
        <v>0</v>
      </c>
      <c r="K662" s="39">
        <f>VLOOKUP(I662,'Weights and Confidence'!$D$16:$AC$26,5,FALSE)/COUNTIFS($B:$B,$B662,$C:$C,$C662,$H:$H,$H662,$I:$I,$I662)</f>
        <v>0.05</v>
      </c>
      <c r="L662" s="40">
        <f>VLOOKUP(I662,'Weights and Confidence'!$D$16:$AC$26,6,FALSE)</f>
        <v>0.85</v>
      </c>
      <c r="M662" s="41">
        <f>tScores4[[#This Row],[Raw_Rating_Text]]</f>
        <v>0</v>
      </c>
      <c r="N662" s="38"/>
    </row>
    <row r="663" spans="1:14" x14ac:dyDescent="0.2">
      <c r="A663" s="34" t="s">
        <v>14</v>
      </c>
      <c r="B663" s="34" t="s">
        <v>0</v>
      </c>
      <c r="C663" s="34" t="s">
        <v>154</v>
      </c>
      <c r="D663" s="34" t="s">
        <v>5</v>
      </c>
      <c r="E663" s="34"/>
      <c r="F663" s="50" t="s">
        <v>155</v>
      </c>
      <c r="G663" s="34">
        <v>10</v>
      </c>
      <c r="H663" s="34" t="s">
        <v>18</v>
      </c>
      <c r="I663" s="34" t="s">
        <v>27</v>
      </c>
      <c r="J663" s="34">
        <v>0</v>
      </c>
      <c r="K663" s="35">
        <f>VLOOKUP(I663,'Weights and Confidence'!$D$16:$AC$26,5,FALSE)/COUNTIFS($B:$B,$B663,$C:$C,$C663,$H:$H,$H663,$I:$I,$I663)</f>
        <v>0.05</v>
      </c>
      <c r="L663" s="36">
        <f>VLOOKUP(I663,'Weights and Confidence'!$D$16:$AC$26,6,FALSE)</f>
        <v>0.85</v>
      </c>
      <c r="M663" s="37">
        <f>tScores4[[#This Row],[Raw_Rating_Text]]</f>
        <v>0</v>
      </c>
      <c r="N663" s="34" t="s">
        <v>99</v>
      </c>
    </row>
    <row r="664" spans="1:14" x14ac:dyDescent="0.2">
      <c r="A664" s="38" t="s">
        <v>14</v>
      </c>
      <c r="B664" s="38" t="s">
        <v>0</v>
      </c>
      <c r="C664" s="38" t="s">
        <v>154</v>
      </c>
      <c r="D664" s="38" t="s">
        <v>5</v>
      </c>
      <c r="E664" s="38"/>
      <c r="F664" s="51" t="s">
        <v>155</v>
      </c>
      <c r="G664" s="38">
        <v>11</v>
      </c>
      <c r="H664" s="38" t="s">
        <v>17</v>
      </c>
      <c r="I664" s="38" t="s">
        <v>28</v>
      </c>
      <c r="J664" s="38">
        <v>0</v>
      </c>
      <c r="K664" s="39">
        <f>VLOOKUP(I664,'Weights and Confidence'!$D$16:$AC$26,5,FALSE)/COUNTIFS($B:$B,$B664,$C:$C,$C664,$H:$H,$H664,$I:$I,$I664)</f>
        <v>0.05</v>
      </c>
      <c r="L664" s="40">
        <f>VLOOKUP(I664,'Weights and Confidence'!$D$16:$AC$26,6,FALSE)</f>
        <v>1</v>
      </c>
      <c r="M664" s="41">
        <f>tScores4[[#This Row],[Raw_Rating_Text]]</f>
        <v>0</v>
      </c>
      <c r="N664" s="38"/>
    </row>
    <row r="665" spans="1:14" ht="17" thickBot="1" x14ac:dyDescent="0.25">
      <c r="A665" s="34" t="s">
        <v>14</v>
      </c>
      <c r="B665" s="34" t="s">
        <v>0</v>
      </c>
      <c r="C665" s="34" t="s">
        <v>154</v>
      </c>
      <c r="D665" s="34" t="s">
        <v>5</v>
      </c>
      <c r="E665" s="34"/>
      <c r="F665" s="50" t="s">
        <v>155</v>
      </c>
      <c r="G665" s="34">
        <v>11</v>
      </c>
      <c r="H665" s="34" t="s">
        <v>18</v>
      </c>
      <c r="I665" s="34" t="s">
        <v>28</v>
      </c>
      <c r="J665" s="34">
        <v>-1</v>
      </c>
      <c r="K665" s="35">
        <f>VLOOKUP(I665,'Weights and Confidence'!$D$16:$AC$26,5,FALSE)/COUNTIFS($B:$B,$B665,$C:$C,$C665,$H:$H,$H665,$I:$I,$I665)</f>
        <v>0.05</v>
      </c>
      <c r="L665" s="36">
        <f>VLOOKUP(I665,'Weights and Confidence'!$D$16:$AC$26,6,FALSE)</f>
        <v>1</v>
      </c>
      <c r="M665" s="37">
        <f>tScores4[[#This Row],[Raw_Rating_Text]]</f>
        <v>-1</v>
      </c>
      <c r="N665" s="58" t="s">
        <v>161</v>
      </c>
    </row>
    <row r="666" spans="1:14" ht="17" thickTop="1" x14ac:dyDescent="0.2">
      <c r="A666" s="42" t="s">
        <v>14</v>
      </c>
      <c r="B666" s="42" t="s">
        <v>0</v>
      </c>
      <c r="C666" s="42" t="s">
        <v>162</v>
      </c>
      <c r="D666" s="42" t="s">
        <v>65</v>
      </c>
      <c r="E666" s="42"/>
      <c r="F666" s="49" t="s">
        <v>163</v>
      </c>
      <c r="G666" s="42">
        <v>1</v>
      </c>
      <c r="H666" s="42" t="s">
        <v>17</v>
      </c>
      <c r="I666" s="42" t="s">
        <v>19</v>
      </c>
      <c r="J666" s="42">
        <v>1</v>
      </c>
      <c r="K666" s="44">
        <f>VLOOKUP(I666,'Weights and Confidence'!$D$16:$AC$26,5,FALSE)/COUNTIFS($B:$B,$B666,$C:$C,$C666,$H:$H,$H666,$I:$I,$I666)</f>
        <v>0.12</v>
      </c>
      <c r="L666" s="45">
        <f>VLOOKUP(I666,'Weights and Confidence'!$D$16:$AC$26,6,FALSE)</f>
        <v>1</v>
      </c>
      <c r="M666" s="46">
        <f>tScores4[[#This Row],[Raw_Rating_Text]]</f>
        <v>1</v>
      </c>
      <c r="N666" s="42"/>
    </row>
    <row r="667" spans="1:14" x14ac:dyDescent="0.2">
      <c r="A667" s="34" t="s">
        <v>14</v>
      </c>
      <c r="B667" s="34" t="s">
        <v>0</v>
      </c>
      <c r="C667" s="34" t="s">
        <v>162</v>
      </c>
      <c r="D667" s="34" t="s">
        <v>65</v>
      </c>
      <c r="E667" s="34"/>
      <c r="F667" s="50" t="s">
        <v>163</v>
      </c>
      <c r="G667" s="34">
        <v>1</v>
      </c>
      <c r="H667" s="34" t="s">
        <v>18</v>
      </c>
      <c r="I667" s="34" t="s">
        <v>19</v>
      </c>
      <c r="J667" s="34">
        <v>1</v>
      </c>
      <c r="K667" s="35">
        <f>VLOOKUP(I667,'Weights and Confidence'!$D$16:$AC$26,5,FALSE)/COUNTIFS($B:$B,$B667,$C:$C,$C667,$H:$H,$H667,$I:$I,$I667)</f>
        <v>0.12</v>
      </c>
      <c r="L667" s="36">
        <f>VLOOKUP(I667,'Weights and Confidence'!$D$16:$AC$26,6,FALSE)</f>
        <v>1</v>
      </c>
      <c r="M667" s="37">
        <f>tScores4[[#This Row],[Raw_Rating_Text]]</f>
        <v>1</v>
      </c>
      <c r="N667" s="58"/>
    </row>
    <row r="668" spans="1:14" x14ac:dyDescent="0.2">
      <c r="A668" s="38" t="s">
        <v>14</v>
      </c>
      <c r="B668" s="38" t="s">
        <v>0</v>
      </c>
      <c r="C668" s="38" t="s">
        <v>162</v>
      </c>
      <c r="D668" s="38" t="s">
        <v>65</v>
      </c>
      <c r="E668" s="38"/>
      <c r="F668" s="51" t="s">
        <v>163</v>
      </c>
      <c r="G668" s="38">
        <v>2</v>
      </c>
      <c r="H668" s="38" t="s">
        <v>17</v>
      </c>
      <c r="I668" s="38" t="s">
        <v>20</v>
      </c>
      <c r="J668" s="38">
        <v>1</v>
      </c>
      <c r="K668" s="39">
        <f>VLOOKUP(I668,'Weights and Confidence'!$D$16:$AC$26,5,FALSE)/COUNTIFS($B:$B,$B668,$C:$C,$C668,$H:$H,$H668,$I:$I,$I668)</f>
        <v>0.08</v>
      </c>
      <c r="L668" s="40">
        <f>VLOOKUP(I668,'Weights and Confidence'!$D$16:$AC$26,6,FALSE)</f>
        <v>0.8</v>
      </c>
      <c r="M668" s="41">
        <f>tScores4[[#This Row],[Raw_Rating_Text]]</f>
        <v>1</v>
      </c>
      <c r="N668" s="38"/>
    </row>
    <row r="669" spans="1:14" x14ac:dyDescent="0.2">
      <c r="A669" s="34" t="s">
        <v>14</v>
      </c>
      <c r="B669" s="34" t="s">
        <v>0</v>
      </c>
      <c r="C669" s="34" t="s">
        <v>162</v>
      </c>
      <c r="D669" s="34" t="s">
        <v>65</v>
      </c>
      <c r="E669" s="34"/>
      <c r="F669" s="50" t="s">
        <v>163</v>
      </c>
      <c r="G669" s="34">
        <v>2</v>
      </c>
      <c r="H669" s="34" t="s">
        <v>18</v>
      </c>
      <c r="I669" s="34" t="s">
        <v>20</v>
      </c>
      <c r="J669" s="34">
        <v>0</v>
      </c>
      <c r="K669" s="35">
        <f>VLOOKUP(I669,'Weights and Confidence'!$D$16:$AC$26,5,FALSE)/COUNTIFS($B:$B,$B669,$C:$C,$C669,$H:$H,$H669,$I:$I,$I669)</f>
        <v>0.08</v>
      </c>
      <c r="L669" s="36">
        <f>VLOOKUP(I669,'Weights and Confidence'!$D$16:$AC$26,6,FALSE)</f>
        <v>0.8</v>
      </c>
      <c r="M669" s="37">
        <f>tScores4[[#This Row],[Raw_Rating_Text]]</f>
        <v>0</v>
      </c>
      <c r="N669" s="58"/>
    </row>
    <row r="670" spans="1:14" x14ac:dyDescent="0.2">
      <c r="A670" s="38" t="s">
        <v>14</v>
      </c>
      <c r="B670" s="38" t="s">
        <v>0</v>
      </c>
      <c r="C670" s="38" t="s">
        <v>162</v>
      </c>
      <c r="D670" s="38" t="s">
        <v>65</v>
      </c>
      <c r="E670" s="38"/>
      <c r="F670" s="51" t="s">
        <v>163</v>
      </c>
      <c r="G670" s="38">
        <v>3</v>
      </c>
      <c r="H670" s="38" t="s">
        <v>17</v>
      </c>
      <c r="I670" s="38" t="s">
        <v>21</v>
      </c>
      <c r="J670" s="38">
        <v>1</v>
      </c>
      <c r="K670" s="39">
        <f>VLOOKUP(I670,'Weights and Confidence'!$D$16:$AC$26,5,FALSE)/COUNTIFS($B:$B,$B670,$C:$C,$C670,$H:$H,$H670,$I:$I,$I670)</f>
        <v>0.05</v>
      </c>
      <c r="L670" s="40">
        <f>VLOOKUP(I670,'Weights and Confidence'!$D$16:$AC$26,6,FALSE)</f>
        <v>1</v>
      </c>
      <c r="M670" s="41">
        <f>tScores4[[#This Row],[Raw_Rating_Text]]</f>
        <v>1</v>
      </c>
      <c r="N670" s="38"/>
    </row>
    <row r="671" spans="1:14" x14ac:dyDescent="0.2">
      <c r="A671" s="34" t="s">
        <v>14</v>
      </c>
      <c r="B671" s="34" t="s">
        <v>0</v>
      </c>
      <c r="C671" s="34" t="s">
        <v>162</v>
      </c>
      <c r="D671" s="34" t="s">
        <v>65</v>
      </c>
      <c r="E671" s="34"/>
      <c r="F671" s="50" t="s">
        <v>163</v>
      </c>
      <c r="G671" s="34">
        <v>3</v>
      </c>
      <c r="H671" s="34" t="s">
        <v>18</v>
      </c>
      <c r="I671" s="34" t="s">
        <v>21</v>
      </c>
      <c r="J671" s="34">
        <v>0</v>
      </c>
      <c r="K671" s="35">
        <f>VLOOKUP(I671,'Weights and Confidence'!$D$16:$AC$26,5,FALSE)/COUNTIFS($B:$B,$B671,$C:$C,$C671,$H:$H,$H671,$I:$I,$I671)</f>
        <v>0.05</v>
      </c>
      <c r="L671" s="36">
        <f>VLOOKUP(I671,'Weights and Confidence'!$D$16:$AC$26,6,FALSE)</f>
        <v>1</v>
      </c>
      <c r="M671" s="37">
        <f>tScores4[[#This Row],[Raw_Rating_Text]]</f>
        <v>0</v>
      </c>
      <c r="N671" s="58"/>
    </row>
    <row r="672" spans="1:14" x14ac:dyDescent="0.2">
      <c r="A672" s="38" t="s">
        <v>14</v>
      </c>
      <c r="B672" s="38" t="s">
        <v>0</v>
      </c>
      <c r="C672" s="38" t="s">
        <v>162</v>
      </c>
      <c r="D672" s="38" t="s">
        <v>65</v>
      </c>
      <c r="E672" s="38"/>
      <c r="F672" s="51" t="s">
        <v>163</v>
      </c>
      <c r="G672" s="38">
        <v>4</v>
      </c>
      <c r="H672" s="38" t="s">
        <v>17</v>
      </c>
      <c r="I672" s="38" t="s">
        <v>22</v>
      </c>
      <c r="J672" s="38">
        <v>0</v>
      </c>
      <c r="K672" s="39">
        <f>VLOOKUP(I672,'Weights and Confidence'!$D$16:$AC$26,5,FALSE)/COUNTIFS($B:$B,$B672,$C:$C,$C672,$H:$H,$H672,$I:$I,$I672)</f>
        <v>0.14000000000000001</v>
      </c>
      <c r="L672" s="40">
        <f>VLOOKUP(I672,'Weights and Confidence'!$D$16:$AC$26,6,FALSE)</f>
        <v>1</v>
      </c>
      <c r="M672" s="41">
        <f>tScores4[[#This Row],[Raw_Rating_Text]]</f>
        <v>0</v>
      </c>
      <c r="N672" s="38"/>
    </row>
    <row r="673" spans="1:14" x14ac:dyDescent="0.2">
      <c r="A673" s="34" t="s">
        <v>14</v>
      </c>
      <c r="B673" s="34" t="s">
        <v>0</v>
      </c>
      <c r="C673" s="34" t="s">
        <v>162</v>
      </c>
      <c r="D673" s="34" t="s">
        <v>65</v>
      </c>
      <c r="E673" s="34"/>
      <c r="F673" s="50" t="s">
        <v>163</v>
      </c>
      <c r="G673" s="34">
        <v>4</v>
      </c>
      <c r="H673" s="34" t="s">
        <v>18</v>
      </c>
      <c r="I673" s="34" t="s">
        <v>22</v>
      </c>
      <c r="J673" s="34">
        <v>-1</v>
      </c>
      <c r="K673" s="35">
        <f>VLOOKUP(I673,'Weights and Confidence'!$D$16:$AC$26,5,FALSE)/COUNTIFS($B:$B,$B673,$C:$C,$C673,$H:$H,$H673,$I:$I,$I673)</f>
        <v>0.14000000000000001</v>
      </c>
      <c r="L673" s="36">
        <f>VLOOKUP(I673,'Weights and Confidence'!$D$16:$AC$26,6,FALSE)</f>
        <v>1</v>
      </c>
      <c r="M673" s="37">
        <f>tScores4[[#This Row],[Raw_Rating_Text]]</f>
        <v>-1</v>
      </c>
      <c r="N673" s="58"/>
    </row>
    <row r="674" spans="1:14" x14ac:dyDescent="0.2">
      <c r="A674" s="38" t="s">
        <v>14</v>
      </c>
      <c r="B674" s="38" t="s">
        <v>0</v>
      </c>
      <c r="C674" s="38" t="s">
        <v>162</v>
      </c>
      <c r="D674" s="38" t="s">
        <v>65</v>
      </c>
      <c r="E674" s="38"/>
      <c r="F674" s="51" t="s">
        <v>163</v>
      </c>
      <c r="G674" s="38">
        <v>5</v>
      </c>
      <c r="H674" s="38" t="s">
        <v>17</v>
      </c>
      <c r="I674" s="38" t="s">
        <v>23</v>
      </c>
      <c r="J674" s="38">
        <v>0</v>
      </c>
      <c r="K674" s="39">
        <f>VLOOKUP(I674,'Weights and Confidence'!$D$16:$AC$26,5,FALSE)/COUNTIFS($B:$B,$B674,$C:$C,$C674,$H:$H,$H674,$I:$I,$I674)</f>
        <v>0.11</v>
      </c>
      <c r="L674" s="40">
        <f>VLOOKUP(I674,'Weights and Confidence'!$D$16:$AC$26,6,FALSE)</f>
        <v>1</v>
      </c>
      <c r="M674" s="41">
        <f>tScores4[[#This Row],[Raw_Rating_Text]]</f>
        <v>0</v>
      </c>
      <c r="N674" s="38"/>
    </row>
    <row r="675" spans="1:14" x14ac:dyDescent="0.2">
      <c r="A675" s="34" t="s">
        <v>14</v>
      </c>
      <c r="B675" s="34" t="s">
        <v>0</v>
      </c>
      <c r="C675" s="34" t="s">
        <v>162</v>
      </c>
      <c r="D675" s="34" t="s">
        <v>65</v>
      </c>
      <c r="E675" s="34"/>
      <c r="F675" s="50" t="s">
        <v>163</v>
      </c>
      <c r="G675" s="34">
        <v>5</v>
      </c>
      <c r="H675" s="34" t="s">
        <v>18</v>
      </c>
      <c r="I675" s="34" t="s">
        <v>23</v>
      </c>
      <c r="J675" s="34">
        <v>-1</v>
      </c>
      <c r="K675" s="35">
        <f>VLOOKUP(I675,'Weights and Confidence'!$D$16:$AC$26,5,FALSE)/COUNTIFS($B:$B,$B675,$C:$C,$C675,$H:$H,$H675,$I:$I,$I675)</f>
        <v>0.11</v>
      </c>
      <c r="L675" s="36">
        <f>VLOOKUP(I675,'Weights and Confidence'!$D$16:$AC$26,6,FALSE)</f>
        <v>1</v>
      </c>
      <c r="M675" s="37">
        <f>tScores4[[#This Row],[Raw_Rating_Text]]</f>
        <v>-1</v>
      </c>
      <c r="N675" s="58"/>
    </row>
    <row r="676" spans="1:14" x14ac:dyDescent="0.2">
      <c r="A676" s="38" t="s">
        <v>14</v>
      </c>
      <c r="B676" s="38" t="s">
        <v>0</v>
      </c>
      <c r="C676" s="38" t="s">
        <v>162</v>
      </c>
      <c r="D676" s="38" t="s">
        <v>65</v>
      </c>
      <c r="E676" s="38"/>
      <c r="F676" s="51" t="s">
        <v>163</v>
      </c>
      <c r="G676" s="38">
        <v>6</v>
      </c>
      <c r="H676" s="38" t="s">
        <v>17</v>
      </c>
      <c r="I676" s="38" t="s">
        <v>24</v>
      </c>
      <c r="J676" s="38">
        <v>1</v>
      </c>
      <c r="K676" s="39">
        <f>VLOOKUP(I676,'Weights and Confidence'!$D$16:$AC$26,5,FALSE)/COUNTIFS($B:$B,$B676,$C:$C,$C676,$H:$H,$H676,$I:$I,$I676)</f>
        <v>0.15</v>
      </c>
      <c r="L676" s="40">
        <f>VLOOKUP(I676,'Weights and Confidence'!$D$16:$AC$26,6,FALSE)</f>
        <v>1</v>
      </c>
      <c r="M676" s="41">
        <f>tScores4[[#This Row],[Raw_Rating_Text]]</f>
        <v>1</v>
      </c>
      <c r="N676" s="59"/>
    </row>
    <row r="677" spans="1:14" x14ac:dyDescent="0.2">
      <c r="A677" s="34" t="s">
        <v>14</v>
      </c>
      <c r="B677" s="34" t="s">
        <v>0</v>
      </c>
      <c r="C677" s="34" t="s">
        <v>162</v>
      </c>
      <c r="D677" s="34" t="s">
        <v>65</v>
      </c>
      <c r="E677" s="34"/>
      <c r="F677" s="50" t="s">
        <v>163</v>
      </c>
      <c r="G677" s="34">
        <v>6</v>
      </c>
      <c r="H677" s="34" t="s">
        <v>18</v>
      </c>
      <c r="I677" s="34" t="s">
        <v>24</v>
      </c>
      <c r="J677" s="34">
        <v>-1</v>
      </c>
      <c r="K677" s="35">
        <f>VLOOKUP(I677,'Weights and Confidence'!$D$16:$AC$26,5,FALSE)/COUNTIFS($B:$B,$B677,$C:$C,$C677,$H:$H,$H677,$I:$I,$I677)</f>
        <v>0.15</v>
      </c>
      <c r="L677" s="36">
        <f>VLOOKUP(I677,'Weights and Confidence'!$D$16:$AC$26,6,FALSE)</f>
        <v>1</v>
      </c>
      <c r="M677" s="37">
        <f>tScores4[[#This Row],[Raw_Rating_Text]]</f>
        <v>-1</v>
      </c>
      <c r="N677" s="58"/>
    </row>
    <row r="678" spans="1:14" x14ac:dyDescent="0.2">
      <c r="A678" s="38" t="s">
        <v>14</v>
      </c>
      <c r="B678" s="38" t="s">
        <v>0</v>
      </c>
      <c r="C678" s="38" t="s">
        <v>162</v>
      </c>
      <c r="D678" s="38" t="s">
        <v>65</v>
      </c>
      <c r="E678" s="38"/>
      <c r="F678" s="51" t="s">
        <v>163</v>
      </c>
      <c r="G678" s="38">
        <v>7</v>
      </c>
      <c r="H678" s="38" t="s">
        <v>17</v>
      </c>
      <c r="I678" s="38" t="s">
        <v>25</v>
      </c>
      <c r="J678" s="38">
        <v>0</v>
      </c>
      <c r="K678" s="39">
        <f>VLOOKUP(I678,'Weights and Confidence'!$D$16:$AC$26,5,FALSE)/COUNTIFS($B:$B,$B678,$C:$C,$C678,$H:$H,$H678,$I:$I,$I678)</f>
        <v>0.1</v>
      </c>
      <c r="L678" s="40">
        <f>VLOOKUP(I678,'Weights and Confidence'!$D$16:$AC$26,6,FALSE)</f>
        <v>1</v>
      </c>
      <c r="M678" s="41">
        <f>tScores4[[#This Row],[Raw_Rating_Text]]</f>
        <v>0</v>
      </c>
      <c r="N678" s="38"/>
    </row>
    <row r="679" spans="1:14" x14ac:dyDescent="0.2">
      <c r="A679" s="34" t="s">
        <v>14</v>
      </c>
      <c r="B679" s="34" t="s">
        <v>0</v>
      </c>
      <c r="C679" s="34" t="s">
        <v>162</v>
      </c>
      <c r="D679" s="34" t="s">
        <v>65</v>
      </c>
      <c r="E679" s="34"/>
      <c r="F679" s="50" t="s">
        <v>163</v>
      </c>
      <c r="G679" s="34">
        <v>7</v>
      </c>
      <c r="H679" s="34" t="s">
        <v>18</v>
      </c>
      <c r="I679" s="34" t="s">
        <v>25</v>
      </c>
      <c r="J679" s="34">
        <v>-1</v>
      </c>
      <c r="K679" s="35">
        <f>VLOOKUP(I679,'Weights and Confidence'!$D$16:$AC$26,5,FALSE)/COUNTIFS($B:$B,$B679,$C:$C,$C679,$H:$H,$H679,$I:$I,$I679)</f>
        <v>0.1</v>
      </c>
      <c r="L679" s="36">
        <f>VLOOKUP(I679,'Weights and Confidence'!$D$16:$AC$26,6,FALSE)</f>
        <v>1</v>
      </c>
      <c r="M679" s="37">
        <f>tScores4[[#This Row],[Raw_Rating_Text]]</f>
        <v>-1</v>
      </c>
      <c r="N679" s="58"/>
    </row>
    <row r="680" spans="1:14" x14ac:dyDescent="0.2">
      <c r="A680" s="38" t="s">
        <v>14</v>
      </c>
      <c r="B680" s="38" t="s">
        <v>0</v>
      </c>
      <c r="C680" s="38" t="s">
        <v>162</v>
      </c>
      <c r="D680" s="38" t="s">
        <v>65</v>
      </c>
      <c r="E680" s="38"/>
      <c r="F680" s="51" t="s">
        <v>163</v>
      </c>
      <c r="G680" s="38">
        <v>8</v>
      </c>
      <c r="H680" s="38" t="s">
        <v>17</v>
      </c>
      <c r="I680" s="38" t="s">
        <v>26</v>
      </c>
      <c r="J680" s="38">
        <v>1</v>
      </c>
      <c r="K680" s="39">
        <f>VLOOKUP(I680,'Weights and Confidence'!$D$16:$AC$26,5,FALSE)/COUNTIFS($B:$B,$B680,$C:$C,$C680,$H:$H,$H680,$I:$I,$I680)</f>
        <v>0.1</v>
      </c>
      <c r="L680" s="40">
        <f>VLOOKUP(I680,'Weights and Confidence'!$D$16:$AC$26,6,FALSE)</f>
        <v>1</v>
      </c>
      <c r="M680" s="41">
        <f>tScores4[[#This Row],[Raw_Rating_Text]]</f>
        <v>1</v>
      </c>
      <c r="N680" s="38"/>
    </row>
    <row r="681" spans="1:14" x14ac:dyDescent="0.2">
      <c r="A681" s="34" t="s">
        <v>14</v>
      </c>
      <c r="B681" s="34" t="s">
        <v>0</v>
      </c>
      <c r="C681" s="34" t="s">
        <v>162</v>
      </c>
      <c r="D681" s="34" t="s">
        <v>65</v>
      </c>
      <c r="E681" s="34"/>
      <c r="F681" s="50" t="s">
        <v>163</v>
      </c>
      <c r="G681" s="34">
        <v>8</v>
      </c>
      <c r="H681" s="34" t="s">
        <v>18</v>
      </c>
      <c r="I681" s="34" t="s">
        <v>26</v>
      </c>
      <c r="J681" s="34">
        <v>-1</v>
      </c>
      <c r="K681" s="35">
        <f>VLOOKUP(I681,'Weights and Confidence'!$D$16:$AC$26,5,FALSE)/COUNTIFS($B:$B,$B681,$C:$C,$C681,$H:$H,$H681,$I:$I,$I681)</f>
        <v>0.1</v>
      </c>
      <c r="L681" s="36">
        <f>VLOOKUP(I681,'Weights and Confidence'!$D$16:$AC$26,6,FALSE)</f>
        <v>1</v>
      </c>
      <c r="M681" s="37">
        <f>tScores4[[#This Row],[Raw_Rating_Text]]</f>
        <v>-1</v>
      </c>
      <c r="N681" s="58"/>
    </row>
    <row r="682" spans="1:14" x14ac:dyDescent="0.2">
      <c r="A682" s="38" t="s">
        <v>14</v>
      </c>
      <c r="B682" s="38" t="s">
        <v>0</v>
      </c>
      <c r="C682" s="38" t="s">
        <v>162</v>
      </c>
      <c r="D682" s="38" t="s">
        <v>65</v>
      </c>
      <c r="E682" s="38"/>
      <c r="F682" s="51" t="s">
        <v>163</v>
      </c>
      <c r="G682" s="38">
        <v>9</v>
      </c>
      <c r="H682" s="38" t="s">
        <v>17</v>
      </c>
      <c r="I682" s="38" t="s">
        <v>27</v>
      </c>
      <c r="J682" s="38">
        <v>1</v>
      </c>
      <c r="K682" s="39">
        <f>VLOOKUP(I682,'Weights and Confidence'!$D$16:$AC$26,5,FALSE)/COUNTIFS($B:$B,$B682,$C:$C,$C682,$H:$H,$H682,$I:$I,$I682)</f>
        <v>0.05</v>
      </c>
      <c r="L682" s="40">
        <f>VLOOKUP(I682,'Weights and Confidence'!$D$16:$AC$26,6,FALSE)</f>
        <v>0.85</v>
      </c>
      <c r="M682" s="41">
        <f>tScores4[[#This Row],[Raw_Rating_Text]]</f>
        <v>1</v>
      </c>
      <c r="N682" s="38"/>
    </row>
    <row r="683" spans="1:14" x14ac:dyDescent="0.2">
      <c r="A683" s="34" t="s">
        <v>14</v>
      </c>
      <c r="B683" s="34" t="s">
        <v>0</v>
      </c>
      <c r="C683" s="34" t="s">
        <v>162</v>
      </c>
      <c r="D683" s="34" t="s">
        <v>65</v>
      </c>
      <c r="E683" s="34"/>
      <c r="F683" s="50" t="s">
        <v>163</v>
      </c>
      <c r="G683" s="34">
        <v>9</v>
      </c>
      <c r="H683" s="34" t="s">
        <v>18</v>
      </c>
      <c r="I683" s="34" t="s">
        <v>27</v>
      </c>
      <c r="J683" s="34">
        <v>0</v>
      </c>
      <c r="K683" s="35">
        <f>VLOOKUP(I683,'Weights and Confidence'!$D$16:$AC$26,5,FALSE)/COUNTIFS($B:$B,$B683,$C:$C,$C683,$H:$H,$H683,$I:$I,$I683)</f>
        <v>0.05</v>
      </c>
      <c r="L683" s="36">
        <f>VLOOKUP(I683,'Weights and Confidence'!$D$16:$AC$26,6,FALSE)</f>
        <v>0.85</v>
      </c>
      <c r="M683" s="37">
        <f>tScores4[[#This Row],[Raw_Rating_Text]]</f>
        <v>0</v>
      </c>
      <c r="N683" s="58"/>
    </row>
    <row r="684" spans="1:14" x14ac:dyDescent="0.2">
      <c r="A684" s="38" t="s">
        <v>14</v>
      </c>
      <c r="B684" s="38" t="s">
        <v>0</v>
      </c>
      <c r="C684" s="38" t="s">
        <v>162</v>
      </c>
      <c r="D684" s="38" t="s">
        <v>65</v>
      </c>
      <c r="E684" s="38"/>
      <c r="F684" s="51" t="s">
        <v>163</v>
      </c>
      <c r="G684" s="38">
        <v>10</v>
      </c>
      <c r="H684" s="38" t="s">
        <v>17</v>
      </c>
      <c r="I684" s="38" t="s">
        <v>27</v>
      </c>
      <c r="J684" s="38">
        <v>1</v>
      </c>
      <c r="K684" s="39">
        <f>VLOOKUP(I684,'Weights and Confidence'!$D$16:$AC$26,5,FALSE)/COUNTIFS($B:$B,$B684,$C:$C,$C684,$H:$H,$H684,$I:$I,$I684)</f>
        <v>0.05</v>
      </c>
      <c r="L684" s="40">
        <f>VLOOKUP(I684,'Weights and Confidence'!$D$16:$AC$26,6,FALSE)</f>
        <v>0.85</v>
      </c>
      <c r="M684" s="41">
        <f>tScores4[[#This Row],[Raw_Rating_Text]]</f>
        <v>1</v>
      </c>
      <c r="N684" s="38"/>
    </row>
    <row r="685" spans="1:14" x14ac:dyDescent="0.2">
      <c r="A685" s="34" t="s">
        <v>14</v>
      </c>
      <c r="B685" s="34" t="s">
        <v>0</v>
      </c>
      <c r="C685" s="34" t="s">
        <v>162</v>
      </c>
      <c r="D685" s="34" t="s">
        <v>65</v>
      </c>
      <c r="E685" s="34"/>
      <c r="F685" s="50" t="s">
        <v>163</v>
      </c>
      <c r="G685" s="34">
        <v>10</v>
      </c>
      <c r="H685" s="34" t="s">
        <v>18</v>
      </c>
      <c r="I685" s="34" t="s">
        <v>27</v>
      </c>
      <c r="J685" s="34">
        <v>-1</v>
      </c>
      <c r="K685" s="35">
        <f>VLOOKUP(I685,'Weights and Confidence'!$D$16:$AC$26,5,FALSE)/COUNTIFS($B:$B,$B685,$C:$C,$C685,$H:$H,$H685,$I:$I,$I685)</f>
        <v>0.05</v>
      </c>
      <c r="L685" s="36">
        <f>VLOOKUP(I685,'Weights and Confidence'!$D$16:$AC$26,6,FALSE)</f>
        <v>0.85</v>
      </c>
      <c r="M685" s="37">
        <f>tScores4[[#This Row],[Raw_Rating_Text]]</f>
        <v>-1</v>
      </c>
      <c r="N685" s="34"/>
    </row>
    <row r="686" spans="1:14" x14ac:dyDescent="0.2">
      <c r="A686" s="38" t="s">
        <v>14</v>
      </c>
      <c r="B686" s="38" t="s">
        <v>0</v>
      </c>
      <c r="C686" s="38" t="s">
        <v>162</v>
      </c>
      <c r="D686" s="38" t="s">
        <v>65</v>
      </c>
      <c r="E686" s="38"/>
      <c r="F686" s="51" t="s">
        <v>163</v>
      </c>
      <c r="G686" s="38">
        <v>11</v>
      </c>
      <c r="H686" s="38" t="s">
        <v>17</v>
      </c>
      <c r="I686" s="38" t="s">
        <v>28</v>
      </c>
      <c r="J686" s="38">
        <v>1</v>
      </c>
      <c r="K686" s="39">
        <f>VLOOKUP(I686,'Weights and Confidence'!$D$16:$AC$26,5,FALSE)/COUNTIFS($B:$B,$B686,$C:$C,$C686,$H:$H,$H686,$I:$I,$I686)</f>
        <v>0.05</v>
      </c>
      <c r="L686" s="40">
        <f>VLOOKUP(I686,'Weights and Confidence'!$D$16:$AC$26,6,FALSE)</f>
        <v>1</v>
      </c>
      <c r="M686" s="41">
        <f>tScores4[[#This Row],[Raw_Rating_Text]]</f>
        <v>1</v>
      </c>
      <c r="N686" s="38"/>
    </row>
    <row r="687" spans="1:14" ht="17" thickBot="1" x14ac:dyDescent="0.25">
      <c r="A687" s="34" t="s">
        <v>14</v>
      </c>
      <c r="B687" s="34" t="s">
        <v>0</v>
      </c>
      <c r="C687" s="34" t="s">
        <v>162</v>
      </c>
      <c r="D687" s="34" t="s">
        <v>65</v>
      </c>
      <c r="E687" s="34"/>
      <c r="F687" s="50" t="s">
        <v>163</v>
      </c>
      <c r="G687" s="34">
        <v>11</v>
      </c>
      <c r="H687" s="34" t="s">
        <v>18</v>
      </c>
      <c r="I687" s="34" t="s">
        <v>28</v>
      </c>
      <c r="J687" s="34">
        <v>-1</v>
      </c>
      <c r="K687" s="35">
        <f>VLOOKUP(I687,'Weights and Confidence'!$D$16:$AC$26,5,FALSE)/COUNTIFS($B:$B,$B687,$C:$C,$C687,$H:$H,$H687,$I:$I,$I687)</f>
        <v>0.05</v>
      </c>
      <c r="L687" s="36">
        <f>VLOOKUP(I687,'Weights and Confidence'!$D$16:$AC$26,6,FALSE)</f>
        <v>1</v>
      </c>
      <c r="M687" s="37">
        <f>tScores4[[#This Row],[Raw_Rating_Text]]</f>
        <v>-1</v>
      </c>
      <c r="N687" s="58" t="s">
        <v>161</v>
      </c>
    </row>
    <row r="688" spans="1:14" ht="17" thickTop="1" x14ac:dyDescent="0.2">
      <c r="A688" s="42" t="s">
        <v>14</v>
      </c>
      <c r="B688" s="42" t="s">
        <v>0</v>
      </c>
      <c r="C688" s="42" t="s">
        <v>164</v>
      </c>
      <c r="D688" s="42" t="s">
        <v>65</v>
      </c>
      <c r="E688" s="42"/>
      <c r="F688" s="49" t="s">
        <v>165</v>
      </c>
      <c r="G688" s="42">
        <v>1</v>
      </c>
      <c r="H688" s="42" t="s">
        <v>17</v>
      </c>
      <c r="I688" s="42" t="s">
        <v>19</v>
      </c>
      <c r="J688" s="42">
        <v>0</v>
      </c>
      <c r="K688" s="44">
        <f>VLOOKUP(I688,'Weights and Confidence'!$D$16:$AC$26,5,FALSE)/COUNTIFS($B:$B,$B688,$C:$C,$C688,$H:$H,$H688,$I:$I,$I688)</f>
        <v>0.12</v>
      </c>
      <c r="L688" s="45">
        <f>VLOOKUP(I688,'Weights and Confidence'!$D$16:$AC$26,6,FALSE)</f>
        <v>1</v>
      </c>
      <c r="M688" s="46">
        <f>tScores4[[#This Row],[Raw_Rating_Text]]</f>
        <v>0</v>
      </c>
      <c r="N688" s="42"/>
    </row>
    <row r="689" spans="1:14" x14ac:dyDescent="0.2">
      <c r="A689" s="34" t="s">
        <v>14</v>
      </c>
      <c r="B689" s="34" t="s">
        <v>0</v>
      </c>
      <c r="C689" s="34" t="s">
        <v>164</v>
      </c>
      <c r="D689" s="34" t="s">
        <v>65</v>
      </c>
      <c r="E689" s="34"/>
      <c r="F689" s="50" t="s">
        <v>165</v>
      </c>
      <c r="G689" s="34">
        <v>1</v>
      </c>
      <c r="H689" s="34" t="s">
        <v>18</v>
      </c>
      <c r="I689" s="34" t="s">
        <v>19</v>
      </c>
      <c r="J689" s="34">
        <v>0</v>
      </c>
      <c r="K689" s="35">
        <f>VLOOKUP(I689,'Weights and Confidence'!$D$16:$AC$26,5,FALSE)/COUNTIFS($B:$B,$B689,$C:$C,$C689,$H:$H,$H689,$I:$I,$I689)</f>
        <v>0.12</v>
      </c>
      <c r="L689" s="36">
        <f>VLOOKUP(I689,'Weights and Confidence'!$D$16:$AC$26,6,FALSE)</f>
        <v>1</v>
      </c>
      <c r="M689" s="37">
        <f>tScores4[[#This Row],[Raw_Rating_Text]]</f>
        <v>0</v>
      </c>
      <c r="N689" s="58" t="s">
        <v>166</v>
      </c>
    </row>
    <row r="690" spans="1:14" x14ac:dyDescent="0.2">
      <c r="A690" s="38" t="s">
        <v>14</v>
      </c>
      <c r="B690" s="38" t="s">
        <v>0</v>
      </c>
      <c r="C690" s="38" t="s">
        <v>164</v>
      </c>
      <c r="D690" s="38" t="s">
        <v>65</v>
      </c>
      <c r="E690" s="38"/>
      <c r="F690" s="51" t="s">
        <v>165</v>
      </c>
      <c r="G690" s="38">
        <v>2</v>
      </c>
      <c r="H690" s="38" t="s">
        <v>17</v>
      </c>
      <c r="I690" s="38" t="s">
        <v>20</v>
      </c>
      <c r="J690" s="38">
        <v>-1</v>
      </c>
      <c r="K690" s="39">
        <f>VLOOKUP(I690,'Weights and Confidence'!$D$16:$AC$26,5,FALSE)/COUNTIFS($B:$B,$B690,$C:$C,$C690,$H:$H,$H690,$I:$I,$I690)</f>
        <v>0.08</v>
      </c>
      <c r="L690" s="40">
        <f>VLOOKUP(I690,'Weights and Confidence'!$D$16:$AC$26,6,FALSE)</f>
        <v>0.8</v>
      </c>
      <c r="M690" s="41">
        <f>tScores4[[#This Row],[Raw_Rating_Text]]</f>
        <v>-1</v>
      </c>
      <c r="N690" s="38"/>
    </row>
    <row r="691" spans="1:14" x14ac:dyDescent="0.2">
      <c r="A691" s="34" t="s">
        <v>14</v>
      </c>
      <c r="B691" s="34" t="s">
        <v>0</v>
      </c>
      <c r="C691" s="34" t="s">
        <v>164</v>
      </c>
      <c r="D691" s="34" t="s">
        <v>65</v>
      </c>
      <c r="E691" s="34"/>
      <c r="F691" s="50" t="s">
        <v>165</v>
      </c>
      <c r="G691" s="34">
        <v>2</v>
      </c>
      <c r="H691" s="34" t="s">
        <v>18</v>
      </c>
      <c r="I691" s="34" t="s">
        <v>20</v>
      </c>
      <c r="J691" s="34">
        <v>0</v>
      </c>
      <c r="K691" s="35">
        <f>VLOOKUP(I691,'Weights and Confidence'!$D$16:$AC$26,5,FALSE)/COUNTIFS($B:$B,$B691,$C:$C,$C691,$H:$H,$H691,$I:$I,$I691)</f>
        <v>0.08</v>
      </c>
      <c r="L691" s="36">
        <f>VLOOKUP(I691,'Weights and Confidence'!$D$16:$AC$26,6,FALSE)</f>
        <v>0.8</v>
      </c>
      <c r="M691" s="37">
        <f>tScores4[[#This Row],[Raw_Rating_Text]]</f>
        <v>0</v>
      </c>
      <c r="N691" s="58"/>
    </row>
    <row r="692" spans="1:14" x14ac:dyDescent="0.2">
      <c r="A692" s="38" t="s">
        <v>14</v>
      </c>
      <c r="B692" s="38" t="s">
        <v>0</v>
      </c>
      <c r="C692" s="38" t="s">
        <v>164</v>
      </c>
      <c r="D692" s="38" t="s">
        <v>65</v>
      </c>
      <c r="E692" s="38"/>
      <c r="F692" s="51" t="s">
        <v>165</v>
      </c>
      <c r="G692" s="38">
        <v>3</v>
      </c>
      <c r="H692" s="38" t="s">
        <v>17</v>
      </c>
      <c r="I692" s="38" t="s">
        <v>21</v>
      </c>
      <c r="J692" s="38">
        <v>0</v>
      </c>
      <c r="K692" s="39">
        <f>VLOOKUP(I692,'Weights and Confidence'!$D$16:$AC$26,5,FALSE)/COUNTIFS($B:$B,$B692,$C:$C,$C692,$H:$H,$H692,$I:$I,$I692)</f>
        <v>0.05</v>
      </c>
      <c r="L692" s="40">
        <f>VLOOKUP(I692,'Weights and Confidence'!$D$16:$AC$26,6,FALSE)</f>
        <v>1</v>
      </c>
      <c r="M692" s="41">
        <f>tScores4[[#This Row],[Raw_Rating_Text]]</f>
        <v>0</v>
      </c>
      <c r="N692" s="38"/>
    </row>
    <row r="693" spans="1:14" x14ac:dyDescent="0.2">
      <c r="A693" s="34" t="s">
        <v>14</v>
      </c>
      <c r="B693" s="34" t="s">
        <v>0</v>
      </c>
      <c r="C693" s="34" t="s">
        <v>164</v>
      </c>
      <c r="D693" s="34" t="s">
        <v>65</v>
      </c>
      <c r="E693" s="34"/>
      <c r="F693" s="50" t="s">
        <v>165</v>
      </c>
      <c r="G693" s="34">
        <v>3</v>
      </c>
      <c r="H693" s="34" t="s">
        <v>18</v>
      </c>
      <c r="I693" s="34" t="s">
        <v>21</v>
      </c>
      <c r="J693" s="34">
        <v>0</v>
      </c>
      <c r="K693" s="35">
        <f>VLOOKUP(I693,'Weights and Confidence'!$D$16:$AC$26,5,FALSE)/COUNTIFS($B:$B,$B693,$C:$C,$C693,$H:$H,$H693,$I:$I,$I693)</f>
        <v>0.05</v>
      </c>
      <c r="L693" s="36">
        <f>VLOOKUP(I693,'Weights and Confidence'!$D$16:$AC$26,6,FALSE)</f>
        <v>1</v>
      </c>
      <c r="M693" s="37">
        <f>tScores4[[#This Row],[Raw_Rating_Text]]</f>
        <v>0</v>
      </c>
      <c r="N693" s="58"/>
    </row>
    <row r="694" spans="1:14" x14ac:dyDescent="0.2">
      <c r="A694" s="38" t="s">
        <v>14</v>
      </c>
      <c r="B694" s="38" t="s">
        <v>0</v>
      </c>
      <c r="C694" s="38" t="s">
        <v>164</v>
      </c>
      <c r="D694" s="38" t="s">
        <v>65</v>
      </c>
      <c r="E694" s="38"/>
      <c r="F694" s="51" t="s">
        <v>165</v>
      </c>
      <c r="G694" s="38">
        <v>4</v>
      </c>
      <c r="H694" s="38" t="s">
        <v>17</v>
      </c>
      <c r="I694" s="38" t="s">
        <v>22</v>
      </c>
      <c r="J694" s="38">
        <v>-1</v>
      </c>
      <c r="K694" s="39">
        <f>VLOOKUP(I694,'Weights and Confidence'!$D$16:$AC$26,5,FALSE)/COUNTIFS($B:$B,$B694,$C:$C,$C694,$H:$H,$H694,$I:$I,$I694)</f>
        <v>0.14000000000000001</v>
      </c>
      <c r="L694" s="40">
        <f>VLOOKUP(I694,'Weights and Confidence'!$D$16:$AC$26,6,FALSE)</f>
        <v>1</v>
      </c>
      <c r="M694" s="41">
        <f>tScores4[[#This Row],[Raw_Rating_Text]]</f>
        <v>-1</v>
      </c>
      <c r="N694" s="38"/>
    </row>
    <row r="695" spans="1:14" x14ac:dyDescent="0.2">
      <c r="A695" s="34" t="s">
        <v>14</v>
      </c>
      <c r="B695" s="34" t="s">
        <v>0</v>
      </c>
      <c r="C695" s="34" t="s">
        <v>164</v>
      </c>
      <c r="D695" s="34" t="s">
        <v>65</v>
      </c>
      <c r="E695" s="34"/>
      <c r="F695" s="50" t="s">
        <v>165</v>
      </c>
      <c r="G695" s="34">
        <v>4</v>
      </c>
      <c r="H695" s="34" t="s">
        <v>18</v>
      </c>
      <c r="I695" s="34" t="s">
        <v>22</v>
      </c>
      <c r="J695" s="34">
        <v>-1</v>
      </c>
      <c r="K695" s="35">
        <f>VLOOKUP(I695,'Weights and Confidence'!$D$16:$AC$26,5,FALSE)/COUNTIFS($B:$B,$B695,$C:$C,$C695,$H:$H,$H695,$I:$I,$I695)</f>
        <v>0.14000000000000001</v>
      </c>
      <c r="L695" s="36">
        <f>VLOOKUP(I695,'Weights and Confidence'!$D$16:$AC$26,6,FALSE)</f>
        <v>1</v>
      </c>
      <c r="M695" s="37">
        <f>tScores4[[#This Row],[Raw_Rating_Text]]</f>
        <v>-1</v>
      </c>
      <c r="N695" s="58"/>
    </row>
    <row r="696" spans="1:14" x14ac:dyDescent="0.2">
      <c r="A696" s="38" t="s">
        <v>14</v>
      </c>
      <c r="B696" s="38" t="s">
        <v>0</v>
      </c>
      <c r="C696" s="38" t="s">
        <v>164</v>
      </c>
      <c r="D696" s="38" t="s">
        <v>65</v>
      </c>
      <c r="E696" s="38"/>
      <c r="F696" s="51" t="s">
        <v>165</v>
      </c>
      <c r="G696" s="38">
        <v>5</v>
      </c>
      <c r="H696" s="38" t="s">
        <v>17</v>
      </c>
      <c r="I696" s="38" t="s">
        <v>23</v>
      </c>
      <c r="J696" s="38">
        <v>-1</v>
      </c>
      <c r="K696" s="39">
        <f>VLOOKUP(I696,'Weights and Confidence'!$D$16:$AC$26,5,FALSE)/COUNTIFS($B:$B,$B696,$C:$C,$C696,$H:$H,$H696,$I:$I,$I696)</f>
        <v>0.11</v>
      </c>
      <c r="L696" s="40">
        <f>VLOOKUP(I696,'Weights and Confidence'!$D$16:$AC$26,6,FALSE)</f>
        <v>1</v>
      </c>
      <c r="M696" s="41">
        <f>tScores4[[#This Row],[Raw_Rating_Text]]</f>
        <v>-1</v>
      </c>
      <c r="N696" s="38"/>
    </row>
    <row r="697" spans="1:14" x14ac:dyDescent="0.2">
      <c r="A697" s="34" t="s">
        <v>14</v>
      </c>
      <c r="B697" s="34" t="s">
        <v>0</v>
      </c>
      <c r="C697" s="34" t="s">
        <v>164</v>
      </c>
      <c r="D697" s="34" t="s">
        <v>65</v>
      </c>
      <c r="E697" s="34"/>
      <c r="F697" s="50" t="s">
        <v>165</v>
      </c>
      <c r="G697" s="34">
        <v>5</v>
      </c>
      <c r="H697" s="34" t="s">
        <v>18</v>
      </c>
      <c r="I697" s="34" t="s">
        <v>23</v>
      </c>
      <c r="J697" s="34">
        <v>-1</v>
      </c>
      <c r="K697" s="35">
        <f>VLOOKUP(I697,'Weights and Confidence'!$D$16:$AC$26,5,FALSE)/COUNTIFS($B:$B,$B697,$C:$C,$C697,$H:$H,$H697,$I:$I,$I697)</f>
        <v>0.11</v>
      </c>
      <c r="L697" s="36">
        <f>VLOOKUP(I697,'Weights and Confidence'!$D$16:$AC$26,6,FALSE)</f>
        <v>1</v>
      </c>
      <c r="M697" s="37">
        <f>tScores4[[#This Row],[Raw_Rating_Text]]</f>
        <v>-1</v>
      </c>
      <c r="N697" s="58"/>
    </row>
    <row r="698" spans="1:14" x14ac:dyDescent="0.2">
      <c r="A698" s="38" t="s">
        <v>14</v>
      </c>
      <c r="B698" s="38" t="s">
        <v>0</v>
      </c>
      <c r="C698" s="38" t="s">
        <v>164</v>
      </c>
      <c r="D698" s="38" t="s">
        <v>65</v>
      </c>
      <c r="E698" s="38"/>
      <c r="F698" s="51" t="s">
        <v>165</v>
      </c>
      <c r="G698" s="38">
        <v>6</v>
      </c>
      <c r="H698" s="38" t="s">
        <v>17</v>
      </c>
      <c r="I698" s="38" t="s">
        <v>24</v>
      </c>
      <c r="J698" s="38">
        <v>-1</v>
      </c>
      <c r="K698" s="39">
        <f>VLOOKUP(I698,'Weights and Confidence'!$D$16:$AC$26,5,FALSE)/COUNTIFS($B:$B,$B698,$C:$C,$C698,$H:$H,$H698,$I:$I,$I698)</f>
        <v>0.15</v>
      </c>
      <c r="L698" s="40">
        <f>VLOOKUP(I698,'Weights and Confidence'!$D$16:$AC$26,6,FALSE)</f>
        <v>1</v>
      </c>
      <c r="M698" s="41">
        <f>tScores4[[#This Row],[Raw_Rating_Text]]</f>
        <v>-1</v>
      </c>
      <c r="N698" s="59"/>
    </row>
    <row r="699" spans="1:14" x14ac:dyDescent="0.2">
      <c r="A699" s="34" t="s">
        <v>14</v>
      </c>
      <c r="B699" s="34" t="s">
        <v>0</v>
      </c>
      <c r="C699" s="34" t="s">
        <v>164</v>
      </c>
      <c r="D699" s="34" t="s">
        <v>65</v>
      </c>
      <c r="E699" s="34"/>
      <c r="F699" s="50" t="s">
        <v>165</v>
      </c>
      <c r="G699" s="34">
        <v>6</v>
      </c>
      <c r="H699" s="34" t="s">
        <v>18</v>
      </c>
      <c r="I699" s="34" t="s">
        <v>24</v>
      </c>
      <c r="J699" s="34">
        <v>-1</v>
      </c>
      <c r="K699" s="35">
        <f>VLOOKUP(I699,'Weights and Confidence'!$D$16:$AC$26,5,FALSE)/COUNTIFS($B:$B,$B699,$C:$C,$C699,$H:$H,$H699,$I:$I,$I699)</f>
        <v>0.15</v>
      </c>
      <c r="L699" s="36">
        <f>VLOOKUP(I699,'Weights and Confidence'!$D$16:$AC$26,6,FALSE)</f>
        <v>1</v>
      </c>
      <c r="M699" s="37">
        <f>tScores4[[#This Row],[Raw_Rating_Text]]</f>
        <v>-1</v>
      </c>
      <c r="N699" s="58"/>
    </row>
    <row r="700" spans="1:14" x14ac:dyDescent="0.2">
      <c r="A700" s="38" t="s">
        <v>14</v>
      </c>
      <c r="B700" s="38" t="s">
        <v>0</v>
      </c>
      <c r="C700" s="38" t="s">
        <v>164</v>
      </c>
      <c r="D700" s="38" t="s">
        <v>65</v>
      </c>
      <c r="E700" s="38"/>
      <c r="F700" s="51" t="s">
        <v>165</v>
      </c>
      <c r="G700" s="38">
        <v>7</v>
      </c>
      <c r="H700" s="38" t="s">
        <v>17</v>
      </c>
      <c r="I700" s="38" t="s">
        <v>25</v>
      </c>
      <c r="J700" s="38">
        <v>-1</v>
      </c>
      <c r="K700" s="39">
        <f>VLOOKUP(I700,'Weights and Confidence'!$D$16:$AC$26,5,FALSE)/COUNTIFS($B:$B,$B700,$C:$C,$C700,$H:$H,$H700,$I:$I,$I700)</f>
        <v>0.1</v>
      </c>
      <c r="L700" s="40">
        <f>VLOOKUP(I700,'Weights and Confidence'!$D$16:$AC$26,6,FALSE)</f>
        <v>1</v>
      </c>
      <c r="M700" s="41">
        <f>tScores4[[#This Row],[Raw_Rating_Text]]</f>
        <v>-1</v>
      </c>
      <c r="N700" s="38"/>
    </row>
    <row r="701" spans="1:14" x14ac:dyDescent="0.2">
      <c r="A701" s="34" t="s">
        <v>14</v>
      </c>
      <c r="B701" s="34" t="s">
        <v>0</v>
      </c>
      <c r="C701" s="34" t="s">
        <v>164</v>
      </c>
      <c r="D701" s="34" t="s">
        <v>65</v>
      </c>
      <c r="E701" s="34"/>
      <c r="F701" s="50" t="s">
        <v>165</v>
      </c>
      <c r="G701" s="34">
        <v>7</v>
      </c>
      <c r="H701" s="34" t="s">
        <v>18</v>
      </c>
      <c r="I701" s="34" t="s">
        <v>25</v>
      </c>
      <c r="J701" s="34">
        <v>-1</v>
      </c>
      <c r="K701" s="35">
        <f>VLOOKUP(I701,'Weights and Confidence'!$D$16:$AC$26,5,FALSE)/COUNTIFS($B:$B,$B701,$C:$C,$C701,$H:$H,$H701,$I:$I,$I701)</f>
        <v>0.1</v>
      </c>
      <c r="L701" s="36">
        <f>VLOOKUP(I701,'Weights and Confidence'!$D$16:$AC$26,6,FALSE)</f>
        <v>1</v>
      </c>
      <c r="M701" s="37">
        <f>tScores4[[#This Row],[Raw_Rating_Text]]</f>
        <v>-1</v>
      </c>
      <c r="N701" s="58"/>
    </row>
    <row r="702" spans="1:14" x14ac:dyDescent="0.2">
      <c r="A702" s="38" t="s">
        <v>14</v>
      </c>
      <c r="B702" s="38" t="s">
        <v>0</v>
      </c>
      <c r="C702" s="38" t="s">
        <v>164</v>
      </c>
      <c r="D702" s="38" t="s">
        <v>65</v>
      </c>
      <c r="E702" s="38"/>
      <c r="F702" s="51" t="s">
        <v>165</v>
      </c>
      <c r="G702" s="38">
        <v>8</v>
      </c>
      <c r="H702" s="38" t="s">
        <v>17</v>
      </c>
      <c r="I702" s="38" t="s">
        <v>26</v>
      </c>
      <c r="J702" s="38">
        <v>-1</v>
      </c>
      <c r="K702" s="39">
        <f>VLOOKUP(I702,'Weights and Confidence'!$D$16:$AC$26,5,FALSE)/COUNTIFS($B:$B,$B702,$C:$C,$C702,$H:$H,$H702,$I:$I,$I702)</f>
        <v>0.1</v>
      </c>
      <c r="L702" s="40">
        <f>VLOOKUP(I702,'Weights and Confidence'!$D$16:$AC$26,6,FALSE)</f>
        <v>1</v>
      </c>
      <c r="M702" s="41">
        <f>tScores4[[#This Row],[Raw_Rating_Text]]</f>
        <v>-1</v>
      </c>
      <c r="N702" s="38"/>
    </row>
    <row r="703" spans="1:14" x14ac:dyDescent="0.2">
      <c r="A703" s="34" t="s">
        <v>14</v>
      </c>
      <c r="B703" s="34" t="s">
        <v>0</v>
      </c>
      <c r="C703" s="34" t="s">
        <v>164</v>
      </c>
      <c r="D703" s="34" t="s">
        <v>65</v>
      </c>
      <c r="E703" s="34"/>
      <c r="F703" s="50" t="s">
        <v>165</v>
      </c>
      <c r="G703" s="34">
        <v>8</v>
      </c>
      <c r="H703" s="34" t="s">
        <v>18</v>
      </c>
      <c r="I703" s="34" t="s">
        <v>26</v>
      </c>
      <c r="J703" s="34">
        <v>-1</v>
      </c>
      <c r="K703" s="35">
        <f>VLOOKUP(I703,'Weights and Confidence'!$D$16:$AC$26,5,FALSE)/COUNTIFS($B:$B,$B703,$C:$C,$C703,$H:$H,$H703,$I:$I,$I703)</f>
        <v>0.1</v>
      </c>
      <c r="L703" s="36">
        <f>VLOOKUP(I703,'Weights and Confidence'!$D$16:$AC$26,6,FALSE)</f>
        <v>1</v>
      </c>
      <c r="M703" s="37">
        <f>tScores4[[#This Row],[Raw_Rating_Text]]</f>
        <v>-1</v>
      </c>
      <c r="N703" s="58"/>
    </row>
    <row r="704" spans="1:14" x14ac:dyDescent="0.2">
      <c r="A704" s="38" t="s">
        <v>14</v>
      </c>
      <c r="B704" s="38" t="s">
        <v>0</v>
      </c>
      <c r="C704" s="38" t="s">
        <v>164</v>
      </c>
      <c r="D704" s="38" t="s">
        <v>65</v>
      </c>
      <c r="E704" s="38"/>
      <c r="F704" s="51" t="s">
        <v>165</v>
      </c>
      <c r="G704" s="38">
        <v>9</v>
      </c>
      <c r="H704" s="38" t="s">
        <v>17</v>
      </c>
      <c r="I704" s="38" t="s">
        <v>27</v>
      </c>
      <c r="J704" s="38">
        <v>-1</v>
      </c>
      <c r="K704" s="39">
        <f>VLOOKUP(I704,'Weights and Confidence'!$D$16:$AC$26,5,FALSE)/COUNTIFS($B:$B,$B704,$C:$C,$C704,$H:$H,$H704,$I:$I,$I704)</f>
        <v>0.05</v>
      </c>
      <c r="L704" s="40">
        <f>VLOOKUP(I704,'Weights and Confidence'!$D$16:$AC$26,6,FALSE)</f>
        <v>0.85</v>
      </c>
      <c r="M704" s="41">
        <f>tScores4[[#This Row],[Raw_Rating_Text]]</f>
        <v>-1</v>
      </c>
      <c r="N704" s="38"/>
    </row>
    <row r="705" spans="1:14" x14ac:dyDescent="0.2">
      <c r="A705" s="34" t="s">
        <v>14</v>
      </c>
      <c r="B705" s="34" t="s">
        <v>0</v>
      </c>
      <c r="C705" s="34" t="s">
        <v>164</v>
      </c>
      <c r="D705" s="34" t="s">
        <v>65</v>
      </c>
      <c r="E705" s="34"/>
      <c r="F705" s="50" t="s">
        <v>165</v>
      </c>
      <c r="G705" s="34">
        <v>9</v>
      </c>
      <c r="H705" s="34" t="s">
        <v>18</v>
      </c>
      <c r="I705" s="34" t="s">
        <v>27</v>
      </c>
      <c r="J705" s="34">
        <v>-1</v>
      </c>
      <c r="K705" s="35">
        <f>VLOOKUP(I705,'Weights and Confidence'!$D$16:$AC$26,5,FALSE)/COUNTIFS($B:$B,$B705,$C:$C,$C705,$H:$H,$H705,$I:$I,$I705)</f>
        <v>0.05</v>
      </c>
      <c r="L705" s="36">
        <f>VLOOKUP(I705,'Weights and Confidence'!$D$16:$AC$26,6,FALSE)</f>
        <v>0.85</v>
      </c>
      <c r="M705" s="37">
        <f>tScores4[[#This Row],[Raw_Rating_Text]]</f>
        <v>-1</v>
      </c>
      <c r="N705" s="58"/>
    </row>
    <row r="706" spans="1:14" x14ac:dyDescent="0.2">
      <c r="A706" s="38" t="s">
        <v>14</v>
      </c>
      <c r="B706" s="38" t="s">
        <v>0</v>
      </c>
      <c r="C706" s="38" t="s">
        <v>164</v>
      </c>
      <c r="D706" s="38" t="s">
        <v>65</v>
      </c>
      <c r="E706" s="38"/>
      <c r="F706" s="51" t="s">
        <v>165</v>
      </c>
      <c r="G706" s="38">
        <v>10</v>
      </c>
      <c r="H706" s="38" t="s">
        <v>17</v>
      </c>
      <c r="I706" s="38" t="s">
        <v>27</v>
      </c>
      <c r="J706" s="38">
        <v>-1</v>
      </c>
      <c r="K706" s="39">
        <f>VLOOKUP(I706,'Weights and Confidence'!$D$16:$AC$26,5,FALSE)/COUNTIFS($B:$B,$B706,$C:$C,$C706,$H:$H,$H706,$I:$I,$I706)</f>
        <v>0.05</v>
      </c>
      <c r="L706" s="40">
        <f>VLOOKUP(I706,'Weights and Confidence'!$D$16:$AC$26,6,FALSE)</f>
        <v>0.85</v>
      </c>
      <c r="M706" s="41">
        <f>tScores4[[#This Row],[Raw_Rating_Text]]</f>
        <v>-1</v>
      </c>
      <c r="N706" s="38"/>
    </row>
    <row r="707" spans="1:14" x14ac:dyDescent="0.2">
      <c r="A707" s="34" t="s">
        <v>14</v>
      </c>
      <c r="B707" s="34" t="s">
        <v>0</v>
      </c>
      <c r="C707" s="34" t="s">
        <v>164</v>
      </c>
      <c r="D707" s="34" t="s">
        <v>65</v>
      </c>
      <c r="E707" s="34"/>
      <c r="F707" s="50" t="s">
        <v>165</v>
      </c>
      <c r="G707" s="34">
        <v>10</v>
      </c>
      <c r="H707" s="34" t="s">
        <v>18</v>
      </c>
      <c r="I707" s="34" t="s">
        <v>27</v>
      </c>
      <c r="J707" s="34">
        <v>0</v>
      </c>
      <c r="K707" s="35">
        <f>VLOOKUP(I707,'Weights and Confidence'!$D$16:$AC$26,5,FALSE)/COUNTIFS($B:$B,$B707,$C:$C,$C707,$H:$H,$H707,$I:$I,$I707)</f>
        <v>0.05</v>
      </c>
      <c r="L707" s="36">
        <f>VLOOKUP(I707,'Weights and Confidence'!$D$16:$AC$26,6,FALSE)</f>
        <v>0.85</v>
      </c>
      <c r="M707" s="37">
        <f>tScores4[[#This Row],[Raw_Rating_Text]]</f>
        <v>0</v>
      </c>
      <c r="N707" s="34"/>
    </row>
    <row r="708" spans="1:14" x14ac:dyDescent="0.2">
      <c r="A708" s="38" t="s">
        <v>14</v>
      </c>
      <c r="B708" s="38" t="s">
        <v>0</v>
      </c>
      <c r="C708" s="38" t="s">
        <v>164</v>
      </c>
      <c r="D708" s="38" t="s">
        <v>65</v>
      </c>
      <c r="E708" s="38"/>
      <c r="F708" s="51" t="s">
        <v>165</v>
      </c>
      <c r="G708" s="38">
        <v>11</v>
      </c>
      <c r="H708" s="38" t="s">
        <v>17</v>
      </c>
      <c r="I708" s="38" t="s">
        <v>28</v>
      </c>
      <c r="J708" s="38">
        <v>-1</v>
      </c>
      <c r="K708" s="39">
        <f>VLOOKUP(I708,'Weights and Confidence'!$D$16:$AC$26,5,FALSE)/COUNTIFS($B:$B,$B708,$C:$C,$C708,$H:$H,$H708,$I:$I,$I708)</f>
        <v>0.05</v>
      </c>
      <c r="L708" s="40">
        <f>VLOOKUP(I708,'Weights and Confidence'!$D$16:$AC$26,6,FALSE)</f>
        <v>1</v>
      </c>
      <c r="M708" s="41">
        <f>tScores4[[#This Row],[Raw_Rating_Text]]</f>
        <v>-1</v>
      </c>
      <c r="N708" s="38"/>
    </row>
    <row r="709" spans="1:14" ht="17" thickBot="1" x14ac:dyDescent="0.25">
      <c r="A709" s="34" t="s">
        <v>14</v>
      </c>
      <c r="B709" s="34" t="s">
        <v>0</v>
      </c>
      <c r="C709" s="34" t="s">
        <v>164</v>
      </c>
      <c r="D709" s="34" t="s">
        <v>65</v>
      </c>
      <c r="E709" s="34"/>
      <c r="F709" s="50" t="s">
        <v>165</v>
      </c>
      <c r="G709" s="34">
        <v>11</v>
      </c>
      <c r="H709" s="34" t="s">
        <v>18</v>
      </c>
      <c r="I709" s="34" t="s">
        <v>28</v>
      </c>
      <c r="J709" s="34">
        <v>-1</v>
      </c>
      <c r="K709" s="35">
        <f>VLOOKUP(I709,'Weights and Confidence'!$D$16:$AC$26,5,FALSE)/COUNTIFS($B:$B,$B709,$C:$C,$C709,$H:$H,$H709,$I:$I,$I709)</f>
        <v>0.05</v>
      </c>
      <c r="L709" s="36">
        <f>VLOOKUP(I709,'Weights and Confidence'!$D$16:$AC$26,6,FALSE)</f>
        <v>1</v>
      </c>
      <c r="M709" s="37">
        <f>tScores4[[#This Row],[Raw_Rating_Text]]</f>
        <v>-1</v>
      </c>
      <c r="N709" s="58" t="s">
        <v>167</v>
      </c>
    </row>
    <row r="710" spans="1:14" ht="17" thickTop="1" x14ac:dyDescent="0.2">
      <c r="A710" s="42" t="s">
        <v>14</v>
      </c>
      <c r="B710" s="42" t="s">
        <v>0</v>
      </c>
      <c r="C710" s="42" t="s">
        <v>168</v>
      </c>
      <c r="D710" s="42" t="s">
        <v>65</v>
      </c>
      <c r="E710" s="42"/>
      <c r="F710" s="49" t="s">
        <v>169</v>
      </c>
      <c r="G710" s="42">
        <v>1</v>
      </c>
      <c r="H710" s="42" t="s">
        <v>17</v>
      </c>
      <c r="I710" s="42" t="s">
        <v>19</v>
      </c>
      <c r="J710" s="42">
        <v>0</v>
      </c>
      <c r="K710" s="44">
        <f>VLOOKUP(I710,'Weights and Confidence'!$D$16:$AC$26,5,FALSE)/COUNTIFS($B:$B,$B710,$C:$C,$C710,$H:$H,$H710,$I:$I,$I710)</f>
        <v>0.12</v>
      </c>
      <c r="L710" s="45">
        <f>VLOOKUP(I710,'Weights and Confidence'!$D$16:$AC$26,6,FALSE)</f>
        <v>1</v>
      </c>
      <c r="M710" s="46">
        <f>tScores4[[#This Row],[Raw_Rating_Text]]</f>
        <v>0</v>
      </c>
      <c r="N710" s="42"/>
    </row>
    <row r="711" spans="1:14" x14ac:dyDescent="0.2">
      <c r="A711" s="34" t="s">
        <v>14</v>
      </c>
      <c r="B711" s="34" t="s">
        <v>0</v>
      </c>
      <c r="C711" s="34" t="s">
        <v>168</v>
      </c>
      <c r="D711" s="34" t="s">
        <v>65</v>
      </c>
      <c r="E711" s="34"/>
      <c r="F711" s="50" t="s">
        <v>169</v>
      </c>
      <c r="G711" s="34">
        <v>1</v>
      </c>
      <c r="H711" s="34" t="s">
        <v>18</v>
      </c>
      <c r="I711" s="34" t="s">
        <v>19</v>
      </c>
      <c r="J711" s="34">
        <v>0</v>
      </c>
      <c r="K711" s="35">
        <f>VLOOKUP(I711,'Weights and Confidence'!$D$16:$AC$26,5,FALSE)/COUNTIFS($B:$B,$B711,$C:$C,$C711,$H:$H,$H711,$I:$I,$I711)</f>
        <v>0.12</v>
      </c>
      <c r="L711" s="36">
        <f>VLOOKUP(I711,'Weights and Confidence'!$D$16:$AC$26,6,FALSE)</f>
        <v>1</v>
      </c>
      <c r="M711" s="37">
        <f>tScores4[[#This Row],[Raw_Rating_Text]]</f>
        <v>0</v>
      </c>
      <c r="N711" s="58"/>
    </row>
    <row r="712" spans="1:14" x14ac:dyDescent="0.2">
      <c r="A712" s="38" t="s">
        <v>14</v>
      </c>
      <c r="B712" s="38" t="s">
        <v>0</v>
      </c>
      <c r="C712" s="38" t="s">
        <v>168</v>
      </c>
      <c r="D712" s="38" t="s">
        <v>65</v>
      </c>
      <c r="E712" s="38"/>
      <c r="F712" s="51" t="s">
        <v>169</v>
      </c>
      <c r="G712" s="38">
        <v>2</v>
      </c>
      <c r="H712" s="38" t="s">
        <v>17</v>
      </c>
      <c r="I712" s="38" t="s">
        <v>20</v>
      </c>
      <c r="J712" s="38">
        <v>0</v>
      </c>
      <c r="K712" s="39">
        <f>VLOOKUP(I712,'Weights and Confidence'!$D$16:$AC$26,5,FALSE)/COUNTIFS($B:$B,$B712,$C:$C,$C712,$H:$H,$H712,$I:$I,$I712)</f>
        <v>0.08</v>
      </c>
      <c r="L712" s="40">
        <f>VLOOKUP(I712,'Weights and Confidence'!$D$16:$AC$26,6,FALSE)</f>
        <v>0.8</v>
      </c>
      <c r="M712" s="41">
        <f>tScores4[[#This Row],[Raw_Rating_Text]]</f>
        <v>0</v>
      </c>
      <c r="N712" s="38"/>
    </row>
    <row r="713" spans="1:14" x14ac:dyDescent="0.2">
      <c r="A713" s="34" t="s">
        <v>14</v>
      </c>
      <c r="B713" s="34" t="s">
        <v>0</v>
      </c>
      <c r="C713" s="34" t="s">
        <v>168</v>
      </c>
      <c r="D713" s="34" t="s">
        <v>65</v>
      </c>
      <c r="E713" s="34"/>
      <c r="F713" s="50" t="s">
        <v>169</v>
      </c>
      <c r="G713" s="34">
        <v>2</v>
      </c>
      <c r="H713" s="34" t="s">
        <v>18</v>
      </c>
      <c r="I713" s="34" t="s">
        <v>20</v>
      </c>
      <c r="J713" s="34">
        <v>-1</v>
      </c>
      <c r="K713" s="35">
        <f>VLOOKUP(I713,'Weights and Confidence'!$D$16:$AC$26,5,FALSE)/COUNTIFS($B:$B,$B713,$C:$C,$C713,$H:$H,$H713,$I:$I,$I713)</f>
        <v>0.08</v>
      </c>
      <c r="L713" s="36">
        <f>VLOOKUP(I713,'Weights and Confidence'!$D$16:$AC$26,6,FALSE)</f>
        <v>0.8</v>
      </c>
      <c r="M713" s="37">
        <f>tScores4[[#This Row],[Raw_Rating_Text]]</f>
        <v>-1</v>
      </c>
      <c r="N713" s="58"/>
    </row>
    <row r="714" spans="1:14" x14ac:dyDescent="0.2">
      <c r="A714" s="38" t="s">
        <v>14</v>
      </c>
      <c r="B714" s="38" t="s">
        <v>0</v>
      </c>
      <c r="C714" s="38" t="s">
        <v>168</v>
      </c>
      <c r="D714" s="38" t="s">
        <v>65</v>
      </c>
      <c r="E714" s="38"/>
      <c r="F714" s="51" t="s">
        <v>169</v>
      </c>
      <c r="G714" s="38">
        <v>3</v>
      </c>
      <c r="H714" s="38" t="s">
        <v>17</v>
      </c>
      <c r="I714" s="38" t="s">
        <v>21</v>
      </c>
      <c r="J714" s="38">
        <v>1</v>
      </c>
      <c r="K714" s="39">
        <f>VLOOKUP(I714,'Weights and Confidence'!$D$16:$AC$26,5,FALSE)/COUNTIFS($B:$B,$B714,$C:$C,$C714,$H:$H,$H714,$I:$I,$I714)</f>
        <v>0.05</v>
      </c>
      <c r="L714" s="40">
        <f>VLOOKUP(I714,'Weights and Confidence'!$D$16:$AC$26,6,FALSE)</f>
        <v>1</v>
      </c>
      <c r="M714" s="41">
        <f>tScores4[[#This Row],[Raw_Rating_Text]]</f>
        <v>1</v>
      </c>
      <c r="N714" s="38"/>
    </row>
    <row r="715" spans="1:14" x14ac:dyDescent="0.2">
      <c r="A715" s="34" t="s">
        <v>14</v>
      </c>
      <c r="B715" s="34" t="s">
        <v>0</v>
      </c>
      <c r="C715" s="34" t="s">
        <v>168</v>
      </c>
      <c r="D715" s="34" t="s">
        <v>65</v>
      </c>
      <c r="E715" s="34"/>
      <c r="F715" s="50" t="s">
        <v>169</v>
      </c>
      <c r="G715" s="34">
        <v>3</v>
      </c>
      <c r="H715" s="34" t="s">
        <v>18</v>
      </c>
      <c r="I715" s="34" t="s">
        <v>21</v>
      </c>
      <c r="J715" s="34">
        <v>-1</v>
      </c>
      <c r="K715" s="35">
        <f>VLOOKUP(I715,'Weights and Confidence'!$D$16:$AC$26,5,FALSE)/COUNTIFS($B:$B,$B715,$C:$C,$C715,$H:$H,$H715,$I:$I,$I715)</f>
        <v>0.05</v>
      </c>
      <c r="L715" s="36">
        <f>VLOOKUP(I715,'Weights and Confidence'!$D$16:$AC$26,6,FALSE)</f>
        <v>1</v>
      </c>
      <c r="M715" s="37">
        <f>tScores4[[#This Row],[Raw_Rating_Text]]</f>
        <v>-1</v>
      </c>
      <c r="N715" s="58" t="s">
        <v>170</v>
      </c>
    </row>
    <row r="716" spans="1:14" x14ac:dyDescent="0.2">
      <c r="A716" s="38" t="s">
        <v>14</v>
      </c>
      <c r="B716" s="38" t="s">
        <v>0</v>
      </c>
      <c r="C716" s="38" t="s">
        <v>168</v>
      </c>
      <c r="D716" s="38" t="s">
        <v>65</v>
      </c>
      <c r="E716" s="38"/>
      <c r="F716" s="51" t="s">
        <v>169</v>
      </c>
      <c r="G716" s="38">
        <v>4</v>
      </c>
      <c r="H716" s="38" t="s">
        <v>17</v>
      </c>
      <c r="I716" s="38" t="s">
        <v>22</v>
      </c>
      <c r="J716" s="38">
        <v>-1</v>
      </c>
      <c r="K716" s="39">
        <f>VLOOKUP(I716,'Weights and Confidence'!$D$16:$AC$26,5,FALSE)/COUNTIFS($B:$B,$B716,$C:$C,$C716,$H:$H,$H716,$I:$I,$I716)</f>
        <v>0.14000000000000001</v>
      </c>
      <c r="L716" s="40">
        <f>VLOOKUP(I716,'Weights and Confidence'!$D$16:$AC$26,6,FALSE)</f>
        <v>1</v>
      </c>
      <c r="M716" s="41">
        <f>tScores4[[#This Row],[Raw_Rating_Text]]</f>
        <v>-1</v>
      </c>
      <c r="N716" s="38"/>
    </row>
    <row r="717" spans="1:14" x14ac:dyDescent="0.2">
      <c r="A717" s="34" t="s">
        <v>14</v>
      </c>
      <c r="B717" s="34" t="s">
        <v>0</v>
      </c>
      <c r="C717" s="34" t="s">
        <v>168</v>
      </c>
      <c r="D717" s="34" t="s">
        <v>65</v>
      </c>
      <c r="E717" s="34"/>
      <c r="F717" s="50" t="s">
        <v>169</v>
      </c>
      <c r="G717" s="34">
        <v>4</v>
      </c>
      <c r="H717" s="34" t="s">
        <v>18</v>
      </c>
      <c r="I717" s="34" t="s">
        <v>22</v>
      </c>
      <c r="J717" s="34">
        <v>-1</v>
      </c>
      <c r="K717" s="35">
        <f>VLOOKUP(I717,'Weights and Confidence'!$D$16:$AC$26,5,FALSE)/COUNTIFS($B:$B,$B717,$C:$C,$C717,$H:$H,$H717,$I:$I,$I717)</f>
        <v>0.14000000000000001</v>
      </c>
      <c r="L717" s="36">
        <f>VLOOKUP(I717,'Weights and Confidence'!$D$16:$AC$26,6,FALSE)</f>
        <v>1</v>
      </c>
      <c r="M717" s="37">
        <f>tScores4[[#This Row],[Raw_Rating_Text]]</f>
        <v>-1</v>
      </c>
      <c r="N717" s="58" t="s">
        <v>171</v>
      </c>
    </row>
    <row r="718" spans="1:14" x14ac:dyDescent="0.2">
      <c r="A718" s="38" t="s">
        <v>14</v>
      </c>
      <c r="B718" s="38" t="s">
        <v>0</v>
      </c>
      <c r="C718" s="38" t="s">
        <v>168</v>
      </c>
      <c r="D718" s="38" t="s">
        <v>65</v>
      </c>
      <c r="E718" s="38"/>
      <c r="F718" s="51" t="s">
        <v>169</v>
      </c>
      <c r="G718" s="38">
        <v>5</v>
      </c>
      <c r="H718" s="38" t="s">
        <v>17</v>
      </c>
      <c r="I718" s="38" t="s">
        <v>23</v>
      </c>
      <c r="J718" s="38">
        <v>-1</v>
      </c>
      <c r="K718" s="39">
        <f>VLOOKUP(I718,'Weights and Confidence'!$D$16:$AC$26,5,FALSE)/COUNTIFS($B:$B,$B718,$C:$C,$C718,$H:$H,$H718,$I:$I,$I718)</f>
        <v>0.11</v>
      </c>
      <c r="L718" s="40">
        <f>VLOOKUP(I718,'Weights and Confidence'!$D$16:$AC$26,6,FALSE)</f>
        <v>1</v>
      </c>
      <c r="M718" s="41">
        <f>tScores4[[#This Row],[Raw_Rating_Text]]</f>
        <v>-1</v>
      </c>
      <c r="N718" s="38"/>
    </row>
    <row r="719" spans="1:14" x14ac:dyDescent="0.2">
      <c r="A719" s="34" t="s">
        <v>14</v>
      </c>
      <c r="B719" s="34" t="s">
        <v>0</v>
      </c>
      <c r="C719" s="34" t="s">
        <v>168</v>
      </c>
      <c r="D719" s="34" t="s">
        <v>65</v>
      </c>
      <c r="E719" s="34"/>
      <c r="F719" s="50" t="s">
        <v>169</v>
      </c>
      <c r="G719" s="34">
        <v>5</v>
      </c>
      <c r="H719" s="34" t="s">
        <v>18</v>
      </c>
      <c r="I719" s="34" t="s">
        <v>23</v>
      </c>
      <c r="J719" s="34">
        <v>-1</v>
      </c>
      <c r="K719" s="35">
        <f>VLOOKUP(I719,'Weights and Confidence'!$D$16:$AC$26,5,FALSE)/COUNTIFS($B:$B,$B719,$C:$C,$C719,$H:$H,$H719,$I:$I,$I719)</f>
        <v>0.11</v>
      </c>
      <c r="L719" s="36">
        <f>VLOOKUP(I719,'Weights and Confidence'!$D$16:$AC$26,6,FALSE)</f>
        <v>1</v>
      </c>
      <c r="M719" s="37">
        <f>tScores4[[#This Row],[Raw_Rating_Text]]</f>
        <v>-1</v>
      </c>
      <c r="N719" s="58" t="s">
        <v>141</v>
      </c>
    </row>
    <row r="720" spans="1:14" x14ac:dyDescent="0.2">
      <c r="A720" s="38" t="s">
        <v>14</v>
      </c>
      <c r="B720" s="38" t="s">
        <v>0</v>
      </c>
      <c r="C720" s="38" t="s">
        <v>168</v>
      </c>
      <c r="D720" s="38" t="s">
        <v>65</v>
      </c>
      <c r="E720" s="38"/>
      <c r="F720" s="51" t="s">
        <v>169</v>
      </c>
      <c r="G720" s="38">
        <v>6</v>
      </c>
      <c r="H720" s="38" t="s">
        <v>17</v>
      </c>
      <c r="I720" s="38" t="s">
        <v>24</v>
      </c>
      <c r="J720" s="38">
        <v>-1</v>
      </c>
      <c r="K720" s="39">
        <f>VLOOKUP(I720,'Weights and Confidence'!$D$16:$AC$26,5,FALSE)/COUNTIFS($B:$B,$B720,$C:$C,$C720,$H:$H,$H720,$I:$I,$I720)</f>
        <v>0.15</v>
      </c>
      <c r="L720" s="40">
        <f>VLOOKUP(I720,'Weights and Confidence'!$D$16:$AC$26,6,FALSE)</f>
        <v>1</v>
      </c>
      <c r="M720" s="41">
        <f>tScores4[[#This Row],[Raw_Rating_Text]]</f>
        <v>-1</v>
      </c>
      <c r="N720" s="59"/>
    </row>
    <row r="721" spans="1:14" x14ac:dyDescent="0.2">
      <c r="A721" s="34" t="s">
        <v>14</v>
      </c>
      <c r="B721" s="34" t="s">
        <v>0</v>
      </c>
      <c r="C721" s="34" t="s">
        <v>168</v>
      </c>
      <c r="D721" s="34" t="s">
        <v>65</v>
      </c>
      <c r="E721" s="34"/>
      <c r="F721" s="50" t="s">
        <v>169</v>
      </c>
      <c r="G721" s="34">
        <v>6</v>
      </c>
      <c r="H721" s="34" t="s">
        <v>18</v>
      </c>
      <c r="I721" s="34" t="s">
        <v>24</v>
      </c>
      <c r="J721" s="34">
        <v>-1</v>
      </c>
      <c r="K721" s="35">
        <f>VLOOKUP(I721,'Weights and Confidence'!$D$16:$AC$26,5,FALSE)/COUNTIFS($B:$B,$B721,$C:$C,$C721,$H:$H,$H721,$I:$I,$I721)</f>
        <v>0.15</v>
      </c>
      <c r="L721" s="36">
        <f>VLOOKUP(I721,'Weights and Confidence'!$D$16:$AC$26,6,FALSE)</f>
        <v>1</v>
      </c>
      <c r="M721" s="37">
        <f>tScores4[[#This Row],[Raw_Rating_Text]]</f>
        <v>-1</v>
      </c>
      <c r="N721" s="58" t="s">
        <v>172</v>
      </c>
    </row>
    <row r="722" spans="1:14" x14ac:dyDescent="0.2">
      <c r="A722" s="38" t="s">
        <v>14</v>
      </c>
      <c r="B722" s="38" t="s">
        <v>0</v>
      </c>
      <c r="C722" s="38" t="s">
        <v>168</v>
      </c>
      <c r="D722" s="38" t="s">
        <v>65</v>
      </c>
      <c r="E722" s="38"/>
      <c r="F722" s="51" t="s">
        <v>169</v>
      </c>
      <c r="G722" s="38">
        <v>7</v>
      </c>
      <c r="H722" s="38" t="s">
        <v>17</v>
      </c>
      <c r="I722" s="38" t="s">
        <v>25</v>
      </c>
      <c r="J722" s="38">
        <v>-1</v>
      </c>
      <c r="K722" s="39">
        <f>VLOOKUP(I722,'Weights and Confidence'!$D$16:$AC$26,5,FALSE)/COUNTIFS($B:$B,$B722,$C:$C,$C722,$H:$H,$H722,$I:$I,$I722)</f>
        <v>0.1</v>
      </c>
      <c r="L722" s="40">
        <f>VLOOKUP(I722,'Weights and Confidence'!$D$16:$AC$26,6,FALSE)</f>
        <v>1</v>
      </c>
      <c r="M722" s="41">
        <f>tScores4[[#This Row],[Raw_Rating_Text]]</f>
        <v>-1</v>
      </c>
      <c r="N722" s="38"/>
    </row>
    <row r="723" spans="1:14" x14ac:dyDescent="0.2">
      <c r="A723" s="34" t="s">
        <v>14</v>
      </c>
      <c r="B723" s="34" t="s">
        <v>0</v>
      </c>
      <c r="C723" s="34" t="s">
        <v>168</v>
      </c>
      <c r="D723" s="34" t="s">
        <v>65</v>
      </c>
      <c r="E723" s="34"/>
      <c r="F723" s="50" t="s">
        <v>169</v>
      </c>
      <c r="G723" s="34">
        <v>7</v>
      </c>
      <c r="H723" s="34" t="s">
        <v>18</v>
      </c>
      <c r="I723" s="34" t="s">
        <v>25</v>
      </c>
      <c r="J723" s="34">
        <v>-1</v>
      </c>
      <c r="K723" s="35">
        <f>VLOOKUP(I723,'Weights and Confidence'!$D$16:$AC$26,5,FALSE)/COUNTIFS($B:$B,$B723,$C:$C,$C723,$H:$H,$H723,$I:$I,$I723)</f>
        <v>0.1</v>
      </c>
      <c r="L723" s="36">
        <f>VLOOKUP(I723,'Weights and Confidence'!$D$16:$AC$26,6,FALSE)</f>
        <v>1</v>
      </c>
      <c r="M723" s="37">
        <f>tScores4[[#This Row],[Raw_Rating_Text]]</f>
        <v>-1</v>
      </c>
      <c r="N723" s="58"/>
    </row>
    <row r="724" spans="1:14" x14ac:dyDescent="0.2">
      <c r="A724" s="38" t="s">
        <v>14</v>
      </c>
      <c r="B724" s="38" t="s">
        <v>0</v>
      </c>
      <c r="C724" s="38" t="s">
        <v>168</v>
      </c>
      <c r="D724" s="38" t="s">
        <v>65</v>
      </c>
      <c r="E724" s="38"/>
      <c r="F724" s="51" t="s">
        <v>169</v>
      </c>
      <c r="G724" s="38">
        <v>8</v>
      </c>
      <c r="H724" s="38" t="s">
        <v>17</v>
      </c>
      <c r="I724" s="38" t="s">
        <v>26</v>
      </c>
      <c r="J724" s="38">
        <v>-1</v>
      </c>
      <c r="K724" s="39">
        <f>VLOOKUP(I724,'Weights and Confidence'!$D$16:$AC$26,5,FALSE)/COUNTIFS($B:$B,$B724,$C:$C,$C724,$H:$H,$H724,$I:$I,$I724)</f>
        <v>0.1</v>
      </c>
      <c r="L724" s="40">
        <f>VLOOKUP(I724,'Weights and Confidence'!$D$16:$AC$26,6,FALSE)</f>
        <v>1</v>
      </c>
      <c r="M724" s="41">
        <f>tScores4[[#This Row],[Raw_Rating_Text]]</f>
        <v>-1</v>
      </c>
      <c r="N724" s="38"/>
    </row>
    <row r="725" spans="1:14" x14ac:dyDescent="0.2">
      <c r="A725" s="34" t="s">
        <v>14</v>
      </c>
      <c r="B725" s="34" t="s">
        <v>0</v>
      </c>
      <c r="C725" s="34" t="s">
        <v>168</v>
      </c>
      <c r="D725" s="34" t="s">
        <v>65</v>
      </c>
      <c r="E725" s="34"/>
      <c r="F725" s="50" t="s">
        <v>169</v>
      </c>
      <c r="G725" s="34">
        <v>8</v>
      </c>
      <c r="H725" s="34" t="s">
        <v>18</v>
      </c>
      <c r="I725" s="34" t="s">
        <v>26</v>
      </c>
      <c r="J725" s="34">
        <v>-1</v>
      </c>
      <c r="K725" s="35">
        <f>VLOOKUP(I725,'Weights and Confidence'!$D$16:$AC$26,5,FALSE)/COUNTIFS($B:$B,$B725,$C:$C,$C725,$H:$H,$H725,$I:$I,$I725)</f>
        <v>0.1</v>
      </c>
      <c r="L725" s="36">
        <f>VLOOKUP(I725,'Weights and Confidence'!$D$16:$AC$26,6,FALSE)</f>
        <v>1</v>
      </c>
      <c r="M725" s="37">
        <f>tScores4[[#This Row],[Raw_Rating_Text]]</f>
        <v>-1</v>
      </c>
      <c r="N725" s="58"/>
    </row>
    <row r="726" spans="1:14" x14ac:dyDescent="0.2">
      <c r="A726" s="38" t="s">
        <v>14</v>
      </c>
      <c r="B726" s="38" t="s">
        <v>0</v>
      </c>
      <c r="C726" s="38" t="s">
        <v>168</v>
      </c>
      <c r="D726" s="38" t="s">
        <v>65</v>
      </c>
      <c r="E726" s="38"/>
      <c r="F726" s="51" t="s">
        <v>169</v>
      </c>
      <c r="G726" s="38">
        <v>9</v>
      </c>
      <c r="H726" s="38" t="s">
        <v>17</v>
      </c>
      <c r="I726" s="38" t="s">
        <v>27</v>
      </c>
      <c r="J726" s="38">
        <v>-1</v>
      </c>
      <c r="K726" s="39">
        <f>VLOOKUP(I726,'Weights and Confidence'!$D$16:$AC$26,5,FALSE)/COUNTIFS($B:$B,$B726,$C:$C,$C726,$H:$H,$H726,$I:$I,$I726)</f>
        <v>0.05</v>
      </c>
      <c r="L726" s="40">
        <f>VLOOKUP(I726,'Weights and Confidence'!$D$16:$AC$26,6,FALSE)</f>
        <v>0.85</v>
      </c>
      <c r="M726" s="41">
        <f>tScores4[[#This Row],[Raw_Rating_Text]]</f>
        <v>-1</v>
      </c>
      <c r="N726" s="38"/>
    </row>
    <row r="727" spans="1:14" x14ac:dyDescent="0.2">
      <c r="A727" s="34" t="s">
        <v>14</v>
      </c>
      <c r="B727" s="34" t="s">
        <v>0</v>
      </c>
      <c r="C727" s="34" t="s">
        <v>168</v>
      </c>
      <c r="D727" s="34" t="s">
        <v>65</v>
      </c>
      <c r="E727" s="34"/>
      <c r="F727" s="50" t="s">
        <v>169</v>
      </c>
      <c r="G727" s="34">
        <v>9</v>
      </c>
      <c r="H727" s="34" t="s">
        <v>18</v>
      </c>
      <c r="I727" s="34" t="s">
        <v>27</v>
      </c>
      <c r="J727" s="34">
        <v>0</v>
      </c>
      <c r="K727" s="35">
        <f>VLOOKUP(I727,'Weights and Confidence'!$D$16:$AC$26,5,FALSE)/COUNTIFS($B:$B,$B727,$C:$C,$C727,$H:$H,$H727,$I:$I,$I727)</f>
        <v>0.05</v>
      </c>
      <c r="L727" s="36">
        <f>VLOOKUP(I727,'Weights and Confidence'!$D$16:$AC$26,6,FALSE)</f>
        <v>0.85</v>
      </c>
      <c r="M727" s="37">
        <f>tScores4[[#This Row],[Raw_Rating_Text]]</f>
        <v>0</v>
      </c>
      <c r="N727" s="58"/>
    </row>
    <row r="728" spans="1:14" x14ac:dyDescent="0.2">
      <c r="A728" s="38" t="s">
        <v>14</v>
      </c>
      <c r="B728" s="38" t="s">
        <v>0</v>
      </c>
      <c r="C728" s="38" t="s">
        <v>168</v>
      </c>
      <c r="D728" s="38" t="s">
        <v>65</v>
      </c>
      <c r="E728" s="38"/>
      <c r="F728" s="51" t="s">
        <v>169</v>
      </c>
      <c r="G728" s="38">
        <v>10</v>
      </c>
      <c r="H728" s="38" t="s">
        <v>17</v>
      </c>
      <c r="I728" s="38" t="s">
        <v>27</v>
      </c>
      <c r="J728" s="38">
        <v>0</v>
      </c>
      <c r="K728" s="39">
        <f>VLOOKUP(I728,'Weights and Confidence'!$D$16:$AC$26,5,FALSE)/COUNTIFS($B:$B,$B728,$C:$C,$C728,$H:$H,$H728,$I:$I,$I728)</f>
        <v>0.05</v>
      </c>
      <c r="L728" s="40">
        <f>VLOOKUP(I728,'Weights and Confidence'!$D$16:$AC$26,6,FALSE)</f>
        <v>0.85</v>
      </c>
      <c r="M728" s="41">
        <f>tScores4[[#This Row],[Raw_Rating_Text]]</f>
        <v>0</v>
      </c>
      <c r="N728" s="38"/>
    </row>
    <row r="729" spans="1:14" x14ac:dyDescent="0.2">
      <c r="A729" s="34" t="s">
        <v>14</v>
      </c>
      <c r="B729" s="34" t="s">
        <v>0</v>
      </c>
      <c r="C729" s="34" t="s">
        <v>168</v>
      </c>
      <c r="D729" s="34" t="s">
        <v>65</v>
      </c>
      <c r="E729" s="34"/>
      <c r="F729" s="50" t="s">
        <v>169</v>
      </c>
      <c r="G729" s="34">
        <v>10</v>
      </c>
      <c r="H729" s="34" t="s">
        <v>18</v>
      </c>
      <c r="I729" s="34" t="s">
        <v>27</v>
      </c>
      <c r="J729" s="34">
        <v>0</v>
      </c>
      <c r="K729" s="35">
        <f>VLOOKUP(I729,'Weights and Confidence'!$D$16:$AC$26,5,FALSE)/COUNTIFS($B:$B,$B729,$C:$C,$C729,$H:$H,$H729,$I:$I,$I729)</f>
        <v>0.05</v>
      </c>
      <c r="L729" s="36">
        <f>VLOOKUP(I729,'Weights and Confidence'!$D$16:$AC$26,6,FALSE)</f>
        <v>0.85</v>
      </c>
      <c r="M729" s="37">
        <f>tScores4[[#This Row],[Raw_Rating_Text]]</f>
        <v>0</v>
      </c>
      <c r="N729" s="34"/>
    </row>
    <row r="730" spans="1:14" x14ac:dyDescent="0.2">
      <c r="A730" s="38" t="s">
        <v>14</v>
      </c>
      <c r="B730" s="38" t="s">
        <v>0</v>
      </c>
      <c r="C730" s="38" t="s">
        <v>168</v>
      </c>
      <c r="D730" s="38" t="s">
        <v>65</v>
      </c>
      <c r="E730" s="38"/>
      <c r="F730" s="51" t="s">
        <v>169</v>
      </c>
      <c r="G730" s="38">
        <v>11</v>
      </c>
      <c r="H730" s="38" t="s">
        <v>17</v>
      </c>
      <c r="I730" s="38" t="s">
        <v>28</v>
      </c>
      <c r="J730" s="38">
        <v>-1</v>
      </c>
      <c r="K730" s="39">
        <f>VLOOKUP(I730,'Weights and Confidence'!$D$16:$AC$26,5,FALSE)/COUNTIFS($B:$B,$B730,$C:$C,$C730,$H:$H,$H730,$I:$I,$I730)</f>
        <v>0.05</v>
      </c>
      <c r="L730" s="40">
        <f>VLOOKUP(I730,'Weights and Confidence'!$D$16:$AC$26,6,FALSE)</f>
        <v>1</v>
      </c>
      <c r="M730" s="41">
        <f>tScores4[[#This Row],[Raw_Rating_Text]]</f>
        <v>-1</v>
      </c>
      <c r="N730" s="38"/>
    </row>
    <row r="731" spans="1:14" ht="17" thickBot="1" x14ac:dyDescent="0.25">
      <c r="A731" s="34" t="s">
        <v>14</v>
      </c>
      <c r="B731" s="34" t="s">
        <v>0</v>
      </c>
      <c r="C731" s="34" t="s">
        <v>168</v>
      </c>
      <c r="D731" s="34" t="s">
        <v>65</v>
      </c>
      <c r="E731" s="34"/>
      <c r="F731" s="50" t="s">
        <v>169</v>
      </c>
      <c r="G731" s="34">
        <v>11</v>
      </c>
      <c r="H731" s="34" t="s">
        <v>18</v>
      </c>
      <c r="I731" s="34" t="s">
        <v>28</v>
      </c>
      <c r="J731" s="34">
        <v>-1</v>
      </c>
      <c r="K731" s="35">
        <f>VLOOKUP(I731,'Weights and Confidence'!$D$16:$AC$26,5,FALSE)/COUNTIFS($B:$B,$B731,$C:$C,$C731,$H:$H,$H731,$I:$I,$I731)</f>
        <v>0.05</v>
      </c>
      <c r="L731" s="36">
        <f>VLOOKUP(I731,'Weights and Confidence'!$D$16:$AC$26,6,FALSE)</f>
        <v>1</v>
      </c>
      <c r="M731" s="37">
        <f>tScores4[[#This Row],[Raw_Rating_Text]]</f>
        <v>-1</v>
      </c>
      <c r="N731" s="58" t="s">
        <v>173</v>
      </c>
    </row>
    <row r="732" spans="1:14" ht="17" thickTop="1" x14ac:dyDescent="0.2">
      <c r="A732" s="42" t="s">
        <v>14</v>
      </c>
      <c r="B732" s="42" t="s">
        <v>0</v>
      </c>
      <c r="C732" s="42" t="s">
        <v>174</v>
      </c>
      <c r="D732" s="42" t="s">
        <v>65</v>
      </c>
      <c r="E732" s="42"/>
      <c r="F732" s="49" t="s">
        <v>175</v>
      </c>
      <c r="G732" s="42">
        <v>1</v>
      </c>
      <c r="H732" s="42" t="s">
        <v>17</v>
      </c>
      <c r="I732" s="42" t="s">
        <v>19</v>
      </c>
      <c r="J732" s="42">
        <v>0</v>
      </c>
      <c r="K732" s="44">
        <f>VLOOKUP(I732,'Weights and Confidence'!$D$16:$AC$26,5,FALSE)/COUNTIFS($B:$B,$B732,$C:$C,$C732,$H:$H,$H732,$I:$I,$I732)</f>
        <v>0.12</v>
      </c>
      <c r="L732" s="45">
        <f>VLOOKUP(I732,'Weights and Confidence'!$D$16:$AC$26,6,FALSE)</f>
        <v>1</v>
      </c>
      <c r="M732" s="46">
        <f>tScores4[[#This Row],[Raw_Rating_Text]]</f>
        <v>0</v>
      </c>
      <c r="N732" s="42"/>
    </row>
    <row r="733" spans="1:14" x14ac:dyDescent="0.2">
      <c r="A733" s="34" t="s">
        <v>14</v>
      </c>
      <c r="B733" s="34" t="s">
        <v>0</v>
      </c>
      <c r="C733" s="34" t="s">
        <v>174</v>
      </c>
      <c r="D733" s="34" t="s">
        <v>65</v>
      </c>
      <c r="E733" s="34"/>
      <c r="F733" s="50" t="s">
        <v>175</v>
      </c>
      <c r="G733" s="34">
        <v>1</v>
      </c>
      <c r="H733" s="34" t="s">
        <v>18</v>
      </c>
      <c r="I733" s="34" t="s">
        <v>19</v>
      </c>
      <c r="J733" s="34">
        <v>0</v>
      </c>
      <c r="K733" s="35">
        <f>VLOOKUP(I733,'Weights and Confidence'!$D$16:$AC$26,5,FALSE)/COUNTIFS($B:$B,$B733,$C:$C,$C733,$H:$H,$H733,$I:$I,$I733)</f>
        <v>0.12</v>
      </c>
      <c r="L733" s="36">
        <f>VLOOKUP(I733,'Weights and Confidence'!$D$16:$AC$26,6,FALSE)</f>
        <v>1</v>
      </c>
      <c r="M733" s="37">
        <f>tScores4[[#This Row],[Raw_Rating_Text]]</f>
        <v>0</v>
      </c>
      <c r="N733" s="58" t="s">
        <v>176</v>
      </c>
    </row>
    <row r="734" spans="1:14" x14ac:dyDescent="0.2">
      <c r="A734" s="38" t="s">
        <v>14</v>
      </c>
      <c r="B734" s="38" t="s">
        <v>0</v>
      </c>
      <c r="C734" s="38" t="s">
        <v>174</v>
      </c>
      <c r="D734" s="38" t="s">
        <v>65</v>
      </c>
      <c r="E734" s="38"/>
      <c r="F734" s="51" t="s">
        <v>175</v>
      </c>
      <c r="G734" s="38">
        <v>2</v>
      </c>
      <c r="H734" s="38" t="s">
        <v>17</v>
      </c>
      <c r="I734" s="38" t="s">
        <v>20</v>
      </c>
      <c r="J734" s="38">
        <v>0</v>
      </c>
      <c r="K734" s="39">
        <f>VLOOKUP(I734,'Weights and Confidence'!$D$16:$AC$26,5,FALSE)/COUNTIFS($B:$B,$B734,$C:$C,$C734,$H:$H,$H734,$I:$I,$I734)</f>
        <v>0.08</v>
      </c>
      <c r="L734" s="40">
        <f>VLOOKUP(I734,'Weights and Confidence'!$D$16:$AC$26,6,FALSE)</f>
        <v>0.8</v>
      </c>
      <c r="M734" s="41">
        <f>tScores4[[#This Row],[Raw_Rating_Text]]</f>
        <v>0</v>
      </c>
      <c r="N734" s="38"/>
    </row>
    <row r="735" spans="1:14" x14ac:dyDescent="0.2">
      <c r="A735" s="34" t="s">
        <v>14</v>
      </c>
      <c r="B735" s="34" t="s">
        <v>0</v>
      </c>
      <c r="C735" s="34" t="s">
        <v>174</v>
      </c>
      <c r="D735" s="34" t="s">
        <v>65</v>
      </c>
      <c r="E735" s="34"/>
      <c r="F735" s="50" t="s">
        <v>175</v>
      </c>
      <c r="G735" s="34">
        <v>2</v>
      </c>
      <c r="H735" s="34" t="s">
        <v>18</v>
      </c>
      <c r="I735" s="34" t="s">
        <v>20</v>
      </c>
      <c r="J735" s="34">
        <v>0</v>
      </c>
      <c r="K735" s="35">
        <f>VLOOKUP(I735,'Weights and Confidence'!$D$16:$AC$26,5,FALSE)/COUNTIFS($B:$B,$B735,$C:$C,$C735,$H:$H,$H735,$I:$I,$I735)</f>
        <v>0.08</v>
      </c>
      <c r="L735" s="36">
        <f>VLOOKUP(I735,'Weights and Confidence'!$D$16:$AC$26,6,FALSE)</f>
        <v>0.8</v>
      </c>
      <c r="M735" s="37">
        <f>tScores4[[#This Row],[Raw_Rating_Text]]</f>
        <v>0</v>
      </c>
      <c r="N735" s="58"/>
    </row>
    <row r="736" spans="1:14" x14ac:dyDescent="0.2">
      <c r="A736" s="38" t="s">
        <v>14</v>
      </c>
      <c r="B736" s="38" t="s">
        <v>0</v>
      </c>
      <c r="C736" s="38" t="s">
        <v>174</v>
      </c>
      <c r="D736" s="38" t="s">
        <v>65</v>
      </c>
      <c r="E736" s="38"/>
      <c r="F736" s="51" t="s">
        <v>175</v>
      </c>
      <c r="G736" s="38">
        <v>3</v>
      </c>
      <c r="H736" s="38" t="s">
        <v>17</v>
      </c>
      <c r="I736" s="38" t="s">
        <v>21</v>
      </c>
      <c r="J736" s="38">
        <v>1</v>
      </c>
      <c r="K736" s="39">
        <f>VLOOKUP(I736,'Weights and Confidence'!$D$16:$AC$26,5,FALSE)/COUNTIFS($B:$B,$B736,$C:$C,$C736,$H:$H,$H736,$I:$I,$I736)</f>
        <v>0.05</v>
      </c>
      <c r="L736" s="40">
        <f>VLOOKUP(I736,'Weights and Confidence'!$D$16:$AC$26,6,FALSE)</f>
        <v>1</v>
      </c>
      <c r="M736" s="41">
        <f>tScores4[[#This Row],[Raw_Rating_Text]]</f>
        <v>1</v>
      </c>
      <c r="N736" s="38"/>
    </row>
    <row r="737" spans="1:14" x14ac:dyDescent="0.2">
      <c r="A737" s="34" t="s">
        <v>14</v>
      </c>
      <c r="B737" s="34" t="s">
        <v>0</v>
      </c>
      <c r="C737" s="34" t="s">
        <v>174</v>
      </c>
      <c r="D737" s="34" t="s">
        <v>65</v>
      </c>
      <c r="E737" s="34"/>
      <c r="F737" s="50" t="s">
        <v>175</v>
      </c>
      <c r="G737" s="34">
        <v>3</v>
      </c>
      <c r="H737" s="34" t="s">
        <v>18</v>
      </c>
      <c r="I737" s="34" t="s">
        <v>21</v>
      </c>
      <c r="J737" s="34">
        <v>0</v>
      </c>
      <c r="K737" s="35">
        <f>VLOOKUP(I737,'Weights and Confidence'!$D$16:$AC$26,5,FALSE)/COUNTIFS($B:$B,$B737,$C:$C,$C737,$H:$H,$H737,$I:$I,$I737)</f>
        <v>0.05</v>
      </c>
      <c r="L737" s="36">
        <f>VLOOKUP(I737,'Weights and Confidence'!$D$16:$AC$26,6,FALSE)</f>
        <v>1</v>
      </c>
      <c r="M737" s="37">
        <f>tScores4[[#This Row],[Raw_Rating_Text]]</f>
        <v>0</v>
      </c>
      <c r="N737" s="58"/>
    </row>
    <row r="738" spans="1:14" x14ac:dyDescent="0.2">
      <c r="A738" s="38" t="s">
        <v>14</v>
      </c>
      <c r="B738" s="38" t="s">
        <v>0</v>
      </c>
      <c r="C738" s="38" t="s">
        <v>174</v>
      </c>
      <c r="D738" s="38" t="s">
        <v>65</v>
      </c>
      <c r="E738" s="38"/>
      <c r="F738" s="51" t="s">
        <v>175</v>
      </c>
      <c r="G738" s="38">
        <v>4</v>
      </c>
      <c r="H738" s="38" t="s">
        <v>17</v>
      </c>
      <c r="I738" s="38" t="s">
        <v>22</v>
      </c>
      <c r="J738" s="38">
        <v>-1</v>
      </c>
      <c r="K738" s="39">
        <f>VLOOKUP(I738,'Weights and Confidence'!$D$16:$AC$26,5,FALSE)/COUNTIFS($B:$B,$B738,$C:$C,$C738,$H:$H,$H738,$I:$I,$I738)</f>
        <v>0.14000000000000001</v>
      </c>
      <c r="L738" s="40">
        <f>VLOOKUP(I738,'Weights and Confidence'!$D$16:$AC$26,6,FALSE)</f>
        <v>1</v>
      </c>
      <c r="M738" s="41">
        <f>tScores4[[#This Row],[Raw_Rating_Text]]</f>
        <v>-1</v>
      </c>
      <c r="N738" s="38"/>
    </row>
    <row r="739" spans="1:14" x14ac:dyDescent="0.2">
      <c r="A739" s="34" t="s">
        <v>14</v>
      </c>
      <c r="B739" s="34" t="s">
        <v>0</v>
      </c>
      <c r="C739" s="34" t="s">
        <v>174</v>
      </c>
      <c r="D739" s="34" t="s">
        <v>65</v>
      </c>
      <c r="E739" s="34"/>
      <c r="F739" s="50" t="s">
        <v>175</v>
      </c>
      <c r="G739" s="34">
        <v>4</v>
      </c>
      <c r="H739" s="34" t="s">
        <v>18</v>
      </c>
      <c r="I739" s="34" t="s">
        <v>22</v>
      </c>
      <c r="J739" s="34">
        <v>-1</v>
      </c>
      <c r="K739" s="35">
        <f>VLOOKUP(I739,'Weights and Confidence'!$D$16:$AC$26,5,FALSE)/COUNTIFS($B:$B,$B739,$C:$C,$C739,$H:$H,$H739,$I:$I,$I739)</f>
        <v>0.14000000000000001</v>
      </c>
      <c r="L739" s="36">
        <f>VLOOKUP(I739,'Weights and Confidence'!$D$16:$AC$26,6,FALSE)</f>
        <v>1</v>
      </c>
      <c r="M739" s="37">
        <f>tScores4[[#This Row],[Raw_Rating_Text]]</f>
        <v>-1</v>
      </c>
      <c r="N739" s="58"/>
    </row>
    <row r="740" spans="1:14" x14ac:dyDescent="0.2">
      <c r="A740" s="38" t="s">
        <v>14</v>
      </c>
      <c r="B740" s="38" t="s">
        <v>0</v>
      </c>
      <c r="C740" s="38" t="s">
        <v>174</v>
      </c>
      <c r="D740" s="38" t="s">
        <v>65</v>
      </c>
      <c r="E740" s="38"/>
      <c r="F740" s="51" t="s">
        <v>175</v>
      </c>
      <c r="G740" s="38">
        <v>5</v>
      </c>
      <c r="H740" s="38" t="s">
        <v>17</v>
      </c>
      <c r="I740" s="38" t="s">
        <v>23</v>
      </c>
      <c r="J740" s="38">
        <v>-1</v>
      </c>
      <c r="K740" s="39">
        <f>VLOOKUP(I740,'Weights and Confidence'!$D$16:$AC$26,5,FALSE)/COUNTIFS($B:$B,$B740,$C:$C,$C740,$H:$H,$H740,$I:$I,$I740)</f>
        <v>0.11</v>
      </c>
      <c r="L740" s="40">
        <f>VLOOKUP(I740,'Weights and Confidence'!$D$16:$AC$26,6,FALSE)</f>
        <v>1</v>
      </c>
      <c r="M740" s="41">
        <f>tScores4[[#This Row],[Raw_Rating_Text]]</f>
        <v>-1</v>
      </c>
      <c r="N740" s="38"/>
    </row>
    <row r="741" spans="1:14" x14ac:dyDescent="0.2">
      <c r="A741" s="34" t="s">
        <v>14</v>
      </c>
      <c r="B741" s="34" t="s">
        <v>0</v>
      </c>
      <c r="C741" s="34" t="s">
        <v>174</v>
      </c>
      <c r="D741" s="34" t="s">
        <v>65</v>
      </c>
      <c r="E741" s="34"/>
      <c r="F741" s="50" t="s">
        <v>175</v>
      </c>
      <c r="G741" s="34">
        <v>5</v>
      </c>
      <c r="H741" s="34" t="s">
        <v>18</v>
      </c>
      <c r="I741" s="34" t="s">
        <v>23</v>
      </c>
      <c r="J741" s="34">
        <v>-1</v>
      </c>
      <c r="K741" s="35">
        <f>VLOOKUP(I741,'Weights and Confidence'!$D$16:$AC$26,5,FALSE)/COUNTIFS($B:$B,$B741,$C:$C,$C741,$H:$H,$H741,$I:$I,$I741)</f>
        <v>0.11</v>
      </c>
      <c r="L741" s="36">
        <f>VLOOKUP(I741,'Weights and Confidence'!$D$16:$AC$26,6,FALSE)</f>
        <v>1</v>
      </c>
      <c r="M741" s="37">
        <f>tScores4[[#This Row],[Raw_Rating_Text]]</f>
        <v>-1</v>
      </c>
      <c r="N741" s="58"/>
    </row>
    <row r="742" spans="1:14" x14ac:dyDescent="0.2">
      <c r="A742" s="38" t="s">
        <v>14</v>
      </c>
      <c r="B742" s="38" t="s">
        <v>0</v>
      </c>
      <c r="C742" s="38" t="s">
        <v>174</v>
      </c>
      <c r="D742" s="38" t="s">
        <v>65</v>
      </c>
      <c r="E742" s="38"/>
      <c r="F742" s="51" t="s">
        <v>175</v>
      </c>
      <c r="G742" s="38">
        <v>6</v>
      </c>
      <c r="H742" s="38" t="s">
        <v>17</v>
      </c>
      <c r="I742" s="38" t="s">
        <v>24</v>
      </c>
      <c r="J742" s="38">
        <v>-1</v>
      </c>
      <c r="K742" s="39">
        <f>VLOOKUP(I742,'Weights and Confidence'!$D$16:$AC$26,5,FALSE)/COUNTIFS($B:$B,$B742,$C:$C,$C742,$H:$H,$H742,$I:$I,$I742)</f>
        <v>0.15</v>
      </c>
      <c r="L742" s="40">
        <f>VLOOKUP(I742,'Weights and Confidence'!$D$16:$AC$26,6,FALSE)</f>
        <v>1</v>
      </c>
      <c r="M742" s="41">
        <f>tScores4[[#This Row],[Raw_Rating_Text]]</f>
        <v>-1</v>
      </c>
      <c r="N742" s="59"/>
    </row>
    <row r="743" spans="1:14" x14ac:dyDescent="0.2">
      <c r="A743" s="34" t="s">
        <v>14</v>
      </c>
      <c r="B743" s="34" t="s">
        <v>0</v>
      </c>
      <c r="C743" s="34" t="s">
        <v>174</v>
      </c>
      <c r="D743" s="34" t="s">
        <v>65</v>
      </c>
      <c r="E743" s="34"/>
      <c r="F743" s="50" t="s">
        <v>175</v>
      </c>
      <c r="G743" s="34">
        <v>6</v>
      </c>
      <c r="H743" s="34" t="s">
        <v>18</v>
      </c>
      <c r="I743" s="34" t="s">
        <v>24</v>
      </c>
      <c r="J743" s="34">
        <v>-1</v>
      </c>
      <c r="K743" s="35">
        <f>VLOOKUP(I743,'Weights and Confidence'!$D$16:$AC$26,5,FALSE)/COUNTIFS($B:$B,$B743,$C:$C,$C743,$H:$H,$H743,$I:$I,$I743)</f>
        <v>0.15</v>
      </c>
      <c r="L743" s="36">
        <f>VLOOKUP(I743,'Weights and Confidence'!$D$16:$AC$26,6,FALSE)</f>
        <v>1</v>
      </c>
      <c r="M743" s="37">
        <f>tScores4[[#This Row],[Raw_Rating_Text]]</f>
        <v>-1</v>
      </c>
      <c r="N743" s="58" t="s">
        <v>177</v>
      </c>
    </row>
    <row r="744" spans="1:14" x14ac:dyDescent="0.2">
      <c r="A744" s="38" t="s">
        <v>14</v>
      </c>
      <c r="B744" s="38" t="s">
        <v>0</v>
      </c>
      <c r="C744" s="38" t="s">
        <v>174</v>
      </c>
      <c r="D744" s="38" t="s">
        <v>65</v>
      </c>
      <c r="E744" s="38"/>
      <c r="F744" s="51" t="s">
        <v>175</v>
      </c>
      <c r="G744" s="38">
        <v>7</v>
      </c>
      <c r="H744" s="38" t="s">
        <v>17</v>
      </c>
      <c r="I744" s="38" t="s">
        <v>25</v>
      </c>
      <c r="J744" s="38">
        <v>0</v>
      </c>
      <c r="K744" s="39">
        <f>VLOOKUP(I744,'Weights and Confidence'!$D$16:$AC$26,5,FALSE)/COUNTIFS($B:$B,$B744,$C:$C,$C744,$H:$H,$H744,$I:$I,$I744)</f>
        <v>0.1</v>
      </c>
      <c r="L744" s="40">
        <f>VLOOKUP(I744,'Weights and Confidence'!$D$16:$AC$26,6,FALSE)</f>
        <v>1</v>
      </c>
      <c r="M744" s="41">
        <f>tScores4[[#This Row],[Raw_Rating_Text]]</f>
        <v>0</v>
      </c>
      <c r="N744" s="38"/>
    </row>
    <row r="745" spans="1:14" x14ac:dyDescent="0.2">
      <c r="A745" s="34" t="s">
        <v>14</v>
      </c>
      <c r="B745" s="34" t="s">
        <v>0</v>
      </c>
      <c r="C745" s="34" t="s">
        <v>174</v>
      </c>
      <c r="D745" s="34" t="s">
        <v>65</v>
      </c>
      <c r="E745" s="34"/>
      <c r="F745" s="50" t="s">
        <v>175</v>
      </c>
      <c r="G745" s="34">
        <v>7</v>
      </c>
      <c r="H745" s="34" t="s">
        <v>18</v>
      </c>
      <c r="I745" s="34" t="s">
        <v>25</v>
      </c>
      <c r="J745" s="34">
        <v>-1</v>
      </c>
      <c r="K745" s="35">
        <f>VLOOKUP(I745,'Weights and Confidence'!$D$16:$AC$26,5,FALSE)/COUNTIFS($B:$B,$B745,$C:$C,$C745,$H:$H,$H745,$I:$I,$I745)</f>
        <v>0.1</v>
      </c>
      <c r="L745" s="36">
        <f>VLOOKUP(I745,'Weights and Confidence'!$D$16:$AC$26,6,FALSE)</f>
        <v>1</v>
      </c>
      <c r="M745" s="37">
        <f>tScores4[[#This Row],[Raw_Rating_Text]]</f>
        <v>-1</v>
      </c>
      <c r="N745" s="58"/>
    </row>
    <row r="746" spans="1:14" x14ac:dyDescent="0.2">
      <c r="A746" s="38" t="s">
        <v>14</v>
      </c>
      <c r="B746" s="38" t="s">
        <v>0</v>
      </c>
      <c r="C746" s="38" t="s">
        <v>174</v>
      </c>
      <c r="D746" s="38" t="s">
        <v>65</v>
      </c>
      <c r="E746" s="38"/>
      <c r="F746" s="51" t="s">
        <v>175</v>
      </c>
      <c r="G746" s="38">
        <v>8</v>
      </c>
      <c r="H746" s="38" t="s">
        <v>17</v>
      </c>
      <c r="I746" s="38" t="s">
        <v>26</v>
      </c>
      <c r="J746" s="38">
        <v>0</v>
      </c>
      <c r="K746" s="39">
        <f>VLOOKUP(I746,'Weights and Confidence'!$D$16:$AC$26,5,FALSE)/COUNTIFS($B:$B,$B746,$C:$C,$C746,$H:$H,$H746,$I:$I,$I746)</f>
        <v>0.1</v>
      </c>
      <c r="L746" s="40">
        <f>VLOOKUP(I746,'Weights and Confidence'!$D$16:$AC$26,6,FALSE)</f>
        <v>1</v>
      </c>
      <c r="M746" s="41">
        <f>tScores4[[#This Row],[Raw_Rating_Text]]</f>
        <v>0</v>
      </c>
      <c r="N746" s="38"/>
    </row>
    <row r="747" spans="1:14" x14ac:dyDescent="0.2">
      <c r="A747" s="34" t="s">
        <v>14</v>
      </c>
      <c r="B747" s="34" t="s">
        <v>0</v>
      </c>
      <c r="C747" s="34" t="s">
        <v>174</v>
      </c>
      <c r="D747" s="34" t="s">
        <v>65</v>
      </c>
      <c r="E747" s="34"/>
      <c r="F747" s="50" t="s">
        <v>175</v>
      </c>
      <c r="G747" s="34">
        <v>8</v>
      </c>
      <c r="H747" s="34" t="s">
        <v>18</v>
      </c>
      <c r="I747" s="34" t="s">
        <v>26</v>
      </c>
      <c r="J747" s="34">
        <v>0</v>
      </c>
      <c r="K747" s="35">
        <f>VLOOKUP(I747,'Weights and Confidence'!$D$16:$AC$26,5,FALSE)/COUNTIFS($B:$B,$B747,$C:$C,$C747,$H:$H,$H747,$I:$I,$I747)</f>
        <v>0.1</v>
      </c>
      <c r="L747" s="36">
        <f>VLOOKUP(I747,'Weights and Confidence'!$D$16:$AC$26,6,FALSE)</f>
        <v>1</v>
      </c>
      <c r="M747" s="37">
        <f>tScores4[[#This Row],[Raw_Rating_Text]]</f>
        <v>0</v>
      </c>
      <c r="N747" s="58"/>
    </row>
    <row r="748" spans="1:14" x14ac:dyDescent="0.2">
      <c r="A748" s="38" t="s">
        <v>14</v>
      </c>
      <c r="B748" s="38" t="s">
        <v>0</v>
      </c>
      <c r="C748" s="38" t="s">
        <v>174</v>
      </c>
      <c r="D748" s="38" t="s">
        <v>65</v>
      </c>
      <c r="E748" s="38"/>
      <c r="F748" s="51" t="s">
        <v>175</v>
      </c>
      <c r="G748" s="38">
        <v>9</v>
      </c>
      <c r="H748" s="38" t="s">
        <v>17</v>
      </c>
      <c r="I748" s="38" t="s">
        <v>27</v>
      </c>
      <c r="J748" s="38">
        <v>-1</v>
      </c>
      <c r="K748" s="39">
        <f>VLOOKUP(I748,'Weights and Confidence'!$D$16:$AC$26,5,FALSE)/COUNTIFS($B:$B,$B748,$C:$C,$C748,$H:$H,$H748,$I:$I,$I748)</f>
        <v>0.05</v>
      </c>
      <c r="L748" s="40">
        <f>VLOOKUP(I748,'Weights and Confidence'!$D$16:$AC$26,6,FALSE)</f>
        <v>0.85</v>
      </c>
      <c r="M748" s="41">
        <f>tScores4[[#This Row],[Raw_Rating_Text]]</f>
        <v>-1</v>
      </c>
      <c r="N748" s="38"/>
    </row>
    <row r="749" spans="1:14" x14ac:dyDescent="0.2">
      <c r="A749" s="34" t="s">
        <v>14</v>
      </c>
      <c r="B749" s="34" t="s">
        <v>0</v>
      </c>
      <c r="C749" s="34" t="s">
        <v>174</v>
      </c>
      <c r="D749" s="34" t="s">
        <v>65</v>
      </c>
      <c r="E749" s="34"/>
      <c r="F749" s="50" t="s">
        <v>175</v>
      </c>
      <c r="G749" s="34">
        <v>9</v>
      </c>
      <c r="H749" s="34" t="s">
        <v>18</v>
      </c>
      <c r="I749" s="34" t="s">
        <v>27</v>
      </c>
      <c r="J749" s="34">
        <v>1</v>
      </c>
      <c r="K749" s="35">
        <f>VLOOKUP(I749,'Weights and Confidence'!$D$16:$AC$26,5,FALSE)/COUNTIFS($B:$B,$B749,$C:$C,$C749,$H:$H,$H749,$I:$I,$I749)</f>
        <v>0.05</v>
      </c>
      <c r="L749" s="36">
        <f>VLOOKUP(I749,'Weights and Confidence'!$D$16:$AC$26,6,FALSE)</f>
        <v>0.85</v>
      </c>
      <c r="M749" s="37">
        <f>tScores4[[#This Row],[Raw_Rating_Text]]</f>
        <v>1</v>
      </c>
      <c r="N749" s="58"/>
    </row>
    <row r="750" spans="1:14" x14ac:dyDescent="0.2">
      <c r="A750" s="38" t="s">
        <v>14</v>
      </c>
      <c r="B750" s="38" t="s">
        <v>0</v>
      </c>
      <c r="C750" s="38" t="s">
        <v>174</v>
      </c>
      <c r="D750" s="38" t="s">
        <v>65</v>
      </c>
      <c r="E750" s="38"/>
      <c r="F750" s="51" t="s">
        <v>175</v>
      </c>
      <c r="G750" s="38">
        <v>10</v>
      </c>
      <c r="H750" s="38" t="s">
        <v>17</v>
      </c>
      <c r="I750" s="38" t="s">
        <v>27</v>
      </c>
      <c r="J750" s="38">
        <v>-1</v>
      </c>
      <c r="K750" s="39">
        <f>VLOOKUP(I750,'Weights and Confidence'!$D$16:$AC$26,5,FALSE)/COUNTIFS($B:$B,$B750,$C:$C,$C750,$H:$H,$H750,$I:$I,$I750)</f>
        <v>0.05</v>
      </c>
      <c r="L750" s="40">
        <f>VLOOKUP(I750,'Weights and Confidence'!$D$16:$AC$26,6,FALSE)</f>
        <v>0.85</v>
      </c>
      <c r="M750" s="41">
        <f>tScores4[[#This Row],[Raw_Rating_Text]]</f>
        <v>-1</v>
      </c>
      <c r="N750" s="38"/>
    </row>
    <row r="751" spans="1:14" x14ac:dyDescent="0.2">
      <c r="A751" s="34" t="s">
        <v>14</v>
      </c>
      <c r="B751" s="34" t="s">
        <v>0</v>
      </c>
      <c r="C751" s="34" t="s">
        <v>174</v>
      </c>
      <c r="D751" s="34" t="s">
        <v>65</v>
      </c>
      <c r="E751" s="34"/>
      <c r="F751" s="50" t="s">
        <v>175</v>
      </c>
      <c r="G751" s="34">
        <v>10</v>
      </c>
      <c r="H751" s="34" t="s">
        <v>18</v>
      </c>
      <c r="I751" s="34" t="s">
        <v>27</v>
      </c>
      <c r="J751" s="34">
        <v>1</v>
      </c>
      <c r="K751" s="35">
        <f>VLOOKUP(I751,'Weights and Confidence'!$D$16:$AC$26,5,FALSE)/COUNTIFS($B:$B,$B751,$C:$C,$C751,$H:$H,$H751,$I:$I,$I751)</f>
        <v>0.05</v>
      </c>
      <c r="L751" s="36">
        <f>VLOOKUP(I751,'Weights and Confidence'!$D$16:$AC$26,6,FALSE)</f>
        <v>0.85</v>
      </c>
      <c r="M751" s="37">
        <f>tScores4[[#This Row],[Raw_Rating_Text]]</f>
        <v>1</v>
      </c>
      <c r="N751" s="34"/>
    </row>
    <row r="752" spans="1:14" x14ac:dyDescent="0.2">
      <c r="A752" s="38" t="s">
        <v>14</v>
      </c>
      <c r="B752" s="38" t="s">
        <v>0</v>
      </c>
      <c r="C752" s="38" t="s">
        <v>174</v>
      </c>
      <c r="D752" s="38" t="s">
        <v>65</v>
      </c>
      <c r="E752" s="38"/>
      <c r="F752" s="51" t="s">
        <v>175</v>
      </c>
      <c r="G752" s="38">
        <v>11</v>
      </c>
      <c r="H752" s="38" t="s">
        <v>17</v>
      </c>
      <c r="I752" s="38" t="s">
        <v>28</v>
      </c>
      <c r="J752" s="38">
        <v>-1</v>
      </c>
      <c r="K752" s="39">
        <f>VLOOKUP(I752,'Weights and Confidence'!$D$16:$AC$26,5,FALSE)/COUNTIFS($B:$B,$B752,$C:$C,$C752,$H:$H,$H752,$I:$I,$I752)</f>
        <v>0.05</v>
      </c>
      <c r="L752" s="40">
        <f>VLOOKUP(I752,'Weights and Confidence'!$D$16:$AC$26,6,FALSE)</f>
        <v>1</v>
      </c>
      <c r="M752" s="41">
        <f>tScores4[[#This Row],[Raw_Rating_Text]]</f>
        <v>-1</v>
      </c>
      <c r="N752" s="38"/>
    </row>
    <row r="753" spans="1:24" ht="17" thickBot="1" x14ac:dyDescent="0.25">
      <c r="A753" s="34" t="s">
        <v>14</v>
      </c>
      <c r="B753" s="34" t="s">
        <v>0</v>
      </c>
      <c r="C753" s="34" t="s">
        <v>174</v>
      </c>
      <c r="D753" s="34" t="s">
        <v>65</v>
      </c>
      <c r="E753" s="34"/>
      <c r="F753" s="50" t="s">
        <v>175</v>
      </c>
      <c r="G753" s="34">
        <v>11</v>
      </c>
      <c r="H753" s="34" t="s">
        <v>18</v>
      </c>
      <c r="I753" s="34" t="s">
        <v>28</v>
      </c>
      <c r="J753" s="34">
        <v>-1</v>
      </c>
      <c r="K753" s="35">
        <f>VLOOKUP(I753,'Weights and Confidence'!$D$16:$AC$26,5,FALSE)/COUNTIFS($B:$B,$B753,$C:$C,$C753,$H:$H,$H753,$I:$I,$I753)</f>
        <v>0.05</v>
      </c>
      <c r="L753" s="36">
        <f>VLOOKUP(I753,'Weights and Confidence'!$D$16:$AC$26,6,FALSE)</f>
        <v>1</v>
      </c>
      <c r="M753" s="37">
        <f>tScores4[[#This Row],[Raw_Rating_Text]]</f>
        <v>-1</v>
      </c>
      <c r="N753" s="58" t="s">
        <v>178</v>
      </c>
    </row>
    <row r="754" spans="1:24" ht="17" thickBot="1" x14ac:dyDescent="0.25">
      <c r="A754" s="29" t="s">
        <v>185</v>
      </c>
      <c r="B754" s="29" t="s">
        <v>86</v>
      </c>
      <c r="C754" s="29" t="s">
        <v>44</v>
      </c>
      <c r="D754" s="29" t="s">
        <v>5</v>
      </c>
      <c r="E754" s="29" t="s">
        <v>103</v>
      </c>
      <c r="F754" s="52" t="s">
        <v>45</v>
      </c>
      <c r="G754" s="29">
        <v>1</v>
      </c>
      <c r="H754" s="29" t="s">
        <v>17</v>
      </c>
      <c r="I754" s="29" t="s">
        <v>19</v>
      </c>
      <c r="J754" s="29">
        <v>0</v>
      </c>
      <c r="K754" s="31">
        <f>VLOOKUP(I754,'Weights and Confidence'!$D$16:$AC$26,5,FALSE)/COUNTIFS($B:$B,$B754,$C:$C,$C754,$H:$H,$H754,$I:$I,$I754)</f>
        <v>0.12</v>
      </c>
      <c r="L754" s="32">
        <f>VLOOKUP(I754,'Weights and Confidence'!$D$16:$AC$26,6,FALSE)</f>
        <v>1</v>
      </c>
      <c r="M754" s="33">
        <f>tScores4[[#This Row],[Raw_Rating_Text]]</f>
        <v>0</v>
      </c>
      <c r="N754" s="29"/>
    </row>
    <row r="755" spans="1:24" x14ac:dyDescent="0.2">
      <c r="A755" s="34" t="s">
        <v>185</v>
      </c>
      <c r="B755" s="34" t="s">
        <v>86</v>
      </c>
      <c r="C755" s="34" t="s">
        <v>44</v>
      </c>
      <c r="D755" s="34" t="s">
        <v>5</v>
      </c>
      <c r="E755" s="34" t="s">
        <v>103</v>
      </c>
      <c r="F755" s="50" t="s">
        <v>45</v>
      </c>
      <c r="G755" s="34">
        <v>1</v>
      </c>
      <c r="H755" s="34" t="s">
        <v>18</v>
      </c>
      <c r="I755" s="34" t="s">
        <v>19</v>
      </c>
      <c r="J755" s="34">
        <v>1</v>
      </c>
      <c r="K755" s="35">
        <f>VLOOKUP(I755,'Weights and Confidence'!$D$16:$AC$26,5,FALSE)/COUNTIFS($B:$B,$B755,$C:$C,$C755,$H:$H,$H755,$I:$I,$I755)</f>
        <v>0.12</v>
      </c>
      <c r="L755" s="36">
        <f>VLOOKUP(I755,'Weights and Confidence'!$D$16:$AC$26,6,FALSE)</f>
        <v>1</v>
      </c>
      <c r="M755" s="37">
        <f>tScores4[[#This Row],[Raw_Rating_Text]]</f>
        <v>1</v>
      </c>
      <c r="N755" s="58"/>
      <c r="P755" s="24" t="s">
        <v>199</v>
      </c>
      <c r="Q755" s="10"/>
      <c r="R755" s="10"/>
      <c r="S755" s="10"/>
      <c r="T755" s="10"/>
      <c r="U755" s="10"/>
      <c r="V755" s="10"/>
      <c r="W755" s="10"/>
      <c r="X755" s="11"/>
    </row>
    <row r="756" spans="1:24" x14ac:dyDescent="0.2">
      <c r="A756" s="38" t="s">
        <v>185</v>
      </c>
      <c r="B756" s="38" t="s">
        <v>86</v>
      </c>
      <c r="C756" s="38" t="s">
        <v>44</v>
      </c>
      <c r="D756" s="38" t="s">
        <v>5</v>
      </c>
      <c r="E756" s="38" t="s">
        <v>103</v>
      </c>
      <c r="F756" s="51" t="s">
        <v>45</v>
      </c>
      <c r="G756" s="38">
        <v>2</v>
      </c>
      <c r="H756" s="38" t="s">
        <v>17</v>
      </c>
      <c r="I756" s="38" t="s">
        <v>20</v>
      </c>
      <c r="J756" s="38">
        <v>0</v>
      </c>
      <c r="K756" s="39">
        <f>VLOOKUP(I756,'Weights and Confidence'!$D$16:$AC$26,5,FALSE)/COUNTIFS($B:$B,$B756,$C:$C,$C756,$H:$H,$H756,$I:$I,$I756)</f>
        <v>0.08</v>
      </c>
      <c r="L756" s="40">
        <f>VLOOKUP(I756,'Weights and Confidence'!$D$16:$AC$26,6,FALSE)</f>
        <v>0.8</v>
      </c>
      <c r="M756" s="41">
        <f>tScores4[[#This Row],[Raw_Rating_Text]]</f>
        <v>0</v>
      </c>
      <c r="N756" s="38"/>
      <c r="P756" s="25" t="s">
        <v>200</v>
      </c>
      <c r="X756" s="1"/>
    </row>
    <row r="757" spans="1:24" x14ac:dyDescent="0.2">
      <c r="A757" s="34" t="s">
        <v>185</v>
      </c>
      <c r="B757" s="34" t="s">
        <v>86</v>
      </c>
      <c r="C757" s="34" t="s">
        <v>44</v>
      </c>
      <c r="D757" s="34" t="s">
        <v>5</v>
      </c>
      <c r="E757" s="34" t="s">
        <v>103</v>
      </c>
      <c r="F757" s="50" t="s">
        <v>45</v>
      </c>
      <c r="G757" s="34">
        <v>2</v>
      </c>
      <c r="H757" s="34" t="s">
        <v>18</v>
      </c>
      <c r="I757" s="34" t="s">
        <v>20</v>
      </c>
      <c r="J757" s="34">
        <v>1</v>
      </c>
      <c r="K757" s="35">
        <f>VLOOKUP(I757,'Weights and Confidence'!$D$16:$AC$26,5,FALSE)/COUNTIFS($B:$B,$B757,$C:$C,$C757,$H:$H,$H757,$I:$I,$I757)</f>
        <v>0.08</v>
      </c>
      <c r="L757" s="36">
        <f>VLOOKUP(I757,'Weights and Confidence'!$D$16:$AC$26,6,FALSE)</f>
        <v>0.8</v>
      </c>
      <c r="M757" s="37">
        <f>tScores4[[#This Row],[Raw_Rating_Text]]</f>
        <v>1</v>
      </c>
      <c r="N757" s="58" t="s">
        <v>192</v>
      </c>
      <c r="P757" s="25" t="s">
        <v>201</v>
      </c>
      <c r="X757" s="1"/>
    </row>
    <row r="758" spans="1:24" x14ac:dyDescent="0.2">
      <c r="A758" s="38" t="s">
        <v>185</v>
      </c>
      <c r="B758" s="38" t="s">
        <v>86</v>
      </c>
      <c r="C758" s="38" t="s">
        <v>44</v>
      </c>
      <c r="D758" s="38" t="s">
        <v>5</v>
      </c>
      <c r="E758" s="38" t="s">
        <v>103</v>
      </c>
      <c r="F758" s="51" t="s">
        <v>45</v>
      </c>
      <c r="G758" s="38">
        <v>3</v>
      </c>
      <c r="H758" s="38" t="s">
        <v>17</v>
      </c>
      <c r="I758" s="38" t="s">
        <v>21</v>
      </c>
      <c r="J758" s="38">
        <v>1</v>
      </c>
      <c r="K758" s="39">
        <f>VLOOKUP(I758,'Weights and Confidence'!$D$16:$AC$26,5,FALSE)/COUNTIFS($B:$B,$B758,$C:$C,$C758,$H:$H,$H758,$I:$I,$I758)</f>
        <v>0.05</v>
      </c>
      <c r="L758" s="40">
        <f>VLOOKUP(I758,'Weights and Confidence'!$D$16:$AC$26,6,FALSE)</f>
        <v>1</v>
      </c>
      <c r="M758" s="41">
        <f>tScores4[[#This Row],[Raw_Rating_Text]]</f>
        <v>1</v>
      </c>
      <c r="N758" s="38"/>
      <c r="P758" s="25" t="s">
        <v>202</v>
      </c>
      <c r="X758" s="1"/>
    </row>
    <row r="759" spans="1:24" x14ac:dyDescent="0.2">
      <c r="A759" s="34" t="s">
        <v>185</v>
      </c>
      <c r="B759" s="34" t="s">
        <v>86</v>
      </c>
      <c r="C759" s="34" t="s">
        <v>44</v>
      </c>
      <c r="D759" s="34" t="s">
        <v>5</v>
      </c>
      <c r="E759" s="34" t="s">
        <v>103</v>
      </c>
      <c r="F759" s="50" t="s">
        <v>45</v>
      </c>
      <c r="G759" s="34">
        <v>3</v>
      </c>
      <c r="H759" s="34" t="s">
        <v>18</v>
      </c>
      <c r="I759" s="34" t="s">
        <v>21</v>
      </c>
      <c r="J759" s="34">
        <v>1</v>
      </c>
      <c r="K759" s="35">
        <f>VLOOKUP(I759,'Weights and Confidence'!$D$16:$AC$26,5,FALSE)/COUNTIFS($B:$B,$B759,$C:$C,$C759,$H:$H,$H759,$I:$I,$I759)</f>
        <v>0.05</v>
      </c>
      <c r="L759" s="36">
        <f>VLOOKUP(I759,'Weights and Confidence'!$D$16:$AC$26,6,FALSE)</f>
        <v>1</v>
      </c>
      <c r="M759" s="37">
        <f>tScores4[[#This Row],[Raw_Rating_Text]]</f>
        <v>1</v>
      </c>
      <c r="N759" s="58"/>
      <c r="P759" s="25" t="s">
        <v>203</v>
      </c>
      <c r="X759" s="1"/>
    </row>
    <row r="760" spans="1:24" ht="17" thickBot="1" x14ac:dyDescent="0.25">
      <c r="A760" s="38" t="s">
        <v>185</v>
      </c>
      <c r="B760" s="38" t="s">
        <v>86</v>
      </c>
      <c r="C760" s="38" t="s">
        <v>44</v>
      </c>
      <c r="D760" s="38" t="s">
        <v>5</v>
      </c>
      <c r="E760" s="38" t="s">
        <v>103</v>
      </c>
      <c r="F760" s="51" t="s">
        <v>45</v>
      </c>
      <c r="G760" s="38">
        <v>4</v>
      </c>
      <c r="H760" s="38" t="s">
        <v>17</v>
      </c>
      <c r="I760" s="38" t="s">
        <v>22</v>
      </c>
      <c r="J760" s="38">
        <v>-1</v>
      </c>
      <c r="K760" s="39">
        <f>VLOOKUP(I760,'Weights and Confidence'!$D$16:$AC$26,5,FALSE)/COUNTIFS($B:$B,$B760,$C:$C,$C760,$H:$H,$H760,$I:$I,$I760)</f>
        <v>0.14000000000000001</v>
      </c>
      <c r="L760" s="40">
        <f>VLOOKUP(I760,'Weights and Confidence'!$D$16:$AC$26,6,FALSE)</f>
        <v>1</v>
      </c>
      <c r="M760" s="41">
        <f>tScores4[[#This Row],[Raw_Rating_Text]]</f>
        <v>-1</v>
      </c>
      <c r="N760" s="38"/>
      <c r="P760" s="26" t="s">
        <v>204</v>
      </c>
      <c r="Q760" s="2"/>
      <c r="R760" s="2"/>
      <c r="S760" s="2"/>
      <c r="T760" s="2"/>
      <c r="U760" s="2"/>
      <c r="V760" s="2"/>
      <c r="W760" s="2"/>
      <c r="X760" s="5"/>
    </row>
    <row r="761" spans="1:24" x14ac:dyDescent="0.2">
      <c r="A761" s="34" t="s">
        <v>185</v>
      </c>
      <c r="B761" s="34" t="s">
        <v>86</v>
      </c>
      <c r="C761" s="34" t="s">
        <v>44</v>
      </c>
      <c r="D761" s="34" t="s">
        <v>5</v>
      </c>
      <c r="E761" s="34" t="s">
        <v>103</v>
      </c>
      <c r="F761" s="50" t="s">
        <v>45</v>
      </c>
      <c r="G761" s="34">
        <v>4</v>
      </c>
      <c r="H761" s="34" t="s">
        <v>18</v>
      </c>
      <c r="I761" s="34" t="s">
        <v>22</v>
      </c>
      <c r="J761" s="34">
        <v>0</v>
      </c>
      <c r="K761" s="35">
        <f>VLOOKUP(I761,'Weights and Confidence'!$D$16:$AC$26,5,FALSE)/COUNTIFS($B:$B,$B761,$C:$C,$C761,$H:$H,$H761,$I:$I,$I761)</f>
        <v>0.14000000000000001</v>
      </c>
      <c r="L761" s="36">
        <f>VLOOKUP(I761,'Weights and Confidence'!$D$16:$AC$26,6,FALSE)</f>
        <v>1</v>
      </c>
      <c r="M761" s="37">
        <f>tScores4[[#This Row],[Raw_Rating_Text]]</f>
        <v>0</v>
      </c>
      <c r="N761" s="58" t="s">
        <v>193</v>
      </c>
    </row>
    <row r="762" spans="1:24" x14ac:dyDescent="0.2">
      <c r="A762" s="38" t="s">
        <v>185</v>
      </c>
      <c r="B762" s="38" t="s">
        <v>86</v>
      </c>
      <c r="C762" s="38" t="s">
        <v>44</v>
      </c>
      <c r="D762" s="38" t="s">
        <v>5</v>
      </c>
      <c r="E762" s="38" t="s">
        <v>103</v>
      </c>
      <c r="F762" s="51" t="s">
        <v>45</v>
      </c>
      <c r="G762" s="38">
        <v>5</v>
      </c>
      <c r="H762" s="38" t="s">
        <v>17</v>
      </c>
      <c r="I762" s="38" t="s">
        <v>23</v>
      </c>
      <c r="J762" s="38">
        <v>0</v>
      </c>
      <c r="K762" s="39">
        <f>VLOOKUP(I762,'Weights and Confidence'!$D$16:$AC$26,5,FALSE)/COUNTIFS($B:$B,$B762,$C:$C,$C762,$H:$H,$H762,$I:$I,$I762)</f>
        <v>0.11</v>
      </c>
      <c r="L762" s="40">
        <f>VLOOKUP(I762,'Weights and Confidence'!$D$16:$AC$26,6,FALSE)</f>
        <v>1</v>
      </c>
      <c r="M762" s="41">
        <f>tScores4[[#This Row],[Raw_Rating_Text]]</f>
        <v>0</v>
      </c>
      <c r="N762" s="38"/>
    </row>
    <row r="763" spans="1:24" x14ac:dyDescent="0.2">
      <c r="A763" s="34" t="s">
        <v>185</v>
      </c>
      <c r="B763" s="34" t="s">
        <v>86</v>
      </c>
      <c r="C763" s="34" t="s">
        <v>44</v>
      </c>
      <c r="D763" s="34" t="s">
        <v>5</v>
      </c>
      <c r="E763" s="34" t="s">
        <v>103</v>
      </c>
      <c r="F763" s="50" t="s">
        <v>45</v>
      </c>
      <c r="G763" s="34">
        <v>5</v>
      </c>
      <c r="H763" s="34" t="s">
        <v>18</v>
      </c>
      <c r="I763" s="34" t="s">
        <v>23</v>
      </c>
      <c r="J763" s="34">
        <v>0</v>
      </c>
      <c r="K763" s="35">
        <f>VLOOKUP(I763,'Weights and Confidence'!$D$16:$AC$26,5,FALSE)/COUNTIFS($B:$B,$B763,$C:$C,$C763,$H:$H,$H763,$I:$I,$I763)</f>
        <v>0.11</v>
      </c>
      <c r="L763" s="36">
        <f>VLOOKUP(I763,'Weights and Confidence'!$D$16:$AC$26,6,FALSE)</f>
        <v>1</v>
      </c>
      <c r="M763" s="37">
        <f>tScores4[[#This Row],[Raw_Rating_Text]]</f>
        <v>0</v>
      </c>
      <c r="N763" s="58" t="s">
        <v>194</v>
      </c>
    </row>
    <row r="764" spans="1:24" x14ac:dyDescent="0.2">
      <c r="A764" s="38" t="s">
        <v>185</v>
      </c>
      <c r="B764" s="38" t="s">
        <v>86</v>
      </c>
      <c r="C764" s="38" t="s">
        <v>44</v>
      </c>
      <c r="D764" s="38" t="s">
        <v>5</v>
      </c>
      <c r="E764" s="38" t="s">
        <v>103</v>
      </c>
      <c r="F764" s="51" t="s">
        <v>45</v>
      </c>
      <c r="G764" s="38">
        <v>6</v>
      </c>
      <c r="H764" s="38" t="s">
        <v>17</v>
      </c>
      <c r="I764" s="38" t="s">
        <v>24</v>
      </c>
      <c r="J764" s="38">
        <v>-1</v>
      </c>
      <c r="K764" s="39">
        <f>VLOOKUP(I764,'Weights and Confidence'!$D$16:$AC$26,5,FALSE)/COUNTIFS($B:$B,$B764,$C:$C,$C764,$H:$H,$H764,$I:$I,$I764)</f>
        <v>0.15</v>
      </c>
      <c r="L764" s="40">
        <f>VLOOKUP(I764,'Weights and Confidence'!$D$16:$AC$26,6,FALSE)</f>
        <v>1</v>
      </c>
      <c r="M764" s="41">
        <f>tScores4[[#This Row],[Raw_Rating_Text]]</f>
        <v>-1</v>
      </c>
      <c r="N764" s="59"/>
    </row>
    <row r="765" spans="1:24" x14ac:dyDescent="0.2">
      <c r="A765" s="34" t="s">
        <v>185</v>
      </c>
      <c r="B765" s="34" t="s">
        <v>86</v>
      </c>
      <c r="C765" s="34" t="s">
        <v>44</v>
      </c>
      <c r="D765" s="34" t="s">
        <v>5</v>
      </c>
      <c r="E765" s="34" t="s">
        <v>103</v>
      </c>
      <c r="F765" s="50" t="s">
        <v>45</v>
      </c>
      <c r="G765" s="34">
        <v>6</v>
      </c>
      <c r="H765" s="34" t="s">
        <v>18</v>
      </c>
      <c r="I765" s="34" t="s">
        <v>24</v>
      </c>
      <c r="J765" s="34">
        <v>0</v>
      </c>
      <c r="K765" s="35">
        <f>VLOOKUP(I765,'Weights and Confidence'!$D$16:$AC$26,5,FALSE)/COUNTIFS($B:$B,$B765,$C:$C,$C765,$H:$H,$H765,$I:$I,$I765)</f>
        <v>0.15</v>
      </c>
      <c r="L765" s="36">
        <f>VLOOKUP(I765,'Weights and Confidence'!$D$16:$AC$26,6,FALSE)</f>
        <v>1</v>
      </c>
      <c r="M765" s="37">
        <f>tScores4[[#This Row],[Raw_Rating_Text]]</f>
        <v>0</v>
      </c>
      <c r="N765" s="58" t="s">
        <v>195</v>
      </c>
    </row>
    <row r="766" spans="1:24" x14ac:dyDescent="0.2">
      <c r="A766" s="38" t="s">
        <v>185</v>
      </c>
      <c r="B766" s="38" t="s">
        <v>86</v>
      </c>
      <c r="C766" s="38" t="s">
        <v>44</v>
      </c>
      <c r="D766" s="38" t="s">
        <v>5</v>
      </c>
      <c r="E766" s="38" t="s">
        <v>103</v>
      </c>
      <c r="F766" s="51" t="s">
        <v>45</v>
      </c>
      <c r="G766" s="38">
        <v>7</v>
      </c>
      <c r="H766" s="38" t="s">
        <v>17</v>
      </c>
      <c r="I766" s="38" t="s">
        <v>25</v>
      </c>
      <c r="J766" s="38">
        <v>0</v>
      </c>
      <c r="K766" s="39">
        <f>VLOOKUP(I766,'Weights and Confidence'!$D$16:$AC$26,5,FALSE)/COUNTIFS($B:$B,$B766,$C:$C,$C766,$H:$H,$H766,$I:$I,$I766)</f>
        <v>0.1</v>
      </c>
      <c r="L766" s="40">
        <f>VLOOKUP(I766,'Weights and Confidence'!$D$16:$AC$26,6,FALSE)</f>
        <v>1</v>
      </c>
      <c r="M766" s="41">
        <f>tScores4[[#This Row],[Raw_Rating_Text]]</f>
        <v>0</v>
      </c>
      <c r="N766" s="38"/>
    </row>
    <row r="767" spans="1:24" x14ac:dyDescent="0.2">
      <c r="A767" s="34" t="s">
        <v>185</v>
      </c>
      <c r="B767" s="34" t="s">
        <v>86</v>
      </c>
      <c r="C767" s="34" t="s">
        <v>44</v>
      </c>
      <c r="D767" s="34" t="s">
        <v>5</v>
      </c>
      <c r="E767" s="34" t="s">
        <v>103</v>
      </c>
      <c r="F767" s="50" t="s">
        <v>45</v>
      </c>
      <c r="G767" s="34">
        <v>7</v>
      </c>
      <c r="H767" s="34" t="s">
        <v>18</v>
      </c>
      <c r="I767" s="34" t="s">
        <v>25</v>
      </c>
      <c r="J767" s="34">
        <v>0</v>
      </c>
      <c r="K767" s="35">
        <f>VLOOKUP(I767,'Weights and Confidence'!$D$16:$AC$26,5,FALSE)/COUNTIFS($B:$B,$B767,$C:$C,$C767,$H:$H,$H767,$I:$I,$I767)</f>
        <v>0.1</v>
      </c>
      <c r="L767" s="36">
        <f>VLOOKUP(I767,'Weights and Confidence'!$D$16:$AC$26,6,FALSE)</f>
        <v>1</v>
      </c>
      <c r="M767" s="37">
        <f>tScores4[[#This Row],[Raw_Rating_Text]]</f>
        <v>0</v>
      </c>
      <c r="N767" s="58" t="s">
        <v>196</v>
      </c>
    </row>
    <row r="768" spans="1:24" x14ac:dyDescent="0.2">
      <c r="A768" s="38" t="s">
        <v>185</v>
      </c>
      <c r="B768" s="38" t="s">
        <v>86</v>
      </c>
      <c r="C768" s="38" t="s">
        <v>44</v>
      </c>
      <c r="D768" s="38" t="s">
        <v>5</v>
      </c>
      <c r="E768" s="38" t="s">
        <v>103</v>
      </c>
      <c r="F768" s="51" t="s">
        <v>45</v>
      </c>
      <c r="G768" s="38">
        <v>8</v>
      </c>
      <c r="H768" s="38" t="s">
        <v>17</v>
      </c>
      <c r="I768" s="38" t="s">
        <v>26</v>
      </c>
      <c r="J768" s="38">
        <v>0</v>
      </c>
      <c r="K768" s="39">
        <f>VLOOKUP(I768,'Weights and Confidence'!$D$16:$AC$26,5,FALSE)/COUNTIFS($B:$B,$B768,$C:$C,$C768,$H:$H,$H768,$I:$I,$I768)</f>
        <v>0.1</v>
      </c>
      <c r="L768" s="40">
        <f>VLOOKUP(I768,'Weights and Confidence'!$D$16:$AC$26,6,FALSE)</f>
        <v>1</v>
      </c>
      <c r="M768" s="41">
        <f>tScores4[[#This Row],[Raw_Rating_Text]]</f>
        <v>0</v>
      </c>
      <c r="N768" s="38"/>
    </row>
    <row r="769" spans="1:24" x14ac:dyDescent="0.2">
      <c r="A769" s="34" t="s">
        <v>185</v>
      </c>
      <c r="B769" s="34" t="s">
        <v>86</v>
      </c>
      <c r="C769" s="34" t="s">
        <v>44</v>
      </c>
      <c r="D769" s="34" t="s">
        <v>5</v>
      </c>
      <c r="E769" s="34" t="s">
        <v>103</v>
      </c>
      <c r="F769" s="50" t="s">
        <v>45</v>
      </c>
      <c r="G769" s="34">
        <v>8</v>
      </c>
      <c r="H769" s="34" t="s">
        <v>18</v>
      </c>
      <c r="I769" s="34" t="s">
        <v>26</v>
      </c>
      <c r="J769" s="34">
        <v>0</v>
      </c>
      <c r="K769" s="35">
        <f>VLOOKUP(I769,'Weights and Confidence'!$D$16:$AC$26,5,FALSE)/COUNTIFS($B:$B,$B769,$C:$C,$C769,$H:$H,$H769,$I:$I,$I769)</f>
        <v>0.1</v>
      </c>
      <c r="L769" s="36">
        <f>VLOOKUP(I769,'Weights and Confidence'!$D$16:$AC$26,6,FALSE)</f>
        <v>1</v>
      </c>
      <c r="M769" s="37">
        <f>tScores4[[#This Row],[Raw_Rating_Text]]</f>
        <v>0</v>
      </c>
      <c r="N769" s="58" t="s">
        <v>197</v>
      </c>
    </row>
    <row r="770" spans="1:24" x14ac:dyDescent="0.2">
      <c r="A770" s="38" t="s">
        <v>185</v>
      </c>
      <c r="B770" s="38" t="s">
        <v>86</v>
      </c>
      <c r="C770" s="38" t="s">
        <v>44</v>
      </c>
      <c r="D770" s="38" t="s">
        <v>5</v>
      </c>
      <c r="E770" s="38" t="s">
        <v>103</v>
      </c>
      <c r="F770" s="51" t="s">
        <v>45</v>
      </c>
      <c r="G770" s="38">
        <v>9</v>
      </c>
      <c r="H770" s="38" t="s">
        <v>17</v>
      </c>
      <c r="I770" s="38" t="s">
        <v>27</v>
      </c>
      <c r="J770" s="38">
        <v>0</v>
      </c>
      <c r="K770" s="39">
        <f>VLOOKUP(I770,'Weights and Confidence'!$D$16:$AC$26,5,FALSE)/COUNTIFS($B:$B,$B770,$C:$C,$C770,$H:$H,$H770,$I:$I,$I770)</f>
        <v>0.05</v>
      </c>
      <c r="L770" s="40">
        <f>VLOOKUP(I770,'Weights and Confidence'!$D$16:$AC$26,6,FALSE)</f>
        <v>0.85</v>
      </c>
      <c r="M770" s="41">
        <f>tScores4[[#This Row],[Raw_Rating_Text]]</f>
        <v>0</v>
      </c>
      <c r="N770" s="38"/>
    </row>
    <row r="771" spans="1:24" x14ac:dyDescent="0.2">
      <c r="A771" s="34" t="s">
        <v>185</v>
      </c>
      <c r="B771" s="34" t="s">
        <v>86</v>
      </c>
      <c r="C771" s="34" t="s">
        <v>44</v>
      </c>
      <c r="D771" s="34" t="s">
        <v>5</v>
      </c>
      <c r="E771" s="34" t="s">
        <v>103</v>
      </c>
      <c r="F771" s="50" t="s">
        <v>45</v>
      </c>
      <c r="G771" s="34">
        <v>9</v>
      </c>
      <c r="H771" s="34" t="s">
        <v>18</v>
      </c>
      <c r="I771" s="34" t="s">
        <v>27</v>
      </c>
      <c r="J771" s="34">
        <v>1</v>
      </c>
      <c r="K771" s="35">
        <f>VLOOKUP(I771,'Weights and Confidence'!$D$16:$AC$26,5,FALSE)/COUNTIFS($B:$B,$B771,$C:$C,$C771,$H:$H,$H771,$I:$I,$I771)</f>
        <v>0.05</v>
      </c>
      <c r="L771" s="36">
        <f>VLOOKUP(I771,'Weights and Confidence'!$D$16:$AC$26,6,FALSE)</f>
        <v>0.85</v>
      </c>
      <c r="M771" s="37">
        <f>tScores4[[#This Row],[Raw_Rating_Text]]</f>
        <v>1</v>
      </c>
      <c r="N771" s="58"/>
    </row>
    <row r="772" spans="1:24" x14ac:dyDescent="0.2">
      <c r="A772" s="38" t="s">
        <v>185</v>
      </c>
      <c r="B772" s="38" t="s">
        <v>86</v>
      </c>
      <c r="C772" s="38" t="s">
        <v>44</v>
      </c>
      <c r="D772" s="38" t="s">
        <v>5</v>
      </c>
      <c r="E772" s="38" t="s">
        <v>103</v>
      </c>
      <c r="F772" s="51" t="s">
        <v>45</v>
      </c>
      <c r="G772" s="38">
        <v>10</v>
      </c>
      <c r="H772" s="38" t="s">
        <v>17</v>
      </c>
      <c r="I772" s="38" t="s">
        <v>27</v>
      </c>
      <c r="J772" s="38">
        <v>0</v>
      </c>
      <c r="K772" s="39">
        <f>VLOOKUP(I772,'Weights and Confidence'!$D$16:$AC$26,5,FALSE)/COUNTIFS($B:$B,$B772,$C:$C,$C772,$H:$H,$H772,$I:$I,$I772)</f>
        <v>0.05</v>
      </c>
      <c r="L772" s="40">
        <f>VLOOKUP(I772,'Weights and Confidence'!$D$16:$AC$26,6,FALSE)</f>
        <v>0.85</v>
      </c>
      <c r="M772" s="41">
        <f>tScores4[[#This Row],[Raw_Rating_Text]]</f>
        <v>0</v>
      </c>
      <c r="N772" s="38"/>
    </row>
    <row r="773" spans="1:24" x14ac:dyDescent="0.2">
      <c r="A773" s="34" t="s">
        <v>185</v>
      </c>
      <c r="B773" s="34" t="s">
        <v>86</v>
      </c>
      <c r="C773" s="34" t="s">
        <v>44</v>
      </c>
      <c r="D773" s="34" t="s">
        <v>5</v>
      </c>
      <c r="E773" s="34" t="s">
        <v>103</v>
      </c>
      <c r="F773" s="50" t="s">
        <v>45</v>
      </c>
      <c r="G773" s="34">
        <v>10</v>
      </c>
      <c r="H773" s="34" t="s">
        <v>18</v>
      </c>
      <c r="I773" s="34" t="s">
        <v>27</v>
      </c>
      <c r="J773" s="34">
        <v>1</v>
      </c>
      <c r="K773" s="35">
        <f>VLOOKUP(I773,'Weights and Confidence'!$D$16:$AC$26,5,FALSE)/COUNTIFS($B:$B,$B773,$C:$C,$C773,$H:$H,$H773,$I:$I,$I773)</f>
        <v>0.05</v>
      </c>
      <c r="L773" s="36">
        <f>VLOOKUP(I773,'Weights and Confidence'!$D$16:$AC$26,6,FALSE)</f>
        <v>0.85</v>
      </c>
      <c r="M773" s="37">
        <f>tScores4[[#This Row],[Raw_Rating_Text]]</f>
        <v>1</v>
      </c>
      <c r="N773" s="34"/>
    </row>
    <row r="774" spans="1:24" x14ac:dyDescent="0.2">
      <c r="A774" s="38" t="s">
        <v>185</v>
      </c>
      <c r="B774" s="38" t="s">
        <v>86</v>
      </c>
      <c r="C774" s="38" t="s">
        <v>44</v>
      </c>
      <c r="D774" s="38" t="s">
        <v>5</v>
      </c>
      <c r="E774" s="38" t="s">
        <v>103</v>
      </c>
      <c r="F774" s="51" t="s">
        <v>45</v>
      </c>
      <c r="G774" s="38">
        <v>11</v>
      </c>
      <c r="H774" s="38" t="s">
        <v>17</v>
      </c>
      <c r="I774" s="38" t="s">
        <v>28</v>
      </c>
      <c r="J774" s="38">
        <v>-1</v>
      </c>
      <c r="K774" s="39">
        <f>VLOOKUP(I774,'Weights and Confidence'!$D$16:$AC$26,5,FALSE)/COUNTIFS($B:$B,$B774,$C:$C,$C774,$H:$H,$H774,$I:$I,$I774)</f>
        <v>0.05</v>
      </c>
      <c r="L774" s="40">
        <f>VLOOKUP(I774,'Weights and Confidence'!$D$16:$AC$26,6,FALSE)</f>
        <v>1</v>
      </c>
      <c r="M774" s="41">
        <f>tScores4[[#This Row],[Raw_Rating_Text]]</f>
        <v>-1</v>
      </c>
      <c r="N774" s="38"/>
    </row>
    <row r="775" spans="1:24" ht="17" thickBot="1" x14ac:dyDescent="0.25">
      <c r="A775" s="34" t="s">
        <v>185</v>
      </c>
      <c r="B775" s="34" t="s">
        <v>86</v>
      </c>
      <c r="C775" s="34" t="s">
        <v>44</v>
      </c>
      <c r="D775" s="34" t="s">
        <v>5</v>
      </c>
      <c r="E775" s="34" t="s">
        <v>103</v>
      </c>
      <c r="F775" s="50" t="s">
        <v>45</v>
      </c>
      <c r="G775" s="34">
        <v>11</v>
      </c>
      <c r="H775" s="34" t="s">
        <v>18</v>
      </c>
      <c r="I775" s="34" t="s">
        <v>28</v>
      </c>
      <c r="J775" s="34">
        <v>0</v>
      </c>
      <c r="K775" s="35">
        <f>VLOOKUP(I775,'Weights and Confidence'!$D$16:$AC$26,5,FALSE)/COUNTIFS($B:$B,$B775,$C:$C,$C775,$H:$H,$H775,$I:$I,$I775)</f>
        <v>0.05</v>
      </c>
      <c r="L775" s="36">
        <f>VLOOKUP(I775,'Weights and Confidence'!$D$16:$AC$26,6,FALSE)</f>
        <v>1</v>
      </c>
      <c r="M775" s="37">
        <f>tScores4[[#This Row],[Raw_Rating_Text]]</f>
        <v>0</v>
      </c>
      <c r="N775" s="58" t="s">
        <v>198</v>
      </c>
    </row>
    <row r="776" spans="1:24" ht="18" thickTop="1" thickBot="1" x14ac:dyDescent="0.25">
      <c r="A776" s="42" t="s">
        <v>185</v>
      </c>
      <c r="B776" s="42" t="s">
        <v>86</v>
      </c>
      <c r="C776" s="42" t="s">
        <v>90</v>
      </c>
      <c r="D776" s="42" t="s">
        <v>5</v>
      </c>
      <c r="E776" s="42"/>
      <c r="F776" s="49" t="s">
        <v>205</v>
      </c>
      <c r="G776" s="42">
        <v>1</v>
      </c>
      <c r="H776" s="42" t="s">
        <v>17</v>
      </c>
      <c r="I776" s="42" t="s">
        <v>19</v>
      </c>
      <c r="J776" s="42">
        <v>0</v>
      </c>
      <c r="K776" s="44">
        <f>VLOOKUP(I776,'Weights and Confidence'!$D$16:$AC$26,5,FALSE)/COUNTIFS($B:$B,$B776,$C:$C,$C776,$H:$H,$H776,$I:$I,$I776)</f>
        <v>0.12</v>
      </c>
      <c r="L776" s="45">
        <f>VLOOKUP(I776,'Weights and Confidence'!$D$16:$AC$26,6,FALSE)</f>
        <v>1</v>
      </c>
      <c r="M776" s="46">
        <f>tScores4[[#This Row],[Raw_Rating_Text]]</f>
        <v>0</v>
      </c>
      <c r="N776" s="38"/>
    </row>
    <row r="777" spans="1:24" x14ac:dyDescent="0.2">
      <c r="A777" s="34" t="s">
        <v>185</v>
      </c>
      <c r="B777" s="34" t="s">
        <v>86</v>
      </c>
      <c r="C777" s="34" t="s">
        <v>90</v>
      </c>
      <c r="D777" s="34" t="s">
        <v>5</v>
      </c>
      <c r="E777" s="34"/>
      <c r="F777" s="50" t="s">
        <v>205</v>
      </c>
      <c r="G777" s="34">
        <v>1</v>
      </c>
      <c r="H777" s="34" t="s">
        <v>18</v>
      </c>
      <c r="I777" s="34" t="s">
        <v>19</v>
      </c>
      <c r="J777" s="34">
        <v>1</v>
      </c>
      <c r="K777" s="35">
        <f>VLOOKUP(I777,'Weights and Confidence'!$D$16:$AC$26,5,FALSE)/COUNTIFS($B:$B,$B777,$C:$C,$C777,$H:$H,$H777,$I:$I,$I777)</f>
        <v>0.12</v>
      </c>
      <c r="L777" s="36">
        <f>VLOOKUP(I777,'Weights and Confidence'!$D$16:$AC$26,6,FALSE)</f>
        <v>1</v>
      </c>
      <c r="M777" s="37">
        <f>tScores4[[#This Row],[Raw_Rating_Text]]</f>
        <v>1</v>
      </c>
      <c r="N777" s="58" t="s">
        <v>206</v>
      </c>
      <c r="P777" s="24" t="s">
        <v>215</v>
      </c>
      <c r="Q777" s="10"/>
      <c r="R777" s="10"/>
      <c r="S777" s="10"/>
      <c r="T777" s="10"/>
      <c r="U777" s="10"/>
      <c r="V777" s="10"/>
      <c r="W777" s="10"/>
      <c r="X777" s="11"/>
    </row>
    <row r="778" spans="1:24" x14ac:dyDescent="0.2">
      <c r="A778" s="38" t="s">
        <v>185</v>
      </c>
      <c r="B778" s="38" t="s">
        <v>86</v>
      </c>
      <c r="C778" s="38" t="s">
        <v>90</v>
      </c>
      <c r="D778" s="38" t="s">
        <v>5</v>
      </c>
      <c r="E778" s="38"/>
      <c r="F778" s="51" t="s">
        <v>205</v>
      </c>
      <c r="G778" s="38">
        <v>2</v>
      </c>
      <c r="H778" s="38" t="s">
        <v>17</v>
      </c>
      <c r="I778" s="38" t="s">
        <v>20</v>
      </c>
      <c r="J778" s="38">
        <v>0</v>
      </c>
      <c r="K778" s="39">
        <f>VLOOKUP(I778,'Weights and Confidence'!$D$16:$AC$26,5,FALSE)/COUNTIFS($B:$B,$B778,$C:$C,$C778,$H:$H,$H778,$I:$I,$I778)</f>
        <v>0.08</v>
      </c>
      <c r="L778" s="40">
        <f>VLOOKUP(I778,'Weights and Confidence'!$D$16:$AC$26,6,FALSE)</f>
        <v>0.8</v>
      </c>
      <c r="M778" s="41">
        <f>tScores4[[#This Row],[Raw_Rating_Text]]</f>
        <v>0</v>
      </c>
      <c r="N778" s="38"/>
      <c r="P778" s="25" t="s">
        <v>216</v>
      </c>
      <c r="X778" s="1"/>
    </row>
    <row r="779" spans="1:24" x14ac:dyDescent="0.2">
      <c r="A779" s="34" t="s">
        <v>185</v>
      </c>
      <c r="B779" s="34" t="s">
        <v>86</v>
      </c>
      <c r="C779" s="34" t="s">
        <v>90</v>
      </c>
      <c r="D779" s="34" t="s">
        <v>5</v>
      </c>
      <c r="E779" s="34"/>
      <c r="F779" s="50" t="s">
        <v>205</v>
      </c>
      <c r="G779" s="34">
        <v>2</v>
      </c>
      <c r="H779" s="34" t="s">
        <v>18</v>
      </c>
      <c r="I779" s="34" t="s">
        <v>20</v>
      </c>
      <c r="J779" s="34">
        <v>1</v>
      </c>
      <c r="K779" s="35">
        <f>VLOOKUP(I779,'Weights and Confidence'!$D$16:$AC$26,5,FALSE)/COUNTIFS($B:$B,$B779,$C:$C,$C779,$H:$H,$H779,$I:$I,$I779)</f>
        <v>0.08</v>
      </c>
      <c r="L779" s="36">
        <f>VLOOKUP(I779,'Weights and Confidence'!$D$16:$AC$26,6,FALSE)</f>
        <v>0.8</v>
      </c>
      <c r="M779" s="37">
        <f>tScores4[[#This Row],[Raw_Rating_Text]]</f>
        <v>1</v>
      </c>
      <c r="N779" s="58" t="s">
        <v>207</v>
      </c>
      <c r="P779" s="25" t="s">
        <v>217</v>
      </c>
      <c r="X779" s="1"/>
    </row>
    <row r="780" spans="1:24" x14ac:dyDescent="0.2">
      <c r="A780" s="38" t="s">
        <v>185</v>
      </c>
      <c r="B780" s="38" t="s">
        <v>86</v>
      </c>
      <c r="C780" s="38" t="s">
        <v>90</v>
      </c>
      <c r="D780" s="38" t="s">
        <v>5</v>
      </c>
      <c r="E780" s="38"/>
      <c r="F780" s="51" t="s">
        <v>205</v>
      </c>
      <c r="G780" s="38">
        <v>3</v>
      </c>
      <c r="H780" s="38" t="s">
        <v>17</v>
      </c>
      <c r="I780" s="38" t="s">
        <v>21</v>
      </c>
      <c r="J780" s="38">
        <v>0</v>
      </c>
      <c r="K780" s="39">
        <f>VLOOKUP(I780,'Weights and Confidence'!$D$16:$AC$26,5,FALSE)/COUNTIFS($B:$B,$B780,$C:$C,$C780,$H:$H,$H780,$I:$I,$I780)</f>
        <v>0.05</v>
      </c>
      <c r="L780" s="40">
        <f>VLOOKUP(I780,'Weights and Confidence'!$D$16:$AC$26,6,FALSE)</f>
        <v>1</v>
      </c>
      <c r="M780" s="41">
        <f>tScores4[[#This Row],[Raw_Rating_Text]]</f>
        <v>0</v>
      </c>
      <c r="N780" s="38"/>
      <c r="P780" s="25" t="s">
        <v>218</v>
      </c>
      <c r="X780" s="1"/>
    </row>
    <row r="781" spans="1:24" x14ac:dyDescent="0.2">
      <c r="A781" s="34" t="s">
        <v>185</v>
      </c>
      <c r="B781" s="34" t="s">
        <v>86</v>
      </c>
      <c r="C781" s="34" t="s">
        <v>90</v>
      </c>
      <c r="D781" s="34" t="s">
        <v>5</v>
      </c>
      <c r="E781" s="34"/>
      <c r="F781" s="50" t="s">
        <v>205</v>
      </c>
      <c r="G781" s="34">
        <v>3</v>
      </c>
      <c r="H781" s="34" t="s">
        <v>18</v>
      </c>
      <c r="I781" s="34" t="s">
        <v>21</v>
      </c>
      <c r="J781" s="34">
        <v>0</v>
      </c>
      <c r="K781" s="35">
        <f>VLOOKUP(I781,'Weights and Confidence'!$D$16:$AC$26,5,FALSE)/COUNTIFS($B:$B,$B781,$C:$C,$C781,$H:$H,$H781,$I:$I,$I781)</f>
        <v>0.05</v>
      </c>
      <c r="L781" s="36">
        <f>VLOOKUP(I781,'Weights and Confidence'!$D$16:$AC$26,6,FALSE)</f>
        <v>1</v>
      </c>
      <c r="M781" s="37">
        <f>tScores4[[#This Row],[Raw_Rating_Text]]</f>
        <v>0</v>
      </c>
      <c r="N781" s="58" t="s">
        <v>208</v>
      </c>
      <c r="P781" s="25" t="s">
        <v>219</v>
      </c>
      <c r="X781" s="1"/>
    </row>
    <row r="782" spans="1:24" x14ac:dyDescent="0.2">
      <c r="A782" s="38" t="s">
        <v>185</v>
      </c>
      <c r="B782" s="38" t="s">
        <v>86</v>
      </c>
      <c r="C782" s="38" t="s">
        <v>90</v>
      </c>
      <c r="D782" s="38" t="s">
        <v>5</v>
      </c>
      <c r="E782" s="38"/>
      <c r="F782" s="51" t="s">
        <v>205</v>
      </c>
      <c r="G782" s="38">
        <v>4</v>
      </c>
      <c r="H782" s="38" t="s">
        <v>17</v>
      </c>
      <c r="I782" s="38" t="s">
        <v>22</v>
      </c>
      <c r="J782" s="38">
        <v>-1</v>
      </c>
      <c r="K782" s="39">
        <f>VLOOKUP(I782,'Weights and Confidence'!$D$16:$AC$26,5,FALSE)/COUNTIFS($B:$B,$B782,$C:$C,$C782,$H:$H,$H782,$I:$I,$I782)</f>
        <v>0.14000000000000001</v>
      </c>
      <c r="L782" s="40">
        <f>VLOOKUP(I782,'Weights and Confidence'!$D$16:$AC$26,6,FALSE)</f>
        <v>1</v>
      </c>
      <c r="M782" s="41">
        <f>tScores4[[#This Row],[Raw_Rating_Text]]</f>
        <v>-1</v>
      </c>
      <c r="N782" s="38"/>
      <c r="P782" s="25" t="s">
        <v>220</v>
      </c>
      <c r="X782" s="1"/>
    </row>
    <row r="783" spans="1:24" x14ac:dyDescent="0.2">
      <c r="A783" s="34" t="s">
        <v>185</v>
      </c>
      <c r="B783" s="34" t="s">
        <v>86</v>
      </c>
      <c r="C783" s="34" t="s">
        <v>90</v>
      </c>
      <c r="D783" s="34" t="s">
        <v>5</v>
      </c>
      <c r="E783" s="34"/>
      <c r="F783" s="50" t="s">
        <v>205</v>
      </c>
      <c r="G783" s="34">
        <v>4</v>
      </c>
      <c r="H783" s="34" t="s">
        <v>18</v>
      </c>
      <c r="I783" s="34" t="s">
        <v>22</v>
      </c>
      <c r="J783" s="34">
        <v>1</v>
      </c>
      <c r="K783" s="35">
        <f>VLOOKUP(I783,'Weights and Confidence'!$D$16:$AC$26,5,FALSE)/COUNTIFS($B:$B,$B783,$C:$C,$C783,$H:$H,$H783,$I:$I,$I783)</f>
        <v>0.14000000000000001</v>
      </c>
      <c r="L783" s="36">
        <f>VLOOKUP(I783,'Weights and Confidence'!$D$16:$AC$26,6,FALSE)</f>
        <v>1</v>
      </c>
      <c r="M783" s="37">
        <f>tScores4[[#This Row],[Raw_Rating_Text]]</f>
        <v>1</v>
      </c>
      <c r="N783" s="58" t="s">
        <v>209</v>
      </c>
      <c r="P783" s="25" t="s">
        <v>221</v>
      </c>
      <c r="X783" s="1"/>
    </row>
    <row r="784" spans="1:24" x14ac:dyDescent="0.2">
      <c r="A784" s="38" t="s">
        <v>185</v>
      </c>
      <c r="B784" s="38" t="s">
        <v>86</v>
      </c>
      <c r="C784" s="38" t="s">
        <v>90</v>
      </c>
      <c r="D784" s="38" t="s">
        <v>5</v>
      </c>
      <c r="E784" s="38"/>
      <c r="F784" s="51" t="s">
        <v>205</v>
      </c>
      <c r="G784" s="38">
        <v>5</v>
      </c>
      <c r="H784" s="38" t="s">
        <v>17</v>
      </c>
      <c r="I784" s="38" t="s">
        <v>23</v>
      </c>
      <c r="J784" s="38">
        <v>-1</v>
      </c>
      <c r="K784" s="39">
        <f>VLOOKUP(I784,'Weights and Confidence'!$D$16:$AC$26,5,FALSE)/COUNTIFS($B:$B,$B784,$C:$C,$C784,$H:$H,$H784,$I:$I,$I784)</f>
        <v>0.11</v>
      </c>
      <c r="L784" s="40">
        <f>VLOOKUP(I784,'Weights and Confidence'!$D$16:$AC$26,6,FALSE)</f>
        <v>1</v>
      </c>
      <c r="M784" s="41">
        <f>tScores4[[#This Row],[Raw_Rating_Text]]</f>
        <v>-1</v>
      </c>
      <c r="N784" s="38"/>
      <c r="P784" s="25" t="s">
        <v>222</v>
      </c>
      <c r="X784" s="1"/>
    </row>
    <row r="785" spans="1:24" x14ac:dyDescent="0.2">
      <c r="A785" s="34" t="s">
        <v>185</v>
      </c>
      <c r="B785" s="34" t="s">
        <v>86</v>
      </c>
      <c r="C785" s="34" t="s">
        <v>90</v>
      </c>
      <c r="D785" s="34" t="s">
        <v>5</v>
      </c>
      <c r="E785" s="34"/>
      <c r="F785" s="50" t="s">
        <v>205</v>
      </c>
      <c r="G785" s="34">
        <v>5</v>
      </c>
      <c r="H785" s="34" t="s">
        <v>18</v>
      </c>
      <c r="I785" s="34" t="s">
        <v>23</v>
      </c>
      <c r="J785" s="34">
        <v>0</v>
      </c>
      <c r="K785" s="35">
        <f>VLOOKUP(I785,'Weights and Confidence'!$D$16:$AC$26,5,FALSE)/COUNTIFS($B:$B,$B785,$C:$C,$C785,$H:$H,$H785,$I:$I,$I785)</f>
        <v>0.11</v>
      </c>
      <c r="L785" s="36">
        <f>VLOOKUP(I785,'Weights and Confidence'!$D$16:$AC$26,6,FALSE)</f>
        <v>1</v>
      </c>
      <c r="M785" s="37">
        <f>tScores4[[#This Row],[Raw_Rating_Text]]</f>
        <v>0</v>
      </c>
      <c r="N785" s="58" t="s">
        <v>210</v>
      </c>
      <c r="P785" s="25" t="s">
        <v>223</v>
      </c>
      <c r="X785" s="1"/>
    </row>
    <row r="786" spans="1:24" x14ac:dyDescent="0.2">
      <c r="A786" s="38" t="s">
        <v>185</v>
      </c>
      <c r="B786" s="38" t="s">
        <v>86</v>
      </c>
      <c r="C786" s="38" t="s">
        <v>90</v>
      </c>
      <c r="D786" s="38" t="s">
        <v>5</v>
      </c>
      <c r="E786" s="38"/>
      <c r="F786" s="51" t="s">
        <v>205</v>
      </c>
      <c r="G786" s="38">
        <v>6</v>
      </c>
      <c r="H786" s="38" t="s">
        <v>17</v>
      </c>
      <c r="I786" s="38" t="s">
        <v>24</v>
      </c>
      <c r="J786" s="38">
        <v>-1</v>
      </c>
      <c r="K786" s="39">
        <f>VLOOKUP(I786,'Weights and Confidence'!$D$16:$AC$26,5,FALSE)/COUNTIFS($B:$B,$B786,$C:$C,$C786,$H:$H,$H786,$I:$I,$I786)</f>
        <v>0.15</v>
      </c>
      <c r="L786" s="40">
        <f>VLOOKUP(I786,'Weights and Confidence'!$D$16:$AC$26,6,FALSE)</f>
        <v>1</v>
      </c>
      <c r="M786" s="41">
        <f>tScores4[[#This Row],[Raw_Rating_Text]]</f>
        <v>-1</v>
      </c>
      <c r="N786" s="59"/>
      <c r="P786" s="25" t="s">
        <v>224</v>
      </c>
      <c r="X786" s="1"/>
    </row>
    <row r="787" spans="1:24" x14ac:dyDescent="0.2">
      <c r="A787" s="34" t="s">
        <v>185</v>
      </c>
      <c r="B787" s="34" t="s">
        <v>86</v>
      </c>
      <c r="C787" s="34" t="s">
        <v>90</v>
      </c>
      <c r="D787" s="34" t="s">
        <v>5</v>
      </c>
      <c r="E787" s="34"/>
      <c r="F787" s="50" t="s">
        <v>205</v>
      </c>
      <c r="G787" s="34">
        <v>6</v>
      </c>
      <c r="H787" s="34" t="s">
        <v>18</v>
      </c>
      <c r="I787" s="34" t="s">
        <v>24</v>
      </c>
      <c r="J787" s="34">
        <v>0</v>
      </c>
      <c r="K787" s="35">
        <f>VLOOKUP(I787,'Weights and Confidence'!$D$16:$AC$26,5,FALSE)/COUNTIFS($B:$B,$B787,$C:$C,$C787,$H:$H,$H787,$I:$I,$I787)</f>
        <v>0.15</v>
      </c>
      <c r="L787" s="36">
        <f>VLOOKUP(I787,'Weights and Confidence'!$D$16:$AC$26,6,FALSE)</f>
        <v>1</v>
      </c>
      <c r="M787" s="37">
        <f>tScores4[[#This Row],[Raw_Rating_Text]]</f>
        <v>0</v>
      </c>
      <c r="N787" s="58" t="s">
        <v>211</v>
      </c>
      <c r="P787" s="25" t="s">
        <v>225</v>
      </c>
      <c r="X787" s="1"/>
    </row>
    <row r="788" spans="1:24" x14ac:dyDescent="0.2">
      <c r="A788" s="38" t="s">
        <v>185</v>
      </c>
      <c r="B788" s="38" t="s">
        <v>86</v>
      </c>
      <c r="C788" s="38" t="s">
        <v>90</v>
      </c>
      <c r="D788" s="38" t="s">
        <v>5</v>
      </c>
      <c r="E788" s="38"/>
      <c r="F788" s="51" t="s">
        <v>205</v>
      </c>
      <c r="G788" s="38">
        <v>7</v>
      </c>
      <c r="H788" s="38" t="s">
        <v>17</v>
      </c>
      <c r="I788" s="38" t="s">
        <v>25</v>
      </c>
      <c r="J788" s="38">
        <v>-1</v>
      </c>
      <c r="K788" s="39">
        <f>VLOOKUP(I788,'Weights and Confidence'!$D$16:$AC$26,5,FALSE)/COUNTIFS($B:$B,$B788,$C:$C,$C788,$H:$H,$H788,$I:$I,$I788)</f>
        <v>0.1</v>
      </c>
      <c r="L788" s="40">
        <f>VLOOKUP(I788,'Weights and Confidence'!$D$16:$AC$26,6,FALSE)</f>
        <v>1</v>
      </c>
      <c r="M788" s="41">
        <f>tScores4[[#This Row],[Raw_Rating_Text]]</f>
        <v>-1</v>
      </c>
      <c r="N788" s="38"/>
      <c r="P788" s="25" t="s">
        <v>226</v>
      </c>
      <c r="X788" s="1"/>
    </row>
    <row r="789" spans="1:24" x14ac:dyDescent="0.2">
      <c r="A789" s="34" t="s">
        <v>185</v>
      </c>
      <c r="B789" s="34" t="s">
        <v>86</v>
      </c>
      <c r="C789" s="34" t="s">
        <v>90</v>
      </c>
      <c r="D789" s="34" t="s">
        <v>5</v>
      </c>
      <c r="E789" s="34"/>
      <c r="F789" s="50" t="s">
        <v>205</v>
      </c>
      <c r="G789" s="34">
        <v>7</v>
      </c>
      <c r="H789" s="34" t="s">
        <v>18</v>
      </c>
      <c r="I789" s="34" t="s">
        <v>25</v>
      </c>
      <c r="J789" s="34">
        <v>0</v>
      </c>
      <c r="K789" s="35">
        <f>VLOOKUP(I789,'Weights and Confidence'!$D$16:$AC$26,5,FALSE)/COUNTIFS($B:$B,$B789,$C:$C,$C789,$H:$H,$H789,$I:$I,$I789)</f>
        <v>0.1</v>
      </c>
      <c r="L789" s="36">
        <f>VLOOKUP(I789,'Weights and Confidence'!$D$16:$AC$26,6,FALSE)</f>
        <v>1</v>
      </c>
      <c r="M789" s="37">
        <f>tScores4[[#This Row],[Raw_Rating_Text]]</f>
        <v>0</v>
      </c>
      <c r="N789" s="58" t="s">
        <v>212</v>
      </c>
      <c r="P789" s="25" t="s">
        <v>227</v>
      </c>
      <c r="X789" s="1"/>
    </row>
    <row r="790" spans="1:24" x14ac:dyDescent="0.2">
      <c r="A790" s="38" t="s">
        <v>185</v>
      </c>
      <c r="B790" s="38" t="s">
        <v>86</v>
      </c>
      <c r="C790" s="38" t="s">
        <v>90</v>
      </c>
      <c r="D790" s="38" t="s">
        <v>5</v>
      </c>
      <c r="E790" s="38"/>
      <c r="F790" s="51" t="s">
        <v>205</v>
      </c>
      <c r="G790" s="38">
        <v>8</v>
      </c>
      <c r="H790" s="38" t="s">
        <v>17</v>
      </c>
      <c r="I790" s="38" t="s">
        <v>26</v>
      </c>
      <c r="J790" s="38">
        <v>0</v>
      </c>
      <c r="K790" s="39">
        <f>VLOOKUP(I790,'Weights and Confidence'!$D$16:$AC$26,5,FALSE)/COUNTIFS($B:$B,$B790,$C:$C,$C790,$H:$H,$H790,$I:$I,$I790)</f>
        <v>0.1</v>
      </c>
      <c r="L790" s="40">
        <f>VLOOKUP(I790,'Weights and Confidence'!$D$16:$AC$26,6,FALSE)</f>
        <v>1</v>
      </c>
      <c r="M790" s="41">
        <f>tScores4[[#This Row],[Raw_Rating_Text]]</f>
        <v>0</v>
      </c>
      <c r="N790" s="38"/>
      <c r="P790" s="25" t="s">
        <v>228</v>
      </c>
      <c r="X790" s="1"/>
    </row>
    <row r="791" spans="1:24" x14ac:dyDescent="0.2">
      <c r="A791" s="34" t="s">
        <v>185</v>
      </c>
      <c r="B791" s="34" t="s">
        <v>86</v>
      </c>
      <c r="C791" s="34" t="s">
        <v>90</v>
      </c>
      <c r="D791" s="34" t="s">
        <v>5</v>
      </c>
      <c r="E791" s="34"/>
      <c r="F791" s="50" t="s">
        <v>205</v>
      </c>
      <c r="G791" s="34">
        <v>8</v>
      </c>
      <c r="H791" s="34" t="s">
        <v>18</v>
      </c>
      <c r="I791" s="34" t="s">
        <v>26</v>
      </c>
      <c r="J791" s="34">
        <v>0</v>
      </c>
      <c r="K791" s="35">
        <f>VLOOKUP(I791,'Weights and Confidence'!$D$16:$AC$26,5,FALSE)/COUNTIFS($B:$B,$B791,$C:$C,$C791,$H:$H,$H791,$I:$I,$I791)</f>
        <v>0.1</v>
      </c>
      <c r="L791" s="36">
        <f>VLOOKUP(I791,'Weights and Confidence'!$D$16:$AC$26,6,FALSE)</f>
        <v>1</v>
      </c>
      <c r="M791" s="37">
        <f>tScores4[[#This Row],[Raw_Rating_Text]]</f>
        <v>0</v>
      </c>
      <c r="N791" s="58"/>
      <c r="P791" s="25" t="s">
        <v>229</v>
      </c>
      <c r="X791" s="1"/>
    </row>
    <row r="792" spans="1:24" x14ac:dyDescent="0.2">
      <c r="A792" s="38" t="s">
        <v>185</v>
      </c>
      <c r="B792" s="38" t="s">
        <v>86</v>
      </c>
      <c r="C792" s="38" t="s">
        <v>90</v>
      </c>
      <c r="D792" s="38" t="s">
        <v>5</v>
      </c>
      <c r="E792" s="38"/>
      <c r="F792" s="51" t="s">
        <v>205</v>
      </c>
      <c r="G792" s="38">
        <v>9</v>
      </c>
      <c r="H792" s="38" t="s">
        <v>17</v>
      </c>
      <c r="I792" s="38" t="s">
        <v>27</v>
      </c>
      <c r="J792" s="38">
        <v>0</v>
      </c>
      <c r="K792" s="39">
        <f>VLOOKUP(I792,'Weights and Confidence'!$D$16:$AC$26,5,FALSE)/COUNTIFS($B:$B,$B792,$C:$C,$C792,$H:$H,$H792,$I:$I,$I792)</f>
        <v>0.05</v>
      </c>
      <c r="L792" s="40">
        <f>VLOOKUP(I792,'Weights and Confidence'!$D$16:$AC$26,6,FALSE)</f>
        <v>0.85</v>
      </c>
      <c r="M792" s="41">
        <f>tScores4[[#This Row],[Raw_Rating_Text]]</f>
        <v>0</v>
      </c>
      <c r="N792" s="38"/>
      <c r="P792" s="25" t="s">
        <v>230</v>
      </c>
      <c r="X792" s="1"/>
    </row>
    <row r="793" spans="1:24" ht="17" thickBot="1" x14ac:dyDescent="0.25">
      <c r="A793" s="34" t="s">
        <v>185</v>
      </c>
      <c r="B793" s="34" t="s">
        <v>86</v>
      </c>
      <c r="C793" s="34" t="s">
        <v>90</v>
      </c>
      <c r="D793" s="34" t="s">
        <v>5</v>
      </c>
      <c r="E793" s="34"/>
      <c r="F793" s="50" t="s">
        <v>205</v>
      </c>
      <c r="G793" s="34">
        <v>9</v>
      </c>
      <c r="H793" s="34" t="s">
        <v>18</v>
      </c>
      <c r="I793" s="34" t="s">
        <v>27</v>
      </c>
      <c r="J793" s="34">
        <v>1</v>
      </c>
      <c r="K793" s="35">
        <f>VLOOKUP(I793,'Weights and Confidence'!$D$16:$AC$26,5,FALSE)/COUNTIFS($B:$B,$B793,$C:$C,$C793,$H:$H,$H793,$I:$I,$I793)</f>
        <v>0.05</v>
      </c>
      <c r="L793" s="36">
        <f>VLOOKUP(I793,'Weights and Confidence'!$D$16:$AC$26,6,FALSE)</f>
        <v>0.85</v>
      </c>
      <c r="M793" s="37">
        <f>tScores4[[#This Row],[Raw_Rating_Text]]</f>
        <v>1</v>
      </c>
      <c r="N793" s="58" t="s">
        <v>213</v>
      </c>
      <c r="P793" s="26" t="s">
        <v>231</v>
      </c>
      <c r="Q793" s="2"/>
      <c r="R793" s="2"/>
      <c r="S793" s="2"/>
      <c r="T793" s="2"/>
      <c r="U793" s="2"/>
      <c r="V793" s="2"/>
      <c r="W793" s="2"/>
      <c r="X793" s="5"/>
    </row>
    <row r="794" spans="1:24" x14ac:dyDescent="0.2">
      <c r="A794" s="38" t="s">
        <v>185</v>
      </c>
      <c r="B794" s="38" t="s">
        <v>86</v>
      </c>
      <c r="C794" s="38" t="s">
        <v>90</v>
      </c>
      <c r="D794" s="38" t="s">
        <v>5</v>
      </c>
      <c r="E794" s="38"/>
      <c r="F794" s="51" t="s">
        <v>205</v>
      </c>
      <c r="G794" s="38">
        <v>10</v>
      </c>
      <c r="H794" s="38" t="s">
        <v>17</v>
      </c>
      <c r="I794" s="38" t="s">
        <v>27</v>
      </c>
      <c r="J794" s="38">
        <v>-1</v>
      </c>
      <c r="K794" s="39">
        <f>VLOOKUP(I794,'Weights and Confidence'!$D$16:$AC$26,5,FALSE)/COUNTIFS($B:$B,$B794,$C:$C,$C794,$H:$H,$H794,$I:$I,$I794)</f>
        <v>0.05</v>
      </c>
      <c r="L794" s="40">
        <f>VLOOKUP(I794,'Weights and Confidence'!$D$16:$AC$26,6,FALSE)</f>
        <v>0.85</v>
      </c>
      <c r="M794" s="41">
        <f>tScores4[[#This Row],[Raw_Rating_Text]]</f>
        <v>-1</v>
      </c>
      <c r="N794" s="38"/>
    </row>
    <row r="795" spans="1:24" x14ac:dyDescent="0.2">
      <c r="A795" s="34" t="s">
        <v>185</v>
      </c>
      <c r="B795" s="34" t="s">
        <v>86</v>
      </c>
      <c r="C795" s="34" t="s">
        <v>90</v>
      </c>
      <c r="D795" s="34" t="s">
        <v>5</v>
      </c>
      <c r="E795" s="34"/>
      <c r="F795" s="50" t="s">
        <v>205</v>
      </c>
      <c r="G795" s="34">
        <v>10</v>
      </c>
      <c r="H795" s="34" t="s">
        <v>18</v>
      </c>
      <c r="I795" s="34" t="s">
        <v>27</v>
      </c>
      <c r="J795" s="34">
        <v>1</v>
      </c>
      <c r="K795" s="35">
        <f>VLOOKUP(I795,'Weights and Confidence'!$D$16:$AC$26,5,FALSE)/COUNTIFS($B:$B,$B795,$C:$C,$C795,$H:$H,$H795,$I:$I,$I795)</f>
        <v>0.05</v>
      </c>
      <c r="L795" s="36">
        <f>VLOOKUP(I795,'Weights and Confidence'!$D$16:$AC$26,6,FALSE)</f>
        <v>0.85</v>
      </c>
      <c r="M795" s="37">
        <f>tScores4[[#This Row],[Raw_Rating_Text]]</f>
        <v>1</v>
      </c>
      <c r="N795" s="34"/>
    </row>
    <row r="796" spans="1:24" x14ac:dyDescent="0.2">
      <c r="A796" s="38" t="s">
        <v>185</v>
      </c>
      <c r="B796" s="38" t="s">
        <v>86</v>
      </c>
      <c r="C796" s="38" t="s">
        <v>90</v>
      </c>
      <c r="D796" s="38" t="s">
        <v>5</v>
      </c>
      <c r="E796" s="38"/>
      <c r="F796" s="51" t="s">
        <v>205</v>
      </c>
      <c r="G796" s="38">
        <v>11</v>
      </c>
      <c r="H796" s="38" t="s">
        <v>17</v>
      </c>
      <c r="I796" s="38" t="s">
        <v>28</v>
      </c>
      <c r="J796" s="38">
        <v>-1</v>
      </c>
      <c r="K796" s="39">
        <f>VLOOKUP(I796,'Weights and Confidence'!$D$16:$AC$26,5,FALSE)/COUNTIFS($B:$B,$B796,$C:$C,$C796,$H:$H,$H796,$I:$I,$I796)</f>
        <v>0.05</v>
      </c>
      <c r="L796" s="40">
        <f>VLOOKUP(I796,'Weights and Confidence'!$D$16:$AC$26,6,FALSE)</f>
        <v>1</v>
      </c>
      <c r="M796" s="41">
        <f>tScores4[[#This Row],[Raw_Rating_Text]]</f>
        <v>-1</v>
      </c>
      <c r="N796" s="38"/>
    </row>
    <row r="797" spans="1:24" ht="17" thickBot="1" x14ac:dyDescent="0.25">
      <c r="A797" s="34" t="s">
        <v>185</v>
      </c>
      <c r="B797" s="34" t="s">
        <v>86</v>
      </c>
      <c r="C797" s="34" t="s">
        <v>90</v>
      </c>
      <c r="D797" s="34" t="s">
        <v>5</v>
      </c>
      <c r="E797" s="34"/>
      <c r="F797" s="50" t="s">
        <v>205</v>
      </c>
      <c r="G797" s="34">
        <v>11</v>
      </c>
      <c r="H797" s="34" t="s">
        <v>18</v>
      </c>
      <c r="I797" s="34" t="s">
        <v>28</v>
      </c>
      <c r="J797" s="34">
        <v>0</v>
      </c>
      <c r="K797" s="35">
        <f>VLOOKUP(I797,'Weights and Confidence'!$D$16:$AC$26,5,FALSE)/COUNTIFS($B:$B,$B797,$C:$C,$C797,$H:$H,$H797,$I:$I,$I797)</f>
        <v>0.05</v>
      </c>
      <c r="L797" s="36">
        <f>VLOOKUP(I797,'Weights and Confidence'!$D$16:$AC$26,6,FALSE)</f>
        <v>1</v>
      </c>
      <c r="M797" s="37">
        <f>tScores4[[#This Row],[Raw_Rating_Text]]</f>
        <v>0</v>
      </c>
      <c r="N797" s="58" t="s">
        <v>214</v>
      </c>
    </row>
    <row r="798" spans="1:24" ht="17" thickTop="1" x14ac:dyDescent="0.2">
      <c r="A798" s="42" t="s">
        <v>185</v>
      </c>
      <c r="B798" s="42" t="s">
        <v>86</v>
      </c>
      <c r="C798" s="42" t="s">
        <v>50</v>
      </c>
      <c r="D798" s="42" t="s">
        <v>5</v>
      </c>
      <c r="E798" s="42" t="s">
        <v>103</v>
      </c>
      <c r="F798" s="49" t="s">
        <v>51</v>
      </c>
      <c r="G798" s="42">
        <v>1</v>
      </c>
      <c r="H798" s="42" t="s">
        <v>17</v>
      </c>
      <c r="I798" s="42" t="s">
        <v>19</v>
      </c>
      <c r="J798" s="42">
        <v>1</v>
      </c>
      <c r="K798" s="44">
        <f>VLOOKUP(I798,'Weights and Confidence'!$D$16:$AC$26,5,FALSE)/COUNTIFS($B:$B,$B798,$C:$C,$C798,$H:$H,$H798,$I:$I,$I798)</f>
        <v>0.12</v>
      </c>
      <c r="L798" s="45">
        <f>VLOOKUP(I798,'Weights and Confidence'!$D$16:$AC$26,6,FALSE)</f>
        <v>1</v>
      </c>
      <c r="M798" s="46">
        <f>tScores4[[#This Row],[Raw_Rating_Text]]</f>
        <v>1</v>
      </c>
      <c r="N798" s="42"/>
    </row>
    <row r="799" spans="1:24" ht="17" thickBot="1" x14ac:dyDescent="0.25">
      <c r="A799" s="34" t="s">
        <v>185</v>
      </c>
      <c r="B799" s="34" t="s">
        <v>86</v>
      </c>
      <c r="C799" s="34" t="s">
        <v>50</v>
      </c>
      <c r="D799" s="34" t="s">
        <v>5</v>
      </c>
      <c r="E799" s="34" t="s">
        <v>103</v>
      </c>
      <c r="F799" s="50" t="s">
        <v>51</v>
      </c>
      <c r="G799" s="34">
        <v>1</v>
      </c>
      <c r="H799" s="34" t="s">
        <v>18</v>
      </c>
      <c r="I799" s="34" t="s">
        <v>19</v>
      </c>
      <c r="J799" s="34">
        <v>1</v>
      </c>
      <c r="K799" s="35">
        <f>VLOOKUP(I799,'Weights and Confidence'!$D$16:$AC$26,5,FALSE)/COUNTIFS($B:$B,$B799,$C:$C,$C799,$H:$H,$H799,$I:$I,$I799)</f>
        <v>0.12</v>
      </c>
      <c r="L799" s="36">
        <f>VLOOKUP(I799,'Weights and Confidence'!$D$16:$AC$26,6,FALSE)</f>
        <v>1</v>
      </c>
      <c r="M799" s="37">
        <f>tScores4[[#This Row],[Raw_Rating_Text]]</f>
        <v>1</v>
      </c>
      <c r="N799" s="58"/>
    </row>
    <row r="800" spans="1:24" x14ac:dyDescent="0.2">
      <c r="A800" s="38" t="s">
        <v>185</v>
      </c>
      <c r="B800" s="38" t="s">
        <v>86</v>
      </c>
      <c r="C800" s="38" t="s">
        <v>50</v>
      </c>
      <c r="D800" s="38" t="s">
        <v>5</v>
      </c>
      <c r="E800" s="38" t="s">
        <v>103</v>
      </c>
      <c r="F800" s="51" t="s">
        <v>51</v>
      </c>
      <c r="G800" s="38">
        <v>2</v>
      </c>
      <c r="H800" s="38" t="s">
        <v>17</v>
      </c>
      <c r="I800" s="38" t="s">
        <v>20</v>
      </c>
      <c r="J800" s="38">
        <v>1</v>
      </c>
      <c r="K800" s="39">
        <f>VLOOKUP(I800,'Weights and Confidence'!$D$16:$AC$26,5,FALSE)/COUNTIFS($B:$B,$B800,$C:$C,$C800,$H:$H,$H800,$I:$I,$I800)</f>
        <v>0.08</v>
      </c>
      <c r="L800" s="40">
        <f>VLOOKUP(I800,'Weights and Confidence'!$D$16:$AC$26,6,FALSE)</f>
        <v>0.8</v>
      </c>
      <c r="M800" s="41">
        <f>tScores4[[#This Row],[Raw_Rating_Text]]</f>
        <v>1</v>
      </c>
      <c r="N800" s="38"/>
      <c r="P800" s="24" t="s">
        <v>235</v>
      </c>
      <c r="Q800" s="10"/>
      <c r="R800" s="10"/>
      <c r="S800" s="10"/>
      <c r="T800" s="10"/>
      <c r="U800" s="10"/>
      <c r="V800" s="10"/>
      <c r="W800" s="10"/>
      <c r="X800" s="11"/>
    </row>
    <row r="801" spans="1:24" x14ac:dyDescent="0.2">
      <c r="A801" s="34" t="s">
        <v>185</v>
      </c>
      <c r="B801" s="34" t="s">
        <v>86</v>
      </c>
      <c r="C801" s="34" t="s">
        <v>50</v>
      </c>
      <c r="D801" s="34" t="s">
        <v>5</v>
      </c>
      <c r="E801" s="34" t="s">
        <v>103</v>
      </c>
      <c r="F801" s="50" t="s">
        <v>51</v>
      </c>
      <c r="G801" s="34">
        <v>2</v>
      </c>
      <c r="H801" s="34" t="s">
        <v>18</v>
      </c>
      <c r="I801" s="34" t="s">
        <v>20</v>
      </c>
      <c r="J801" s="34">
        <v>1</v>
      </c>
      <c r="K801" s="35">
        <f>VLOOKUP(I801,'Weights and Confidence'!$D$16:$AC$26,5,FALSE)/COUNTIFS($B:$B,$B801,$C:$C,$C801,$H:$H,$H801,$I:$I,$I801)</f>
        <v>0.08</v>
      </c>
      <c r="L801" s="36">
        <f>VLOOKUP(I801,'Weights and Confidence'!$D$16:$AC$26,6,FALSE)</f>
        <v>0.8</v>
      </c>
      <c r="M801" s="37">
        <f>tScores4[[#This Row],[Raw_Rating_Text]]</f>
        <v>1</v>
      </c>
      <c r="N801" s="58"/>
      <c r="P801" s="25" t="s">
        <v>236</v>
      </c>
      <c r="X801" s="1"/>
    </row>
    <row r="802" spans="1:24" ht="17" thickBot="1" x14ac:dyDescent="0.25">
      <c r="A802" s="38" t="s">
        <v>185</v>
      </c>
      <c r="B802" s="38" t="s">
        <v>86</v>
      </c>
      <c r="C802" s="38" t="s">
        <v>50</v>
      </c>
      <c r="D802" s="38" t="s">
        <v>5</v>
      </c>
      <c r="E802" s="38" t="s">
        <v>103</v>
      </c>
      <c r="F802" s="51" t="s">
        <v>51</v>
      </c>
      <c r="G802" s="38">
        <v>3</v>
      </c>
      <c r="H802" s="38" t="s">
        <v>17</v>
      </c>
      <c r="I802" s="38" t="s">
        <v>21</v>
      </c>
      <c r="J802" s="38">
        <v>1</v>
      </c>
      <c r="K802" s="39">
        <f>VLOOKUP(I802,'Weights and Confidence'!$D$16:$AC$26,5,FALSE)/COUNTIFS($B:$B,$B802,$C:$C,$C802,$H:$H,$H802,$I:$I,$I802)</f>
        <v>0.05</v>
      </c>
      <c r="L802" s="40">
        <f>VLOOKUP(I802,'Weights and Confidence'!$D$16:$AC$26,6,FALSE)</f>
        <v>1</v>
      </c>
      <c r="M802" s="41">
        <f>tScores4[[#This Row],[Raw_Rating_Text]]</f>
        <v>1</v>
      </c>
      <c r="N802" s="38"/>
      <c r="P802" s="26" t="s">
        <v>237</v>
      </c>
      <c r="Q802" s="2"/>
      <c r="R802" s="2"/>
      <c r="S802" s="2"/>
      <c r="T802" s="2"/>
      <c r="U802" s="2"/>
      <c r="V802" s="2"/>
      <c r="W802" s="2"/>
      <c r="X802" s="5"/>
    </row>
    <row r="803" spans="1:24" x14ac:dyDescent="0.2">
      <c r="A803" s="34" t="s">
        <v>185</v>
      </c>
      <c r="B803" s="34" t="s">
        <v>86</v>
      </c>
      <c r="C803" s="34" t="s">
        <v>50</v>
      </c>
      <c r="D803" s="34" t="s">
        <v>5</v>
      </c>
      <c r="E803" s="34" t="s">
        <v>103</v>
      </c>
      <c r="F803" s="50" t="s">
        <v>51</v>
      </c>
      <c r="G803" s="34">
        <v>3</v>
      </c>
      <c r="H803" s="34" t="s">
        <v>18</v>
      </c>
      <c r="I803" s="34" t="s">
        <v>21</v>
      </c>
      <c r="J803" s="34">
        <v>1</v>
      </c>
      <c r="K803" s="35">
        <f>VLOOKUP(I803,'Weights and Confidence'!$D$16:$AC$26,5,FALSE)/COUNTIFS($B:$B,$B803,$C:$C,$C803,$H:$H,$H803,$I:$I,$I803)</f>
        <v>0.05</v>
      </c>
      <c r="L803" s="36">
        <f>VLOOKUP(I803,'Weights and Confidence'!$D$16:$AC$26,6,FALSE)</f>
        <v>1</v>
      </c>
      <c r="M803" s="37">
        <f>tScores4[[#This Row],[Raw_Rating_Text]]</f>
        <v>1</v>
      </c>
      <c r="N803" s="58"/>
    </row>
    <row r="804" spans="1:24" x14ac:dyDescent="0.2">
      <c r="A804" s="38" t="s">
        <v>185</v>
      </c>
      <c r="B804" s="38" t="s">
        <v>86</v>
      </c>
      <c r="C804" s="38" t="s">
        <v>50</v>
      </c>
      <c r="D804" s="38" t="s">
        <v>5</v>
      </c>
      <c r="E804" s="38" t="s">
        <v>103</v>
      </c>
      <c r="F804" s="51" t="s">
        <v>51</v>
      </c>
      <c r="G804" s="38">
        <v>4</v>
      </c>
      <c r="H804" s="38" t="s">
        <v>17</v>
      </c>
      <c r="I804" s="38" t="s">
        <v>22</v>
      </c>
      <c r="J804" s="38">
        <v>1</v>
      </c>
      <c r="K804" s="39">
        <f>VLOOKUP(I804,'Weights and Confidence'!$D$16:$AC$26,5,FALSE)/COUNTIFS($B:$B,$B804,$C:$C,$C804,$H:$H,$H804,$I:$I,$I804)</f>
        <v>0.14000000000000001</v>
      </c>
      <c r="L804" s="40">
        <f>VLOOKUP(I804,'Weights and Confidence'!$D$16:$AC$26,6,FALSE)</f>
        <v>1</v>
      </c>
      <c r="M804" s="41">
        <f>tScores4[[#This Row],[Raw_Rating_Text]]</f>
        <v>1</v>
      </c>
      <c r="N804" s="38"/>
    </row>
    <row r="805" spans="1:24" x14ac:dyDescent="0.2">
      <c r="A805" s="34" t="s">
        <v>185</v>
      </c>
      <c r="B805" s="34" t="s">
        <v>86</v>
      </c>
      <c r="C805" s="34" t="s">
        <v>50</v>
      </c>
      <c r="D805" s="34" t="s">
        <v>5</v>
      </c>
      <c r="E805" s="34" t="s">
        <v>103</v>
      </c>
      <c r="F805" s="50" t="s">
        <v>51</v>
      </c>
      <c r="G805" s="34">
        <v>4</v>
      </c>
      <c r="H805" s="34" t="s">
        <v>18</v>
      </c>
      <c r="I805" s="34" t="s">
        <v>22</v>
      </c>
      <c r="J805" s="34">
        <v>1</v>
      </c>
      <c r="K805" s="35">
        <f>VLOOKUP(I805,'Weights and Confidence'!$D$16:$AC$26,5,FALSE)/COUNTIFS($B:$B,$B805,$C:$C,$C805,$H:$H,$H805,$I:$I,$I805)</f>
        <v>0.14000000000000001</v>
      </c>
      <c r="L805" s="36">
        <f>VLOOKUP(I805,'Weights and Confidence'!$D$16:$AC$26,6,FALSE)</f>
        <v>1</v>
      </c>
      <c r="M805" s="37">
        <f>tScores4[[#This Row],[Raw_Rating_Text]]</f>
        <v>1</v>
      </c>
      <c r="N805" s="58" t="s">
        <v>232</v>
      </c>
    </row>
    <row r="806" spans="1:24" x14ac:dyDescent="0.2">
      <c r="A806" s="38" t="s">
        <v>185</v>
      </c>
      <c r="B806" s="38" t="s">
        <v>86</v>
      </c>
      <c r="C806" s="38" t="s">
        <v>50</v>
      </c>
      <c r="D806" s="38" t="s">
        <v>5</v>
      </c>
      <c r="E806" s="38" t="s">
        <v>103</v>
      </c>
      <c r="F806" s="51" t="s">
        <v>51</v>
      </c>
      <c r="G806" s="38">
        <v>5</v>
      </c>
      <c r="H806" s="38" t="s">
        <v>17</v>
      </c>
      <c r="I806" s="38" t="s">
        <v>23</v>
      </c>
      <c r="J806" s="38">
        <v>1</v>
      </c>
      <c r="K806" s="39">
        <f>VLOOKUP(I806,'Weights and Confidence'!$D$16:$AC$26,5,FALSE)/COUNTIFS($B:$B,$B806,$C:$C,$C806,$H:$H,$H806,$I:$I,$I806)</f>
        <v>0.11</v>
      </c>
      <c r="L806" s="40">
        <f>VLOOKUP(I806,'Weights and Confidence'!$D$16:$AC$26,6,FALSE)</f>
        <v>1</v>
      </c>
      <c r="M806" s="41">
        <f>tScores4[[#This Row],[Raw_Rating_Text]]</f>
        <v>1</v>
      </c>
      <c r="N806" s="38"/>
    </row>
    <row r="807" spans="1:24" x14ac:dyDescent="0.2">
      <c r="A807" s="34" t="s">
        <v>185</v>
      </c>
      <c r="B807" s="34" t="s">
        <v>86</v>
      </c>
      <c r="C807" s="34" t="s">
        <v>50</v>
      </c>
      <c r="D807" s="34" t="s">
        <v>5</v>
      </c>
      <c r="E807" s="34" t="s">
        <v>103</v>
      </c>
      <c r="F807" s="50" t="s">
        <v>51</v>
      </c>
      <c r="G807" s="34">
        <v>5</v>
      </c>
      <c r="H807" s="34" t="s">
        <v>18</v>
      </c>
      <c r="I807" s="34" t="s">
        <v>23</v>
      </c>
      <c r="J807" s="34">
        <v>1</v>
      </c>
      <c r="K807" s="35">
        <f>VLOOKUP(I807,'Weights and Confidence'!$D$16:$AC$26,5,FALSE)/COUNTIFS($B:$B,$B807,$C:$C,$C807,$H:$H,$H807,$I:$I,$I807)</f>
        <v>0.11</v>
      </c>
      <c r="L807" s="36">
        <f>VLOOKUP(I807,'Weights and Confidence'!$D$16:$AC$26,6,FALSE)</f>
        <v>1</v>
      </c>
      <c r="M807" s="37">
        <f>tScores4[[#This Row],[Raw_Rating_Text]]</f>
        <v>1</v>
      </c>
      <c r="N807" s="58" t="s">
        <v>233</v>
      </c>
    </row>
    <row r="808" spans="1:24" x14ac:dyDescent="0.2">
      <c r="A808" s="38" t="s">
        <v>185</v>
      </c>
      <c r="B808" s="38" t="s">
        <v>86</v>
      </c>
      <c r="C808" s="38" t="s">
        <v>50</v>
      </c>
      <c r="D808" s="38" t="s">
        <v>5</v>
      </c>
      <c r="E808" s="38" t="s">
        <v>103</v>
      </c>
      <c r="F808" s="51" t="s">
        <v>51</v>
      </c>
      <c r="G808" s="38">
        <v>6</v>
      </c>
      <c r="H808" s="38" t="s">
        <v>17</v>
      </c>
      <c r="I808" s="38" t="s">
        <v>24</v>
      </c>
      <c r="J808" s="38">
        <v>1</v>
      </c>
      <c r="K808" s="39">
        <f>VLOOKUP(I808,'Weights and Confidence'!$D$16:$AC$26,5,FALSE)/COUNTIFS($B:$B,$B808,$C:$C,$C808,$H:$H,$H808,$I:$I,$I808)</f>
        <v>0.15</v>
      </c>
      <c r="L808" s="40">
        <f>VLOOKUP(I808,'Weights and Confidence'!$D$16:$AC$26,6,FALSE)</f>
        <v>1</v>
      </c>
      <c r="M808" s="41">
        <f>tScores4[[#This Row],[Raw_Rating_Text]]</f>
        <v>1</v>
      </c>
      <c r="N808" s="59"/>
    </row>
    <row r="809" spans="1:24" x14ac:dyDescent="0.2">
      <c r="A809" s="34" t="s">
        <v>185</v>
      </c>
      <c r="B809" s="34" t="s">
        <v>86</v>
      </c>
      <c r="C809" s="34" t="s">
        <v>50</v>
      </c>
      <c r="D809" s="34" t="s">
        <v>5</v>
      </c>
      <c r="E809" s="34" t="s">
        <v>103</v>
      </c>
      <c r="F809" s="50" t="s">
        <v>51</v>
      </c>
      <c r="G809" s="34">
        <v>6</v>
      </c>
      <c r="H809" s="34" t="s">
        <v>18</v>
      </c>
      <c r="I809" s="34" t="s">
        <v>24</v>
      </c>
      <c r="J809" s="34">
        <v>1</v>
      </c>
      <c r="K809" s="35">
        <f>VLOOKUP(I809,'Weights and Confidence'!$D$16:$AC$26,5,FALSE)/COUNTIFS($B:$B,$B809,$C:$C,$C809,$H:$H,$H809,$I:$I,$I809)</f>
        <v>0.15</v>
      </c>
      <c r="L809" s="36">
        <f>VLOOKUP(I809,'Weights and Confidence'!$D$16:$AC$26,6,FALSE)</f>
        <v>1</v>
      </c>
      <c r="M809" s="37">
        <f>tScores4[[#This Row],[Raw_Rating_Text]]</f>
        <v>1</v>
      </c>
      <c r="N809" s="58"/>
    </row>
    <row r="810" spans="1:24" x14ac:dyDescent="0.2">
      <c r="A810" s="38" t="s">
        <v>185</v>
      </c>
      <c r="B810" s="38" t="s">
        <v>86</v>
      </c>
      <c r="C810" s="38" t="s">
        <v>50</v>
      </c>
      <c r="D810" s="38" t="s">
        <v>5</v>
      </c>
      <c r="E810" s="38" t="s">
        <v>103</v>
      </c>
      <c r="F810" s="51" t="s">
        <v>51</v>
      </c>
      <c r="G810" s="38">
        <v>7</v>
      </c>
      <c r="H810" s="38" t="s">
        <v>17</v>
      </c>
      <c r="I810" s="38" t="s">
        <v>25</v>
      </c>
      <c r="J810" s="38">
        <v>1</v>
      </c>
      <c r="K810" s="39">
        <f>VLOOKUP(I810,'Weights and Confidence'!$D$16:$AC$26,5,FALSE)/COUNTIFS($B:$B,$B810,$C:$C,$C810,$H:$H,$H810,$I:$I,$I810)</f>
        <v>0.1</v>
      </c>
      <c r="L810" s="40">
        <f>VLOOKUP(I810,'Weights and Confidence'!$D$16:$AC$26,6,FALSE)</f>
        <v>1</v>
      </c>
      <c r="M810" s="41">
        <f>tScores4[[#This Row],[Raw_Rating_Text]]</f>
        <v>1</v>
      </c>
      <c r="N810" s="38"/>
    </row>
    <row r="811" spans="1:24" x14ac:dyDescent="0.2">
      <c r="A811" s="34" t="s">
        <v>185</v>
      </c>
      <c r="B811" s="34" t="s">
        <v>86</v>
      </c>
      <c r="C811" s="34" t="s">
        <v>50</v>
      </c>
      <c r="D811" s="34" t="s">
        <v>5</v>
      </c>
      <c r="E811" s="34" t="s">
        <v>103</v>
      </c>
      <c r="F811" s="50" t="s">
        <v>51</v>
      </c>
      <c r="G811" s="34">
        <v>7</v>
      </c>
      <c r="H811" s="34" t="s">
        <v>18</v>
      </c>
      <c r="I811" s="34" t="s">
        <v>25</v>
      </c>
      <c r="J811" s="34">
        <v>1</v>
      </c>
      <c r="K811" s="35">
        <f>VLOOKUP(I811,'Weights and Confidence'!$D$16:$AC$26,5,FALSE)/COUNTIFS($B:$B,$B811,$C:$C,$C811,$H:$H,$H811,$I:$I,$I811)</f>
        <v>0.1</v>
      </c>
      <c r="L811" s="36">
        <f>VLOOKUP(I811,'Weights and Confidence'!$D$16:$AC$26,6,FALSE)</f>
        <v>1</v>
      </c>
      <c r="M811" s="37">
        <f>tScores4[[#This Row],[Raw_Rating_Text]]</f>
        <v>1</v>
      </c>
      <c r="N811" s="58"/>
    </row>
    <row r="812" spans="1:24" x14ac:dyDescent="0.2">
      <c r="A812" s="38" t="s">
        <v>185</v>
      </c>
      <c r="B812" s="38" t="s">
        <v>86</v>
      </c>
      <c r="C812" s="38" t="s">
        <v>50</v>
      </c>
      <c r="D812" s="38" t="s">
        <v>5</v>
      </c>
      <c r="E812" s="38" t="s">
        <v>103</v>
      </c>
      <c r="F812" s="51" t="s">
        <v>51</v>
      </c>
      <c r="G812" s="38">
        <v>8</v>
      </c>
      <c r="H812" s="38" t="s">
        <v>17</v>
      </c>
      <c r="I812" s="38" t="s">
        <v>26</v>
      </c>
      <c r="J812" s="38">
        <v>1</v>
      </c>
      <c r="K812" s="39">
        <f>VLOOKUP(I812,'Weights and Confidence'!$D$16:$AC$26,5,FALSE)/COUNTIFS($B:$B,$B812,$C:$C,$C812,$H:$H,$H812,$I:$I,$I812)</f>
        <v>0.1</v>
      </c>
      <c r="L812" s="40">
        <f>VLOOKUP(I812,'Weights and Confidence'!$D$16:$AC$26,6,FALSE)</f>
        <v>1</v>
      </c>
      <c r="M812" s="41">
        <f>tScores4[[#This Row],[Raw_Rating_Text]]</f>
        <v>1</v>
      </c>
      <c r="N812" s="38"/>
    </row>
    <row r="813" spans="1:24" x14ac:dyDescent="0.2">
      <c r="A813" s="34" t="s">
        <v>185</v>
      </c>
      <c r="B813" s="34" t="s">
        <v>86</v>
      </c>
      <c r="C813" s="34" t="s">
        <v>50</v>
      </c>
      <c r="D813" s="34" t="s">
        <v>5</v>
      </c>
      <c r="E813" s="34" t="s">
        <v>103</v>
      </c>
      <c r="F813" s="50" t="s">
        <v>51</v>
      </c>
      <c r="G813" s="34">
        <v>8</v>
      </c>
      <c r="H813" s="34" t="s">
        <v>18</v>
      </c>
      <c r="I813" s="34" t="s">
        <v>26</v>
      </c>
      <c r="J813" s="34">
        <v>1</v>
      </c>
      <c r="K813" s="35">
        <f>VLOOKUP(I813,'Weights and Confidence'!$D$16:$AC$26,5,FALSE)/COUNTIFS($B:$B,$B813,$C:$C,$C813,$H:$H,$H813,$I:$I,$I813)</f>
        <v>0.1</v>
      </c>
      <c r="L813" s="36">
        <f>VLOOKUP(I813,'Weights and Confidence'!$D$16:$AC$26,6,FALSE)</f>
        <v>1</v>
      </c>
      <c r="M813" s="37">
        <f>tScores4[[#This Row],[Raw_Rating_Text]]</f>
        <v>1</v>
      </c>
      <c r="N813" s="58"/>
    </row>
    <row r="814" spans="1:24" x14ac:dyDescent="0.2">
      <c r="A814" s="38" t="s">
        <v>185</v>
      </c>
      <c r="B814" s="38" t="s">
        <v>86</v>
      </c>
      <c r="C814" s="38" t="s">
        <v>50</v>
      </c>
      <c r="D814" s="38" t="s">
        <v>5</v>
      </c>
      <c r="E814" s="38" t="s">
        <v>103</v>
      </c>
      <c r="F814" s="51" t="s">
        <v>51</v>
      </c>
      <c r="G814" s="38">
        <v>9</v>
      </c>
      <c r="H814" s="38" t="s">
        <v>17</v>
      </c>
      <c r="I814" s="38" t="s">
        <v>27</v>
      </c>
      <c r="J814" s="38">
        <v>1</v>
      </c>
      <c r="K814" s="39">
        <f>VLOOKUP(I814,'Weights and Confidence'!$D$16:$AC$26,5,FALSE)/COUNTIFS($B:$B,$B814,$C:$C,$C814,$H:$H,$H814,$I:$I,$I814)</f>
        <v>0.05</v>
      </c>
      <c r="L814" s="40">
        <f>VLOOKUP(I814,'Weights and Confidence'!$D$16:$AC$26,6,FALSE)</f>
        <v>0.85</v>
      </c>
      <c r="M814" s="41">
        <f>tScores4[[#This Row],[Raw_Rating_Text]]</f>
        <v>1</v>
      </c>
      <c r="N814" s="38"/>
    </row>
    <row r="815" spans="1:24" x14ac:dyDescent="0.2">
      <c r="A815" s="34" t="s">
        <v>185</v>
      </c>
      <c r="B815" s="34" t="s">
        <v>86</v>
      </c>
      <c r="C815" s="34" t="s">
        <v>50</v>
      </c>
      <c r="D815" s="34" t="s">
        <v>5</v>
      </c>
      <c r="E815" s="34" t="s">
        <v>103</v>
      </c>
      <c r="F815" s="50" t="s">
        <v>51</v>
      </c>
      <c r="G815" s="34">
        <v>9</v>
      </c>
      <c r="H815" s="34" t="s">
        <v>18</v>
      </c>
      <c r="I815" s="34" t="s">
        <v>27</v>
      </c>
      <c r="J815" s="34">
        <v>1</v>
      </c>
      <c r="K815" s="35">
        <f>VLOOKUP(I815,'Weights and Confidence'!$D$16:$AC$26,5,FALSE)/COUNTIFS($B:$B,$B815,$C:$C,$C815,$H:$H,$H815,$I:$I,$I815)</f>
        <v>0.05</v>
      </c>
      <c r="L815" s="36">
        <f>VLOOKUP(I815,'Weights and Confidence'!$D$16:$AC$26,6,FALSE)</f>
        <v>0.85</v>
      </c>
      <c r="M815" s="37">
        <f>tScores4[[#This Row],[Raw_Rating_Text]]</f>
        <v>1</v>
      </c>
      <c r="N815" s="58"/>
    </row>
    <row r="816" spans="1:24" x14ac:dyDescent="0.2">
      <c r="A816" s="38" t="s">
        <v>185</v>
      </c>
      <c r="B816" s="38" t="s">
        <v>86</v>
      </c>
      <c r="C816" s="38" t="s">
        <v>50</v>
      </c>
      <c r="D816" s="38" t="s">
        <v>5</v>
      </c>
      <c r="E816" s="38" t="s">
        <v>103</v>
      </c>
      <c r="F816" s="51" t="s">
        <v>51</v>
      </c>
      <c r="G816" s="38">
        <v>10</v>
      </c>
      <c r="H816" s="38" t="s">
        <v>17</v>
      </c>
      <c r="I816" s="38" t="s">
        <v>27</v>
      </c>
      <c r="J816" s="38">
        <v>1</v>
      </c>
      <c r="K816" s="39">
        <f>VLOOKUP(I816,'Weights and Confidence'!$D$16:$AC$26,5,FALSE)/COUNTIFS($B:$B,$B816,$C:$C,$C816,$H:$H,$H816,$I:$I,$I816)</f>
        <v>0.05</v>
      </c>
      <c r="L816" s="40">
        <f>VLOOKUP(I816,'Weights and Confidence'!$D$16:$AC$26,6,FALSE)</f>
        <v>0.85</v>
      </c>
      <c r="M816" s="41">
        <f>tScores4[[#This Row],[Raw_Rating_Text]]</f>
        <v>1</v>
      </c>
      <c r="N816" s="38"/>
    </row>
    <row r="817" spans="1:21" x14ac:dyDescent="0.2">
      <c r="A817" s="34" t="s">
        <v>185</v>
      </c>
      <c r="B817" s="34" t="s">
        <v>86</v>
      </c>
      <c r="C817" s="34" t="s">
        <v>50</v>
      </c>
      <c r="D817" s="34" t="s">
        <v>5</v>
      </c>
      <c r="E817" s="34" t="s">
        <v>103</v>
      </c>
      <c r="F817" s="50" t="s">
        <v>51</v>
      </c>
      <c r="G817" s="34">
        <v>10</v>
      </c>
      <c r="H817" s="34" t="s">
        <v>18</v>
      </c>
      <c r="I817" s="34" t="s">
        <v>27</v>
      </c>
      <c r="J817" s="34">
        <v>1</v>
      </c>
      <c r="K817" s="35">
        <f>VLOOKUP(I817,'Weights and Confidence'!$D$16:$AC$26,5,FALSE)/COUNTIFS($B:$B,$B817,$C:$C,$C817,$H:$H,$H817,$I:$I,$I817)</f>
        <v>0.05</v>
      </c>
      <c r="L817" s="36">
        <f>VLOOKUP(I817,'Weights and Confidence'!$D$16:$AC$26,6,FALSE)</f>
        <v>0.85</v>
      </c>
      <c r="M817" s="37">
        <f>tScores4[[#This Row],[Raw_Rating_Text]]</f>
        <v>1</v>
      </c>
      <c r="N817" s="34"/>
    </row>
    <row r="818" spans="1:21" x14ac:dyDescent="0.2">
      <c r="A818" s="38" t="s">
        <v>185</v>
      </c>
      <c r="B818" s="38" t="s">
        <v>86</v>
      </c>
      <c r="C818" s="38" t="s">
        <v>50</v>
      </c>
      <c r="D818" s="38" t="s">
        <v>5</v>
      </c>
      <c r="E818" s="38" t="s">
        <v>103</v>
      </c>
      <c r="F818" s="51" t="s">
        <v>51</v>
      </c>
      <c r="G818" s="38">
        <v>11</v>
      </c>
      <c r="H818" s="38" t="s">
        <v>17</v>
      </c>
      <c r="I818" s="38" t="s">
        <v>28</v>
      </c>
      <c r="J818" s="38">
        <v>0</v>
      </c>
      <c r="K818" s="39">
        <f>VLOOKUP(I818,'Weights and Confidence'!$D$16:$AC$26,5,FALSE)/COUNTIFS($B:$B,$B818,$C:$C,$C818,$H:$H,$H818,$I:$I,$I818)</f>
        <v>0.05</v>
      </c>
      <c r="L818" s="40">
        <f>VLOOKUP(I818,'Weights and Confidence'!$D$16:$AC$26,6,FALSE)</f>
        <v>1</v>
      </c>
      <c r="M818" s="41">
        <f>tScores4[[#This Row],[Raw_Rating_Text]]</f>
        <v>0</v>
      </c>
      <c r="N818" s="38"/>
    </row>
    <row r="819" spans="1:21" ht="17" thickBot="1" x14ac:dyDescent="0.25">
      <c r="A819" s="34" t="s">
        <v>185</v>
      </c>
      <c r="B819" s="34" t="s">
        <v>86</v>
      </c>
      <c r="C819" s="34" t="s">
        <v>50</v>
      </c>
      <c r="D819" s="34" t="s">
        <v>5</v>
      </c>
      <c r="E819" s="34" t="s">
        <v>103</v>
      </c>
      <c r="F819" s="50" t="s">
        <v>51</v>
      </c>
      <c r="G819" s="34">
        <v>11</v>
      </c>
      <c r="H819" s="34" t="s">
        <v>18</v>
      </c>
      <c r="I819" s="34" t="s">
        <v>28</v>
      </c>
      <c r="J819" s="34">
        <v>1</v>
      </c>
      <c r="K819" s="35">
        <f>VLOOKUP(I819,'Weights and Confidence'!$D$16:$AC$26,5,FALSE)/COUNTIFS($B:$B,$B819,$C:$C,$C819,$H:$H,$H819,$I:$I,$I819)</f>
        <v>0.05</v>
      </c>
      <c r="L819" s="36">
        <f>VLOOKUP(I819,'Weights and Confidence'!$D$16:$AC$26,6,FALSE)</f>
        <v>1</v>
      </c>
      <c r="M819" s="37">
        <f>tScores4[[#This Row],[Raw_Rating_Text]]</f>
        <v>1</v>
      </c>
      <c r="N819" s="58" t="s">
        <v>234</v>
      </c>
    </row>
    <row r="820" spans="1:21" ht="18" thickTop="1" thickBot="1" x14ac:dyDescent="0.25">
      <c r="A820" s="42" t="s">
        <v>185</v>
      </c>
      <c r="B820" s="42" t="s">
        <v>86</v>
      </c>
      <c r="C820" s="42" t="s">
        <v>52</v>
      </c>
      <c r="D820" s="42" t="s">
        <v>5</v>
      </c>
      <c r="E820" s="42" t="s">
        <v>105</v>
      </c>
      <c r="F820" s="49" t="s">
        <v>127</v>
      </c>
      <c r="G820" s="42">
        <v>1</v>
      </c>
      <c r="H820" s="42" t="s">
        <v>17</v>
      </c>
      <c r="I820" s="42" t="s">
        <v>19</v>
      </c>
      <c r="J820" s="42">
        <v>1</v>
      </c>
      <c r="K820" s="44">
        <f>VLOOKUP(I820,'Weights and Confidence'!$D$16:$AC$26,5,FALSE)/COUNTIFS($B:$B,$B820,$C:$C,$C820,$H:$H,$H820,$I:$I,$I820)</f>
        <v>0.12</v>
      </c>
      <c r="L820" s="45">
        <f>VLOOKUP(I820,'Weights and Confidence'!$D$16:$AC$26,6,FALSE)</f>
        <v>1</v>
      </c>
      <c r="M820" s="46">
        <f>tScores4[[#This Row],[Raw_Rating_Text]]</f>
        <v>1</v>
      </c>
      <c r="N820" s="42"/>
    </row>
    <row r="821" spans="1:21" ht="17" thickBot="1" x14ac:dyDescent="0.25">
      <c r="A821" s="34" t="s">
        <v>185</v>
      </c>
      <c r="B821" s="34" t="s">
        <v>86</v>
      </c>
      <c r="C821" s="34" t="s">
        <v>52</v>
      </c>
      <c r="D821" s="34" t="s">
        <v>5</v>
      </c>
      <c r="E821" s="34" t="s">
        <v>105</v>
      </c>
      <c r="F821" s="50" t="s">
        <v>127</v>
      </c>
      <c r="G821" s="34">
        <v>1</v>
      </c>
      <c r="H821" s="34" t="s">
        <v>18</v>
      </c>
      <c r="I821" s="34" t="s">
        <v>19</v>
      </c>
      <c r="J821" s="34">
        <v>1</v>
      </c>
      <c r="K821" s="35">
        <f>VLOOKUP(I821,'Weights and Confidence'!$D$16:$AC$26,5,FALSE)/COUNTIFS($B:$B,$B821,$C:$C,$C821,$H:$H,$H821,$I:$I,$I821)</f>
        <v>0.12</v>
      </c>
      <c r="L821" s="36">
        <f>VLOOKUP(I821,'Weights and Confidence'!$D$16:$AC$26,6,FALSE)</f>
        <v>1</v>
      </c>
      <c r="M821" s="37">
        <f>tScores4[[#This Row],[Raw_Rating_Text]]</f>
        <v>1</v>
      </c>
      <c r="N821" s="58"/>
      <c r="P821" s="27" t="s">
        <v>244</v>
      </c>
      <c r="Q821" s="3"/>
      <c r="R821" s="3"/>
      <c r="S821" s="3"/>
      <c r="T821" s="3"/>
      <c r="U821" s="4"/>
    </row>
    <row r="822" spans="1:21" x14ac:dyDescent="0.2">
      <c r="A822" s="38" t="s">
        <v>185</v>
      </c>
      <c r="B822" s="38" t="s">
        <v>86</v>
      </c>
      <c r="C822" s="38" t="s">
        <v>52</v>
      </c>
      <c r="D822" s="38" t="s">
        <v>5</v>
      </c>
      <c r="E822" s="38" t="s">
        <v>105</v>
      </c>
      <c r="F822" s="51" t="s">
        <v>127</v>
      </c>
      <c r="G822" s="38">
        <v>2</v>
      </c>
      <c r="H822" s="38" t="s">
        <v>17</v>
      </c>
      <c r="I822" s="38" t="s">
        <v>20</v>
      </c>
      <c r="J822" s="38">
        <v>0</v>
      </c>
      <c r="K822" s="39">
        <f>VLOOKUP(I822,'Weights and Confidence'!$D$16:$AC$26,5,FALSE)/COUNTIFS($B:$B,$B822,$C:$C,$C822,$H:$H,$H822,$I:$I,$I822)</f>
        <v>0.08</v>
      </c>
      <c r="L822" s="40">
        <f>VLOOKUP(I822,'Weights and Confidence'!$D$16:$AC$26,6,FALSE)</f>
        <v>0.8</v>
      </c>
      <c r="M822" s="41">
        <f>tScores4[[#This Row],[Raw_Rating_Text]]</f>
        <v>0</v>
      </c>
      <c r="N822" s="38"/>
    </row>
    <row r="823" spans="1:21" x14ac:dyDescent="0.2">
      <c r="A823" s="34" t="s">
        <v>185</v>
      </c>
      <c r="B823" s="34" t="s">
        <v>86</v>
      </c>
      <c r="C823" s="34" t="s">
        <v>52</v>
      </c>
      <c r="D823" s="34" t="s">
        <v>5</v>
      </c>
      <c r="E823" s="34" t="s">
        <v>105</v>
      </c>
      <c r="F823" s="50" t="s">
        <v>127</v>
      </c>
      <c r="G823" s="34">
        <v>2</v>
      </c>
      <c r="H823" s="34" t="s">
        <v>18</v>
      </c>
      <c r="I823" s="34" t="s">
        <v>20</v>
      </c>
      <c r="J823" s="34">
        <v>0</v>
      </c>
      <c r="K823" s="35">
        <f>VLOOKUP(I823,'Weights and Confidence'!$D$16:$AC$26,5,FALSE)/COUNTIFS($B:$B,$B823,$C:$C,$C823,$H:$H,$H823,$I:$I,$I823)</f>
        <v>0.08</v>
      </c>
      <c r="L823" s="36">
        <f>VLOOKUP(I823,'Weights and Confidence'!$D$16:$AC$26,6,FALSE)</f>
        <v>0.8</v>
      </c>
      <c r="M823" s="37">
        <f>tScores4[[#This Row],[Raw_Rating_Text]]</f>
        <v>0</v>
      </c>
      <c r="N823" s="58" t="s">
        <v>238</v>
      </c>
    </row>
    <row r="824" spans="1:21" x14ac:dyDescent="0.2">
      <c r="A824" s="38" t="s">
        <v>185</v>
      </c>
      <c r="B824" s="38" t="s">
        <v>86</v>
      </c>
      <c r="C824" s="38" t="s">
        <v>52</v>
      </c>
      <c r="D824" s="38" t="s">
        <v>5</v>
      </c>
      <c r="E824" s="38" t="s">
        <v>105</v>
      </c>
      <c r="F824" s="51" t="s">
        <v>127</v>
      </c>
      <c r="G824" s="38">
        <v>3</v>
      </c>
      <c r="H824" s="38" t="s">
        <v>17</v>
      </c>
      <c r="I824" s="38" t="s">
        <v>21</v>
      </c>
      <c r="J824" s="38">
        <v>1</v>
      </c>
      <c r="K824" s="39">
        <f>VLOOKUP(I824,'Weights and Confidence'!$D$16:$AC$26,5,FALSE)/COUNTIFS($B:$B,$B824,$C:$C,$C824,$H:$H,$H824,$I:$I,$I824)</f>
        <v>0.05</v>
      </c>
      <c r="L824" s="40">
        <f>VLOOKUP(I824,'Weights and Confidence'!$D$16:$AC$26,6,FALSE)</f>
        <v>1</v>
      </c>
      <c r="M824" s="41">
        <f>tScores4[[#This Row],[Raw_Rating_Text]]</f>
        <v>1</v>
      </c>
      <c r="N824" s="38"/>
    </row>
    <row r="825" spans="1:21" x14ac:dyDescent="0.2">
      <c r="A825" s="34" t="s">
        <v>185</v>
      </c>
      <c r="B825" s="34" t="s">
        <v>86</v>
      </c>
      <c r="C825" s="34" t="s">
        <v>52</v>
      </c>
      <c r="D825" s="34" t="s">
        <v>5</v>
      </c>
      <c r="E825" s="34" t="s">
        <v>105</v>
      </c>
      <c r="F825" s="50" t="s">
        <v>127</v>
      </c>
      <c r="G825" s="34">
        <v>3</v>
      </c>
      <c r="H825" s="34" t="s">
        <v>18</v>
      </c>
      <c r="I825" s="34" t="s">
        <v>21</v>
      </c>
      <c r="J825" s="34">
        <v>1</v>
      </c>
      <c r="K825" s="35">
        <f>VLOOKUP(I825,'Weights and Confidence'!$D$16:$AC$26,5,FALSE)/COUNTIFS($B:$B,$B825,$C:$C,$C825,$H:$H,$H825,$I:$I,$I825)</f>
        <v>0.05</v>
      </c>
      <c r="L825" s="36">
        <f>VLOOKUP(I825,'Weights and Confidence'!$D$16:$AC$26,6,FALSE)</f>
        <v>1</v>
      </c>
      <c r="M825" s="37">
        <f>tScores4[[#This Row],[Raw_Rating_Text]]</f>
        <v>1</v>
      </c>
      <c r="N825" s="58" t="s">
        <v>239</v>
      </c>
    </row>
    <row r="826" spans="1:21" x14ac:dyDescent="0.2">
      <c r="A826" s="38" t="s">
        <v>185</v>
      </c>
      <c r="B826" s="38" t="s">
        <v>86</v>
      </c>
      <c r="C826" s="38" t="s">
        <v>52</v>
      </c>
      <c r="D826" s="38" t="s">
        <v>5</v>
      </c>
      <c r="E826" s="38" t="s">
        <v>105</v>
      </c>
      <c r="F826" s="51" t="s">
        <v>127</v>
      </c>
      <c r="G826" s="38">
        <v>4</v>
      </c>
      <c r="H826" s="38" t="s">
        <v>17</v>
      </c>
      <c r="I826" s="38" t="s">
        <v>22</v>
      </c>
      <c r="J826" s="38">
        <v>-1</v>
      </c>
      <c r="K826" s="39">
        <f>VLOOKUP(I826,'Weights and Confidence'!$D$16:$AC$26,5,FALSE)/COUNTIFS($B:$B,$B826,$C:$C,$C826,$H:$H,$H826,$I:$I,$I826)</f>
        <v>0.14000000000000001</v>
      </c>
      <c r="L826" s="40">
        <f>VLOOKUP(I826,'Weights and Confidence'!$D$16:$AC$26,6,FALSE)</f>
        <v>1</v>
      </c>
      <c r="M826" s="41">
        <f>tScores4[[#This Row],[Raw_Rating_Text]]</f>
        <v>-1</v>
      </c>
      <c r="N826" s="38"/>
    </row>
    <row r="827" spans="1:21" x14ac:dyDescent="0.2">
      <c r="A827" s="34" t="s">
        <v>185</v>
      </c>
      <c r="B827" s="34" t="s">
        <v>86</v>
      </c>
      <c r="C827" s="34" t="s">
        <v>52</v>
      </c>
      <c r="D827" s="34" t="s">
        <v>5</v>
      </c>
      <c r="E827" s="34" t="s">
        <v>105</v>
      </c>
      <c r="F827" s="50" t="s">
        <v>127</v>
      </c>
      <c r="G827" s="34">
        <v>4</v>
      </c>
      <c r="H827" s="34" t="s">
        <v>18</v>
      </c>
      <c r="I827" s="34" t="s">
        <v>22</v>
      </c>
      <c r="J827" s="34">
        <v>0</v>
      </c>
      <c r="K827" s="35">
        <f>VLOOKUP(I827,'Weights and Confidence'!$D$16:$AC$26,5,FALSE)/COUNTIFS($B:$B,$B827,$C:$C,$C827,$H:$H,$H827,$I:$I,$I827)</f>
        <v>0.14000000000000001</v>
      </c>
      <c r="L827" s="36">
        <f>VLOOKUP(I827,'Weights and Confidence'!$D$16:$AC$26,6,FALSE)</f>
        <v>1</v>
      </c>
      <c r="M827" s="37">
        <f>tScores4[[#This Row],[Raw_Rating_Text]]</f>
        <v>0</v>
      </c>
      <c r="N827" s="58" t="s">
        <v>240</v>
      </c>
    </row>
    <row r="828" spans="1:21" x14ac:dyDescent="0.2">
      <c r="A828" s="38" t="s">
        <v>185</v>
      </c>
      <c r="B828" s="38" t="s">
        <v>86</v>
      </c>
      <c r="C828" s="38" t="s">
        <v>52</v>
      </c>
      <c r="D828" s="38" t="s">
        <v>5</v>
      </c>
      <c r="E828" s="38" t="s">
        <v>105</v>
      </c>
      <c r="F828" s="51" t="s">
        <v>127</v>
      </c>
      <c r="G828" s="38">
        <v>5</v>
      </c>
      <c r="H828" s="38" t="s">
        <v>17</v>
      </c>
      <c r="I828" s="38" t="s">
        <v>23</v>
      </c>
      <c r="J828" s="38">
        <v>-1</v>
      </c>
      <c r="K828" s="39">
        <f>VLOOKUP(I828,'Weights and Confidence'!$D$16:$AC$26,5,FALSE)/COUNTIFS($B:$B,$B828,$C:$C,$C828,$H:$H,$H828,$I:$I,$I828)</f>
        <v>0.11</v>
      </c>
      <c r="L828" s="40">
        <f>VLOOKUP(I828,'Weights and Confidence'!$D$16:$AC$26,6,FALSE)</f>
        <v>1</v>
      </c>
      <c r="M828" s="41">
        <f>tScores4[[#This Row],[Raw_Rating_Text]]</f>
        <v>-1</v>
      </c>
      <c r="N828" s="38"/>
    </row>
    <row r="829" spans="1:21" x14ac:dyDescent="0.2">
      <c r="A829" s="34" t="s">
        <v>185</v>
      </c>
      <c r="B829" s="34" t="s">
        <v>86</v>
      </c>
      <c r="C829" s="34" t="s">
        <v>52</v>
      </c>
      <c r="D829" s="34" t="s">
        <v>5</v>
      </c>
      <c r="E829" s="34" t="s">
        <v>105</v>
      </c>
      <c r="F829" s="50" t="s">
        <v>127</v>
      </c>
      <c r="G829" s="34">
        <v>5</v>
      </c>
      <c r="H829" s="34" t="s">
        <v>18</v>
      </c>
      <c r="I829" s="34" t="s">
        <v>23</v>
      </c>
      <c r="J829" s="34">
        <v>0</v>
      </c>
      <c r="K829" s="35">
        <f>VLOOKUP(I829,'Weights and Confidence'!$D$16:$AC$26,5,FALSE)/COUNTIFS($B:$B,$B829,$C:$C,$C829,$H:$H,$H829,$I:$I,$I829)</f>
        <v>0.11</v>
      </c>
      <c r="L829" s="36">
        <f>VLOOKUP(I829,'Weights and Confidence'!$D$16:$AC$26,6,FALSE)</f>
        <v>1</v>
      </c>
      <c r="M829" s="37">
        <f>tScores4[[#This Row],[Raw_Rating_Text]]</f>
        <v>0</v>
      </c>
      <c r="N829" s="58" t="s">
        <v>241</v>
      </c>
    </row>
    <row r="830" spans="1:21" x14ac:dyDescent="0.2">
      <c r="A830" s="38" t="s">
        <v>185</v>
      </c>
      <c r="B830" s="38" t="s">
        <v>86</v>
      </c>
      <c r="C830" s="38" t="s">
        <v>52</v>
      </c>
      <c r="D830" s="38" t="s">
        <v>5</v>
      </c>
      <c r="E830" s="38" t="s">
        <v>105</v>
      </c>
      <c r="F830" s="51" t="s">
        <v>127</v>
      </c>
      <c r="G830" s="38">
        <v>6</v>
      </c>
      <c r="H830" s="38" t="s">
        <v>17</v>
      </c>
      <c r="I830" s="38" t="s">
        <v>24</v>
      </c>
      <c r="J830" s="38">
        <v>-1</v>
      </c>
      <c r="K830" s="39">
        <f>VLOOKUP(I830,'Weights and Confidence'!$D$16:$AC$26,5,FALSE)/COUNTIFS($B:$B,$B830,$C:$C,$C830,$H:$H,$H830,$I:$I,$I830)</f>
        <v>0.15</v>
      </c>
      <c r="L830" s="40">
        <f>VLOOKUP(I830,'Weights and Confidence'!$D$16:$AC$26,6,FALSE)</f>
        <v>1</v>
      </c>
      <c r="M830" s="41">
        <f>tScores4[[#This Row],[Raw_Rating_Text]]</f>
        <v>-1</v>
      </c>
      <c r="N830" s="59"/>
    </row>
    <row r="831" spans="1:21" x14ac:dyDescent="0.2">
      <c r="A831" s="34" t="s">
        <v>185</v>
      </c>
      <c r="B831" s="34" t="s">
        <v>86</v>
      </c>
      <c r="C831" s="34" t="s">
        <v>52</v>
      </c>
      <c r="D831" s="34" t="s">
        <v>5</v>
      </c>
      <c r="E831" s="34" t="s">
        <v>105</v>
      </c>
      <c r="F831" s="50" t="s">
        <v>127</v>
      </c>
      <c r="G831" s="34">
        <v>6</v>
      </c>
      <c r="H831" s="34" t="s">
        <v>18</v>
      </c>
      <c r="I831" s="34" t="s">
        <v>24</v>
      </c>
      <c r="J831" s="34">
        <v>0</v>
      </c>
      <c r="K831" s="35">
        <f>VLOOKUP(I831,'Weights and Confidence'!$D$16:$AC$26,5,FALSE)/COUNTIFS($B:$B,$B831,$C:$C,$C831,$H:$H,$H831,$I:$I,$I831)</f>
        <v>0.15</v>
      </c>
      <c r="L831" s="36">
        <f>VLOOKUP(I831,'Weights and Confidence'!$D$16:$AC$26,6,FALSE)</f>
        <v>1</v>
      </c>
      <c r="M831" s="37">
        <f>tScores4[[#This Row],[Raw_Rating_Text]]</f>
        <v>0</v>
      </c>
      <c r="N831" s="58" t="s">
        <v>241</v>
      </c>
    </row>
    <row r="832" spans="1:21" x14ac:dyDescent="0.2">
      <c r="A832" s="38" t="s">
        <v>185</v>
      </c>
      <c r="B832" s="38" t="s">
        <v>86</v>
      </c>
      <c r="C832" s="38" t="s">
        <v>52</v>
      </c>
      <c r="D832" s="38" t="s">
        <v>5</v>
      </c>
      <c r="E832" s="38" t="s">
        <v>105</v>
      </c>
      <c r="F832" s="51" t="s">
        <v>127</v>
      </c>
      <c r="G832" s="38">
        <v>7</v>
      </c>
      <c r="H832" s="38" t="s">
        <v>17</v>
      </c>
      <c r="I832" s="38" t="s">
        <v>25</v>
      </c>
      <c r="J832" s="38">
        <v>0</v>
      </c>
      <c r="K832" s="39">
        <f>VLOOKUP(I832,'Weights and Confidence'!$D$16:$AC$26,5,FALSE)/COUNTIFS($B:$B,$B832,$C:$C,$C832,$H:$H,$H832,$I:$I,$I832)</f>
        <v>0.1</v>
      </c>
      <c r="L832" s="40">
        <f>VLOOKUP(I832,'Weights and Confidence'!$D$16:$AC$26,6,FALSE)</f>
        <v>1</v>
      </c>
      <c r="M832" s="41">
        <f>tScores4[[#This Row],[Raw_Rating_Text]]</f>
        <v>0</v>
      </c>
      <c r="N832" s="38"/>
    </row>
    <row r="833" spans="1:24" x14ac:dyDescent="0.2">
      <c r="A833" s="34" t="s">
        <v>185</v>
      </c>
      <c r="B833" s="34" t="s">
        <v>86</v>
      </c>
      <c r="C833" s="34" t="s">
        <v>52</v>
      </c>
      <c r="D833" s="34" t="s">
        <v>5</v>
      </c>
      <c r="E833" s="34" t="s">
        <v>105</v>
      </c>
      <c r="F833" s="50" t="s">
        <v>127</v>
      </c>
      <c r="G833" s="34">
        <v>7</v>
      </c>
      <c r="H833" s="34" t="s">
        <v>18</v>
      </c>
      <c r="I833" s="34" t="s">
        <v>25</v>
      </c>
      <c r="J833" s="34">
        <v>0</v>
      </c>
      <c r="K833" s="35">
        <f>VLOOKUP(I833,'Weights and Confidence'!$D$16:$AC$26,5,FALSE)/COUNTIFS($B:$B,$B833,$C:$C,$C833,$H:$H,$H833,$I:$I,$I833)</f>
        <v>0.1</v>
      </c>
      <c r="L833" s="36">
        <f>VLOOKUP(I833,'Weights and Confidence'!$D$16:$AC$26,6,FALSE)</f>
        <v>1</v>
      </c>
      <c r="M833" s="37">
        <f>tScores4[[#This Row],[Raw_Rating_Text]]</f>
        <v>0</v>
      </c>
      <c r="N833" s="58" t="s">
        <v>242</v>
      </c>
    </row>
    <row r="834" spans="1:24" x14ac:dyDescent="0.2">
      <c r="A834" s="38" t="s">
        <v>185</v>
      </c>
      <c r="B834" s="38" t="s">
        <v>86</v>
      </c>
      <c r="C834" s="38" t="s">
        <v>52</v>
      </c>
      <c r="D834" s="38" t="s">
        <v>5</v>
      </c>
      <c r="E834" s="38" t="s">
        <v>105</v>
      </c>
      <c r="F834" s="51" t="s">
        <v>127</v>
      </c>
      <c r="G834" s="38">
        <v>8</v>
      </c>
      <c r="H834" s="38" t="s">
        <v>17</v>
      </c>
      <c r="I834" s="38" t="s">
        <v>26</v>
      </c>
      <c r="J834" s="38">
        <v>0</v>
      </c>
      <c r="K834" s="39">
        <f>VLOOKUP(I834,'Weights and Confidence'!$D$16:$AC$26,5,FALSE)/COUNTIFS($B:$B,$B834,$C:$C,$C834,$H:$H,$H834,$I:$I,$I834)</f>
        <v>0.1</v>
      </c>
      <c r="L834" s="40">
        <f>VLOOKUP(I834,'Weights and Confidence'!$D$16:$AC$26,6,FALSE)</f>
        <v>1</v>
      </c>
      <c r="M834" s="41">
        <f>tScores4[[#This Row],[Raw_Rating_Text]]</f>
        <v>0</v>
      </c>
      <c r="N834" s="38"/>
    </row>
    <row r="835" spans="1:24" x14ac:dyDescent="0.2">
      <c r="A835" s="34" t="s">
        <v>185</v>
      </c>
      <c r="B835" s="34" t="s">
        <v>86</v>
      </c>
      <c r="C835" s="34" t="s">
        <v>52</v>
      </c>
      <c r="D835" s="34" t="s">
        <v>5</v>
      </c>
      <c r="E835" s="34" t="s">
        <v>105</v>
      </c>
      <c r="F835" s="50" t="s">
        <v>127</v>
      </c>
      <c r="G835" s="34">
        <v>8</v>
      </c>
      <c r="H835" s="34" t="s">
        <v>18</v>
      </c>
      <c r="I835" s="34" t="s">
        <v>26</v>
      </c>
      <c r="J835" s="34">
        <v>0</v>
      </c>
      <c r="K835" s="35">
        <f>VLOOKUP(I835,'Weights and Confidence'!$D$16:$AC$26,5,FALSE)/COUNTIFS($B:$B,$B835,$C:$C,$C835,$H:$H,$H835,$I:$I,$I835)</f>
        <v>0.1</v>
      </c>
      <c r="L835" s="36">
        <f>VLOOKUP(I835,'Weights and Confidence'!$D$16:$AC$26,6,FALSE)</f>
        <v>1</v>
      </c>
      <c r="M835" s="37">
        <f>tScores4[[#This Row],[Raw_Rating_Text]]</f>
        <v>0</v>
      </c>
      <c r="N835" s="58" t="s">
        <v>243</v>
      </c>
    </row>
    <row r="836" spans="1:24" x14ac:dyDescent="0.2">
      <c r="A836" s="38" t="s">
        <v>185</v>
      </c>
      <c r="B836" s="38" t="s">
        <v>86</v>
      </c>
      <c r="C836" s="38" t="s">
        <v>52</v>
      </c>
      <c r="D836" s="38" t="s">
        <v>5</v>
      </c>
      <c r="E836" s="38" t="s">
        <v>105</v>
      </c>
      <c r="F836" s="51" t="s">
        <v>127</v>
      </c>
      <c r="G836" s="38">
        <v>9</v>
      </c>
      <c r="H836" s="38" t="s">
        <v>17</v>
      </c>
      <c r="I836" s="38" t="s">
        <v>27</v>
      </c>
      <c r="J836" s="38">
        <v>0</v>
      </c>
      <c r="K836" s="39">
        <f>VLOOKUP(I836,'Weights and Confidence'!$D$16:$AC$26,5,FALSE)/COUNTIFS($B:$B,$B836,$C:$C,$C836,$H:$H,$H836,$I:$I,$I836)</f>
        <v>0.05</v>
      </c>
      <c r="L836" s="40">
        <f>VLOOKUP(I836,'Weights and Confidence'!$D$16:$AC$26,6,FALSE)</f>
        <v>0.85</v>
      </c>
      <c r="M836" s="41">
        <f>tScores4[[#This Row],[Raw_Rating_Text]]</f>
        <v>0</v>
      </c>
      <c r="N836" s="38"/>
    </row>
    <row r="837" spans="1:24" x14ac:dyDescent="0.2">
      <c r="A837" s="34" t="s">
        <v>185</v>
      </c>
      <c r="B837" s="34" t="s">
        <v>86</v>
      </c>
      <c r="C837" s="34" t="s">
        <v>52</v>
      </c>
      <c r="D837" s="34" t="s">
        <v>5</v>
      </c>
      <c r="E837" s="34" t="s">
        <v>105</v>
      </c>
      <c r="F837" s="50" t="s">
        <v>127</v>
      </c>
      <c r="G837" s="34">
        <v>9</v>
      </c>
      <c r="H837" s="34" t="s">
        <v>18</v>
      </c>
      <c r="I837" s="34" t="s">
        <v>27</v>
      </c>
      <c r="J837" s="34">
        <v>1</v>
      </c>
      <c r="K837" s="35">
        <f>VLOOKUP(I837,'Weights and Confidence'!$D$16:$AC$26,5,FALSE)/COUNTIFS($B:$B,$B837,$C:$C,$C837,$H:$H,$H837,$I:$I,$I837)</f>
        <v>0.05</v>
      </c>
      <c r="L837" s="36">
        <f>VLOOKUP(I837,'Weights and Confidence'!$D$16:$AC$26,6,FALSE)</f>
        <v>0.85</v>
      </c>
      <c r="M837" s="37">
        <f>tScores4[[#This Row],[Raw_Rating_Text]]</f>
        <v>1</v>
      </c>
      <c r="N837" s="58"/>
    </row>
    <row r="838" spans="1:24" x14ac:dyDescent="0.2">
      <c r="A838" s="38" t="s">
        <v>185</v>
      </c>
      <c r="B838" s="38" t="s">
        <v>86</v>
      </c>
      <c r="C838" s="38" t="s">
        <v>52</v>
      </c>
      <c r="D838" s="38" t="s">
        <v>5</v>
      </c>
      <c r="E838" s="38" t="s">
        <v>105</v>
      </c>
      <c r="F838" s="51" t="s">
        <v>127</v>
      </c>
      <c r="G838" s="38">
        <v>10</v>
      </c>
      <c r="H838" s="38" t="s">
        <v>17</v>
      </c>
      <c r="I838" s="38" t="s">
        <v>27</v>
      </c>
      <c r="J838" s="38">
        <v>0</v>
      </c>
      <c r="K838" s="39">
        <f>VLOOKUP(I838,'Weights and Confidence'!$D$16:$AC$26,5,FALSE)/COUNTIFS($B:$B,$B838,$C:$C,$C838,$H:$H,$H838,$I:$I,$I838)</f>
        <v>0.05</v>
      </c>
      <c r="L838" s="40">
        <f>VLOOKUP(I838,'Weights and Confidence'!$D$16:$AC$26,6,FALSE)</f>
        <v>0.85</v>
      </c>
      <c r="M838" s="41">
        <f>tScores4[[#This Row],[Raw_Rating_Text]]</f>
        <v>0</v>
      </c>
      <c r="N838" s="38"/>
    </row>
    <row r="839" spans="1:24" x14ac:dyDescent="0.2">
      <c r="A839" s="34" t="s">
        <v>185</v>
      </c>
      <c r="B839" s="34" t="s">
        <v>86</v>
      </c>
      <c r="C839" s="34" t="s">
        <v>52</v>
      </c>
      <c r="D839" s="34" t="s">
        <v>5</v>
      </c>
      <c r="E839" s="34" t="s">
        <v>105</v>
      </c>
      <c r="F839" s="50" t="s">
        <v>127</v>
      </c>
      <c r="G839" s="34">
        <v>10</v>
      </c>
      <c r="H839" s="34" t="s">
        <v>18</v>
      </c>
      <c r="I839" s="34" t="s">
        <v>27</v>
      </c>
      <c r="J839" s="34">
        <v>1</v>
      </c>
      <c r="K839" s="35">
        <f>VLOOKUP(I839,'Weights and Confidence'!$D$16:$AC$26,5,FALSE)/COUNTIFS($B:$B,$B839,$C:$C,$C839,$H:$H,$H839,$I:$I,$I839)</f>
        <v>0.05</v>
      </c>
      <c r="L839" s="36">
        <f>VLOOKUP(I839,'Weights and Confidence'!$D$16:$AC$26,6,FALSE)</f>
        <v>0.85</v>
      </c>
      <c r="M839" s="37">
        <f>tScores4[[#This Row],[Raw_Rating_Text]]</f>
        <v>1</v>
      </c>
      <c r="N839" s="34"/>
    </row>
    <row r="840" spans="1:24" x14ac:dyDescent="0.2">
      <c r="A840" s="38" t="s">
        <v>185</v>
      </c>
      <c r="B840" s="38" t="s">
        <v>86</v>
      </c>
      <c r="C840" s="38" t="s">
        <v>52</v>
      </c>
      <c r="D840" s="38" t="s">
        <v>5</v>
      </c>
      <c r="E840" s="38" t="s">
        <v>105</v>
      </c>
      <c r="F840" s="51" t="s">
        <v>127</v>
      </c>
      <c r="G840" s="38">
        <v>11</v>
      </c>
      <c r="H840" s="38" t="s">
        <v>17</v>
      </c>
      <c r="I840" s="38" t="s">
        <v>28</v>
      </c>
      <c r="J840" s="38">
        <v>-1</v>
      </c>
      <c r="K840" s="39">
        <f>VLOOKUP(I840,'Weights and Confidence'!$D$16:$AC$26,5,FALSE)/COUNTIFS($B:$B,$B840,$C:$C,$C840,$H:$H,$H840,$I:$I,$I840)</f>
        <v>0.05</v>
      </c>
      <c r="L840" s="40">
        <f>VLOOKUP(I840,'Weights and Confidence'!$D$16:$AC$26,6,FALSE)</f>
        <v>1</v>
      </c>
      <c r="M840" s="41">
        <f>tScores4[[#This Row],[Raw_Rating_Text]]</f>
        <v>-1</v>
      </c>
      <c r="N840" s="38"/>
    </row>
    <row r="841" spans="1:24" ht="17" thickBot="1" x14ac:dyDescent="0.25">
      <c r="A841" s="34" t="s">
        <v>185</v>
      </c>
      <c r="B841" s="34" t="s">
        <v>86</v>
      </c>
      <c r="C841" s="34" t="s">
        <v>52</v>
      </c>
      <c r="D841" s="34" t="s">
        <v>5</v>
      </c>
      <c r="E841" s="34" t="s">
        <v>105</v>
      </c>
      <c r="F841" s="50" t="s">
        <v>127</v>
      </c>
      <c r="G841" s="34">
        <v>11</v>
      </c>
      <c r="H841" s="34" t="s">
        <v>18</v>
      </c>
      <c r="I841" s="34" t="s">
        <v>28</v>
      </c>
      <c r="J841" s="34">
        <v>0</v>
      </c>
      <c r="K841" s="35">
        <f>VLOOKUP(I841,'Weights and Confidence'!$D$16:$AC$26,5,FALSE)/COUNTIFS($B:$B,$B841,$C:$C,$C841,$H:$H,$H841,$I:$I,$I841)</f>
        <v>0.05</v>
      </c>
      <c r="L841" s="36">
        <f>VLOOKUP(I841,'Weights and Confidence'!$D$16:$AC$26,6,FALSE)</f>
        <v>1</v>
      </c>
      <c r="M841" s="37">
        <f>tScores4[[#This Row],[Raw_Rating_Text]]</f>
        <v>0</v>
      </c>
      <c r="N841" s="58"/>
    </row>
    <row r="842" spans="1:24" ht="17" thickTop="1" x14ac:dyDescent="0.2">
      <c r="A842" s="42" t="s">
        <v>185</v>
      </c>
      <c r="B842" s="42" t="s">
        <v>86</v>
      </c>
      <c r="C842" s="42" t="s">
        <v>54</v>
      </c>
      <c r="D842" s="42" t="s">
        <v>5</v>
      </c>
      <c r="E842" s="42" t="s">
        <v>105</v>
      </c>
      <c r="F842" s="49" t="s">
        <v>133</v>
      </c>
      <c r="G842" s="42">
        <v>1</v>
      </c>
      <c r="H842" s="42" t="s">
        <v>17</v>
      </c>
      <c r="I842" s="42" t="s">
        <v>19</v>
      </c>
      <c r="J842" s="42">
        <v>0</v>
      </c>
      <c r="K842" s="44">
        <f>VLOOKUP(I842,'Weights and Confidence'!$D$16:$AC$26,5,FALSE)/COUNTIFS($B:$B,$B842,$C:$C,$C842,$H:$H,$H842,$I:$I,$I842)</f>
        <v>0.12</v>
      </c>
      <c r="L842" s="45">
        <f>VLOOKUP(I842,'Weights and Confidence'!$D$16:$AC$26,6,FALSE)</f>
        <v>1</v>
      </c>
      <c r="M842" s="46">
        <f>tScores4[[#This Row],[Raw_Rating_Text]]</f>
        <v>0</v>
      </c>
      <c r="N842" s="42"/>
    </row>
    <row r="843" spans="1:24" ht="17" thickBot="1" x14ac:dyDescent="0.25">
      <c r="A843" s="34" t="s">
        <v>185</v>
      </c>
      <c r="B843" s="34" t="s">
        <v>86</v>
      </c>
      <c r="C843" s="34" t="s">
        <v>54</v>
      </c>
      <c r="D843" s="34" t="s">
        <v>5</v>
      </c>
      <c r="E843" s="34" t="s">
        <v>105</v>
      </c>
      <c r="F843" s="50" t="s">
        <v>133</v>
      </c>
      <c r="G843" s="34">
        <v>1</v>
      </c>
      <c r="H843" s="34" t="s">
        <v>18</v>
      </c>
      <c r="I843" s="34" t="s">
        <v>19</v>
      </c>
      <c r="J843" s="34">
        <v>1</v>
      </c>
      <c r="K843" s="35">
        <f>VLOOKUP(I843,'Weights and Confidence'!$D$16:$AC$26,5,FALSE)/COUNTIFS($B:$B,$B843,$C:$C,$C843,$H:$H,$H843,$I:$I,$I843)</f>
        <v>0.12</v>
      </c>
      <c r="L843" s="36">
        <f>VLOOKUP(I843,'Weights and Confidence'!$D$16:$AC$26,6,FALSE)</f>
        <v>1</v>
      </c>
      <c r="M843" s="37">
        <f>tScores4[[#This Row],[Raw_Rating_Text]]</f>
        <v>1</v>
      </c>
      <c r="N843" s="58" t="s">
        <v>245</v>
      </c>
    </row>
    <row r="844" spans="1:24" x14ac:dyDescent="0.2">
      <c r="A844" s="38" t="s">
        <v>185</v>
      </c>
      <c r="B844" s="38" t="s">
        <v>86</v>
      </c>
      <c r="C844" s="38" t="s">
        <v>54</v>
      </c>
      <c r="D844" s="38" t="s">
        <v>5</v>
      </c>
      <c r="E844" s="38" t="s">
        <v>105</v>
      </c>
      <c r="F844" s="51" t="s">
        <v>133</v>
      </c>
      <c r="G844" s="38">
        <v>2</v>
      </c>
      <c r="H844" s="38" t="s">
        <v>17</v>
      </c>
      <c r="I844" s="38" t="s">
        <v>20</v>
      </c>
      <c r="J844" s="38">
        <v>0</v>
      </c>
      <c r="K844" s="39">
        <f>VLOOKUP(I844,'Weights and Confidence'!$D$16:$AC$26,5,FALSE)/COUNTIFS($B:$B,$B844,$C:$C,$C844,$H:$H,$H844,$I:$I,$I844)</f>
        <v>0.08</v>
      </c>
      <c r="L844" s="40">
        <f>VLOOKUP(I844,'Weights and Confidence'!$D$16:$AC$26,6,FALSE)</f>
        <v>0.8</v>
      </c>
      <c r="M844" s="41">
        <f>tScores4[[#This Row],[Raw_Rating_Text]]</f>
        <v>0</v>
      </c>
      <c r="N844" s="38"/>
      <c r="P844" s="24" t="s">
        <v>250</v>
      </c>
      <c r="Q844" s="10"/>
      <c r="R844" s="10"/>
      <c r="S844" s="10"/>
      <c r="T844" s="10"/>
      <c r="U844" s="10"/>
      <c r="V844" s="10"/>
      <c r="W844" s="10"/>
      <c r="X844" s="11"/>
    </row>
    <row r="845" spans="1:24" x14ac:dyDescent="0.2">
      <c r="A845" s="34" t="s">
        <v>185</v>
      </c>
      <c r="B845" s="34" t="s">
        <v>86</v>
      </c>
      <c r="C845" s="34" t="s">
        <v>54</v>
      </c>
      <c r="D845" s="34" t="s">
        <v>5</v>
      </c>
      <c r="E845" s="34" t="s">
        <v>105</v>
      </c>
      <c r="F845" s="50" t="s">
        <v>133</v>
      </c>
      <c r="G845" s="34">
        <v>2</v>
      </c>
      <c r="H845" s="34" t="s">
        <v>18</v>
      </c>
      <c r="I845" s="34" t="s">
        <v>20</v>
      </c>
      <c r="J845" s="34">
        <v>1</v>
      </c>
      <c r="K845" s="35">
        <f>VLOOKUP(I845,'Weights and Confidence'!$D$16:$AC$26,5,FALSE)/COUNTIFS($B:$B,$B845,$C:$C,$C845,$H:$H,$H845,$I:$I,$I845)</f>
        <v>0.08</v>
      </c>
      <c r="L845" s="36">
        <f>VLOOKUP(I845,'Weights and Confidence'!$D$16:$AC$26,6,FALSE)</f>
        <v>0.8</v>
      </c>
      <c r="M845" s="37">
        <f>tScores4[[#This Row],[Raw_Rating_Text]]</f>
        <v>1</v>
      </c>
      <c r="N845" s="58"/>
      <c r="P845" s="25" t="s">
        <v>251</v>
      </c>
      <c r="X845" s="1"/>
    </row>
    <row r="846" spans="1:24" x14ac:dyDescent="0.2">
      <c r="A846" s="38" t="s">
        <v>185</v>
      </c>
      <c r="B846" s="38" t="s">
        <v>86</v>
      </c>
      <c r="C846" s="38" t="s">
        <v>54</v>
      </c>
      <c r="D846" s="38" t="s">
        <v>5</v>
      </c>
      <c r="E846" s="38" t="s">
        <v>105</v>
      </c>
      <c r="F846" s="51" t="s">
        <v>133</v>
      </c>
      <c r="G846" s="38">
        <v>3</v>
      </c>
      <c r="H846" s="38" t="s">
        <v>17</v>
      </c>
      <c r="I846" s="38" t="s">
        <v>21</v>
      </c>
      <c r="J846" s="38">
        <v>1</v>
      </c>
      <c r="K846" s="39">
        <f>VLOOKUP(I846,'Weights and Confidence'!$D$16:$AC$26,5,FALSE)/COUNTIFS($B:$B,$B846,$C:$C,$C846,$H:$H,$H846,$I:$I,$I846)</f>
        <v>0.05</v>
      </c>
      <c r="L846" s="40">
        <f>VLOOKUP(I846,'Weights and Confidence'!$D$16:$AC$26,6,FALSE)</f>
        <v>1</v>
      </c>
      <c r="M846" s="41">
        <f>tScores4[[#This Row],[Raw_Rating_Text]]</f>
        <v>1</v>
      </c>
      <c r="N846" s="38"/>
      <c r="P846" s="25" t="s">
        <v>252</v>
      </c>
      <c r="X846" s="1"/>
    </row>
    <row r="847" spans="1:24" x14ac:dyDescent="0.2">
      <c r="A847" s="34" t="s">
        <v>185</v>
      </c>
      <c r="B847" s="34" t="s">
        <v>86</v>
      </c>
      <c r="C847" s="34" t="s">
        <v>54</v>
      </c>
      <c r="D847" s="34" t="s">
        <v>5</v>
      </c>
      <c r="E847" s="34" t="s">
        <v>105</v>
      </c>
      <c r="F847" s="50" t="s">
        <v>133</v>
      </c>
      <c r="G847" s="34">
        <v>3</v>
      </c>
      <c r="H847" s="34" t="s">
        <v>18</v>
      </c>
      <c r="I847" s="34" t="s">
        <v>21</v>
      </c>
      <c r="J847" s="34">
        <v>1</v>
      </c>
      <c r="K847" s="35">
        <f>VLOOKUP(I847,'Weights and Confidence'!$D$16:$AC$26,5,FALSE)/COUNTIFS($B:$B,$B847,$C:$C,$C847,$H:$H,$H847,$I:$I,$I847)</f>
        <v>0.05</v>
      </c>
      <c r="L847" s="36">
        <f>VLOOKUP(I847,'Weights and Confidence'!$D$16:$AC$26,6,FALSE)</f>
        <v>1</v>
      </c>
      <c r="M847" s="37">
        <f>tScores4[[#This Row],[Raw_Rating_Text]]</f>
        <v>1</v>
      </c>
      <c r="N847" s="58"/>
      <c r="P847" s="25" t="s">
        <v>253</v>
      </c>
      <c r="X847" s="1"/>
    </row>
    <row r="848" spans="1:24" x14ac:dyDescent="0.2">
      <c r="A848" s="38" t="s">
        <v>185</v>
      </c>
      <c r="B848" s="38" t="s">
        <v>86</v>
      </c>
      <c r="C848" s="38" t="s">
        <v>54</v>
      </c>
      <c r="D848" s="38" t="s">
        <v>5</v>
      </c>
      <c r="E848" s="38" t="s">
        <v>105</v>
      </c>
      <c r="F848" s="51" t="s">
        <v>133</v>
      </c>
      <c r="G848" s="38">
        <v>4</v>
      </c>
      <c r="H848" s="38" t="s">
        <v>17</v>
      </c>
      <c r="I848" s="38" t="s">
        <v>22</v>
      </c>
      <c r="J848" s="38">
        <v>0</v>
      </c>
      <c r="K848" s="39">
        <f>VLOOKUP(I848,'Weights and Confidence'!$D$16:$AC$26,5,FALSE)/COUNTIFS($B:$B,$B848,$C:$C,$C848,$H:$H,$H848,$I:$I,$I848)</f>
        <v>0.14000000000000001</v>
      </c>
      <c r="L848" s="40">
        <f>VLOOKUP(I848,'Weights and Confidence'!$D$16:$AC$26,6,FALSE)</f>
        <v>1</v>
      </c>
      <c r="M848" s="41">
        <f>tScores4[[#This Row],[Raw_Rating_Text]]</f>
        <v>0</v>
      </c>
      <c r="N848" s="38"/>
      <c r="P848" s="25" t="s">
        <v>254</v>
      </c>
      <c r="X848" s="1"/>
    </row>
    <row r="849" spans="1:24" x14ac:dyDescent="0.2">
      <c r="A849" s="34" t="s">
        <v>185</v>
      </c>
      <c r="B849" s="34" t="s">
        <v>86</v>
      </c>
      <c r="C849" s="34" t="s">
        <v>54</v>
      </c>
      <c r="D849" s="34" t="s">
        <v>5</v>
      </c>
      <c r="E849" s="34" t="s">
        <v>105</v>
      </c>
      <c r="F849" s="50" t="s">
        <v>133</v>
      </c>
      <c r="G849" s="34">
        <v>4</v>
      </c>
      <c r="H849" s="34" t="s">
        <v>18</v>
      </c>
      <c r="I849" s="34" t="s">
        <v>22</v>
      </c>
      <c r="J849" s="34">
        <v>1</v>
      </c>
      <c r="K849" s="35">
        <f>VLOOKUP(I849,'Weights and Confidence'!$D$16:$AC$26,5,FALSE)/COUNTIFS($B:$B,$B849,$C:$C,$C849,$H:$H,$H849,$I:$I,$I849)</f>
        <v>0.14000000000000001</v>
      </c>
      <c r="L849" s="36">
        <f>VLOOKUP(I849,'Weights and Confidence'!$D$16:$AC$26,6,FALSE)</f>
        <v>1</v>
      </c>
      <c r="M849" s="37">
        <f>tScores4[[#This Row],[Raw_Rating_Text]]</f>
        <v>1</v>
      </c>
      <c r="N849" s="58"/>
      <c r="P849" s="25" t="s">
        <v>255</v>
      </c>
      <c r="X849" s="1"/>
    </row>
    <row r="850" spans="1:24" x14ac:dyDescent="0.2">
      <c r="A850" s="38" t="s">
        <v>185</v>
      </c>
      <c r="B850" s="38" t="s">
        <v>86</v>
      </c>
      <c r="C850" s="38" t="s">
        <v>54</v>
      </c>
      <c r="D850" s="38" t="s">
        <v>5</v>
      </c>
      <c r="E850" s="38" t="s">
        <v>105</v>
      </c>
      <c r="F850" s="51" t="s">
        <v>133</v>
      </c>
      <c r="G850" s="38">
        <v>5</v>
      </c>
      <c r="H850" s="38" t="s">
        <v>17</v>
      </c>
      <c r="I850" s="38" t="s">
        <v>23</v>
      </c>
      <c r="J850" s="38">
        <v>-1</v>
      </c>
      <c r="K850" s="39">
        <f>VLOOKUP(I850,'Weights and Confidence'!$D$16:$AC$26,5,FALSE)/COUNTIFS($B:$B,$B850,$C:$C,$C850,$H:$H,$H850,$I:$I,$I850)</f>
        <v>0.11</v>
      </c>
      <c r="L850" s="40">
        <f>VLOOKUP(I850,'Weights and Confidence'!$D$16:$AC$26,6,FALSE)</f>
        <v>1</v>
      </c>
      <c r="M850" s="41">
        <f>tScores4[[#This Row],[Raw_Rating_Text]]</f>
        <v>-1</v>
      </c>
      <c r="N850" s="38"/>
      <c r="P850" s="25" t="s">
        <v>256</v>
      </c>
      <c r="X850" s="1"/>
    </row>
    <row r="851" spans="1:24" ht="17" thickBot="1" x14ac:dyDescent="0.25">
      <c r="A851" s="34" t="s">
        <v>185</v>
      </c>
      <c r="B851" s="34" t="s">
        <v>86</v>
      </c>
      <c r="C851" s="34" t="s">
        <v>54</v>
      </c>
      <c r="D851" s="34" t="s">
        <v>5</v>
      </c>
      <c r="E851" s="34" t="s">
        <v>105</v>
      </c>
      <c r="F851" s="50" t="s">
        <v>133</v>
      </c>
      <c r="G851" s="34">
        <v>5</v>
      </c>
      <c r="H851" s="34" t="s">
        <v>18</v>
      </c>
      <c r="I851" s="34" t="s">
        <v>23</v>
      </c>
      <c r="J851" s="34">
        <v>1</v>
      </c>
      <c r="K851" s="35">
        <f>VLOOKUP(I851,'Weights and Confidence'!$D$16:$AC$26,5,FALSE)/COUNTIFS($B:$B,$B851,$C:$C,$C851,$H:$H,$H851,$I:$I,$I851)</f>
        <v>0.11</v>
      </c>
      <c r="L851" s="36">
        <f>VLOOKUP(I851,'Weights and Confidence'!$D$16:$AC$26,6,FALSE)</f>
        <v>1</v>
      </c>
      <c r="M851" s="37">
        <f>tScores4[[#This Row],[Raw_Rating_Text]]</f>
        <v>1</v>
      </c>
      <c r="N851" s="58" t="s">
        <v>246</v>
      </c>
      <c r="P851" s="26" t="s">
        <v>257</v>
      </c>
      <c r="Q851" s="2"/>
      <c r="R851" s="2"/>
      <c r="S851" s="2"/>
      <c r="T851" s="2"/>
      <c r="U851" s="2"/>
      <c r="V851" s="2"/>
      <c r="W851" s="2"/>
      <c r="X851" s="5"/>
    </row>
    <row r="852" spans="1:24" x14ac:dyDescent="0.2">
      <c r="A852" s="38" t="s">
        <v>185</v>
      </c>
      <c r="B852" s="38" t="s">
        <v>86</v>
      </c>
      <c r="C852" s="38" t="s">
        <v>54</v>
      </c>
      <c r="D852" s="38" t="s">
        <v>5</v>
      </c>
      <c r="E852" s="38" t="s">
        <v>105</v>
      </c>
      <c r="F852" s="51" t="s">
        <v>133</v>
      </c>
      <c r="G852" s="38">
        <v>6</v>
      </c>
      <c r="H852" s="38" t="s">
        <v>17</v>
      </c>
      <c r="I852" s="38" t="s">
        <v>24</v>
      </c>
      <c r="J852" s="38">
        <v>0</v>
      </c>
      <c r="K852" s="39">
        <f>VLOOKUP(I852,'Weights and Confidence'!$D$16:$AC$26,5,FALSE)/COUNTIFS($B:$B,$B852,$C:$C,$C852,$H:$H,$H852,$I:$I,$I852)</f>
        <v>0.15</v>
      </c>
      <c r="L852" s="40">
        <f>VLOOKUP(I852,'Weights and Confidence'!$D$16:$AC$26,6,FALSE)</f>
        <v>1</v>
      </c>
      <c r="M852" s="41">
        <f>tScores4[[#This Row],[Raw_Rating_Text]]</f>
        <v>0</v>
      </c>
      <c r="N852" s="59"/>
    </row>
    <row r="853" spans="1:24" x14ac:dyDescent="0.2">
      <c r="A853" s="34" t="s">
        <v>185</v>
      </c>
      <c r="B853" s="34" t="s">
        <v>86</v>
      </c>
      <c r="C853" s="34" t="s">
        <v>54</v>
      </c>
      <c r="D853" s="34" t="s">
        <v>5</v>
      </c>
      <c r="E853" s="34" t="s">
        <v>105</v>
      </c>
      <c r="F853" s="50" t="s">
        <v>133</v>
      </c>
      <c r="G853" s="34">
        <v>6</v>
      </c>
      <c r="H853" s="34" t="s">
        <v>18</v>
      </c>
      <c r="I853" s="34" t="s">
        <v>24</v>
      </c>
      <c r="J853" s="34">
        <v>1</v>
      </c>
      <c r="K853" s="35">
        <f>VLOOKUP(I853,'Weights and Confidence'!$D$16:$AC$26,5,FALSE)/COUNTIFS($B:$B,$B853,$C:$C,$C853,$H:$H,$H853,$I:$I,$I853)</f>
        <v>0.15</v>
      </c>
      <c r="L853" s="36">
        <f>VLOOKUP(I853,'Weights and Confidence'!$D$16:$AC$26,6,FALSE)</f>
        <v>1</v>
      </c>
      <c r="M853" s="37">
        <f>tScores4[[#This Row],[Raw_Rating_Text]]</f>
        <v>1</v>
      </c>
      <c r="N853" s="58" t="s">
        <v>247</v>
      </c>
    </row>
    <row r="854" spans="1:24" x14ac:dyDescent="0.2">
      <c r="A854" s="38" t="s">
        <v>185</v>
      </c>
      <c r="B854" s="38" t="s">
        <v>86</v>
      </c>
      <c r="C854" s="38" t="s">
        <v>54</v>
      </c>
      <c r="D854" s="38" t="s">
        <v>5</v>
      </c>
      <c r="E854" s="38" t="s">
        <v>105</v>
      </c>
      <c r="F854" s="51" t="s">
        <v>133</v>
      </c>
      <c r="G854" s="38">
        <v>7</v>
      </c>
      <c r="H854" s="38" t="s">
        <v>17</v>
      </c>
      <c r="I854" s="38" t="s">
        <v>25</v>
      </c>
      <c r="J854" s="38">
        <v>-1</v>
      </c>
      <c r="K854" s="39">
        <f>VLOOKUP(I854,'Weights and Confidence'!$D$16:$AC$26,5,FALSE)/COUNTIFS($B:$B,$B854,$C:$C,$C854,$H:$H,$H854,$I:$I,$I854)</f>
        <v>0.1</v>
      </c>
      <c r="L854" s="40">
        <f>VLOOKUP(I854,'Weights and Confidence'!$D$16:$AC$26,6,FALSE)</f>
        <v>1</v>
      </c>
      <c r="M854" s="41">
        <f>tScores4[[#This Row],[Raw_Rating_Text]]</f>
        <v>-1</v>
      </c>
      <c r="N854" s="38"/>
    </row>
    <row r="855" spans="1:24" x14ac:dyDescent="0.2">
      <c r="A855" s="34" t="s">
        <v>185</v>
      </c>
      <c r="B855" s="34" t="s">
        <v>86</v>
      </c>
      <c r="C855" s="34" t="s">
        <v>54</v>
      </c>
      <c r="D855" s="34" t="s">
        <v>5</v>
      </c>
      <c r="E855" s="34" t="s">
        <v>105</v>
      </c>
      <c r="F855" s="50" t="s">
        <v>133</v>
      </c>
      <c r="G855" s="34">
        <v>7</v>
      </c>
      <c r="H855" s="34" t="s">
        <v>18</v>
      </c>
      <c r="I855" s="34" t="s">
        <v>25</v>
      </c>
      <c r="J855" s="34">
        <v>1</v>
      </c>
      <c r="K855" s="35">
        <f>VLOOKUP(I855,'Weights and Confidence'!$D$16:$AC$26,5,FALSE)/COUNTIFS($B:$B,$B855,$C:$C,$C855,$H:$H,$H855,$I:$I,$I855)</f>
        <v>0.1</v>
      </c>
      <c r="L855" s="36">
        <f>VLOOKUP(I855,'Weights and Confidence'!$D$16:$AC$26,6,FALSE)</f>
        <v>1</v>
      </c>
      <c r="M855" s="37">
        <f>tScores4[[#This Row],[Raw_Rating_Text]]</f>
        <v>1</v>
      </c>
      <c r="N855" s="58"/>
    </row>
    <row r="856" spans="1:24" x14ac:dyDescent="0.2">
      <c r="A856" s="38" t="s">
        <v>185</v>
      </c>
      <c r="B856" s="38" t="s">
        <v>86</v>
      </c>
      <c r="C856" s="38" t="s">
        <v>54</v>
      </c>
      <c r="D856" s="38" t="s">
        <v>5</v>
      </c>
      <c r="E856" s="38" t="s">
        <v>105</v>
      </c>
      <c r="F856" s="51" t="s">
        <v>133</v>
      </c>
      <c r="G856" s="38">
        <v>8</v>
      </c>
      <c r="H856" s="38" t="s">
        <v>17</v>
      </c>
      <c r="I856" s="38" t="s">
        <v>26</v>
      </c>
      <c r="J856" s="38">
        <v>0</v>
      </c>
      <c r="K856" s="39">
        <f>VLOOKUP(I856,'Weights and Confidence'!$D$16:$AC$26,5,FALSE)/COUNTIFS($B:$B,$B856,$C:$C,$C856,$H:$H,$H856,$I:$I,$I856)</f>
        <v>0.1</v>
      </c>
      <c r="L856" s="40">
        <f>VLOOKUP(I856,'Weights and Confidence'!$D$16:$AC$26,6,FALSE)</f>
        <v>1</v>
      </c>
      <c r="M856" s="41">
        <f>tScores4[[#This Row],[Raw_Rating_Text]]</f>
        <v>0</v>
      </c>
      <c r="N856" s="38"/>
    </row>
    <row r="857" spans="1:24" x14ac:dyDescent="0.2">
      <c r="A857" s="34" t="s">
        <v>185</v>
      </c>
      <c r="B857" s="34" t="s">
        <v>86</v>
      </c>
      <c r="C857" s="34" t="s">
        <v>54</v>
      </c>
      <c r="D857" s="34" t="s">
        <v>5</v>
      </c>
      <c r="E857" s="34" t="s">
        <v>105</v>
      </c>
      <c r="F857" s="50" t="s">
        <v>133</v>
      </c>
      <c r="G857" s="34">
        <v>8</v>
      </c>
      <c r="H857" s="34" t="s">
        <v>18</v>
      </c>
      <c r="I857" s="34" t="s">
        <v>26</v>
      </c>
      <c r="J857" s="34">
        <v>1</v>
      </c>
      <c r="K857" s="35">
        <f>VLOOKUP(I857,'Weights and Confidence'!$D$16:$AC$26,5,FALSE)/COUNTIFS($B:$B,$B857,$C:$C,$C857,$H:$H,$H857,$I:$I,$I857)</f>
        <v>0.1</v>
      </c>
      <c r="L857" s="36">
        <f>VLOOKUP(I857,'Weights and Confidence'!$D$16:$AC$26,6,FALSE)</f>
        <v>1</v>
      </c>
      <c r="M857" s="37">
        <f>tScores4[[#This Row],[Raw_Rating_Text]]</f>
        <v>1</v>
      </c>
      <c r="N857" s="58"/>
    </row>
    <row r="858" spans="1:24" x14ac:dyDescent="0.2">
      <c r="A858" s="38" t="s">
        <v>185</v>
      </c>
      <c r="B858" s="38" t="s">
        <v>86</v>
      </c>
      <c r="C858" s="38" t="s">
        <v>54</v>
      </c>
      <c r="D858" s="38" t="s">
        <v>5</v>
      </c>
      <c r="E858" s="38" t="s">
        <v>105</v>
      </c>
      <c r="F858" s="51" t="s">
        <v>133</v>
      </c>
      <c r="G858" s="38">
        <v>9</v>
      </c>
      <c r="H858" s="38" t="s">
        <v>17</v>
      </c>
      <c r="I858" s="38" t="s">
        <v>27</v>
      </c>
      <c r="J858" s="38">
        <v>-1</v>
      </c>
      <c r="K858" s="39">
        <f>VLOOKUP(I858,'Weights and Confidence'!$D$16:$AC$26,5,FALSE)/COUNTIFS($B:$B,$B858,$C:$C,$C858,$H:$H,$H858,$I:$I,$I858)</f>
        <v>0.05</v>
      </c>
      <c r="L858" s="40">
        <f>VLOOKUP(I858,'Weights and Confidence'!$D$16:$AC$26,6,FALSE)</f>
        <v>0.85</v>
      </c>
      <c r="M858" s="41">
        <f>tScores4[[#This Row],[Raw_Rating_Text]]</f>
        <v>-1</v>
      </c>
      <c r="N858" s="38"/>
    </row>
    <row r="859" spans="1:24" x14ac:dyDescent="0.2">
      <c r="A859" s="34" t="s">
        <v>185</v>
      </c>
      <c r="B859" s="34" t="s">
        <v>86</v>
      </c>
      <c r="C859" s="34" t="s">
        <v>54</v>
      </c>
      <c r="D859" s="34" t="s">
        <v>5</v>
      </c>
      <c r="E859" s="34" t="s">
        <v>105</v>
      </c>
      <c r="F859" s="50" t="s">
        <v>133</v>
      </c>
      <c r="G859" s="34">
        <v>9</v>
      </c>
      <c r="H859" s="34" t="s">
        <v>18</v>
      </c>
      <c r="I859" s="34" t="s">
        <v>27</v>
      </c>
      <c r="J859" s="34">
        <v>1</v>
      </c>
      <c r="K859" s="35">
        <f>VLOOKUP(I859,'Weights and Confidence'!$D$16:$AC$26,5,FALSE)/COUNTIFS($B:$B,$B859,$C:$C,$C859,$H:$H,$H859,$I:$I,$I859)</f>
        <v>0.05</v>
      </c>
      <c r="L859" s="36">
        <f>VLOOKUP(I859,'Weights and Confidence'!$D$16:$AC$26,6,FALSE)</f>
        <v>0.85</v>
      </c>
      <c r="M859" s="37">
        <f>tScores4[[#This Row],[Raw_Rating_Text]]</f>
        <v>1</v>
      </c>
      <c r="N859" s="58" t="s">
        <v>248</v>
      </c>
    </row>
    <row r="860" spans="1:24" x14ac:dyDescent="0.2">
      <c r="A860" s="38" t="s">
        <v>185</v>
      </c>
      <c r="B860" s="38" t="s">
        <v>86</v>
      </c>
      <c r="C860" s="38" t="s">
        <v>54</v>
      </c>
      <c r="D860" s="38" t="s">
        <v>5</v>
      </c>
      <c r="E860" s="38" t="s">
        <v>105</v>
      </c>
      <c r="F860" s="51" t="s">
        <v>133</v>
      </c>
      <c r="G860" s="38">
        <v>10</v>
      </c>
      <c r="H860" s="38" t="s">
        <v>17</v>
      </c>
      <c r="I860" s="38" t="s">
        <v>27</v>
      </c>
      <c r="J860" s="38">
        <v>0</v>
      </c>
      <c r="K860" s="39">
        <f>VLOOKUP(I860,'Weights and Confidence'!$D$16:$AC$26,5,FALSE)/COUNTIFS($B:$B,$B860,$C:$C,$C860,$H:$H,$H860,$I:$I,$I860)</f>
        <v>0.05</v>
      </c>
      <c r="L860" s="40">
        <f>VLOOKUP(I860,'Weights and Confidence'!$D$16:$AC$26,6,FALSE)</f>
        <v>0.85</v>
      </c>
      <c r="M860" s="41">
        <f>tScores4[[#This Row],[Raw_Rating_Text]]</f>
        <v>0</v>
      </c>
      <c r="N860" s="38"/>
    </row>
    <row r="861" spans="1:24" x14ac:dyDescent="0.2">
      <c r="A861" s="34" t="s">
        <v>185</v>
      </c>
      <c r="B861" s="34" t="s">
        <v>86</v>
      </c>
      <c r="C861" s="34" t="s">
        <v>54</v>
      </c>
      <c r="D861" s="34" t="s">
        <v>5</v>
      </c>
      <c r="E861" s="34" t="s">
        <v>105</v>
      </c>
      <c r="F861" s="50" t="s">
        <v>133</v>
      </c>
      <c r="G861" s="34">
        <v>10</v>
      </c>
      <c r="H861" s="34" t="s">
        <v>18</v>
      </c>
      <c r="I861" s="34" t="s">
        <v>27</v>
      </c>
      <c r="J861" s="34">
        <v>1</v>
      </c>
      <c r="K861" s="35">
        <f>VLOOKUP(I861,'Weights and Confidence'!$D$16:$AC$26,5,FALSE)/COUNTIFS($B:$B,$B861,$C:$C,$C861,$H:$H,$H861,$I:$I,$I861)</f>
        <v>0.05</v>
      </c>
      <c r="L861" s="36">
        <f>VLOOKUP(I861,'Weights and Confidence'!$D$16:$AC$26,6,FALSE)</f>
        <v>0.85</v>
      </c>
      <c r="M861" s="37">
        <f>tScores4[[#This Row],[Raw_Rating_Text]]</f>
        <v>1</v>
      </c>
      <c r="N861" s="34"/>
    </row>
    <row r="862" spans="1:24" x14ac:dyDescent="0.2">
      <c r="A862" s="38" t="s">
        <v>185</v>
      </c>
      <c r="B862" s="38" t="s">
        <v>86</v>
      </c>
      <c r="C862" s="38" t="s">
        <v>54</v>
      </c>
      <c r="D862" s="38" t="s">
        <v>5</v>
      </c>
      <c r="E862" s="38" t="s">
        <v>105</v>
      </c>
      <c r="F862" s="51" t="s">
        <v>133</v>
      </c>
      <c r="G862" s="38">
        <v>11</v>
      </c>
      <c r="H862" s="38" t="s">
        <v>17</v>
      </c>
      <c r="I862" s="38" t="s">
        <v>28</v>
      </c>
      <c r="J862" s="38">
        <v>-1</v>
      </c>
      <c r="K862" s="39">
        <f>VLOOKUP(I862,'Weights and Confidence'!$D$16:$AC$26,5,FALSE)/COUNTIFS($B:$B,$B862,$C:$C,$C862,$H:$H,$H862,$I:$I,$I862)</f>
        <v>0.05</v>
      </c>
      <c r="L862" s="40">
        <f>VLOOKUP(I862,'Weights and Confidence'!$D$16:$AC$26,6,FALSE)</f>
        <v>1</v>
      </c>
      <c r="M862" s="41">
        <f>tScores4[[#This Row],[Raw_Rating_Text]]</f>
        <v>-1</v>
      </c>
      <c r="N862" s="38"/>
    </row>
    <row r="863" spans="1:24" ht="17" thickBot="1" x14ac:dyDescent="0.25">
      <c r="A863" s="34" t="s">
        <v>185</v>
      </c>
      <c r="B863" s="34" t="s">
        <v>86</v>
      </c>
      <c r="C863" s="34" t="s">
        <v>54</v>
      </c>
      <c r="D863" s="34" t="s">
        <v>5</v>
      </c>
      <c r="E863" s="34" t="s">
        <v>105</v>
      </c>
      <c r="F863" s="50" t="s">
        <v>133</v>
      </c>
      <c r="G863" s="34">
        <v>11</v>
      </c>
      <c r="H863" s="34" t="s">
        <v>18</v>
      </c>
      <c r="I863" s="34" t="s">
        <v>28</v>
      </c>
      <c r="J863" s="34">
        <v>0</v>
      </c>
      <c r="K863" s="35">
        <f>VLOOKUP(I863,'Weights and Confidence'!$D$16:$AC$26,5,FALSE)/COUNTIFS($B:$B,$B863,$C:$C,$C863,$H:$H,$H863,$I:$I,$I863)</f>
        <v>0.05</v>
      </c>
      <c r="L863" s="36">
        <f>VLOOKUP(I863,'Weights and Confidence'!$D$16:$AC$26,6,FALSE)</f>
        <v>1</v>
      </c>
      <c r="M863" s="37">
        <f>tScores4[[#This Row],[Raw_Rating_Text]]</f>
        <v>0</v>
      </c>
      <c r="N863" s="58" t="s">
        <v>249</v>
      </c>
    </row>
    <row r="864" spans="1:24" ht="17" thickTop="1" x14ac:dyDescent="0.2">
      <c r="A864" s="42" t="s">
        <v>185</v>
      </c>
      <c r="B864" s="42" t="s">
        <v>86</v>
      </c>
      <c r="C864" s="42" t="s">
        <v>55</v>
      </c>
      <c r="D864" s="42" t="s">
        <v>5</v>
      </c>
      <c r="E864" s="42" t="s">
        <v>107</v>
      </c>
      <c r="F864" s="49" t="s">
        <v>56</v>
      </c>
      <c r="G864" s="42">
        <v>1</v>
      </c>
      <c r="H864" s="42" t="s">
        <v>17</v>
      </c>
      <c r="I864" s="42" t="s">
        <v>19</v>
      </c>
      <c r="J864" s="42">
        <v>1</v>
      </c>
      <c r="K864" s="44">
        <f>VLOOKUP(I864,'Weights and Confidence'!$D$16:$AC$26,5,FALSE)/COUNTIFS($B:$B,$B864,$C:$C,$C864,$H:$H,$H864,$I:$I,$I864)</f>
        <v>0.12</v>
      </c>
      <c r="L864" s="45">
        <f>VLOOKUP(I864,'Weights and Confidence'!$D$16:$AC$26,6,FALSE)</f>
        <v>1</v>
      </c>
      <c r="M864" s="46">
        <f>tScores4[[#This Row],[Raw_Rating_Text]]</f>
        <v>1</v>
      </c>
      <c r="N864" s="42"/>
    </row>
    <row r="865" spans="1:24" ht="17" thickBot="1" x14ac:dyDescent="0.25">
      <c r="A865" s="34" t="s">
        <v>185</v>
      </c>
      <c r="B865" s="34" t="s">
        <v>86</v>
      </c>
      <c r="C865" s="34" t="s">
        <v>55</v>
      </c>
      <c r="D865" s="34" t="s">
        <v>5</v>
      </c>
      <c r="E865" s="34" t="s">
        <v>107</v>
      </c>
      <c r="F865" s="50" t="s">
        <v>56</v>
      </c>
      <c r="G865" s="34">
        <v>1</v>
      </c>
      <c r="H865" s="34" t="s">
        <v>18</v>
      </c>
      <c r="I865" s="34" t="s">
        <v>19</v>
      </c>
      <c r="J865" s="34">
        <v>1</v>
      </c>
      <c r="K865" s="35">
        <f>VLOOKUP(I865,'Weights and Confidence'!$D$16:$AC$26,5,FALSE)/COUNTIFS($B:$B,$B865,$C:$C,$C865,$H:$H,$H865,$I:$I,$I865)</f>
        <v>0.12</v>
      </c>
      <c r="L865" s="36">
        <f>VLOOKUP(I865,'Weights and Confidence'!$D$16:$AC$26,6,FALSE)</f>
        <v>1</v>
      </c>
      <c r="M865" s="37">
        <f>tScores4[[#This Row],[Raw_Rating_Text]]</f>
        <v>1</v>
      </c>
      <c r="N865" s="58" t="s">
        <v>258</v>
      </c>
    </row>
    <row r="866" spans="1:24" x14ac:dyDescent="0.2">
      <c r="A866" s="38" t="s">
        <v>185</v>
      </c>
      <c r="B866" s="38" t="s">
        <v>86</v>
      </c>
      <c r="C866" s="38" t="s">
        <v>55</v>
      </c>
      <c r="D866" s="38" t="s">
        <v>5</v>
      </c>
      <c r="E866" s="38" t="s">
        <v>107</v>
      </c>
      <c r="F866" s="51" t="s">
        <v>56</v>
      </c>
      <c r="G866" s="38">
        <v>2</v>
      </c>
      <c r="H866" s="38" t="s">
        <v>17</v>
      </c>
      <c r="I866" s="38" t="s">
        <v>20</v>
      </c>
      <c r="J866" s="38">
        <v>1</v>
      </c>
      <c r="K866" s="39">
        <f>VLOOKUP(I866,'Weights and Confidence'!$D$16:$AC$26,5,FALSE)/COUNTIFS($B:$B,$B866,$C:$C,$C866,$H:$H,$H866,$I:$I,$I866)</f>
        <v>0.08</v>
      </c>
      <c r="L866" s="40">
        <f>VLOOKUP(I866,'Weights and Confidence'!$D$16:$AC$26,6,FALSE)</f>
        <v>0.8</v>
      </c>
      <c r="M866" s="41">
        <f>tScores4[[#This Row],[Raw_Rating_Text]]</f>
        <v>1</v>
      </c>
      <c r="N866" s="38"/>
      <c r="P866" s="24" t="s">
        <v>263</v>
      </c>
      <c r="Q866" s="10"/>
      <c r="R866" s="10"/>
      <c r="S866" s="10"/>
      <c r="T866" s="10"/>
      <c r="U866" s="10"/>
      <c r="V866" s="10"/>
      <c r="W866" s="10"/>
      <c r="X866" s="11"/>
    </row>
    <row r="867" spans="1:24" x14ac:dyDescent="0.2">
      <c r="A867" s="34" t="s">
        <v>185</v>
      </c>
      <c r="B867" s="34" t="s">
        <v>86</v>
      </c>
      <c r="C867" s="34" t="s">
        <v>55</v>
      </c>
      <c r="D867" s="34" t="s">
        <v>5</v>
      </c>
      <c r="E867" s="34" t="s">
        <v>107</v>
      </c>
      <c r="F867" s="50" t="s">
        <v>56</v>
      </c>
      <c r="G867" s="34">
        <v>2</v>
      </c>
      <c r="H867" s="34" t="s">
        <v>18</v>
      </c>
      <c r="I867" s="34" t="s">
        <v>20</v>
      </c>
      <c r="J867" s="34">
        <v>1</v>
      </c>
      <c r="K867" s="35">
        <f>VLOOKUP(I867,'Weights and Confidence'!$D$16:$AC$26,5,FALSE)/COUNTIFS($B:$B,$B867,$C:$C,$C867,$H:$H,$H867,$I:$I,$I867)</f>
        <v>0.08</v>
      </c>
      <c r="L867" s="36">
        <f>VLOOKUP(I867,'Weights and Confidence'!$D$16:$AC$26,6,FALSE)</f>
        <v>0.8</v>
      </c>
      <c r="M867" s="37">
        <f>tScores4[[#This Row],[Raw_Rating_Text]]</f>
        <v>1</v>
      </c>
      <c r="N867" s="58"/>
      <c r="P867" s="25" t="s">
        <v>264</v>
      </c>
      <c r="X867" s="1"/>
    </row>
    <row r="868" spans="1:24" ht="17" thickBot="1" x14ac:dyDescent="0.25">
      <c r="A868" s="38" t="s">
        <v>185</v>
      </c>
      <c r="B868" s="38" t="s">
        <v>86</v>
      </c>
      <c r="C868" s="38" t="s">
        <v>55</v>
      </c>
      <c r="D868" s="38" t="s">
        <v>5</v>
      </c>
      <c r="E868" s="38" t="s">
        <v>107</v>
      </c>
      <c r="F868" s="51" t="s">
        <v>56</v>
      </c>
      <c r="G868" s="38">
        <v>3</v>
      </c>
      <c r="H868" s="38" t="s">
        <v>17</v>
      </c>
      <c r="I868" s="38" t="s">
        <v>21</v>
      </c>
      <c r="J868" s="38">
        <v>1</v>
      </c>
      <c r="K868" s="39">
        <f>VLOOKUP(I868,'Weights and Confidence'!$D$16:$AC$26,5,FALSE)/COUNTIFS($B:$B,$B868,$C:$C,$C868,$H:$H,$H868,$I:$I,$I868)</f>
        <v>0.05</v>
      </c>
      <c r="L868" s="40">
        <f>VLOOKUP(I868,'Weights and Confidence'!$D$16:$AC$26,6,FALSE)</f>
        <v>1</v>
      </c>
      <c r="M868" s="41">
        <f>tScores4[[#This Row],[Raw_Rating_Text]]</f>
        <v>1</v>
      </c>
      <c r="N868" s="38"/>
      <c r="P868" s="26" t="s">
        <v>265</v>
      </c>
      <c r="Q868" s="2"/>
      <c r="R868" s="2"/>
      <c r="S868" s="2"/>
      <c r="T868" s="2"/>
      <c r="U868" s="2"/>
      <c r="V868" s="2"/>
      <c r="W868" s="2"/>
      <c r="X868" s="5"/>
    </row>
    <row r="869" spans="1:24" x14ac:dyDescent="0.2">
      <c r="A869" s="34" t="s">
        <v>185</v>
      </c>
      <c r="B869" s="34" t="s">
        <v>86</v>
      </c>
      <c r="C869" s="34" t="s">
        <v>55</v>
      </c>
      <c r="D869" s="34" t="s">
        <v>5</v>
      </c>
      <c r="E869" s="34" t="s">
        <v>107</v>
      </c>
      <c r="F869" s="50" t="s">
        <v>56</v>
      </c>
      <c r="G869" s="34">
        <v>3</v>
      </c>
      <c r="H869" s="34" t="s">
        <v>18</v>
      </c>
      <c r="I869" s="34" t="s">
        <v>21</v>
      </c>
      <c r="J869" s="34">
        <v>1</v>
      </c>
      <c r="K869" s="35">
        <f>VLOOKUP(I869,'Weights and Confidence'!$D$16:$AC$26,5,FALSE)/COUNTIFS($B:$B,$B869,$C:$C,$C869,$H:$H,$H869,$I:$I,$I869)</f>
        <v>0.05</v>
      </c>
      <c r="L869" s="36">
        <f>VLOOKUP(I869,'Weights and Confidence'!$D$16:$AC$26,6,FALSE)</f>
        <v>1</v>
      </c>
      <c r="M869" s="37">
        <f>tScores4[[#This Row],[Raw_Rating_Text]]</f>
        <v>1</v>
      </c>
      <c r="N869" s="58" t="s">
        <v>259</v>
      </c>
    </row>
    <row r="870" spans="1:24" x14ac:dyDescent="0.2">
      <c r="A870" s="38" t="s">
        <v>185</v>
      </c>
      <c r="B870" s="38" t="s">
        <v>86</v>
      </c>
      <c r="C870" s="38" t="s">
        <v>55</v>
      </c>
      <c r="D870" s="38" t="s">
        <v>5</v>
      </c>
      <c r="E870" s="38" t="s">
        <v>107</v>
      </c>
      <c r="F870" s="51" t="s">
        <v>56</v>
      </c>
      <c r="G870" s="38">
        <v>4</v>
      </c>
      <c r="H870" s="38" t="s">
        <v>17</v>
      </c>
      <c r="I870" s="38" t="s">
        <v>22</v>
      </c>
      <c r="J870" s="38">
        <v>1</v>
      </c>
      <c r="K870" s="39">
        <f>VLOOKUP(I870,'Weights and Confidence'!$D$16:$AC$26,5,FALSE)/COUNTIFS($B:$B,$B870,$C:$C,$C870,$H:$H,$H870,$I:$I,$I870)</f>
        <v>0.14000000000000001</v>
      </c>
      <c r="L870" s="40">
        <f>VLOOKUP(I870,'Weights and Confidence'!$D$16:$AC$26,6,FALSE)</f>
        <v>1</v>
      </c>
      <c r="M870" s="41">
        <f>tScores4[[#This Row],[Raw_Rating_Text]]</f>
        <v>1</v>
      </c>
      <c r="N870" s="38"/>
    </row>
    <row r="871" spans="1:24" x14ac:dyDescent="0.2">
      <c r="A871" s="34" t="s">
        <v>185</v>
      </c>
      <c r="B871" s="34" t="s">
        <v>86</v>
      </c>
      <c r="C871" s="34" t="s">
        <v>55</v>
      </c>
      <c r="D871" s="34" t="s">
        <v>5</v>
      </c>
      <c r="E871" s="34" t="s">
        <v>107</v>
      </c>
      <c r="F871" s="50" t="s">
        <v>56</v>
      </c>
      <c r="G871" s="34">
        <v>4</v>
      </c>
      <c r="H871" s="34" t="s">
        <v>18</v>
      </c>
      <c r="I871" s="34" t="s">
        <v>22</v>
      </c>
      <c r="J871" s="34">
        <v>1</v>
      </c>
      <c r="K871" s="35">
        <f>VLOOKUP(I871,'Weights and Confidence'!$D$16:$AC$26,5,FALSE)/COUNTIFS($B:$B,$B871,$C:$C,$C871,$H:$H,$H871,$I:$I,$I871)</f>
        <v>0.14000000000000001</v>
      </c>
      <c r="L871" s="36">
        <f>VLOOKUP(I871,'Weights and Confidence'!$D$16:$AC$26,6,FALSE)</f>
        <v>1</v>
      </c>
      <c r="M871" s="37">
        <f>tScores4[[#This Row],[Raw_Rating_Text]]</f>
        <v>1</v>
      </c>
      <c r="N871" s="58"/>
    </row>
    <row r="872" spans="1:24" x14ac:dyDescent="0.2">
      <c r="A872" s="38" t="s">
        <v>185</v>
      </c>
      <c r="B872" s="38" t="s">
        <v>86</v>
      </c>
      <c r="C872" s="38" t="s">
        <v>55</v>
      </c>
      <c r="D872" s="38" t="s">
        <v>5</v>
      </c>
      <c r="E872" s="38" t="s">
        <v>107</v>
      </c>
      <c r="F872" s="51" t="s">
        <v>56</v>
      </c>
      <c r="G872" s="38">
        <v>5</v>
      </c>
      <c r="H872" s="38" t="s">
        <v>17</v>
      </c>
      <c r="I872" s="38" t="s">
        <v>23</v>
      </c>
      <c r="J872" s="38">
        <v>0</v>
      </c>
      <c r="K872" s="39">
        <f>VLOOKUP(I872,'Weights and Confidence'!$D$16:$AC$26,5,FALSE)/COUNTIFS($B:$B,$B872,$C:$C,$C872,$H:$H,$H872,$I:$I,$I872)</f>
        <v>0.11</v>
      </c>
      <c r="L872" s="40">
        <f>VLOOKUP(I872,'Weights and Confidence'!$D$16:$AC$26,6,FALSE)</f>
        <v>1</v>
      </c>
      <c r="M872" s="41">
        <f>tScores4[[#This Row],[Raw_Rating_Text]]</f>
        <v>0</v>
      </c>
      <c r="N872" s="38"/>
    </row>
    <row r="873" spans="1:24" x14ac:dyDescent="0.2">
      <c r="A873" s="34" t="s">
        <v>185</v>
      </c>
      <c r="B873" s="34" t="s">
        <v>86</v>
      </c>
      <c r="C873" s="34" t="s">
        <v>55</v>
      </c>
      <c r="D873" s="34" t="s">
        <v>5</v>
      </c>
      <c r="E873" s="34" t="s">
        <v>107</v>
      </c>
      <c r="F873" s="50" t="s">
        <v>56</v>
      </c>
      <c r="G873" s="34">
        <v>5</v>
      </c>
      <c r="H873" s="34" t="s">
        <v>18</v>
      </c>
      <c r="I873" s="34" t="s">
        <v>23</v>
      </c>
      <c r="J873" s="34">
        <v>1</v>
      </c>
      <c r="K873" s="35">
        <f>VLOOKUP(I873,'Weights and Confidence'!$D$16:$AC$26,5,FALSE)/COUNTIFS($B:$B,$B873,$C:$C,$C873,$H:$H,$H873,$I:$I,$I873)</f>
        <v>0.11</v>
      </c>
      <c r="L873" s="36">
        <f>VLOOKUP(I873,'Weights and Confidence'!$D$16:$AC$26,6,FALSE)</f>
        <v>1</v>
      </c>
      <c r="M873" s="37">
        <f>tScores4[[#This Row],[Raw_Rating_Text]]</f>
        <v>1</v>
      </c>
      <c r="N873" s="58"/>
    </row>
    <row r="874" spans="1:24" x14ac:dyDescent="0.2">
      <c r="A874" s="38" t="s">
        <v>185</v>
      </c>
      <c r="B874" s="38" t="s">
        <v>86</v>
      </c>
      <c r="C874" s="38" t="s">
        <v>55</v>
      </c>
      <c r="D874" s="38" t="s">
        <v>5</v>
      </c>
      <c r="E874" s="38" t="s">
        <v>107</v>
      </c>
      <c r="F874" s="51" t="s">
        <v>56</v>
      </c>
      <c r="G874" s="38">
        <v>6</v>
      </c>
      <c r="H874" s="38" t="s">
        <v>17</v>
      </c>
      <c r="I874" s="38" t="s">
        <v>24</v>
      </c>
      <c r="J874" s="38">
        <v>0</v>
      </c>
      <c r="K874" s="39">
        <f>VLOOKUP(I874,'Weights and Confidence'!$D$16:$AC$26,5,FALSE)/COUNTIFS($B:$B,$B874,$C:$C,$C874,$H:$H,$H874,$I:$I,$I874)</f>
        <v>0.15</v>
      </c>
      <c r="L874" s="40">
        <f>VLOOKUP(I874,'Weights and Confidence'!$D$16:$AC$26,6,FALSE)</f>
        <v>1</v>
      </c>
      <c r="M874" s="41">
        <f>tScores4[[#This Row],[Raw_Rating_Text]]</f>
        <v>0</v>
      </c>
      <c r="N874" s="59"/>
    </row>
    <row r="875" spans="1:24" x14ac:dyDescent="0.2">
      <c r="A875" s="34" t="s">
        <v>185</v>
      </c>
      <c r="B875" s="34" t="s">
        <v>86</v>
      </c>
      <c r="C875" s="34" t="s">
        <v>55</v>
      </c>
      <c r="D875" s="34" t="s">
        <v>5</v>
      </c>
      <c r="E875" s="34" t="s">
        <v>107</v>
      </c>
      <c r="F875" s="50" t="s">
        <v>56</v>
      </c>
      <c r="G875" s="34">
        <v>6</v>
      </c>
      <c r="H875" s="34" t="s">
        <v>18</v>
      </c>
      <c r="I875" s="34" t="s">
        <v>24</v>
      </c>
      <c r="J875" s="34">
        <v>1</v>
      </c>
      <c r="K875" s="35">
        <f>VLOOKUP(I875,'Weights and Confidence'!$D$16:$AC$26,5,FALSE)/COUNTIFS($B:$B,$B875,$C:$C,$C875,$H:$H,$H875,$I:$I,$I875)</f>
        <v>0.15</v>
      </c>
      <c r="L875" s="36">
        <f>VLOOKUP(I875,'Weights and Confidence'!$D$16:$AC$26,6,FALSE)</f>
        <v>1</v>
      </c>
      <c r="M875" s="37">
        <f>tScores4[[#This Row],[Raw_Rating_Text]]</f>
        <v>1</v>
      </c>
      <c r="N875" s="58" t="s">
        <v>260</v>
      </c>
    </row>
    <row r="876" spans="1:24" x14ac:dyDescent="0.2">
      <c r="A876" s="38" t="s">
        <v>185</v>
      </c>
      <c r="B876" s="38" t="s">
        <v>86</v>
      </c>
      <c r="C876" s="38" t="s">
        <v>55</v>
      </c>
      <c r="D876" s="38" t="s">
        <v>5</v>
      </c>
      <c r="E876" s="38" t="s">
        <v>107</v>
      </c>
      <c r="F876" s="51" t="s">
        <v>56</v>
      </c>
      <c r="G876" s="38">
        <v>7</v>
      </c>
      <c r="H876" s="38" t="s">
        <v>17</v>
      </c>
      <c r="I876" s="38" t="s">
        <v>25</v>
      </c>
      <c r="J876" s="38">
        <v>0</v>
      </c>
      <c r="K876" s="39">
        <f>VLOOKUP(I876,'Weights and Confidence'!$D$16:$AC$26,5,FALSE)/COUNTIFS($B:$B,$B876,$C:$C,$C876,$H:$H,$H876,$I:$I,$I876)</f>
        <v>0.1</v>
      </c>
      <c r="L876" s="40">
        <f>VLOOKUP(I876,'Weights and Confidence'!$D$16:$AC$26,6,FALSE)</f>
        <v>1</v>
      </c>
      <c r="M876" s="41">
        <f>tScores4[[#This Row],[Raw_Rating_Text]]</f>
        <v>0</v>
      </c>
      <c r="N876" s="38"/>
    </row>
    <row r="877" spans="1:24" x14ac:dyDescent="0.2">
      <c r="A877" s="34" t="s">
        <v>185</v>
      </c>
      <c r="B877" s="34" t="s">
        <v>86</v>
      </c>
      <c r="C877" s="34" t="s">
        <v>55</v>
      </c>
      <c r="D877" s="34" t="s">
        <v>5</v>
      </c>
      <c r="E877" s="34" t="s">
        <v>107</v>
      </c>
      <c r="F877" s="50" t="s">
        <v>56</v>
      </c>
      <c r="G877" s="34">
        <v>7</v>
      </c>
      <c r="H877" s="34" t="s">
        <v>18</v>
      </c>
      <c r="I877" s="34" t="s">
        <v>25</v>
      </c>
      <c r="J877" s="34">
        <v>1</v>
      </c>
      <c r="K877" s="35">
        <f>VLOOKUP(I877,'Weights and Confidence'!$D$16:$AC$26,5,FALSE)/COUNTIFS($B:$B,$B877,$C:$C,$C877,$H:$H,$H877,$I:$I,$I877)</f>
        <v>0.1</v>
      </c>
      <c r="L877" s="36">
        <f>VLOOKUP(I877,'Weights and Confidence'!$D$16:$AC$26,6,FALSE)</f>
        <v>1</v>
      </c>
      <c r="M877" s="37">
        <f>tScores4[[#This Row],[Raw_Rating_Text]]</f>
        <v>1</v>
      </c>
      <c r="N877" s="58"/>
    </row>
    <row r="878" spans="1:24" x14ac:dyDescent="0.2">
      <c r="A878" s="38" t="s">
        <v>185</v>
      </c>
      <c r="B878" s="38" t="s">
        <v>86</v>
      </c>
      <c r="C878" s="38" t="s">
        <v>55</v>
      </c>
      <c r="D878" s="38" t="s">
        <v>5</v>
      </c>
      <c r="E878" s="38" t="s">
        <v>107</v>
      </c>
      <c r="F878" s="51" t="s">
        <v>56</v>
      </c>
      <c r="G878" s="38">
        <v>8</v>
      </c>
      <c r="H878" s="38" t="s">
        <v>17</v>
      </c>
      <c r="I878" s="38" t="s">
        <v>26</v>
      </c>
      <c r="J878" s="38">
        <v>1</v>
      </c>
      <c r="K878" s="39">
        <f>VLOOKUP(I878,'Weights and Confidence'!$D$16:$AC$26,5,FALSE)/COUNTIFS($B:$B,$B878,$C:$C,$C878,$H:$H,$H878,$I:$I,$I878)</f>
        <v>0.1</v>
      </c>
      <c r="L878" s="40">
        <f>VLOOKUP(I878,'Weights and Confidence'!$D$16:$AC$26,6,FALSE)</f>
        <v>1</v>
      </c>
      <c r="M878" s="41">
        <f>tScores4[[#This Row],[Raw_Rating_Text]]</f>
        <v>1</v>
      </c>
      <c r="N878" s="38"/>
    </row>
    <row r="879" spans="1:24" x14ac:dyDescent="0.2">
      <c r="A879" s="34" t="s">
        <v>185</v>
      </c>
      <c r="B879" s="34" t="s">
        <v>86</v>
      </c>
      <c r="C879" s="34" t="s">
        <v>55</v>
      </c>
      <c r="D879" s="34" t="s">
        <v>5</v>
      </c>
      <c r="E879" s="34" t="s">
        <v>107</v>
      </c>
      <c r="F879" s="50" t="s">
        <v>56</v>
      </c>
      <c r="G879" s="34">
        <v>8</v>
      </c>
      <c r="H879" s="34" t="s">
        <v>18</v>
      </c>
      <c r="I879" s="34" t="s">
        <v>26</v>
      </c>
      <c r="J879" s="34">
        <v>1</v>
      </c>
      <c r="K879" s="35">
        <f>VLOOKUP(I879,'Weights and Confidence'!$D$16:$AC$26,5,FALSE)/COUNTIFS($B:$B,$B879,$C:$C,$C879,$H:$H,$H879,$I:$I,$I879)</f>
        <v>0.1</v>
      </c>
      <c r="L879" s="36">
        <f>VLOOKUP(I879,'Weights and Confidence'!$D$16:$AC$26,6,FALSE)</f>
        <v>1</v>
      </c>
      <c r="M879" s="37">
        <f>tScores4[[#This Row],[Raw_Rating_Text]]</f>
        <v>1</v>
      </c>
      <c r="N879" s="58" t="s">
        <v>261</v>
      </c>
    </row>
    <row r="880" spans="1:24" x14ac:dyDescent="0.2">
      <c r="A880" s="38" t="s">
        <v>185</v>
      </c>
      <c r="B880" s="38" t="s">
        <v>86</v>
      </c>
      <c r="C880" s="38" t="s">
        <v>55</v>
      </c>
      <c r="D880" s="38" t="s">
        <v>5</v>
      </c>
      <c r="E880" s="38" t="s">
        <v>107</v>
      </c>
      <c r="F880" s="51" t="s">
        <v>56</v>
      </c>
      <c r="G880" s="38">
        <v>9</v>
      </c>
      <c r="H880" s="38" t="s">
        <v>17</v>
      </c>
      <c r="I880" s="38" t="s">
        <v>27</v>
      </c>
      <c r="J880" s="38">
        <v>1</v>
      </c>
      <c r="K880" s="39">
        <f>VLOOKUP(I880,'Weights and Confidence'!$D$16:$AC$26,5,FALSE)/COUNTIFS($B:$B,$B880,$C:$C,$C880,$H:$H,$H880,$I:$I,$I880)</f>
        <v>0.05</v>
      </c>
      <c r="L880" s="40">
        <f>VLOOKUP(I880,'Weights and Confidence'!$D$16:$AC$26,6,FALSE)</f>
        <v>0.85</v>
      </c>
      <c r="M880" s="41">
        <f>tScores4[[#This Row],[Raw_Rating_Text]]</f>
        <v>1</v>
      </c>
      <c r="N880" s="38"/>
    </row>
    <row r="881" spans="1:24" x14ac:dyDescent="0.2">
      <c r="A881" s="34" t="s">
        <v>185</v>
      </c>
      <c r="B881" s="34" t="s">
        <v>86</v>
      </c>
      <c r="C881" s="34" t="s">
        <v>55</v>
      </c>
      <c r="D881" s="34" t="s">
        <v>5</v>
      </c>
      <c r="E881" s="34" t="s">
        <v>107</v>
      </c>
      <c r="F881" s="50" t="s">
        <v>56</v>
      </c>
      <c r="G881" s="34">
        <v>9</v>
      </c>
      <c r="H881" s="34" t="s">
        <v>18</v>
      </c>
      <c r="I881" s="34" t="s">
        <v>27</v>
      </c>
      <c r="J881" s="34">
        <v>1</v>
      </c>
      <c r="K881" s="35">
        <f>VLOOKUP(I881,'Weights and Confidence'!$D$16:$AC$26,5,FALSE)/COUNTIFS($B:$B,$B881,$C:$C,$C881,$H:$H,$H881,$I:$I,$I881)</f>
        <v>0.05</v>
      </c>
      <c r="L881" s="36">
        <f>VLOOKUP(I881,'Weights and Confidence'!$D$16:$AC$26,6,FALSE)</f>
        <v>0.85</v>
      </c>
      <c r="M881" s="37">
        <f>tScores4[[#This Row],[Raw_Rating_Text]]</f>
        <v>1</v>
      </c>
      <c r="N881" s="58"/>
    </row>
    <row r="882" spans="1:24" x14ac:dyDescent="0.2">
      <c r="A882" s="38" t="s">
        <v>185</v>
      </c>
      <c r="B882" s="38" t="s">
        <v>86</v>
      </c>
      <c r="C882" s="38" t="s">
        <v>55</v>
      </c>
      <c r="D882" s="38" t="s">
        <v>5</v>
      </c>
      <c r="E882" s="38" t="s">
        <v>107</v>
      </c>
      <c r="F882" s="51" t="s">
        <v>56</v>
      </c>
      <c r="G882" s="38">
        <v>10</v>
      </c>
      <c r="H882" s="38" t="s">
        <v>17</v>
      </c>
      <c r="I882" s="38" t="s">
        <v>27</v>
      </c>
      <c r="J882" s="38">
        <v>0</v>
      </c>
      <c r="K882" s="39">
        <f>VLOOKUP(I882,'Weights and Confidence'!$D$16:$AC$26,5,FALSE)/COUNTIFS($B:$B,$B882,$C:$C,$C882,$H:$H,$H882,$I:$I,$I882)</f>
        <v>0.05</v>
      </c>
      <c r="L882" s="40">
        <f>VLOOKUP(I882,'Weights and Confidence'!$D$16:$AC$26,6,FALSE)</f>
        <v>0.85</v>
      </c>
      <c r="M882" s="41">
        <f>tScores4[[#This Row],[Raw_Rating_Text]]</f>
        <v>0</v>
      </c>
      <c r="N882" s="38"/>
    </row>
    <row r="883" spans="1:24" x14ac:dyDescent="0.2">
      <c r="A883" s="34" t="s">
        <v>185</v>
      </c>
      <c r="B883" s="34" t="s">
        <v>86</v>
      </c>
      <c r="C883" s="34" t="s">
        <v>55</v>
      </c>
      <c r="D883" s="34" t="s">
        <v>5</v>
      </c>
      <c r="E883" s="34" t="s">
        <v>107</v>
      </c>
      <c r="F883" s="50" t="s">
        <v>56</v>
      </c>
      <c r="G883" s="34">
        <v>10</v>
      </c>
      <c r="H883" s="34" t="s">
        <v>18</v>
      </c>
      <c r="I883" s="34" t="s">
        <v>27</v>
      </c>
      <c r="J883" s="34">
        <v>1</v>
      </c>
      <c r="K883" s="35">
        <f>VLOOKUP(I883,'Weights and Confidence'!$D$16:$AC$26,5,FALSE)/COUNTIFS($B:$B,$B883,$C:$C,$C883,$H:$H,$H883,$I:$I,$I883)</f>
        <v>0.05</v>
      </c>
      <c r="L883" s="36">
        <f>VLOOKUP(I883,'Weights and Confidence'!$D$16:$AC$26,6,FALSE)</f>
        <v>0.85</v>
      </c>
      <c r="M883" s="37">
        <f>tScores4[[#This Row],[Raw_Rating_Text]]</f>
        <v>1</v>
      </c>
      <c r="N883" s="34"/>
    </row>
    <row r="884" spans="1:24" x14ac:dyDescent="0.2">
      <c r="A884" s="38" t="s">
        <v>185</v>
      </c>
      <c r="B884" s="38" t="s">
        <v>86</v>
      </c>
      <c r="C884" s="38" t="s">
        <v>55</v>
      </c>
      <c r="D884" s="38" t="s">
        <v>5</v>
      </c>
      <c r="E884" s="38" t="s">
        <v>107</v>
      </c>
      <c r="F884" s="51" t="s">
        <v>56</v>
      </c>
      <c r="G884" s="38">
        <v>11</v>
      </c>
      <c r="H884" s="38" t="s">
        <v>17</v>
      </c>
      <c r="I884" s="38" t="s">
        <v>28</v>
      </c>
      <c r="J884" s="38">
        <v>0</v>
      </c>
      <c r="K884" s="39">
        <f>VLOOKUP(I884,'Weights and Confidence'!$D$16:$AC$26,5,FALSE)/COUNTIFS($B:$B,$B884,$C:$C,$C884,$H:$H,$H884,$I:$I,$I884)</f>
        <v>0.05</v>
      </c>
      <c r="L884" s="40">
        <f>VLOOKUP(I884,'Weights and Confidence'!$D$16:$AC$26,6,FALSE)</f>
        <v>1</v>
      </c>
      <c r="M884" s="41">
        <f>tScores4[[#This Row],[Raw_Rating_Text]]</f>
        <v>0</v>
      </c>
      <c r="N884" s="38"/>
    </row>
    <row r="885" spans="1:24" ht="17" thickBot="1" x14ac:dyDescent="0.25">
      <c r="A885" s="34" t="s">
        <v>185</v>
      </c>
      <c r="B885" s="34" t="s">
        <v>86</v>
      </c>
      <c r="C885" s="34" t="s">
        <v>55</v>
      </c>
      <c r="D885" s="34" t="s">
        <v>5</v>
      </c>
      <c r="E885" s="34" t="s">
        <v>107</v>
      </c>
      <c r="F885" s="50" t="s">
        <v>56</v>
      </c>
      <c r="G885" s="34">
        <v>11</v>
      </c>
      <c r="H885" s="34" t="s">
        <v>18</v>
      </c>
      <c r="I885" s="34" t="s">
        <v>28</v>
      </c>
      <c r="J885" s="34">
        <v>1</v>
      </c>
      <c r="K885" s="35">
        <f>VLOOKUP(I885,'Weights and Confidence'!$D$16:$AC$26,5,FALSE)/COUNTIFS($B:$B,$B885,$C:$C,$C885,$H:$H,$H885,$I:$I,$I885)</f>
        <v>0.05</v>
      </c>
      <c r="L885" s="36">
        <f>VLOOKUP(I885,'Weights and Confidence'!$D$16:$AC$26,6,FALSE)</f>
        <v>1</v>
      </c>
      <c r="M885" s="37">
        <f>tScores4[[#This Row],[Raw_Rating_Text]]</f>
        <v>1</v>
      </c>
      <c r="N885" s="58" t="s">
        <v>262</v>
      </c>
    </row>
    <row r="886" spans="1:24" ht="17" thickTop="1" x14ac:dyDescent="0.2">
      <c r="A886" s="42" t="s">
        <v>185</v>
      </c>
      <c r="B886" s="42" t="s">
        <v>86</v>
      </c>
      <c r="C886" s="42" t="s">
        <v>59</v>
      </c>
      <c r="D886" s="42" t="s">
        <v>5</v>
      </c>
      <c r="E886" s="42" t="s">
        <v>103</v>
      </c>
      <c r="F886" s="49" t="s">
        <v>60</v>
      </c>
      <c r="G886" s="42">
        <v>1</v>
      </c>
      <c r="H886" s="42" t="s">
        <v>17</v>
      </c>
      <c r="I886" s="42" t="s">
        <v>19</v>
      </c>
      <c r="J886" s="42">
        <v>1</v>
      </c>
      <c r="K886" s="44">
        <f>VLOOKUP(I886,'Weights and Confidence'!$D$16:$AC$26,5,FALSE)/COUNTIFS($B:$B,$B886,$C:$C,$C886,$H:$H,$H886,$I:$I,$I886)</f>
        <v>0.12</v>
      </c>
      <c r="L886" s="45">
        <f>VLOOKUP(I886,'Weights and Confidence'!$D$16:$AC$26,6,FALSE)</f>
        <v>1</v>
      </c>
      <c r="M886" s="46">
        <f>tScores4[[#This Row],[Raw_Rating_Text]]</f>
        <v>1</v>
      </c>
      <c r="N886" s="42"/>
    </row>
    <row r="887" spans="1:24" x14ac:dyDescent="0.2">
      <c r="A887" s="34" t="s">
        <v>185</v>
      </c>
      <c r="B887" s="34" t="s">
        <v>86</v>
      </c>
      <c r="C887" s="34" t="s">
        <v>59</v>
      </c>
      <c r="D887" s="34" t="s">
        <v>5</v>
      </c>
      <c r="E887" s="34" t="s">
        <v>103</v>
      </c>
      <c r="F887" s="50" t="s">
        <v>60</v>
      </c>
      <c r="G887" s="34">
        <v>1</v>
      </c>
      <c r="H887" s="34" t="s">
        <v>18</v>
      </c>
      <c r="I887" s="34" t="s">
        <v>19</v>
      </c>
      <c r="J887" s="34">
        <v>1</v>
      </c>
      <c r="K887" s="35">
        <f>VLOOKUP(I887,'Weights and Confidence'!$D$16:$AC$26,5,FALSE)/COUNTIFS($B:$B,$B887,$C:$C,$C887,$H:$H,$H887,$I:$I,$I887)</f>
        <v>0.12</v>
      </c>
      <c r="L887" s="36">
        <f>VLOOKUP(I887,'Weights and Confidence'!$D$16:$AC$26,6,FALSE)</f>
        <v>1</v>
      </c>
      <c r="M887" s="37">
        <f>tScores4[[#This Row],[Raw_Rating_Text]]</f>
        <v>1</v>
      </c>
      <c r="N887" s="58" t="s">
        <v>266</v>
      </c>
    </row>
    <row r="888" spans="1:24" ht="17" thickBot="1" x14ac:dyDescent="0.25">
      <c r="A888" s="38" t="s">
        <v>185</v>
      </c>
      <c r="B888" s="38" t="s">
        <v>86</v>
      </c>
      <c r="C888" s="38" t="s">
        <v>59</v>
      </c>
      <c r="D888" s="38" t="s">
        <v>5</v>
      </c>
      <c r="E888" s="38" t="s">
        <v>103</v>
      </c>
      <c r="F888" s="51" t="s">
        <v>60</v>
      </c>
      <c r="G888" s="38">
        <v>2</v>
      </c>
      <c r="H888" s="38" t="s">
        <v>17</v>
      </c>
      <c r="I888" s="38" t="s">
        <v>20</v>
      </c>
      <c r="J888" s="38">
        <v>1</v>
      </c>
      <c r="K888" s="39">
        <f>VLOOKUP(I888,'Weights and Confidence'!$D$16:$AC$26,5,FALSE)/COUNTIFS($B:$B,$B888,$C:$C,$C888,$H:$H,$H888,$I:$I,$I888)</f>
        <v>0.08</v>
      </c>
      <c r="L888" s="40">
        <f>VLOOKUP(I888,'Weights and Confidence'!$D$16:$AC$26,6,FALSE)</f>
        <v>0.8</v>
      </c>
      <c r="M888" s="41">
        <f>tScores4[[#This Row],[Raw_Rating_Text]]</f>
        <v>1</v>
      </c>
      <c r="N888" s="38"/>
    </row>
    <row r="889" spans="1:24" x14ac:dyDescent="0.2">
      <c r="A889" s="34" t="s">
        <v>185</v>
      </c>
      <c r="B889" s="34" t="s">
        <v>86</v>
      </c>
      <c r="C889" s="34" t="s">
        <v>59</v>
      </c>
      <c r="D889" s="34" t="s">
        <v>5</v>
      </c>
      <c r="E889" s="34" t="s">
        <v>103</v>
      </c>
      <c r="F889" s="50" t="s">
        <v>60</v>
      </c>
      <c r="G889" s="34">
        <v>2</v>
      </c>
      <c r="H889" s="34" t="s">
        <v>18</v>
      </c>
      <c r="I889" s="34" t="s">
        <v>20</v>
      </c>
      <c r="J889" s="34">
        <v>1</v>
      </c>
      <c r="K889" s="35">
        <f>VLOOKUP(I889,'Weights and Confidence'!$D$16:$AC$26,5,FALSE)/COUNTIFS($B:$B,$B889,$C:$C,$C889,$H:$H,$H889,$I:$I,$I889)</f>
        <v>0.08</v>
      </c>
      <c r="L889" s="36">
        <f>VLOOKUP(I889,'Weights and Confidence'!$D$16:$AC$26,6,FALSE)</f>
        <v>0.8</v>
      </c>
      <c r="M889" s="37">
        <f>tScores4[[#This Row],[Raw_Rating_Text]]</f>
        <v>1</v>
      </c>
      <c r="N889" s="58"/>
      <c r="P889" s="24" t="s">
        <v>270</v>
      </c>
      <c r="Q889" s="10"/>
      <c r="R889" s="10"/>
      <c r="S889" s="10"/>
      <c r="T889" s="10"/>
      <c r="U889" s="10"/>
      <c r="V889" s="10"/>
      <c r="W889" s="10"/>
      <c r="X889" s="11"/>
    </row>
    <row r="890" spans="1:24" ht="17" thickBot="1" x14ac:dyDescent="0.25">
      <c r="A890" s="38" t="s">
        <v>185</v>
      </c>
      <c r="B890" s="38" t="s">
        <v>86</v>
      </c>
      <c r="C890" s="38" t="s">
        <v>59</v>
      </c>
      <c r="D890" s="38" t="s">
        <v>5</v>
      </c>
      <c r="E890" s="38" t="s">
        <v>103</v>
      </c>
      <c r="F890" s="51" t="s">
        <v>60</v>
      </c>
      <c r="G890" s="38">
        <v>3</v>
      </c>
      <c r="H890" s="38" t="s">
        <v>17</v>
      </c>
      <c r="I890" s="38" t="s">
        <v>21</v>
      </c>
      <c r="J890" s="38">
        <v>1</v>
      </c>
      <c r="K890" s="39">
        <f>VLOOKUP(I890,'Weights and Confidence'!$D$16:$AC$26,5,FALSE)/COUNTIFS($B:$B,$B890,$C:$C,$C890,$H:$H,$H890,$I:$I,$I890)</f>
        <v>0.05</v>
      </c>
      <c r="L890" s="40">
        <f>VLOOKUP(I890,'Weights and Confidence'!$D$16:$AC$26,6,FALSE)</f>
        <v>1</v>
      </c>
      <c r="M890" s="41">
        <f>tScores4[[#This Row],[Raw_Rating_Text]]</f>
        <v>1</v>
      </c>
      <c r="N890" s="38"/>
      <c r="P890" s="26" t="s">
        <v>271</v>
      </c>
      <c r="Q890" s="2"/>
      <c r="R890" s="2"/>
      <c r="S890" s="2"/>
      <c r="T890" s="2"/>
      <c r="U890" s="2"/>
      <c r="V890" s="2"/>
      <c r="W890" s="2"/>
      <c r="X890" s="5"/>
    </row>
    <row r="891" spans="1:24" x14ac:dyDescent="0.2">
      <c r="A891" s="34" t="s">
        <v>185</v>
      </c>
      <c r="B891" s="34" t="s">
        <v>86</v>
      </c>
      <c r="C891" s="34" t="s">
        <v>59</v>
      </c>
      <c r="D891" s="34" t="s">
        <v>5</v>
      </c>
      <c r="E891" s="34" t="s">
        <v>103</v>
      </c>
      <c r="F891" s="50" t="s">
        <v>60</v>
      </c>
      <c r="G891" s="34">
        <v>3</v>
      </c>
      <c r="H891" s="34" t="s">
        <v>18</v>
      </c>
      <c r="I891" s="34" t="s">
        <v>21</v>
      </c>
      <c r="J891" s="34">
        <v>1</v>
      </c>
      <c r="K891" s="35">
        <f>VLOOKUP(I891,'Weights and Confidence'!$D$16:$AC$26,5,FALSE)/COUNTIFS($B:$B,$B891,$C:$C,$C891,$H:$H,$H891,$I:$I,$I891)</f>
        <v>0.05</v>
      </c>
      <c r="L891" s="36">
        <f>VLOOKUP(I891,'Weights and Confidence'!$D$16:$AC$26,6,FALSE)</f>
        <v>1</v>
      </c>
      <c r="M891" s="37">
        <f>tScores4[[#This Row],[Raw_Rating_Text]]</f>
        <v>1</v>
      </c>
      <c r="N891" s="58"/>
    </row>
    <row r="892" spans="1:24" x14ac:dyDescent="0.2">
      <c r="A892" s="38" t="s">
        <v>185</v>
      </c>
      <c r="B892" s="38" t="s">
        <v>86</v>
      </c>
      <c r="C892" s="38" t="s">
        <v>59</v>
      </c>
      <c r="D892" s="38" t="s">
        <v>5</v>
      </c>
      <c r="E892" s="38" t="s">
        <v>103</v>
      </c>
      <c r="F892" s="51" t="s">
        <v>60</v>
      </c>
      <c r="G892" s="38">
        <v>4</v>
      </c>
      <c r="H892" s="38" t="s">
        <v>17</v>
      </c>
      <c r="I892" s="38" t="s">
        <v>22</v>
      </c>
      <c r="J892" s="38">
        <v>1</v>
      </c>
      <c r="K892" s="39">
        <f>VLOOKUP(I892,'Weights and Confidence'!$D$16:$AC$26,5,FALSE)/COUNTIFS($B:$B,$B892,$C:$C,$C892,$H:$H,$H892,$I:$I,$I892)</f>
        <v>0.14000000000000001</v>
      </c>
      <c r="L892" s="40">
        <f>VLOOKUP(I892,'Weights and Confidence'!$D$16:$AC$26,6,FALSE)</f>
        <v>1</v>
      </c>
      <c r="M892" s="41">
        <f>tScores4[[#This Row],[Raw_Rating_Text]]</f>
        <v>1</v>
      </c>
      <c r="N892" s="38"/>
    </row>
    <row r="893" spans="1:24" x14ac:dyDescent="0.2">
      <c r="A893" s="34" t="s">
        <v>185</v>
      </c>
      <c r="B893" s="34" t="s">
        <v>86</v>
      </c>
      <c r="C893" s="34" t="s">
        <v>59</v>
      </c>
      <c r="D893" s="34" t="s">
        <v>5</v>
      </c>
      <c r="E893" s="34" t="s">
        <v>103</v>
      </c>
      <c r="F893" s="50" t="s">
        <v>60</v>
      </c>
      <c r="G893" s="34">
        <v>4</v>
      </c>
      <c r="H893" s="34" t="s">
        <v>18</v>
      </c>
      <c r="I893" s="34" t="s">
        <v>22</v>
      </c>
      <c r="J893" s="34">
        <v>1</v>
      </c>
      <c r="K893" s="35">
        <f>VLOOKUP(I893,'Weights and Confidence'!$D$16:$AC$26,5,FALSE)/COUNTIFS($B:$B,$B893,$C:$C,$C893,$H:$H,$H893,$I:$I,$I893)</f>
        <v>0.14000000000000001</v>
      </c>
      <c r="L893" s="36">
        <f>VLOOKUP(I893,'Weights and Confidence'!$D$16:$AC$26,6,FALSE)</f>
        <v>1</v>
      </c>
      <c r="M893" s="37">
        <f>tScores4[[#This Row],[Raw_Rating_Text]]</f>
        <v>1</v>
      </c>
      <c r="N893" s="58" t="s">
        <v>267</v>
      </c>
    </row>
    <row r="894" spans="1:24" x14ac:dyDescent="0.2">
      <c r="A894" s="38" t="s">
        <v>185</v>
      </c>
      <c r="B894" s="38" t="s">
        <v>86</v>
      </c>
      <c r="C894" s="38" t="s">
        <v>59</v>
      </c>
      <c r="D894" s="38" t="s">
        <v>5</v>
      </c>
      <c r="E894" s="38" t="s">
        <v>103</v>
      </c>
      <c r="F894" s="51" t="s">
        <v>60</v>
      </c>
      <c r="G894" s="38">
        <v>5</v>
      </c>
      <c r="H894" s="38" t="s">
        <v>17</v>
      </c>
      <c r="I894" s="38" t="s">
        <v>23</v>
      </c>
      <c r="J894" s="38">
        <v>1</v>
      </c>
      <c r="K894" s="39">
        <f>VLOOKUP(I894,'Weights and Confidence'!$D$16:$AC$26,5,FALSE)/COUNTIFS($B:$B,$B894,$C:$C,$C894,$H:$H,$H894,$I:$I,$I894)</f>
        <v>0.11</v>
      </c>
      <c r="L894" s="40">
        <f>VLOOKUP(I894,'Weights and Confidence'!$D$16:$AC$26,6,FALSE)</f>
        <v>1</v>
      </c>
      <c r="M894" s="41">
        <f>tScores4[[#This Row],[Raw_Rating_Text]]</f>
        <v>1</v>
      </c>
      <c r="N894" s="38"/>
    </row>
    <row r="895" spans="1:24" x14ac:dyDescent="0.2">
      <c r="A895" s="34" t="s">
        <v>185</v>
      </c>
      <c r="B895" s="34" t="s">
        <v>86</v>
      </c>
      <c r="C895" s="34" t="s">
        <v>59</v>
      </c>
      <c r="D895" s="34" t="s">
        <v>5</v>
      </c>
      <c r="E895" s="34" t="s">
        <v>103</v>
      </c>
      <c r="F895" s="50" t="s">
        <v>60</v>
      </c>
      <c r="G895" s="34">
        <v>5</v>
      </c>
      <c r="H895" s="34" t="s">
        <v>18</v>
      </c>
      <c r="I895" s="34" t="s">
        <v>23</v>
      </c>
      <c r="J895" s="34">
        <v>1</v>
      </c>
      <c r="K895" s="35">
        <f>VLOOKUP(I895,'Weights and Confidence'!$D$16:$AC$26,5,FALSE)/COUNTIFS($B:$B,$B895,$C:$C,$C895,$H:$H,$H895,$I:$I,$I895)</f>
        <v>0.11</v>
      </c>
      <c r="L895" s="36">
        <f>VLOOKUP(I895,'Weights and Confidence'!$D$16:$AC$26,6,FALSE)</f>
        <v>1</v>
      </c>
      <c r="M895" s="37">
        <f>tScores4[[#This Row],[Raw_Rating_Text]]</f>
        <v>1</v>
      </c>
      <c r="N895" s="58" t="s">
        <v>268</v>
      </c>
    </row>
    <row r="896" spans="1:24" x14ac:dyDescent="0.2">
      <c r="A896" s="38" t="s">
        <v>185</v>
      </c>
      <c r="B896" s="38" t="s">
        <v>86</v>
      </c>
      <c r="C896" s="38" t="s">
        <v>59</v>
      </c>
      <c r="D896" s="38" t="s">
        <v>5</v>
      </c>
      <c r="E896" s="38" t="s">
        <v>103</v>
      </c>
      <c r="F896" s="51" t="s">
        <v>60</v>
      </c>
      <c r="G896" s="38">
        <v>6</v>
      </c>
      <c r="H896" s="38" t="s">
        <v>17</v>
      </c>
      <c r="I896" s="38" t="s">
        <v>24</v>
      </c>
      <c r="J896" s="38">
        <v>1</v>
      </c>
      <c r="K896" s="39">
        <f>VLOOKUP(I896,'Weights and Confidence'!$D$16:$AC$26,5,FALSE)/COUNTIFS($B:$B,$B896,$C:$C,$C896,$H:$H,$H896,$I:$I,$I896)</f>
        <v>0.15</v>
      </c>
      <c r="L896" s="40">
        <f>VLOOKUP(I896,'Weights and Confidence'!$D$16:$AC$26,6,FALSE)</f>
        <v>1</v>
      </c>
      <c r="M896" s="41">
        <f>tScores4[[#This Row],[Raw_Rating_Text]]</f>
        <v>1</v>
      </c>
      <c r="N896" s="59"/>
    </row>
    <row r="897" spans="1:24" x14ac:dyDescent="0.2">
      <c r="A897" s="34" t="s">
        <v>185</v>
      </c>
      <c r="B897" s="34" t="s">
        <v>86</v>
      </c>
      <c r="C897" s="34" t="s">
        <v>59</v>
      </c>
      <c r="D897" s="34" t="s">
        <v>5</v>
      </c>
      <c r="E897" s="34" t="s">
        <v>103</v>
      </c>
      <c r="F897" s="50" t="s">
        <v>60</v>
      </c>
      <c r="G897" s="34">
        <v>6</v>
      </c>
      <c r="H897" s="34" t="s">
        <v>18</v>
      </c>
      <c r="I897" s="34" t="s">
        <v>24</v>
      </c>
      <c r="J897" s="34">
        <v>1</v>
      </c>
      <c r="K897" s="35">
        <f>VLOOKUP(I897,'Weights and Confidence'!$D$16:$AC$26,5,FALSE)/COUNTIFS($B:$B,$B897,$C:$C,$C897,$H:$H,$H897,$I:$I,$I897)</f>
        <v>0.15</v>
      </c>
      <c r="L897" s="36">
        <f>VLOOKUP(I897,'Weights and Confidence'!$D$16:$AC$26,6,FALSE)</f>
        <v>1</v>
      </c>
      <c r="M897" s="37">
        <f>tScores4[[#This Row],[Raw_Rating_Text]]</f>
        <v>1</v>
      </c>
      <c r="N897" s="58"/>
    </row>
    <row r="898" spans="1:24" x14ac:dyDescent="0.2">
      <c r="A898" s="38" t="s">
        <v>185</v>
      </c>
      <c r="B898" s="38" t="s">
        <v>86</v>
      </c>
      <c r="C898" s="38" t="s">
        <v>59</v>
      </c>
      <c r="D898" s="38" t="s">
        <v>5</v>
      </c>
      <c r="E898" s="38" t="s">
        <v>103</v>
      </c>
      <c r="F898" s="51" t="s">
        <v>60</v>
      </c>
      <c r="G898" s="38">
        <v>7</v>
      </c>
      <c r="H898" s="38" t="s">
        <v>17</v>
      </c>
      <c r="I898" s="38" t="s">
        <v>25</v>
      </c>
      <c r="J898" s="38">
        <v>1</v>
      </c>
      <c r="K898" s="39">
        <f>VLOOKUP(I898,'Weights and Confidence'!$D$16:$AC$26,5,FALSE)/COUNTIFS($B:$B,$B898,$C:$C,$C898,$H:$H,$H898,$I:$I,$I898)</f>
        <v>0.1</v>
      </c>
      <c r="L898" s="40">
        <f>VLOOKUP(I898,'Weights and Confidence'!$D$16:$AC$26,6,FALSE)</f>
        <v>1</v>
      </c>
      <c r="M898" s="41">
        <f>tScores4[[#This Row],[Raw_Rating_Text]]</f>
        <v>1</v>
      </c>
      <c r="N898" s="38"/>
    </row>
    <row r="899" spans="1:24" x14ac:dyDescent="0.2">
      <c r="A899" s="34" t="s">
        <v>185</v>
      </c>
      <c r="B899" s="34" t="s">
        <v>86</v>
      </c>
      <c r="C899" s="34" t="s">
        <v>59</v>
      </c>
      <c r="D899" s="34" t="s">
        <v>5</v>
      </c>
      <c r="E899" s="34" t="s">
        <v>103</v>
      </c>
      <c r="F899" s="50" t="s">
        <v>60</v>
      </c>
      <c r="G899" s="34">
        <v>7</v>
      </c>
      <c r="H899" s="34" t="s">
        <v>18</v>
      </c>
      <c r="I899" s="34" t="s">
        <v>25</v>
      </c>
      <c r="J899" s="34">
        <v>1</v>
      </c>
      <c r="K899" s="35">
        <f>VLOOKUP(I899,'Weights and Confidence'!$D$16:$AC$26,5,FALSE)/COUNTIFS($B:$B,$B899,$C:$C,$C899,$H:$H,$H899,$I:$I,$I899)</f>
        <v>0.1</v>
      </c>
      <c r="L899" s="36">
        <f>VLOOKUP(I899,'Weights and Confidence'!$D$16:$AC$26,6,FALSE)</f>
        <v>1</v>
      </c>
      <c r="M899" s="37">
        <f>tScores4[[#This Row],[Raw_Rating_Text]]</f>
        <v>1</v>
      </c>
      <c r="N899" s="58"/>
    </row>
    <row r="900" spans="1:24" x14ac:dyDescent="0.2">
      <c r="A900" s="38" t="s">
        <v>185</v>
      </c>
      <c r="B900" s="38" t="s">
        <v>86</v>
      </c>
      <c r="C900" s="38" t="s">
        <v>59</v>
      </c>
      <c r="D900" s="38" t="s">
        <v>5</v>
      </c>
      <c r="E900" s="38" t="s">
        <v>103</v>
      </c>
      <c r="F900" s="51" t="s">
        <v>60</v>
      </c>
      <c r="G900" s="38">
        <v>8</v>
      </c>
      <c r="H900" s="38" t="s">
        <v>17</v>
      </c>
      <c r="I900" s="38" t="s">
        <v>26</v>
      </c>
      <c r="J900" s="38">
        <v>1</v>
      </c>
      <c r="K900" s="39">
        <f>VLOOKUP(I900,'Weights and Confidence'!$D$16:$AC$26,5,FALSE)/COUNTIFS($B:$B,$B900,$C:$C,$C900,$H:$H,$H900,$I:$I,$I900)</f>
        <v>0.1</v>
      </c>
      <c r="L900" s="40">
        <f>VLOOKUP(I900,'Weights and Confidence'!$D$16:$AC$26,6,FALSE)</f>
        <v>1</v>
      </c>
      <c r="M900" s="41">
        <f>tScores4[[#This Row],[Raw_Rating_Text]]</f>
        <v>1</v>
      </c>
      <c r="N900" s="38"/>
    </row>
    <row r="901" spans="1:24" x14ac:dyDescent="0.2">
      <c r="A901" s="34" t="s">
        <v>185</v>
      </c>
      <c r="B901" s="34" t="s">
        <v>86</v>
      </c>
      <c r="C901" s="34" t="s">
        <v>59</v>
      </c>
      <c r="D901" s="34" t="s">
        <v>5</v>
      </c>
      <c r="E901" s="34" t="s">
        <v>103</v>
      </c>
      <c r="F901" s="50" t="s">
        <v>60</v>
      </c>
      <c r="G901" s="34">
        <v>8</v>
      </c>
      <c r="H901" s="34" t="s">
        <v>18</v>
      </c>
      <c r="I901" s="34" t="s">
        <v>26</v>
      </c>
      <c r="J901" s="34">
        <v>1</v>
      </c>
      <c r="K901" s="35">
        <f>VLOOKUP(I901,'Weights and Confidence'!$D$16:$AC$26,5,FALSE)/COUNTIFS($B:$B,$B901,$C:$C,$C901,$H:$H,$H901,$I:$I,$I901)</f>
        <v>0.1</v>
      </c>
      <c r="L901" s="36">
        <f>VLOOKUP(I901,'Weights and Confidence'!$D$16:$AC$26,6,FALSE)</f>
        <v>1</v>
      </c>
      <c r="M901" s="37">
        <f>tScores4[[#This Row],[Raw_Rating_Text]]</f>
        <v>1</v>
      </c>
      <c r="N901" s="58"/>
    </row>
    <row r="902" spans="1:24" x14ac:dyDescent="0.2">
      <c r="A902" s="38" t="s">
        <v>185</v>
      </c>
      <c r="B902" s="38" t="s">
        <v>86</v>
      </c>
      <c r="C902" s="38" t="s">
        <v>59</v>
      </c>
      <c r="D902" s="38" t="s">
        <v>5</v>
      </c>
      <c r="E902" s="38" t="s">
        <v>103</v>
      </c>
      <c r="F902" s="51" t="s">
        <v>60</v>
      </c>
      <c r="G902" s="38">
        <v>9</v>
      </c>
      <c r="H902" s="38" t="s">
        <v>17</v>
      </c>
      <c r="I902" s="38" t="s">
        <v>27</v>
      </c>
      <c r="J902" s="38">
        <v>0</v>
      </c>
      <c r="K902" s="39">
        <f>VLOOKUP(I902,'Weights and Confidence'!$D$16:$AC$26,5,FALSE)/COUNTIFS($B:$B,$B902,$C:$C,$C902,$H:$H,$H902,$I:$I,$I902)</f>
        <v>0.05</v>
      </c>
      <c r="L902" s="40">
        <f>VLOOKUP(I902,'Weights and Confidence'!$D$16:$AC$26,6,FALSE)</f>
        <v>0.85</v>
      </c>
      <c r="M902" s="41">
        <f>tScores4[[#This Row],[Raw_Rating_Text]]</f>
        <v>0</v>
      </c>
      <c r="N902" s="38"/>
    </row>
    <row r="903" spans="1:24" x14ac:dyDescent="0.2">
      <c r="A903" s="34" t="s">
        <v>185</v>
      </c>
      <c r="B903" s="34" t="s">
        <v>86</v>
      </c>
      <c r="C903" s="34" t="s">
        <v>59</v>
      </c>
      <c r="D903" s="34" t="s">
        <v>5</v>
      </c>
      <c r="E903" s="34" t="s">
        <v>103</v>
      </c>
      <c r="F903" s="50" t="s">
        <v>60</v>
      </c>
      <c r="G903" s="34">
        <v>9</v>
      </c>
      <c r="H903" s="34" t="s">
        <v>18</v>
      </c>
      <c r="I903" s="34" t="s">
        <v>27</v>
      </c>
      <c r="J903" s="34">
        <v>1</v>
      </c>
      <c r="K903" s="35">
        <f>VLOOKUP(I903,'Weights and Confidence'!$D$16:$AC$26,5,FALSE)/COUNTIFS($B:$B,$B903,$C:$C,$C903,$H:$H,$H903,$I:$I,$I903)</f>
        <v>0.05</v>
      </c>
      <c r="L903" s="36">
        <f>VLOOKUP(I903,'Weights and Confidence'!$D$16:$AC$26,6,FALSE)</f>
        <v>0.85</v>
      </c>
      <c r="M903" s="37">
        <f>tScores4[[#This Row],[Raw_Rating_Text]]</f>
        <v>1</v>
      </c>
      <c r="N903" s="58"/>
    </row>
    <row r="904" spans="1:24" x14ac:dyDescent="0.2">
      <c r="A904" s="38" t="s">
        <v>185</v>
      </c>
      <c r="B904" s="38" t="s">
        <v>86</v>
      </c>
      <c r="C904" s="38" t="s">
        <v>59</v>
      </c>
      <c r="D904" s="38" t="s">
        <v>5</v>
      </c>
      <c r="E904" s="38" t="s">
        <v>103</v>
      </c>
      <c r="F904" s="51" t="s">
        <v>60</v>
      </c>
      <c r="G904" s="38">
        <v>10</v>
      </c>
      <c r="H904" s="38" t="s">
        <v>17</v>
      </c>
      <c r="I904" s="38" t="s">
        <v>27</v>
      </c>
      <c r="J904" s="38">
        <v>0</v>
      </c>
      <c r="K904" s="39">
        <f>VLOOKUP(I904,'Weights and Confidence'!$D$16:$AC$26,5,FALSE)/COUNTIFS($B:$B,$B904,$C:$C,$C904,$H:$H,$H904,$I:$I,$I904)</f>
        <v>0.05</v>
      </c>
      <c r="L904" s="40">
        <f>VLOOKUP(I904,'Weights and Confidence'!$D$16:$AC$26,6,FALSE)</f>
        <v>0.85</v>
      </c>
      <c r="M904" s="41">
        <f>tScores4[[#This Row],[Raw_Rating_Text]]</f>
        <v>0</v>
      </c>
      <c r="N904" s="38"/>
    </row>
    <row r="905" spans="1:24" x14ac:dyDescent="0.2">
      <c r="A905" s="34" t="s">
        <v>185</v>
      </c>
      <c r="B905" s="34" t="s">
        <v>86</v>
      </c>
      <c r="C905" s="34" t="s">
        <v>59</v>
      </c>
      <c r="D905" s="34" t="s">
        <v>5</v>
      </c>
      <c r="E905" s="34" t="s">
        <v>103</v>
      </c>
      <c r="F905" s="50" t="s">
        <v>60</v>
      </c>
      <c r="G905" s="34">
        <v>10</v>
      </c>
      <c r="H905" s="34" t="s">
        <v>18</v>
      </c>
      <c r="I905" s="34" t="s">
        <v>27</v>
      </c>
      <c r="J905" s="34">
        <v>1</v>
      </c>
      <c r="K905" s="35">
        <f>VLOOKUP(I905,'Weights and Confidence'!$D$16:$AC$26,5,FALSE)/COUNTIFS($B:$B,$B905,$C:$C,$C905,$H:$H,$H905,$I:$I,$I905)</f>
        <v>0.05</v>
      </c>
      <c r="L905" s="36">
        <f>VLOOKUP(I905,'Weights and Confidence'!$D$16:$AC$26,6,FALSE)</f>
        <v>0.85</v>
      </c>
      <c r="M905" s="37">
        <f>tScores4[[#This Row],[Raw_Rating_Text]]</f>
        <v>1</v>
      </c>
      <c r="N905" s="34"/>
    </row>
    <row r="906" spans="1:24" x14ac:dyDescent="0.2">
      <c r="A906" s="38" t="s">
        <v>185</v>
      </c>
      <c r="B906" s="38" t="s">
        <v>86</v>
      </c>
      <c r="C906" s="38" t="s">
        <v>59</v>
      </c>
      <c r="D906" s="38" t="s">
        <v>5</v>
      </c>
      <c r="E906" s="38" t="s">
        <v>103</v>
      </c>
      <c r="F906" s="51" t="s">
        <v>60</v>
      </c>
      <c r="G906" s="38">
        <v>11</v>
      </c>
      <c r="H906" s="38" t="s">
        <v>17</v>
      </c>
      <c r="I906" s="38" t="s">
        <v>28</v>
      </c>
      <c r="J906" s="38">
        <v>1</v>
      </c>
      <c r="K906" s="39">
        <f>VLOOKUP(I906,'Weights and Confidence'!$D$16:$AC$26,5,FALSE)/COUNTIFS($B:$B,$B906,$C:$C,$C906,$H:$H,$H906,$I:$I,$I906)</f>
        <v>0.05</v>
      </c>
      <c r="L906" s="40">
        <f>VLOOKUP(I906,'Weights and Confidence'!$D$16:$AC$26,6,FALSE)</f>
        <v>1</v>
      </c>
      <c r="M906" s="41">
        <f>tScores4[[#This Row],[Raw_Rating_Text]]</f>
        <v>1</v>
      </c>
      <c r="N906" s="38"/>
    </row>
    <row r="907" spans="1:24" ht="17" thickBot="1" x14ac:dyDescent="0.25">
      <c r="A907" s="34" t="s">
        <v>185</v>
      </c>
      <c r="B907" s="34" t="s">
        <v>86</v>
      </c>
      <c r="C907" s="34" t="s">
        <v>59</v>
      </c>
      <c r="D907" s="34" t="s">
        <v>5</v>
      </c>
      <c r="E907" s="34" t="s">
        <v>103</v>
      </c>
      <c r="F907" s="50" t="s">
        <v>60</v>
      </c>
      <c r="G907" s="34">
        <v>11</v>
      </c>
      <c r="H907" s="34" t="s">
        <v>18</v>
      </c>
      <c r="I907" s="34" t="s">
        <v>28</v>
      </c>
      <c r="J907" s="34">
        <v>0</v>
      </c>
      <c r="K907" s="35">
        <f>VLOOKUP(I907,'Weights and Confidence'!$D$16:$AC$26,5,FALSE)/COUNTIFS($B:$B,$B907,$C:$C,$C907,$H:$H,$H907,$I:$I,$I907)</f>
        <v>0.05</v>
      </c>
      <c r="L907" s="36">
        <f>VLOOKUP(I907,'Weights and Confidence'!$D$16:$AC$26,6,FALSE)</f>
        <v>1</v>
      </c>
      <c r="M907" s="37">
        <f>tScores4[[#This Row],[Raw_Rating_Text]]</f>
        <v>0</v>
      </c>
      <c r="N907" s="58" t="s">
        <v>269</v>
      </c>
    </row>
    <row r="908" spans="1:24" ht="17" thickTop="1" x14ac:dyDescent="0.2">
      <c r="A908" s="42" t="s">
        <v>185</v>
      </c>
      <c r="B908" s="42" t="s">
        <v>86</v>
      </c>
      <c r="C908" s="42" t="s">
        <v>149</v>
      </c>
      <c r="D908" s="42" t="s">
        <v>5</v>
      </c>
      <c r="E908" s="42"/>
      <c r="F908" s="49" t="s">
        <v>150</v>
      </c>
      <c r="G908" s="42">
        <v>1</v>
      </c>
      <c r="H908" s="42" t="s">
        <v>17</v>
      </c>
      <c r="I908" s="42" t="s">
        <v>19</v>
      </c>
      <c r="J908" s="42">
        <v>1</v>
      </c>
      <c r="K908" s="44">
        <f>VLOOKUP(I908,'Weights and Confidence'!$D$16:$AC$26,5,FALSE)/COUNTIFS($B:$B,$B908,$C:$C,$C908,$H:$H,$H908,$I:$I,$I908)</f>
        <v>0.12</v>
      </c>
      <c r="L908" s="45">
        <f>VLOOKUP(I908,'Weights and Confidence'!$D$16:$AC$26,6,FALSE)</f>
        <v>1</v>
      </c>
      <c r="M908" s="46">
        <f>tScores4[[#This Row],[Raw_Rating_Text]]</f>
        <v>1</v>
      </c>
      <c r="N908" s="42"/>
    </row>
    <row r="909" spans="1:24" ht="17" thickBot="1" x14ac:dyDescent="0.25">
      <c r="A909" s="34" t="s">
        <v>185</v>
      </c>
      <c r="B909" s="34" t="s">
        <v>86</v>
      </c>
      <c r="C909" s="34" t="s">
        <v>149</v>
      </c>
      <c r="D909" s="34" t="s">
        <v>5</v>
      </c>
      <c r="E909" s="34"/>
      <c r="F909" s="50" t="s">
        <v>150</v>
      </c>
      <c r="G909" s="34">
        <v>1</v>
      </c>
      <c r="H909" s="34" t="s">
        <v>18</v>
      </c>
      <c r="I909" s="34" t="s">
        <v>19</v>
      </c>
      <c r="J909" s="34">
        <v>1</v>
      </c>
      <c r="K909" s="35">
        <f>VLOOKUP(I909,'Weights and Confidence'!$D$16:$AC$26,5,FALSE)/COUNTIFS($B:$B,$B909,$C:$C,$C909,$H:$H,$H909,$I:$I,$I909)</f>
        <v>0.12</v>
      </c>
      <c r="L909" s="36">
        <f>VLOOKUP(I909,'Weights and Confidence'!$D$16:$AC$26,6,FALSE)</f>
        <v>1</v>
      </c>
      <c r="M909" s="37">
        <f>tScores4[[#This Row],[Raw_Rating_Text]]</f>
        <v>1</v>
      </c>
      <c r="N909" s="58" t="s">
        <v>272</v>
      </c>
    </row>
    <row r="910" spans="1:24" x14ac:dyDescent="0.2">
      <c r="A910" s="38" t="s">
        <v>185</v>
      </c>
      <c r="B910" s="38" t="s">
        <v>86</v>
      </c>
      <c r="C910" s="38" t="s">
        <v>149</v>
      </c>
      <c r="D910" s="38" t="s">
        <v>5</v>
      </c>
      <c r="E910" s="38"/>
      <c r="F910" s="51" t="s">
        <v>150</v>
      </c>
      <c r="G910" s="38">
        <v>2</v>
      </c>
      <c r="H910" s="38" t="s">
        <v>17</v>
      </c>
      <c r="I910" s="38" t="s">
        <v>20</v>
      </c>
      <c r="J910" s="38">
        <v>1</v>
      </c>
      <c r="K910" s="39">
        <f>VLOOKUP(I910,'Weights and Confidence'!$D$16:$AC$26,5,FALSE)/COUNTIFS($B:$B,$B910,$C:$C,$C910,$H:$H,$H910,$I:$I,$I910)</f>
        <v>0.08</v>
      </c>
      <c r="L910" s="40">
        <f>VLOOKUP(I910,'Weights and Confidence'!$D$16:$AC$26,6,FALSE)</f>
        <v>0.8</v>
      </c>
      <c r="M910" s="41">
        <f>tScores4[[#This Row],[Raw_Rating_Text]]</f>
        <v>1</v>
      </c>
      <c r="N910" s="38"/>
      <c r="P910" s="24" t="s">
        <v>278</v>
      </c>
      <c r="Q910" s="10"/>
      <c r="R910" s="10"/>
      <c r="S910" s="10"/>
      <c r="T910" s="10"/>
      <c r="U910" s="10"/>
      <c r="V910" s="10"/>
      <c r="W910" s="10"/>
      <c r="X910" s="11"/>
    </row>
    <row r="911" spans="1:24" x14ac:dyDescent="0.2">
      <c r="A911" s="34" t="s">
        <v>185</v>
      </c>
      <c r="B911" s="34" t="s">
        <v>86</v>
      </c>
      <c r="C911" s="34" t="s">
        <v>149</v>
      </c>
      <c r="D911" s="34" t="s">
        <v>5</v>
      </c>
      <c r="E911" s="34"/>
      <c r="F911" s="50" t="s">
        <v>150</v>
      </c>
      <c r="G911" s="34">
        <v>2</v>
      </c>
      <c r="H911" s="34" t="s">
        <v>18</v>
      </c>
      <c r="I911" s="34" t="s">
        <v>20</v>
      </c>
      <c r="J911" s="34">
        <v>1</v>
      </c>
      <c r="K911" s="35">
        <f>VLOOKUP(I911,'Weights and Confidence'!$D$16:$AC$26,5,FALSE)/COUNTIFS($B:$B,$B911,$C:$C,$C911,$H:$H,$H911,$I:$I,$I911)</f>
        <v>0.08</v>
      </c>
      <c r="L911" s="36">
        <f>VLOOKUP(I911,'Weights and Confidence'!$D$16:$AC$26,6,FALSE)</f>
        <v>0.8</v>
      </c>
      <c r="M911" s="37">
        <f>tScores4[[#This Row],[Raw_Rating_Text]]</f>
        <v>1</v>
      </c>
      <c r="N911" s="58" t="s">
        <v>273</v>
      </c>
      <c r="P911" s="25" t="s">
        <v>279</v>
      </c>
      <c r="X911" s="1"/>
    </row>
    <row r="912" spans="1:24" ht="17" thickBot="1" x14ac:dyDescent="0.25">
      <c r="A912" s="38" t="s">
        <v>185</v>
      </c>
      <c r="B912" s="38" t="s">
        <v>86</v>
      </c>
      <c r="C912" s="38" t="s">
        <v>149</v>
      </c>
      <c r="D912" s="38" t="s">
        <v>5</v>
      </c>
      <c r="E912" s="38"/>
      <c r="F912" s="51" t="s">
        <v>150</v>
      </c>
      <c r="G912" s="38">
        <v>3</v>
      </c>
      <c r="H912" s="38" t="s">
        <v>17</v>
      </c>
      <c r="I912" s="38" t="s">
        <v>21</v>
      </c>
      <c r="J912" s="38">
        <v>1</v>
      </c>
      <c r="K912" s="39">
        <f>VLOOKUP(I912,'Weights and Confidence'!$D$16:$AC$26,5,FALSE)/COUNTIFS($B:$B,$B912,$C:$C,$C912,$H:$H,$H912,$I:$I,$I912)</f>
        <v>0.05</v>
      </c>
      <c r="L912" s="40">
        <f>VLOOKUP(I912,'Weights and Confidence'!$D$16:$AC$26,6,FALSE)</f>
        <v>1</v>
      </c>
      <c r="M912" s="41">
        <f>tScores4[[#This Row],[Raw_Rating_Text]]</f>
        <v>1</v>
      </c>
      <c r="N912" s="38"/>
      <c r="P912" s="26" t="s">
        <v>280</v>
      </c>
      <c r="Q912" s="2"/>
      <c r="R912" s="2"/>
      <c r="S912" s="2"/>
      <c r="T912" s="2"/>
      <c r="U912" s="2"/>
      <c r="V912" s="2"/>
      <c r="W912" s="2"/>
      <c r="X912" s="5"/>
    </row>
    <row r="913" spans="1:14" x14ac:dyDescent="0.2">
      <c r="A913" s="34" t="s">
        <v>185</v>
      </c>
      <c r="B913" s="34" t="s">
        <v>86</v>
      </c>
      <c r="C913" s="34" t="s">
        <v>149</v>
      </c>
      <c r="D913" s="34" t="s">
        <v>5</v>
      </c>
      <c r="E913" s="34"/>
      <c r="F913" s="50" t="s">
        <v>150</v>
      </c>
      <c r="G913" s="34">
        <v>3</v>
      </c>
      <c r="H913" s="34" t="s">
        <v>18</v>
      </c>
      <c r="I913" s="34" t="s">
        <v>21</v>
      </c>
      <c r="J913" s="34">
        <v>1</v>
      </c>
      <c r="K913" s="35">
        <f>VLOOKUP(I913,'Weights and Confidence'!$D$16:$AC$26,5,FALSE)/COUNTIFS($B:$B,$B913,$C:$C,$C913,$H:$H,$H913,$I:$I,$I913)</f>
        <v>0.05</v>
      </c>
      <c r="L913" s="36">
        <f>VLOOKUP(I913,'Weights and Confidence'!$D$16:$AC$26,6,FALSE)</f>
        <v>1</v>
      </c>
      <c r="M913" s="37">
        <f>tScores4[[#This Row],[Raw_Rating_Text]]</f>
        <v>1</v>
      </c>
      <c r="N913" s="58"/>
    </row>
    <row r="914" spans="1:14" x14ac:dyDescent="0.2">
      <c r="A914" s="38" t="s">
        <v>185</v>
      </c>
      <c r="B914" s="38" t="s">
        <v>86</v>
      </c>
      <c r="C914" s="38" t="s">
        <v>149</v>
      </c>
      <c r="D914" s="38" t="s">
        <v>5</v>
      </c>
      <c r="E914" s="38"/>
      <c r="F914" s="51" t="s">
        <v>150</v>
      </c>
      <c r="G914" s="38">
        <v>4</v>
      </c>
      <c r="H914" s="38" t="s">
        <v>17</v>
      </c>
      <c r="I914" s="38" t="s">
        <v>22</v>
      </c>
      <c r="J914" s="38">
        <v>1</v>
      </c>
      <c r="K914" s="39">
        <f>VLOOKUP(I914,'Weights and Confidence'!$D$16:$AC$26,5,FALSE)/COUNTIFS($B:$B,$B914,$C:$C,$C914,$H:$H,$H914,$I:$I,$I914)</f>
        <v>0.14000000000000001</v>
      </c>
      <c r="L914" s="40">
        <f>VLOOKUP(I914,'Weights and Confidence'!$D$16:$AC$26,6,FALSE)</f>
        <v>1</v>
      </c>
      <c r="M914" s="41">
        <f>tScores4[[#This Row],[Raw_Rating_Text]]</f>
        <v>1</v>
      </c>
      <c r="N914" s="38"/>
    </row>
    <row r="915" spans="1:14" x14ac:dyDescent="0.2">
      <c r="A915" s="34" t="s">
        <v>185</v>
      </c>
      <c r="B915" s="34" t="s">
        <v>86</v>
      </c>
      <c r="C915" s="34" t="s">
        <v>149</v>
      </c>
      <c r="D915" s="34" t="s">
        <v>5</v>
      </c>
      <c r="E915" s="34"/>
      <c r="F915" s="50" t="s">
        <v>150</v>
      </c>
      <c r="G915" s="34">
        <v>4</v>
      </c>
      <c r="H915" s="34" t="s">
        <v>18</v>
      </c>
      <c r="I915" s="34" t="s">
        <v>22</v>
      </c>
      <c r="J915" s="34">
        <v>1</v>
      </c>
      <c r="K915" s="35">
        <f>VLOOKUP(I915,'Weights and Confidence'!$D$16:$AC$26,5,FALSE)/COUNTIFS($B:$B,$B915,$C:$C,$C915,$H:$H,$H915,$I:$I,$I915)</f>
        <v>0.14000000000000001</v>
      </c>
      <c r="L915" s="36">
        <f>VLOOKUP(I915,'Weights and Confidence'!$D$16:$AC$26,6,FALSE)</f>
        <v>1</v>
      </c>
      <c r="M915" s="37">
        <f>tScores4[[#This Row],[Raw_Rating_Text]]</f>
        <v>1</v>
      </c>
      <c r="N915" s="58" t="s">
        <v>274</v>
      </c>
    </row>
    <row r="916" spans="1:14" x14ac:dyDescent="0.2">
      <c r="A916" s="38" t="s">
        <v>185</v>
      </c>
      <c r="B916" s="38" t="s">
        <v>86</v>
      </c>
      <c r="C916" s="38" t="s">
        <v>149</v>
      </c>
      <c r="D916" s="38" t="s">
        <v>5</v>
      </c>
      <c r="E916" s="38"/>
      <c r="F916" s="51" t="s">
        <v>150</v>
      </c>
      <c r="G916" s="38">
        <v>5</v>
      </c>
      <c r="H916" s="38" t="s">
        <v>17</v>
      </c>
      <c r="I916" s="38" t="s">
        <v>23</v>
      </c>
      <c r="J916" s="38">
        <v>1</v>
      </c>
      <c r="K916" s="39">
        <f>VLOOKUP(I916,'Weights and Confidence'!$D$16:$AC$26,5,FALSE)/COUNTIFS($B:$B,$B916,$C:$C,$C916,$H:$H,$H916,$I:$I,$I916)</f>
        <v>0.11</v>
      </c>
      <c r="L916" s="40">
        <f>VLOOKUP(I916,'Weights and Confidence'!$D$16:$AC$26,6,FALSE)</f>
        <v>1</v>
      </c>
      <c r="M916" s="41">
        <f>tScores4[[#This Row],[Raw_Rating_Text]]</f>
        <v>1</v>
      </c>
      <c r="N916" s="38"/>
    </row>
    <row r="917" spans="1:14" x14ac:dyDescent="0.2">
      <c r="A917" s="34" t="s">
        <v>185</v>
      </c>
      <c r="B917" s="34" t="s">
        <v>86</v>
      </c>
      <c r="C917" s="34" t="s">
        <v>149</v>
      </c>
      <c r="D917" s="34" t="s">
        <v>5</v>
      </c>
      <c r="E917" s="34"/>
      <c r="F917" s="50" t="s">
        <v>150</v>
      </c>
      <c r="G917" s="34">
        <v>5</v>
      </c>
      <c r="H917" s="34" t="s">
        <v>18</v>
      </c>
      <c r="I917" s="34" t="s">
        <v>23</v>
      </c>
      <c r="J917" s="34">
        <v>1</v>
      </c>
      <c r="K917" s="35">
        <f>VLOOKUP(I917,'Weights and Confidence'!$D$16:$AC$26,5,FALSE)/COUNTIFS($B:$B,$B917,$C:$C,$C917,$H:$H,$H917,$I:$I,$I917)</f>
        <v>0.11</v>
      </c>
      <c r="L917" s="36">
        <f>VLOOKUP(I917,'Weights and Confidence'!$D$16:$AC$26,6,FALSE)</f>
        <v>1</v>
      </c>
      <c r="M917" s="37">
        <f>tScores4[[#This Row],[Raw_Rating_Text]]</f>
        <v>1</v>
      </c>
      <c r="N917" s="58" t="s">
        <v>275</v>
      </c>
    </row>
    <row r="918" spans="1:14" x14ac:dyDescent="0.2">
      <c r="A918" s="38" t="s">
        <v>185</v>
      </c>
      <c r="B918" s="38" t="s">
        <v>86</v>
      </c>
      <c r="C918" s="38" t="s">
        <v>149</v>
      </c>
      <c r="D918" s="38" t="s">
        <v>5</v>
      </c>
      <c r="E918" s="38"/>
      <c r="F918" s="51" t="s">
        <v>150</v>
      </c>
      <c r="G918" s="38">
        <v>6</v>
      </c>
      <c r="H918" s="38" t="s">
        <v>17</v>
      </c>
      <c r="I918" s="38" t="s">
        <v>24</v>
      </c>
      <c r="J918" s="38">
        <v>0</v>
      </c>
      <c r="K918" s="39">
        <f>VLOOKUP(I918,'Weights and Confidence'!$D$16:$AC$26,5,FALSE)/COUNTIFS($B:$B,$B918,$C:$C,$C918,$H:$H,$H918,$I:$I,$I918)</f>
        <v>0.15</v>
      </c>
      <c r="L918" s="40">
        <f>VLOOKUP(I918,'Weights and Confidence'!$D$16:$AC$26,6,FALSE)</f>
        <v>1</v>
      </c>
      <c r="M918" s="41">
        <f>tScores4[[#This Row],[Raw_Rating_Text]]</f>
        <v>0</v>
      </c>
      <c r="N918" s="59"/>
    </row>
    <row r="919" spans="1:14" x14ac:dyDescent="0.2">
      <c r="A919" s="34" t="s">
        <v>185</v>
      </c>
      <c r="B919" s="34" t="s">
        <v>86</v>
      </c>
      <c r="C919" s="34" t="s">
        <v>149</v>
      </c>
      <c r="D919" s="34" t="s">
        <v>5</v>
      </c>
      <c r="E919" s="34"/>
      <c r="F919" s="50" t="s">
        <v>150</v>
      </c>
      <c r="G919" s="34">
        <v>6</v>
      </c>
      <c r="H919" s="34" t="s">
        <v>18</v>
      </c>
      <c r="I919" s="34" t="s">
        <v>24</v>
      </c>
      <c r="J919" s="34">
        <v>1</v>
      </c>
      <c r="K919" s="35">
        <f>VLOOKUP(I919,'Weights and Confidence'!$D$16:$AC$26,5,FALSE)/COUNTIFS($B:$B,$B919,$C:$C,$C919,$H:$H,$H919,$I:$I,$I919)</f>
        <v>0.15</v>
      </c>
      <c r="L919" s="36">
        <f>VLOOKUP(I919,'Weights and Confidence'!$D$16:$AC$26,6,FALSE)</f>
        <v>1</v>
      </c>
      <c r="M919" s="37">
        <f>tScores4[[#This Row],[Raw_Rating_Text]]</f>
        <v>1</v>
      </c>
      <c r="N919" s="58"/>
    </row>
    <row r="920" spans="1:14" x14ac:dyDescent="0.2">
      <c r="A920" s="38" t="s">
        <v>185</v>
      </c>
      <c r="B920" s="38" t="s">
        <v>86</v>
      </c>
      <c r="C920" s="38" t="s">
        <v>149</v>
      </c>
      <c r="D920" s="38" t="s">
        <v>5</v>
      </c>
      <c r="E920" s="38"/>
      <c r="F920" s="51" t="s">
        <v>150</v>
      </c>
      <c r="G920" s="38">
        <v>7</v>
      </c>
      <c r="H920" s="38" t="s">
        <v>17</v>
      </c>
      <c r="I920" s="38" t="s">
        <v>25</v>
      </c>
      <c r="J920" s="38">
        <v>0</v>
      </c>
      <c r="K920" s="39">
        <f>VLOOKUP(I920,'Weights and Confidence'!$D$16:$AC$26,5,FALSE)/COUNTIFS($B:$B,$B920,$C:$C,$C920,$H:$H,$H920,$I:$I,$I920)</f>
        <v>0.1</v>
      </c>
      <c r="L920" s="40">
        <f>VLOOKUP(I920,'Weights and Confidence'!$D$16:$AC$26,6,FALSE)</f>
        <v>1</v>
      </c>
      <c r="M920" s="41">
        <f>tScores4[[#This Row],[Raw_Rating_Text]]</f>
        <v>0</v>
      </c>
      <c r="N920" s="38"/>
    </row>
    <row r="921" spans="1:14" x14ac:dyDescent="0.2">
      <c r="A921" s="34" t="s">
        <v>185</v>
      </c>
      <c r="B921" s="34" t="s">
        <v>86</v>
      </c>
      <c r="C921" s="34" t="s">
        <v>149</v>
      </c>
      <c r="D921" s="34" t="s">
        <v>5</v>
      </c>
      <c r="E921" s="34"/>
      <c r="F921" s="50" t="s">
        <v>150</v>
      </c>
      <c r="G921" s="34">
        <v>7</v>
      </c>
      <c r="H921" s="34" t="s">
        <v>18</v>
      </c>
      <c r="I921" s="34" t="s">
        <v>25</v>
      </c>
      <c r="J921" s="34">
        <v>1</v>
      </c>
      <c r="K921" s="35">
        <f>VLOOKUP(I921,'Weights and Confidence'!$D$16:$AC$26,5,FALSE)/COUNTIFS($B:$B,$B921,$C:$C,$C921,$H:$H,$H921,$I:$I,$I921)</f>
        <v>0.1</v>
      </c>
      <c r="L921" s="36">
        <f>VLOOKUP(I921,'Weights and Confidence'!$D$16:$AC$26,6,FALSE)</f>
        <v>1</v>
      </c>
      <c r="M921" s="37">
        <f>tScores4[[#This Row],[Raw_Rating_Text]]</f>
        <v>1</v>
      </c>
      <c r="N921" s="58"/>
    </row>
    <row r="922" spans="1:14" x14ac:dyDescent="0.2">
      <c r="A922" s="38" t="s">
        <v>185</v>
      </c>
      <c r="B922" s="38" t="s">
        <v>86</v>
      </c>
      <c r="C922" s="38" t="s">
        <v>149</v>
      </c>
      <c r="D922" s="38" t="s">
        <v>5</v>
      </c>
      <c r="E922" s="38"/>
      <c r="F922" s="51" t="s">
        <v>150</v>
      </c>
      <c r="G922" s="38">
        <v>8</v>
      </c>
      <c r="H922" s="38" t="s">
        <v>17</v>
      </c>
      <c r="I922" s="38" t="s">
        <v>26</v>
      </c>
      <c r="J922" s="38">
        <v>0</v>
      </c>
      <c r="K922" s="39">
        <f>VLOOKUP(I922,'Weights and Confidence'!$D$16:$AC$26,5,FALSE)/COUNTIFS($B:$B,$B922,$C:$C,$C922,$H:$H,$H922,$I:$I,$I922)</f>
        <v>0.1</v>
      </c>
      <c r="L922" s="40">
        <f>VLOOKUP(I922,'Weights and Confidence'!$D$16:$AC$26,6,FALSE)</f>
        <v>1</v>
      </c>
      <c r="M922" s="41">
        <f>tScores4[[#This Row],[Raw_Rating_Text]]</f>
        <v>0</v>
      </c>
      <c r="N922" s="38"/>
    </row>
    <row r="923" spans="1:14" x14ac:dyDescent="0.2">
      <c r="A923" s="34" t="s">
        <v>185</v>
      </c>
      <c r="B923" s="34" t="s">
        <v>86</v>
      </c>
      <c r="C923" s="34" t="s">
        <v>149</v>
      </c>
      <c r="D923" s="34" t="s">
        <v>5</v>
      </c>
      <c r="E923" s="34"/>
      <c r="F923" s="50" t="s">
        <v>150</v>
      </c>
      <c r="G923" s="34">
        <v>8</v>
      </c>
      <c r="H923" s="34" t="s">
        <v>18</v>
      </c>
      <c r="I923" s="34" t="s">
        <v>26</v>
      </c>
      <c r="J923" s="34">
        <v>1</v>
      </c>
      <c r="K923" s="35">
        <f>VLOOKUP(I923,'Weights and Confidence'!$D$16:$AC$26,5,FALSE)/COUNTIFS($B:$B,$B923,$C:$C,$C923,$H:$H,$H923,$I:$I,$I923)</f>
        <v>0.1</v>
      </c>
      <c r="L923" s="36">
        <f>VLOOKUP(I923,'Weights and Confidence'!$D$16:$AC$26,6,FALSE)</f>
        <v>1</v>
      </c>
      <c r="M923" s="37">
        <f>tScores4[[#This Row],[Raw_Rating_Text]]</f>
        <v>1</v>
      </c>
      <c r="N923" s="58" t="s">
        <v>276</v>
      </c>
    </row>
    <row r="924" spans="1:14" x14ac:dyDescent="0.2">
      <c r="A924" s="38" t="s">
        <v>185</v>
      </c>
      <c r="B924" s="38" t="s">
        <v>86</v>
      </c>
      <c r="C924" s="38" t="s">
        <v>149</v>
      </c>
      <c r="D924" s="38" t="s">
        <v>5</v>
      </c>
      <c r="E924" s="38"/>
      <c r="F924" s="51" t="s">
        <v>150</v>
      </c>
      <c r="G924" s="38">
        <v>9</v>
      </c>
      <c r="H924" s="38" t="s">
        <v>17</v>
      </c>
      <c r="I924" s="38" t="s">
        <v>27</v>
      </c>
      <c r="J924" s="38">
        <v>1</v>
      </c>
      <c r="K924" s="39">
        <f>VLOOKUP(I924,'Weights and Confidence'!$D$16:$AC$26,5,FALSE)/COUNTIFS($B:$B,$B924,$C:$C,$C924,$H:$H,$H924,$I:$I,$I924)</f>
        <v>0.05</v>
      </c>
      <c r="L924" s="40">
        <f>VLOOKUP(I924,'Weights and Confidence'!$D$16:$AC$26,6,FALSE)</f>
        <v>0.85</v>
      </c>
      <c r="M924" s="41">
        <f>tScores4[[#This Row],[Raw_Rating_Text]]</f>
        <v>1</v>
      </c>
      <c r="N924" s="38"/>
    </row>
    <row r="925" spans="1:14" x14ac:dyDescent="0.2">
      <c r="A925" s="34" t="s">
        <v>185</v>
      </c>
      <c r="B925" s="34" t="s">
        <v>86</v>
      </c>
      <c r="C925" s="34" t="s">
        <v>149</v>
      </c>
      <c r="D925" s="34" t="s">
        <v>5</v>
      </c>
      <c r="E925" s="34"/>
      <c r="F925" s="50" t="s">
        <v>150</v>
      </c>
      <c r="G925" s="34">
        <v>9</v>
      </c>
      <c r="H925" s="34" t="s">
        <v>18</v>
      </c>
      <c r="I925" s="34" t="s">
        <v>27</v>
      </c>
      <c r="J925" s="34">
        <v>1</v>
      </c>
      <c r="K925" s="35">
        <f>VLOOKUP(I925,'Weights and Confidence'!$D$16:$AC$26,5,FALSE)/COUNTIFS($B:$B,$B925,$C:$C,$C925,$H:$H,$H925,$I:$I,$I925)</f>
        <v>0.05</v>
      </c>
      <c r="L925" s="36">
        <f>VLOOKUP(I925,'Weights and Confidence'!$D$16:$AC$26,6,FALSE)</f>
        <v>0.85</v>
      </c>
      <c r="M925" s="37">
        <f>tScores4[[#This Row],[Raw_Rating_Text]]</f>
        <v>1</v>
      </c>
      <c r="N925" s="58"/>
    </row>
    <row r="926" spans="1:14" x14ac:dyDescent="0.2">
      <c r="A926" s="38" t="s">
        <v>185</v>
      </c>
      <c r="B926" s="38" t="s">
        <v>86</v>
      </c>
      <c r="C926" s="38" t="s">
        <v>149</v>
      </c>
      <c r="D926" s="38" t="s">
        <v>5</v>
      </c>
      <c r="E926" s="38"/>
      <c r="F926" s="51" t="s">
        <v>150</v>
      </c>
      <c r="G926" s="38">
        <v>10</v>
      </c>
      <c r="H926" s="38" t="s">
        <v>17</v>
      </c>
      <c r="I926" s="38" t="s">
        <v>27</v>
      </c>
      <c r="J926" s="38">
        <v>1</v>
      </c>
      <c r="K926" s="39">
        <f>VLOOKUP(I926,'Weights and Confidence'!$D$16:$AC$26,5,FALSE)/COUNTIFS($B:$B,$B926,$C:$C,$C926,$H:$H,$H926,$I:$I,$I926)</f>
        <v>0.05</v>
      </c>
      <c r="L926" s="40">
        <f>VLOOKUP(I926,'Weights and Confidence'!$D$16:$AC$26,6,FALSE)</f>
        <v>0.85</v>
      </c>
      <c r="M926" s="41">
        <f>tScores4[[#This Row],[Raw_Rating_Text]]</f>
        <v>1</v>
      </c>
      <c r="N926" s="38"/>
    </row>
    <row r="927" spans="1:14" x14ac:dyDescent="0.2">
      <c r="A927" s="34" t="s">
        <v>185</v>
      </c>
      <c r="B927" s="34" t="s">
        <v>86</v>
      </c>
      <c r="C927" s="34" t="s">
        <v>149</v>
      </c>
      <c r="D927" s="34" t="s">
        <v>5</v>
      </c>
      <c r="E927" s="34"/>
      <c r="F927" s="50" t="s">
        <v>150</v>
      </c>
      <c r="G927" s="34">
        <v>10</v>
      </c>
      <c r="H927" s="34" t="s">
        <v>18</v>
      </c>
      <c r="I927" s="34" t="s">
        <v>27</v>
      </c>
      <c r="J927" s="34">
        <v>1</v>
      </c>
      <c r="K927" s="35">
        <f>VLOOKUP(I927,'Weights and Confidence'!$D$16:$AC$26,5,FALSE)/COUNTIFS($B:$B,$B927,$C:$C,$C927,$H:$H,$H927,$I:$I,$I927)</f>
        <v>0.05</v>
      </c>
      <c r="L927" s="36">
        <f>VLOOKUP(I927,'Weights and Confidence'!$D$16:$AC$26,6,FALSE)</f>
        <v>0.85</v>
      </c>
      <c r="M927" s="37">
        <f>tScores4[[#This Row],[Raw_Rating_Text]]</f>
        <v>1</v>
      </c>
      <c r="N927" s="34"/>
    </row>
    <row r="928" spans="1:14" x14ac:dyDescent="0.2">
      <c r="A928" s="38" t="s">
        <v>185</v>
      </c>
      <c r="B928" s="38" t="s">
        <v>86</v>
      </c>
      <c r="C928" s="38" t="s">
        <v>149</v>
      </c>
      <c r="D928" s="38" t="s">
        <v>5</v>
      </c>
      <c r="E928" s="38"/>
      <c r="F928" s="51" t="s">
        <v>150</v>
      </c>
      <c r="G928" s="38">
        <v>11</v>
      </c>
      <c r="H928" s="38" t="s">
        <v>17</v>
      </c>
      <c r="I928" s="38" t="s">
        <v>28</v>
      </c>
      <c r="J928" s="38">
        <v>-1</v>
      </c>
      <c r="K928" s="39">
        <f>VLOOKUP(I928,'Weights and Confidence'!$D$16:$AC$26,5,FALSE)/COUNTIFS($B:$B,$B928,$C:$C,$C928,$H:$H,$H928,$I:$I,$I928)</f>
        <v>0.05</v>
      </c>
      <c r="L928" s="40">
        <f>VLOOKUP(I928,'Weights and Confidence'!$D$16:$AC$26,6,FALSE)</f>
        <v>1</v>
      </c>
      <c r="M928" s="41">
        <f>tScores4[[#This Row],[Raw_Rating_Text]]</f>
        <v>-1</v>
      </c>
      <c r="N928" s="38"/>
    </row>
    <row r="929" spans="1:14" ht="17" thickBot="1" x14ac:dyDescent="0.25">
      <c r="A929" s="34" t="s">
        <v>185</v>
      </c>
      <c r="B929" s="34" t="s">
        <v>86</v>
      </c>
      <c r="C929" s="34" t="s">
        <v>149</v>
      </c>
      <c r="D929" s="34" t="s">
        <v>5</v>
      </c>
      <c r="E929" s="34"/>
      <c r="F929" s="50" t="s">
        <v>150</v>
      </c>
      <c r="G929" s="34">
        <v>11</v>
      </c>
      <c r="H929" s="34" t="s">
        <v>18</v>
      </c>
      <c r="I929" s="34" t="s">
        <v>28</v>
      </c>
      <c r="J929" s="34">
        <v>0</v>
      </c>
      <c r="K929" s="35">
        <f>VLOOKUP(I929,'Weights and Confidence'!$D$16:$AC$26,5,FALSE)/COUNTIFS($B:$B,$B929,$C:$C,$C929,$H:$H,$H929,$I:$I,$I929)</f>
        <v>0.05</v>
      </c>
      <c r="L929" s="36">
        <f>VLOOKUP(I929,'Weights and Confidence'!$D$16:$AC$26,6,FALSE)</f>
        <v>1</v>
      </c>
      <c r="M929" s="37">
        <f>tScores4[[#This Row],[Raw_Rating_Text]]</f>
        <v>0</v>
      </c>
      <c r="N929" s="58" t="s">
        <v>277</v>
      </c>
    </row>
    <row r="930" spans="1:14" ht="17" thickTop="1" x14ac:dyDescent="0.2">
      <c r="A930" s="42" t="s">
        <v>185</v>
      </c>
      <c r="B930" s="42" t="s">
        <v>86</v>
      </c>
      <c r="C930" s="42" t="s">
        <v>281</v>
      </c>
      <c r="D930" s="42" t="s">
        <v>5</v>
      </c>
      <c r="E930" s="42"/>
      <c r="F930" s="49" t="s">
        <v>282</v>
      </c>
      <c r="G930" s="42">
        <v>1</v>
      </c>
      <c r="H930" s="42" t="s">
        <v>17</v>
      </c>
      <c r="I930" s="42" t="s">
        <v>19</v>
      </c>
      <c r="J930" s="42">
        <v>0</v>
      </c>
      <c r="K930" s="44">
        <f>VLOOKUP(I930,'Weights and Confidence'!$D$16:$AC$26,5,FALSE)/COUNTIFS($B:$B,$B930,$C:$C,$C930,$H:$H,$H930,$I:$I,$I930)</f>
        <v>0.12</v>
      </c>
      <c r="L930" s="45">
        <f>VLOOKUP(I930,'Weights and Confidence'!$D$16:$AC$26,6,FALSE)</f>
        <v>1</v>
      </c>
      <c r="M930" s="46">
        <f>tScores4[[#This Row],[Raw_Rating_Text]]</f>
        <v>0</v>
      </c>
      <c r="N930" s="38"/>
    </row>
    <row r="931" spans="1:14" x14ac:dyDescent="0.2">
      <c r="A931" s="34" t="s">
        <v>185</v>
      </c>
      <c r="B931" s="34" t="s">
        <v>86</v>
      </c>
      <c r="C931" s="34" t="s">
        <v>281</v>
      </c>
      <c r="D931" s="34" t="s">
        <v>5</v>
      </c>
      <c r="E931" s="34"/>
      <c r="F931" s="50" t="s">
        <v>282</v>
      </c>
      <c r="G931" s="34">
        <v>1</v>
      </c>
      <c r="H931" s="34" t="s">
        <v>18</v>
      </c>
      <c r="I931" s="34" t="s">
        <v>19</v>
      </c>
      <c r="J931" s="34">
        <v>1</v>
      </c>
      <c r="K931" s="35">
        <f>VLOOKUP(I931,'Weights and Confidence'!$D$16:$AC$26,5,FALSE)/COUNTIFS($B:$B,$B931,$C:$C,$C931,$H:$H,$H931,$I:$I,$I931)</f>
        <v>0.12</v>
      </c>
      <c r="L931" s="36">
        <f>VLOOKUP(I931,'Weights and Confidence'!$D$16:$AC$26,6,FALSE)</f>
        <v>1</v>
      </c>
      <c r="M931" s="37">
        <f>tScores4[[#This Row],[Raw_Rating_Text]]</f>
        <v>1</v>
      </c>
      <c r="N931" s="58" t="s">
        <v>283</v>
      </c>
    </row>
    <row r="932" spans="1:14" x14ac:dyDescent="0.2">
      <c r="A932" s="38" t="s">
        <v>185</v>
      </c>
      <c r="B932" s="38" t="s">
        <v>86</v>
      </c>
      <c r="C932" s="38" t="s">
        <v>281</v>
      </c>
      <c r="D932" s="38" t="s">
        <v>5</v>
      </c>
      <c r="E932" s="38"/>
      <c r="F932" s="51" t="s">
        <v>282</v>
      </c>
      <c r="G932" s="38">
        <v>2</v>
      </c>
      <c r="H932" s="38" t="s">
        <v>17</v>
      </c>
      <c r="I932" s="38" t="s">
        <v>20</v>
      </c>
      <c r="J932" s="38">
        <v>0</v>
      </c>
      <c r="K932" s="39">
        <f>VLOOKUP(I932,'Weights and Confidence'!$D$16:$AC$26,5,FALSE)/COUNTIFS($B:$B,$B932,$C:$C,$C932,$H:$H,$H932,$I:$I,$I932)</f>
        <v>0.08</v>
      </c>
      <c r="L932" s="40">
        <f>VLOOKUP(I932,'Weights and Confidence'!$D$16:$AC$26,6,FALSE)</f>
        <v>0.8</v>
      </c>
      <c r="M932" s="41">
        <f>tScores4[[#This Row],[Raw_Rating_Text]]</f>
        <v>0</v>
      </c>
      <c r="N932" s="38"/>
    </row>
    <row r="933" spans="1:14" x14ac:dyDescent="0.2">
      <c r="A933" s="34" t="s">
        <v>185</v>
      </c>
      <c r="B933" s="34" t="s">
        <v>86</v>
      </c>
      <c r="C933" s="34" t="s">
        <v>281</v>
      </c>
      <c r="D933" s="34" t="s">
        <v>5</v>
      </c>
      <c r="E933" s="34"/>
      <c r="F933" s="50" t="s">
        <v>282</v>
      </c>
      <c r="G933" s="34">
        <v>2</v>
      </c>
      <c r="H933" s="34" t="s">
        <v>18</v>
      </c>
      <c r="I933" s="34" t="s">
        <v>20</v>
      </c>
      <c r="J933" s="34">
        <v>1</v>
      </c>
      <c r="K933" s="35">
        <f>VLOOKUP(I933,'Weights and Confidence'!$D$16:$AC$26,5,FALSE)/COUNTIFS($B:$B,$B933,$C:$C,$C933,$H:$H,$H933,$I:$I,$I933)</f>
        <v>0.08</v>
      </c>
      <c r="L933" s="36">
        <f>VLOOKUP(I933,'Weights and Confidence'!$D$16:$AC$26,6,FALSE)</f>
        <v>0.8</v>
      </c>
      <c r="M933" s="37">
        <f>tScores4[[#This Row],[Raw_Rating_Text]]</f>
        <v>1</v>
      </c>
      <c r="N933" s="58"/>
    </row>
    <row r="934" spans="1:14" x14ac:dyDescent="0.2">
      <c r="A934" s="38" t="s">
        <v>185</v>
      </c>
      <c r="B934" s="38" t="s">
        <v>86</v>
      </c>
      <c r="C934" s="38" t="s">
        <v>281</v>
      </c>
      <c r="D934" s="38" t="s">
        <v>5</v>
      </c>
      <c r="E934" s="38"/>
      <c r="F934" s="51" t="s">
        <v>282</v>
      </c>
      <c r="G934" s="38">
        <v>3</v>
      </c>
      <c r="H934" s="38" t="s">
        <v>17</v>
      </c>
      <c r="I934" s="38" t="s">
        <v>21</v>
      </c>
      <c r="J934" s="38">
        <v>1</v>
      </c>
      <c r="K934" s="39">
        <f>VLOOKUP(I934,'Weights and Confidence'!$D$16:$AC$26,5,FALSE)/COUNTIFS($B:$B,$B934,$C:$C,$C934,$H:$H,$H934,$I:$I,$I934)</f>
        <v>0.05</v>
      </c>
      <c r="L934" s="40">
        <f>VLOOKUP(I934,'Weights and Confidence'!$D$16:$AC$26,6,FALSE)</f>
        <v>1</v>
      </c>
      <c r="M934" s="41">
        <f>tScores4[[#This Row],[Raw_Rating_Text]]</f>
        <v>1</v>
      </c>
      <c r="N934" s="38"/>
    </row>
    <row r="935" spans="1:14" x14ac:dyDescent="0.2">
      <c r="A935" s="34" t="s">
        <v>185</v>
      </c>
      <c r="B935" s="34" t="s">
        <v>86</v>
      </c>
      <c r="C935" s="34" t="s">
        <v>281</v>
      </c>
      <c r="D935" s="34" t="s">
        <v>5</v>
      </c>
      <c r="E935" s="34"/>
      <c r="F935" s="50" t="s">
        <v>282</v>
      </c>
      <c r="G935" s="34">
        <v>3</v>
      </c>
      <c r="H935" s="34" t="s">
        <v>18</v>
      </c>
      <c r="I935" s="34" t="s">
        <v>21</v>
      </c>
      <c r="J935" s="34">
        <v>1</v>
      </c>
      <c r="K935" s="35">
        <f>VLOOKUP(I935,'Weights and Confidence'!$D$16:$AC$26,5,FALSE)/COUNTIFS($B:$B,$B935,$C:$C,$C935,$H:$H,$H935,$I:$I,$I935)</f>
        <v>0.05</v>
      </c>
      <c r="L935" s="36">
        <f>VLOOKUP(I935,'Weights and Confidence'!$D$16:$AC$26,6,FALSE)</f>
        <v>1</v>
      </c>
      <c r="M935" s="37">
        <f>tScores4[[#This Row],[Raw_Rating_Text]]</f>
        <v>1</v>
      </c>
      <c r="N935" s="58"/>
    </row>
    <row r="936" spans="1:14" x14ac:dyDescent="0.2">
      <c r="A936" s="38" t="s">
        <v>185</v>
      </c>
      <c r="B936" s="38" t="s">
        <v>86</v>
      </c>
      <c r="C936" s="38" t="s">
        <v>281</v>
      </c>
      <c r="D936" s="38" t="s">
        <v>5</v>
      </c>
      <c r="E936" s="38"/>
      <c r="F936" s="51" t="s">
        <v>282</v>
      </c>
      <c r="G936" s="38">
        <v>4</v>
      </c>
      <c r="H936" s="38" t="s">
        <v>17</v>
      </c>
      <c r="I936" s="38" t="s">
        <v>22</v>
      </c>
      <c r="J936" s="38">
        <v>0</v>
      </c>
      <c r="K936" s="39">
        <f>VLOOKUP(I936,'Weights and Confidence'!$D$16:$AC$26,5,FALSE)/COUNTIFS($B:$B,$B936,$C:$C,$C936,$H:$H,$H936,$I:$I,$I936)</f>
        <v>0.14000000000000001</v>
      </c>
      <c r="L936" s="40">
        <f>VLOOKUP(I936,'Weights and Confidence'!$D$16:$AC$26,6,FALSE)</f>
        <v>1</v>
      </c>
      <c r="M936" s="41">
        <f>tScores4[[#This Row],[Raw_Rating_Text]]</f>
        <v>0</v>
      </c>
      <c r="N936" s="38"/>
    </row>
    <row r="937" spans="1:14" x14ac:dyDescent="0.2">
      <c r="A937" s="34" t="s">
        <v>185</v>
      </c>
      <c r="B937" s="34" t="s">
        <v>86</v>
      </c>
      <c r="C937" s="34" t="s">
        <v>281</v>
      </c>
      <c r="D937" s="34" t="s">
        <v>5</v>
      </c>
      <c r="E937" s="34"/>
      <c r="F937" s="50" t="s">
        <v>282</v>
      </c>
      <c r="G937" s="34">
        <v>4</v>
      </c>
      <c r="H937" s="34" t="s">
        <v>18</v>
      </c>
      <c r="I937" s="34" t="s">
        <v>22</v>
      </c>
      <c r="J937" s="34">
        <v>1</v>
      </c>
      <c r="K937" s="35">
        <f>VLOOKUP(I937,'Weights and Confidence'!$D$16:$AC$26,5,FALSE)/COUNTIFS($B:$B,$B937,$C:$C,$C937,$H:$H,$H937,$I:$I,$I937)</f>
        <v>0.14000000000000001</v>
      </c>
      <c r="L937" s="36">
        <f>VLOOKUP(I937,'Weights and Confidence'!$D$16:$AC$26,6,FALSE)</f>
        <v>1</v>
      </c>
      <c r="M937" s="37">
        <f>tScores4[[#This Row],[Raw_Rating_Text]]</f>
        <v>1</v>
      </c>
      <c r="N937" s="58" t="s">
        <v>284</v>
      </c>
    </row>
    <row r="938" spans="1:14" x14ac:dyDescent="0.2">
      <c r="A938" s="38" t="s">
        <v>185</v>
      </c>
      <c r="B938" s="38" t="s">
        <v>86</v>
      </c>
      <c r="C938" s="38" t="s">
        <v>281</v>
      </c>
      <c r="D938" s="38" t="s">
        <v>5</v>
      </c>
      <c r="E938" s="38"/>
      <c r="F938" s="51" t="s">
        <v>282</v>
      </c>
      <c r="G938" s="38">
        <v>5</v>
      </c>
      <c r="H938" s="38" t="s">
        <v>17</v>
      </c>
      <c r="I938" s="38" t="s">
        <v>23</v>
      </c>
      <c r="J938" s="38">
        <v>-1</v>
      </c>
      <c r="K938" s="39">
        <f>VLOOKUP(I938,'Weights and Confidence'!$D$16:$AC$26,5,FALSE)/COUNTIFS($B:$B,$B938,$C:$C,$C938,$H:$H,$H938,$I:$I,$I938)</f>
        <v>0.11</v>
      </c>
      <c r="L938" s="40">
        <f>VLOOKUP(I938,'Weights and Confidence'!$D$16:$AC$26,6,FALSE)</f>
        <v>1</v>
      </c>
      <c r="M938" s="41">
        <f>tScores4[[#This Row],[Raw_Rating_Text]]</f>
        <v>-1</v>
      </c>
      <c r="N938" s="38"/>
    </row>
    <row r="939" spans="1:14" x14ac:dyDescent="0.2">
      <c r="A939" s="34" t="s">
        <v>185</v>
      </c>
      <c r="B939" s="34" t="s">
        <v>86</v>
      </c>
      <c r="C939" s="34" t="s">
        <v>281</v>
      </c>
      <c r="D939" s="34" t="s">
        <v>5</v>
      </c>
      <c r="E939" s="34"/>
      <c r="F939" s="50" t="s">
        <v>282</v>
      </c>
      <c r="G939" s="34">
        <v>5</v>
      </c>
      <c r="H939" s="34" t="s">
        <v>18</v>
      </c>
      <c r="I939" s="34" t="s">
        <v>23</v>
      </c>
      <c r="J939" s="34">
        <v>0</v>
      </c>
      <c r="K939" s="35">
        <f>VLOOKUP(I939,'Weights and Confidence'!$D$16:$AC$26,5,FALSE)/COUNTIFS($B:$B,$B939,$C:$C,$C939,$H:$H,$H939,$I:$I,$I939)</f>
        <v>0.11</v>
      </c>
      <c r="L939" s="36">
        <f>VLOOKUP(I939,'Weights and Confidence'!$D$16:$AC$26,6,FALSE)</f>
        <v>1</v>
      </c>
      <c r="M939" s="37">
        <f>tScores4[[#This Row],[Raw_Rating_Text]]</f>
        <v>0</v>
      </c>
      <c r="N939" s="58" t="s">
        <v>285</v>
      </c>
    </row>
    <row r="940" spans="1:14" x14ac:dyDescent="0.2">
      <c r="A940" s="38" t="s">
        <v>185</v>
      </c>
      <c r="B940" s="38" t="s">
        <v>86</v>
      </c>
      <c r="C940" s="38" t="s">
        <v>281</v>
      </c>
      <c r="D940" s="38" t="s">
        <v>5</v>
      </c>
      <c r="E940" s="38"/>
      <c r="F940" s="51" t="s">
        <v>282</v>
      </c>
      <c r="G940" s="38">
        <v>6</v>
      </c>
      <c r="H940" s="38" t="s">
        <v>17</v>
      </c>
      <c r="I940" s="38" t="s">
        <v>24</v>
      </c>
      <c r="J940" s="38">
        <v>-1</v>
      </c>
      <c r="K940" s="39">
        <f>VLOOKUP(I940,'Weights and Confidence'!$D$16:$AC$26,5,FALSE)/COUNTIFS($B:$B,$B940,$C:$C,$C940,$H:$H,$H940,$I:$I,$I940)</f>
        <v>0.15</v>
      </c>
      <c r="L940" s="40">
        <f>VLOOKUP(I940,'Weights and Confidence'!$D$16:$AC$26,6,FALSE)</f>
        <v>1</v>
      </c>
      <c r="M940" s="41">
        <f>tScores4[[#This Row],[Raw_Rating_Text]]</f>
        <v>-1</v>
      </c>
      <c r="N940" s="59"/>
    </row>
    <row r="941" spans="1:14" x14ac:dyDescent="0.2">
      <c r="A941" s="34" t="s">
        <v>185</v>
      </c>
      <c r="B941" s="34" t="s">
        <v>86</v>
      </c>
      <c r="C941" s="34" t="s">
        <v>281</v>
      </c>
      <c r="D941" s="34" t="s">
        <v>5</v>
      </c>
      <c r="E941" s="34"/>
      <c r="F941" s="50" t="s">
        <v>282</v>
      </c>
      <c r="G941" s="34">
        <v>6</v>
      </c>
      <c r="H941" s="34" t="s">
        <v>18</v>
      </c>
      <c r="I941" s="34" t="s">
        <v>24</v>
      </c>
      <c r="J941" s="34">
        <v>1</v>
      </c>
      <c r="K941" s="35">
        <f>VLOOKUP(I941,'Weights and Confidence'!$D$16:$AC$26,5,FALSE)/COUNTIFS($B:$B,$B941,$C:$C,$C941,$H:$H,$H941,$I:$I,$I941)</f>
        <v>0.15</v>
      </c>
      <c r="L941" s="36">
        <f>VLOOKUP(I941,'Weights and Confidence'!$D$16:$AC$26,6,FALSE)</f>
        <v>1</v>
      </c>
      <c r="M941" s="37">
        <f>tScores4[[#This Row],[Raw_Rating_Text]]</f>
        <v>1</v>
      </c>
      <c r="N941" s="58" t="s">
        <v>286</v>
      </c>
    </row>
    <row r="942" spans="1:14" x14ac:dyDescent="0.2">
      <c r="A942" s="38" t="s">
        <v>185</v>
      </c>
      <c r="B942" s="38" t="s">
        <v>86</v>
      </c>
      <c r="C942" s="38" t="s">
        <v>281</v>
      </c>
      <c r="D942" s="38" t="s">
        <v>5</v>
      </c>
      <c r="E942" s="38"/>
      <c r="F942" s="51" t="s">
        <v>282</v>
      </c>
      <c r="G942" s="38">
        <v>7</v>
      </c>
      <c r="H942" s="38" t="s">
        <v>17</v>
      </c>
      <c r="I942" s="38" t="s">
        <v>25</v>
      </c>
      <c r="J942" s="38">
        <v>-1</v>
      </c>
      <c r="K942" s="39">
        <f>VLOOKUP(I942,'Weights and Confidence'!$D$16:$AC$26,5,FALSE)/COUNTIFS($B:$B,$B942,$C:$C,$C942,$H:$H,$H942,$I:$I,$I942)</f>
        <v>0.1</v>
      </c>
      <c r="L942" s="40">
        <f>VLOOKUP(I942,'Weights and Confidence'!$D$16:$AC$26,6,FALSE)</f>
        <v>1</v>
      </c>
      <c r="M942" s="41">
        <f>tScores4[[#This Row],[Raw_Rating_Text]]</f>
        <v>-1</v>
      </c>
      <c r="N942" s="38"/>
    </row>
    <row r="943" spans="1:14" x14ac:dyDescent="0.2">
      <c r="A943" s="34" t="s">
        <v>185</v>
      </c>
      <c r="B943" s="34" t="s">
        <v>86</v>
      </c>
      <c r="C943" s="34" t="s">
        <v>281</v>
      </c>
      <c r="D943" s="34" t="s">
        <v>5</v>
      </c>
      <c r="E943" s="34"/>
      <c r="F943" s="50" t="s">
        <v>282</v>
      </c>
      <c r="G943" s="34">
        <v>7</v>
      </c>
      <c r="H943" s="34" t="s">
        <v>18</v>
      </c>
      <c r="I943" s="34" t="s">
        <v>25</v>
      </c>
      <c r="J943" s="34">
        <v>1</v>
      </c>
      <c r="K943" s="35">
        <f>VLOOKUP(I943,'Weights and Confidence'!$D$16:$AC$26,5,FALSE)/COUNTIFS($B:$B,$B943,$C:$C,$C943,$H:$H,$H943,$I:$I,$I943)</f>
        <v>0.1</v>
      </c>
      <c r="L943" s="36">
        <f>VLOOKUP(I943,'Weights and Confidence'!$D$16:$AC$26,6,FALSE)</f>
        <v>1</v>
      </c>
      <c r="M943" s="37">
        <f>tScores4[[#This Row],[Raw_Rating_Text]]</f>
        <v>1</v>
      </c>
      <c r="N943" s="58" t="s">
        <v>287</v>
      </c>
    </row>
    <row r="944" spans="1:14" x14ac:dyDescent="0.2">
      <c r="A944" s="38" t="s">
        <v>185</v>
      </c>
      <c r="B944" s="38" t="s">
        <v>86</v>
      </c>
      <c r="C944" s="38" t="s">
        <v>281</v>
      </c>
      <c r="D944" s="38" t="s">
        <v>5</v>
      </c>
      <c r="E944" s="38"/>
      <c r="F944" s="51" t="s">
        <v>282</v>
      </c>
      <c r="G944" s="38">
        <v>8</v>
      </c>
      <c r="H944" s="38" t="s">
        <v>17</v>
      </c>
      <c r="I944" s="38" t="s">
        <v>26</v>
      </c>
      <c r="J944" s="38">
        <v>0</v>
      </c>
      <c r="K944" s="39">
        <f>VLOOKUP(I944,'Weights and Confidence'!$D$16:$AC$26,5,FALSE)/COUNTIFS($B:$B,$B944,$C:$C,$C944,$H:$H,$H944,$I:$I,$I944)</f>
        <v>0.1</v>
      </c>
      <c r="L944" s="40">
        <f>VLOOKUP(I944,'Weights and Confidence'!$D$16:$AC$26,6,FALSE)</f>
        <v>1</v>
      </c>
      <c r="M944" s="41">
        <f>tScores4[[#This Row],[Raw_Rating_Text]]</f>
        <v>0</v>
      </c>
      <c r="N944" s="38"/>
    </row>
    <row r="945" spans="1:14" x14ac:dyDescent="0.2">
      <c r="A945" s="34" t="s">
        <v>185</v>
      </c>
      <c r="B945" s="34" t="s">
        <v>86</v>
      </c>
      <c r="C945" s="34" t="s">
        <v>281</v>
      </c>
      <c r="D945" s="34" t="s">
        <v>5</v>
      </c>
      <c r="E945" s="34"/>
      <c r="F945" s="50" t="s">
        <v>282</v>
      </c>
      <c r="G945" s="34">
        <v>8</v>
      </c>
      <c r="H945" s="34" t="s">
        <v>18</v>
      </c>
      <c r="I945" s="34" t="s">
        <v>26</v>
      </c>
      <c r="J945" s="34">
        <v>1</v>
      </c>
      <c r="K945" s="35">
        <f>VLOOKUP(I945,'Weights and Confidence'!$D$16:$AC$26,5,FALSE)/COUNTIFS($B:$B,$B945,$C:$C,$C945,$H:$H,$H945,$I:$I,$I945)</f>
        <v>0.1</v>
      </c>
      <c r="L945" s="36">
        <f>VLOOKUP(I945,'Weights and Confidence'!$D$16:$AC$26,6,FALSE)</f>
        <v>1</v>
      </c>
      <c r="M945" s="37">
        <f>tScores4[[#This Row],[Raw_Rating_Text]]</f>
        <v>1</v>
      </c>
      <c r="N945" s="58" t="s">
        <v>288</v>
      </c>
    </row>
    <row r="946" spans="1:14" x14ac:dyDescent="0.2">
      <c r="A946" s="38" t="s">
        <v>185</v>
      </c>
      <c r="B946" s="38" t="s">
        <v>86</v>
      </c>
      <c r="C946" s="38" t="s">
        <v>281</v>
      </c>
      <c r="D946" s="38" t="s">
        <v>5</v>
      </c>
      <c r="E946" s="38"/>
      <c r="F946" s="51" t="s">
        <v>282</v>
      </c>
      <c r="G946" s="38">
        <v>9</v>
      </c>
      <c r="H946" s="38" t="s">
        <v>17</v>
      </c>
      <c r="I946" s="38" t="s">
        <v>27</v>
      </c>
      <c r="J946" s="38">
        <v>1</v>
      </c>
      <c r="K946" s="39">
        <f>VLOOKUP(I946,'Weights and Confidence'!$D$16:$AC$26,5,FALSE)/COUNTIFS($B:$B,$B946,$C:$C,$C946,$H:$H,$H946,$I:$I,$I946)</f>
        <v>0.05</v>
      </c>
      <c r="L946" s="40">
        <f>VLOOKUP(I946,'Weights and Confidence'!$D$16:$AC$26,6,FALSE)</f>
        <v>0.85</v>
      </c>
      <c r="M946" s="41">
        <f>tScores4[[#This Row],[Raw_Rating_Text]]</f>
        <v>1</v>
      </c>
      <c r="N946" s="38"/>
    </row>
    <row r="947" spans="1:14" x14ac:dyDescent="0.2">
      <c r="A947" s="34" t="s">
        <v>185</v>
      </c>
      <c r="B947" s="34" t="s">
        <v>86</v>
      </c>
      <c r="C947" s="34" t="s">
        <v>281</v>
      </c>
      <c r="D947" s="34" t="s">
        <v>5</v>
      </c>
      <c r="E947" s="34"/>
      <c r="F947" s="50" t="s">
        <v>282</v>
      </c>
      <c r="G947" s="34">
        <v>9</v>
      </c>
      <c r="H947" s="34" t="s">
        <v>18</v>
      </c>
      <c r="I947" s="34" t="s">
        <v>27</v>
      </c>
      <c r="J947" s="34">
        <v>1</v>
      </c>
      <c r="K947" s="35">
        <f>VLOOKUP(I947,'Weights and Confidence'!$D$16:$AC$26,5,FALSE)/COUNTIFS($B:$B,$B947,$C:$C,$C947,$H:$H,$H947,$I:$I,$I947)</f>
        <v>0.05</v>
      </c>
      <c r="L947" s="36">
        <f>VLOOKUP(I947,'Weights and Confidence'!$D$16:$AC$26,6,FALSE)</f>
        <v>0.85</v>
      </c>
      <c r="M947" s="37">
        <f>tScores4[[#This Row],[Raw_Rating_Text]]</f>
        <v>1</v>
      </c>
      <c r="N947" s="58"/>
    </row>
    <row r="948" spans="1:14" x14ac:dyDescent="0.2">
      <c r="A948" s="38" t="s">
        <v>185</v>
      </c>
      <c r="B948" s="38" t="s">
        <v>86</v>
      </c>
      <c r="C948" s="38" t="s">
        <v>281</v>
      </c>
      <c r="D948" s="38" t="s">
        <v>5</v>
      </c>
      <c r="E948" s="38"/>
      <c r="F948" s="51" t="s">
        <v>282</v>
      </c>
      <c r="G948" s="38">
        <v>10</v>
      </c>
      <c r="H948" s="38" t="s">
        <v>17</v>
      </c>
      <c r="I948" s="38" t="s">
        <v>27</v>
      </c>
      <c r="J948" s="38">
        <v>0</v>
      </c>
      <c r="K948" s="39">
        <f>VLOOKUP(I948,'Weights and Confidence'!$D$16:$AC$26,5,FALSE)/COUNTIFS($B:$B,$B948,$C:$C,$C948,$H:$H,$H948,$I:$I,$I948)</f>
        <v>0.05</v>
      </c>
      <c r="L948" s="40">
        <f>VLOOKUP(I948,'Weights and Confidence'!$D$16:$AC$26,6,FALSE)</f>
        <v>0.85</v>
      </c>
      <c r="M948" s="41">
        <f>tScores4[[#This Row],[Raw_Rating_Text]]</f>
        <v>0</v>
      </c>
      <c r="N948" s="38"/>
    </row>
    <row r="949" spans="1:14" x14ac:dyDescent="0.2">
      <c r="A949" s="34" t="s">
        <v>185</v>
      </c>
      <c r="B949" s="34" t="s">
        <v>86</v>
      </c>
      <c r="C949" s="34" t="s">
        <v>281</v>
      </c>
      <c r="D949" s="34" t="s">
        <v>5</v>
      </c>
      <c r="E949" s="34"/>
      <c r="F949" s="50" t="s">
        <v>282</v>
      </c>
      <c r="G949" s="34">
        <v>10</v>
      </c>
      <c r="H949" s="34" t="s">
        <v>18</v>
      </c>
      <c r="I949" s="34" t="s">
        <v>27</v>
      </c>
      <c r="J949" s="34">
        <v>1</v>
      </c>
      <c r="K949" s="35">
        <f>VLOOKUP(I949,'Weights and Confidence'!$D$16:$AC$26,5,FALSE)/COUNTIFS($B:$B,$B949,$C:$C,$C949,$H:$H,$H949,$I:$I,$I949)</f>
        <v>0.05</v>
      </c>
      <c r="L949" s="36">
        <f>VLOOKUP(I949,'Weights and Confidence'!$D$16:$AC$26,6,FALSE)</f>
        <v>0.85</v>
      </c>
      <c r="M949" s="37">
        <f>tScores4[[#This Row],[Raw_Rating_Text]]</f>
        <v>1</v>
      </c>
      <c r="N949" s="34"/>
    </row>
    <row r="950" spans="1:14" x14ac:dyDescent="0.2">
      <c r="A950" s="38" t="s">
        <v>185</v>
      </c>
      <c r="B950" s="38" t="s">
        <v>86</v>
      </c>
      <c r="C950" s="38" t="s">
        <v>281</v>
      </c>
      <c r="D950" s="38" t="s">
        <v>5</v>
      </c>
      <c r="E950" s="38"/>
      <c r="F950" s="51" t="s">
        <v>282</v>
      </c>
      <c r="G950" s="38">
        <v>11</v>
      </c>
      <c r="H950" s="38" t="s">
        <v>17</v>
      </c>
      <c r="I950" s="38" t="s">
        <v>28</v>
      </c>
      <c r="J950" s="38">
        <v>-1</v>
      </c>
      <c r="K950" s="39">
        <f>VLOOKUP(I950,'Weights and Confidence'!$D$16:$AC$26,5,FALSE)/COUNTIFS($B:$B,$B950,$C:$C,$C950,$H:$H,$H950,$I:$I,$I950)</f>
        <v>0.05</v>
      </c>
      <c r="L950" s="40">
        <f>VLOOKUP(I950,'Weights and Confidence'!$D$16:$AC$26,6,FALSE)</f>
        <v>1</v>
      </c>
      <c r="M950" s="41">
        <f>tScores4[[#This Row],[Raw_Rating_Text]]</f>
        <v>-1</v>
      </c>
      <c r="N950" s="38"/>
    </row>
    <row r="951" spans="1:14" ht="17" thickBot="1" x14ac:dyDescent="0.25">
      <c r="A951" s="34" t="s">
        <v>185</v>
      </c>
      <c r="B951" s="34" t="s">
        <v>86</v>
      </c>
      <c r="C951" s="34" t="s">
        <v>281</v>
      </c>
      <c r="D951" s="34" t="s">
        <v>5</v>
      </c>
      <c r="E951" s="34"/>
      <c r="F951" s="50" t="s">
        <v>282</v>
      </c>
      <c r="G951" s="34">
        <v>11</v>
      </c>
      <c r="H951" s="34" t="s">
        <v>18</v>
      </c>
      <c r="I951" s="34" t="s">
        <v>28</v>
      </c>
      <c r="J951" s="34">
        <v>0</v>
      </c>
      <c r="K951" s="35">
        <f>VLOOKUP(I951,'Weights and Confidence'!$D$16:$AC$26,5,FALSE)/COUNTIFS($B:$B,$B951,$C:$C,$C951,$H:$H,$H951,$I:$I,$I951)</f>
        <v>0.05</v>
      </c>
      <c r="L951" s="36">
        <f>VLOOKUP(I951,'Weights and Confidence'!$D$16:$AC$26,6,FALSE)</f>
        <v>1</v>
      </c>
      <c r="M951" s="37">
        <f>tScores4[[#This Row],[Raw_Rating_Text]]</f>
        <v>0</v>
      </c>
      <c r="N951" s="58" t="s">
        <v>289</v>
      </c>
    </row>
    <row r="952" spans="1:14" ht="17" thickTop="1" x14ac:dyDescent="0.2">
      <c r="A952" s="42" t="s">
        <v>185</v>
      </c>
      <c r="B952" s="42" t="s">
        <v>86</v>
      </c>
      <c r="C952" s="42" t="s">
        <v>290</v>
      </c>
      <c r="D952" s="42" t="s">
        <v>5</v>
      </c>
      <c r="E952" s="42"/>
      <c r="F952" s="49" t="s">
        <v>291</v>
      </c>
      <c r="G952" s="42">
        <v>1</v>
      </c>
      <c r="H952" s="42" t="s">
        <v>17</v>
      </c>
      <c r="I952" s="42" t="s">
        <v>19</v>
      </c>
      <c r="J952" s="42">
        <v>0</v>
      </c>
      <c r="K952" s="44">
        <f>VLOOKUP(I952,'Weights and Confidence'!$D$16:$AC$26,5,FALSE)/COUNTIFS($B:$B,$B952,$C:$C,$C952,$H:$H,$H952,$I:$I,$I952)</f>
        <v>0.12</v>
      </c>
      <c r="L952" s="45">
        <f>VLOOKUP(I952,'Weights and Confidence'!$D$16:$AC$26,6,FALSE)</f>
        <v>1</v>
      </c>
      <c r="M952" s="46">
        <f>tScores4[[#This Row],[Raw_Rating_Text]]</f>
        <v>0</v>
      </c>
      <c r="N952" s="42"/>
    </row>
    <row r="953" spans="1:14" x14ac:dyDescent="0.2">
      <c r="A953" s="34" t="s">
        <v>185</v>
      </c>
      <c r="B953" s="34" t="s">
        <v>86</v>
      </c>
      <c r="C953" s="34" t="s">
        <v>290</v>
      </c>
      <c r="D953" s="34" t="s">
        <v>5</v>
      </c>
      <c r="E953" s="34"/>
      <c r="F953" s="50" t="s">
        <v>291</v>
      </c>
      <c r="G953" s="34">
        <v>1</v>
      </c>
      <c r="H953" s="34" t="s">
        <v>18</v>
      </c>
      <c r="I953" s="34" t="s">
        <v>19</v>
      </c>
      <c r="J953" s="34">
        <v>1</v>
      </c>
      <c r="K953" s="35">
        <f>VLOOKUP(I953,'Weights and Confidence'!$D$16:$AC$26,5,FALSE)/COUNTIFS($B:$B,$B953,$C:$C,$C953,$H:$H,$H953,$I:$I,$I953)</f>
        <v>0.12</v>
      </c>
      <c r="L953" s="36">
        <f>VLOOKUP(I953,'Weights and Confidence'!$D$16:$AC$26,6,FALSE)</f>
        <v>1</v>
      </c>
      <c r="M953" s="37">
        <f>tScores4[[#This Row],[Raw_Rating_Text]]</f>
        <v>1</v>
      </c>
      <c r="N953" s="58"/>
    </row>
    <row r="954" spans="1:14" x14ac:dyDescent="0.2">
      <c r="A954" s="38" t="s">
        <v>185</v>
      </c>
      <c r="B954" s="38" t="s">
        <v>86</v>
      </c>
      <c r="C954" s="38" t="s">
        <v>290</v>
      </c>
      <c r="D954" s="38" t="s">
        <v>5</v>
      </c>
      <c r="E954" s="38"/>
      <c r="F954" s="51" t="s">
        <v>291</v>
      </c>
      <c r="G954" s="38">
        <v>2</v>
      </c>
      <c r="H954" s="38" t="s">
        <v>17</v>
      </c>
      <c r="I954" s="38" t="s">
        <v>20</v>
      </c>
      <c r="J954" s="38">
        <v>-1</v>
      </c>
      <c r="K954" s="39">
        <f>VLOOKUP(I954,'Weights and Confidence'!$D$16:$AC$26,5,FALSE)/COUNTIFS($B:$B,$B954,$C:$C,$C954,$H:$H,$H954,$I:$I,$I954)</f>
        <v>0.08</v>
      </c>
      <c r="L954" s="40">
        <f>VLOOKUP(I954,'Weights and Confidence'!$D$16:$AC$26,6,FALSE)</f>
        <v>0.8</v>
      </c>
      <c r="M954" s="41">
        <f>tScores4[[#This Row],[Raw_Rating_Text]]</f>
        <v>-1</v>
      </c>
      <c r="N954" s="38"/>
    </row>
    <row r="955" spans="1:14" x14ac:dyDescent="0.2">
      <c r="A955" s="34" t="s">
        <v>185</v>
      </c>
      <c r="B955" s="34" t="s">
        <v>86</v>
      </c>
      <c r="C955" s="34" t="s">
        <v>290</v>
      </c>
      <c r="D955" s="34" t="s">
        <v>5</v>
      </c>
      <c r="E955" s="34"/>
      <c r="F955" s="50" t="s">
        <v>291</v>
      </c>
      <c r="G955" s="34">
        <v>2</v>
      </c>
      <c r="H955" s="34" t="s">
        <v>18</v>
      </c>
      <c r="I955" s="34" t="s">
        <v>20</v>
      </c>
      <c r="J955" s="34">
        <v>1</v>
      </c>
      <c r="K955" s="35">
        <f>VLOOKUP(I955,'Weights and Confidence'!$D$16:$AC$26,5,FALSE)/COUNTIFS($B:$B,$B955,$C:$C,$C955,$H:$H,$H955,$I:$I,$I955)</f>
        <v>0.08</v>
      </c>
      <c r="L955" s="36">
        <f>VLOOKUP(I955,'Weights and Confidence'!$D$16:$AC$26,6,FALSE)</f>
        <v>0.8</v>
      </c>
      <c r="M955" s="37">
        <f>tScores4[[#This Row],[Raw_Rating_Text]]</f>
        <v>1</v>
      </c>
      <c r="N955" s="58" t="s">
        <v>292</v>
      </c>
    </row>
    <row r="956" spans="1:14" x14ac:dyDescent="0.2">
      <c r="A956" s="38" t="s">
        <v>185</v>
      </c>
      <c r="B956" s="38" t="s">
        <v>86</v>
      </c>
      <c r="C956" s="38" t="s">
        <v>290</v>
      </c>
      <c r="D956" s="38" t="s">
        <v>5</v>
      </c>
      <c r="E956" s="38"/>
      <c r="F956" s="51" t="s">
        <v>291</v>
      </c>
      <c r="G956" s="38">
        <v>3</v>
      </c>
      <c r="H956" s="38" t="s">
        <v>17</v>
      </c>
      <c r="I956" s="38" t="s">
        <v>21</v>
      </c>
      <c r="J956" s="38">
        <v>1</v>
      </c>
      <c r="K956" s="39">
        <f>VLOOKUP(I956,'Weights and Confidence'!$D$16:$AC$26,5,FALSE)/COUNTIFS($B:$B,$B956,$C:$C,$C956,$H:$H,$H956,$I:$I,$I956)</f>
        <v>0.05</v>
      </c>
      <c r="L956" s="40">
        <f>VLOOKUP(I956,'Weights and Confidence'!$D$16:$AC$26,6,FALSE)</f>
        <v>1</v>
      </c>
      <c r="M956" s="41">
        <f>tScores4[[#This Row],[Raw_Rating_Text]]</f>
        <v>1</v>
      </c>
      <c r="N956" s="38"/>
    </row>
    <row r="957" spans="1:14" x14ac:dyDescent="0.2">
      <c r="A957" s="34" t="s">
        <v>185</v>
      </c>
      <c r="B957" s="34" t="s">
        <v>86</v>
      </c>
      <c r="C957" s="34" t="s">
        <v>290</v>
      </c>
      <c r="D957" s="34" t="s">
        <v>5</v>
      </c>
      <c r="E957" s="34"/>
      <c r="F957" s="50" t="s">
        <v>291</v>
      </c>
      <c r="G957" s="34">
        <v>3</v>
      </c>
      <c r="H957" s="34" t="s">
        <v>18</v>
      </c>
      <c r="I957" s="34" t="s">
        <v>21</v>
      </c>
      <c r="J957" s="34">
        <v>1</v>
      </c>
      <c r="K957" s="35">
        <f>VLOOKUP(I957,'Weights and Confidence'!$D$16:$AC$26,5,FALSE)/COUNTIFS($B:$B,$B957,$C:$C,$C957,$H:$H,$H957,$I:$I,$I957)</f>
        <v>0.05</v>
      </c>
      <c r="L957" s="36">
        <f>VLOOKUP(I957,'Weights and Confidence'!$D$16:$AC$26,6,FALSE)</f>
        <v>1</v>
      </c>
      <c r="M957" s="37">
        <f>tScores4[[#This Row],[Raw_Rating_Text]]</f>
        <v>1</v>
      </c>
      <c r="N957" s="58"/>
    </row>
    <row r="958" spans="1:14" x14ac:dyDescent="0.2">
      <c r="A958" s="38" t="s">
        <v>185</v>
      </c>
      <c r="B958" s="38" t="s">
        <v>86</v>
      </c>
      <c r="C958" s="38" t="s">
        <v>290</v>
      </c>
      <c r="D958" s="38" t="s">
        <v>5</v>
      </c>
      <c r="E958" s="38"/>
      <c r="F958" s="51" t="s">
        <v>291</v>
      </c>
      <c r="G958" s="38">
        <v>4</v>
      </c>
      <c r="H958" s="38" t="s">
        <v>17</v>
      </c>
      <c r="I958" s="38" t="s">
        <v>22</v>
      </c>
      <c r="J958" s="38">
        <v>-1</v>
      </c>
      <c r="K958" s="39">
        <f>VLOOKUP(I958,'Weights and Confidence'!$D$16:$AC$26,5,FALSE)/COUNTIFS($B:$B,$B958,$C:$C,$C958,$H:$H,$H958,$I:$I,$I958)</f>
        <v>0.14000000000000001</v>
      </c>
      <c r="L958" s="40">
        <f>VLOOKUP(I958,'Weights and Confidence'!$D$16:$AC$26,6,FALSE)</f>
        <v>1</v>
      </c>
      <c r="M958" s="41">
        <f>tScores4[[#This Row],[Raw_Rating_Text]]</f>
        <v>-1</v>
      </c>
      <c r="N958" s="38"/>
    </row>
    <row r="959" spans="1:14" x14ac:dyDescent="0.2">
      <c r="A959" s="34" t="s">
        <v>185</v>
      </c>
      <c r="B959" s="34" t="s">
        <v>86</v>
      </c>
      <c r="C959" s="34" t="s">
        <v>290</v>
      </c>
      <c r="D959" s="34" t="s">
        <v>5</v>
      </c>
      <c r="E959" s="34"/>
      <c r="F959" s="50" t="s">
        <v>291</v>
      </c>
      <c r="G959" s="34">
        <v>4</v>
      </c>
      <c r="H959" s="34" t="s">
        <v>18</v>
      </c>
      <c r="I959" s="34" t="s">
        <v>22</v>
      </c>
      <c r="J959" s="34">
        <v>1</v>
      </c>
      <c r="K959" s="35">
        <f>VLOOKUP(I959,'Weights and Confidence'!$D$16:$AC$26,5,FALSE)/COUNTIFS($B:$B,$B959,$C:$C,$C959,$H:$H,$H959,$I:$I,$I959)</f>
        <v>0.14000000000000001</v>
      </c>
      <c r="L959" s="36">
        <f>VLOOKUP(I959,'Weights and Confidence'!$D$16:$AC$26,6,FALSE)</f>
        <v>1</v>
      </c>
      <c r="M959" s="37">
        <f>tScores4[[#This Row],[Raw_Rating_Text]]</f>
        <v>1</v>
      </c>
      <c r="N959" s="58"/>
    </row>
    <row r="960" spans="1:14" x14ac:dyDescent="0.2">
      <c r="A960" s="38" t="s">
        <v>185</v>
      </c>
      <c r="B960" s="38" t="s">
        <v>86</v>
      </c>
      <c r="C960" s="38" t="s">
        <v>290</v>
      </c>
      <c r="D960" s="38" t="s">
        <v>5</v>
      </c>
      <c r="E960" s="38"/>
      <c r="F960" s="51" t="s">
        <v>291</v>
      </c>
      <c r="G960" s="38">
        <v>5</v>
      </c>
      <c r="H960" s="38" t="s">
        <v>17</v>
      </c>
      <c r="I960" s="38" t="s">
        <v>23</v>
      </c>
      <c r="J960" s="38">
        <v>-1</v>
      </c>
      <c r="K960" s="39">
        <f>VLOOKUP(I960,'Weights and Confidence'!$D$16:$AC$26,5,FALSE)/COUNTIFS($B:$B,$B960,$C:$C,$C960,$H:$H,$H960,$I:$I,$I960)</f>
        <v>0.11</v>
      </c>
      <c r="L960" s="40">
        <f>VLOOKUP(I960,'Weights and Confidence'!$D$16:$AC$26,6,FALSE)</f>
        <v>1</v>
      </c>
      <c r="M960" s="41">
        <f>tScores4[[#This Row],[Raw_Rating_Text]]</f>
        <v>-1</v>
      </c>
      <c r="N960" s="38"/>
    </row>
    <row r="961" spans="1:14" x14ac:dyDescent="0.2">
      <c r="A961" s="34" t="s">
        <v>185</v>
      </c>
      <c r="B961" s="34" t="s">
        <v>86</v>
      </c>
      <c r="C961" s="34" t="s">
        <v>290</v>
      </c>
      <c r="D961" s="34" t="s">
        <v>5</v>
      </c>
      <c r="E961" s="34"/>
      <c r="F961" s="50" t="s">
        <v>291</v>
      </c>
      <c r="G961" s="34">
        <v>5</v>
      </c>
      <c r="H961" s="34" t="s">
        <v>18</v>
      </c>
      <c r="I961" s="34" t="s">
        <v>23</v>
      </c>
      <c r="J961" s="34">
        <v>1</v>
      </c>
      <c r="K961" s="35">
        <f>VLOOKUP(I961,'Weights and Confidence'!$D$16:$AC$26,5,FALSE)/COUNTIFS($B:$B,$B961,$C:$C,$C961,$H:$H,$H961,$I:$I,$I961)</f>
        <v>0.11</v>
      </c>
      <c r="L961" s="36">
        <f>VLOOKUP(I961,'Weights and Confidence'!$D$16:$AC$26,6,FALSE)</f>
        <v>1</v>
      </c>
      <c r="M961" s="37">
        <f>tScores4[[#This Row],[Raw_Rating_Text]]</f>
        <v>1</v>
      </c>
      <c r="N961" s="58"/>
    </row>
    <row r="962" spans="1:14" x14ac:dyDescent="0.2">
      <c r="A962" s="38" t="s">
        <v>185</v>
      </c>
      <c r="B962" s="38" t="s">
        <v>86</v>
      </c>
      <c r="C962" s="38" t="s">
        <v>290</v>
      </c>
      <c r="D962" s="38" t="s">
        <v>5</v>
      </c>
      <c r="E962" s="38"/>
      <c r="F962" s="51" t="s">
        <v>291</v>
      </c>
      <c r="G962" s="38">
        <v>6</v>
      </c>
      <c r="H962" s="38" t="s">
        <v>17</v>
      </c>
      <c r="I962" s="38" t="s">
        <v>24</v>
      </c>
      <c r="J962" s="38">
        <v>-1</v>
      </c>
      <c r="K962" s="39">
        <f>VLOOKUP(I962,'Weights and Confidence'!$D$16:$AC$26,5,FALSE)/COUNTIFS($B:$B,$B962,$C:$C,$C962,$H:$H,$H962,$I:$I,$I962)</f>
        <v>0.15</v>
      </c>
      <c r="L962" s="40">
        <f>VLOOKUP(I962,'Weights and Confidence'!$D$16:$AC$26,6,FALSE)</f>
        <v>1</v>
      </c>
      <c r="M962" s="41">
        <f>tScores4[[#This Row],[Raw_Rating_Text]]</f>
        <v>-1</v>
      </c>
      <c r="N962" s="59"/>
    </row>
    <row r="963" spans="1:14" x14ac:dyDescent="0.2">
      <c r="A963" s="34" t="s">
        <v>185</v>
      </c>
      <c r="B963" s="34" t="s">
        <v>86</v>
      </c>
      <c r="C963" s="34" t="s">
        <v>290</v>
      </c>
      <c r="D963" s="34" t="s">
        <v>5</v>
      </c>
      <c r="E963" s="34"/>
      <c r="F963" s="50" t="s">
        <v>291</v>
      </c>
      <c r="G963" s="34">
        <v>6</v>
      </c>
      <c r="H963" s="34" t="s">
        <v>18</v>
      </c>
      <c r="I963" s="34" t="s">
        <v>24</v>
      </c>
      <c r="J963" s="34">
        <v>0</v>
      </c>
      <c r="K963" s="35">
        <f>VLOOKUP(I963,'Weights and Confidence'!$D$16:$AC$26,5,FALSE)/COUNTIFS($B:$B,$B963,$C:$C,$C963,$H:$H,$H963,$I:$I,$I963)</f>
        <v>0.15</v>
      </c>
      <c r="L963" s="36">
        <f>VLOOKUP(I963,'Weights and Confidence'!$D$16:$AC$26,6,FALSE)</f>
        <v>1</v>
      </c>
      <c r="M963" s="37">
        <f>tScores4[[#This Row],[Raw_Rating_Text]]</f>
        <v>0</v>
      </c>
      <c r="N963" s="58" t="s">
        <v>293</v>
      </c>
    </row>
    <row r="964" spans="1:14" x14ac:dyDescent="0.2">
      <c r="A964" s="38" t="s">
        <v>185</v>
      </c>
      <c r="B964" s="38" t="s">
        <v>86</v>
      </c>
      <c r="C964" s="38" t="s">
        <v>290</v>
      </c>
      <c r="D964" s="38" t="s">
        <v>5</v>
      </c>
      <c r="E964" s="38"/>
      <c r="F964" s="51" t="s">
        <v>291</v>
      </c>
      <c r="G964" s="38">
        <v>7</v>
      </c>
      <c r="H964" s="38" t="s">
        <v>17</v>
      </c>
      <c r="I964" s="38" t="s">
        <v>25</v>
      </c>
      <c r="J964" s="38">
        <v>-1</v>
      </c>
      <c r="K964" s="39">
        <f>VLOOKUP(I964,'Weights and Confidence'!$D$16:$AC$26,5,FALSE)/COUNTIFS($B:$B,$B964,$C:$C,$C964,$H:$H,$H964,$I:$I,$I964)</f>
        <v>0.1</v>
      </c>
      <c r="L964" s="40">
        <f>VLOOKUP(I964,'Weights and Confidence'!$D$16:$AC$26,6,FALSE)</f>
        <v>1</v>
      </c>
      <c r="M964" s="41">
        <f>tScores4[[#This Row],[Raw_Rating_Text]]</f>
        <v>-1</v>
      </c>
      <c r="N964" s="38"/>
    </row>
    <row r="965" spans="1:14" x14ac:dyDescent="0.2">
      <c r="A965" s="34" t="s">
        <v>185</v>
      </c>
      <c r="B965" s="34" t="s">
        <v>86</v>
      </c>
      <c r="C965" s="34" t="s">
        <v>290</v>
      </c>
      <c r="D965" s="34" t="s">
        <v>5</v>
      </c>
      <c r="E965" s="34"/>
      <c r="F965" s="50" t="s">
        <v>291</v>
      </c>
      <c r="G965" s="34">
        <v>7</v>
      </c>
      <c r="H965" s="34" t="s">
        <v>18</v>
      </c>
      <c r="I965" s="34" t="s">
        <v>25</v>
      </c>
      <c r="J965" s="34">
        <v>1</v>
      </c>
      <c r="K965" s="35">
        <f>VLOOKUP(I965,'Weights and Confidence'!$D$16:$AC$26,5,FALSE)/COUNTIFS($B:$B,$B965,$C:$C,$C965,$H:$H,$H965,$I:$I,$I965)</f>
        <v>0.1</v>
      </c>
      <c r="L965" s="36">
        <f>VLOOKUP(I965,'Weights and Confidence'!$D$16:$AC$26,6,FALSE)</f>
        <v>1</v>
      </c>
      <c r="M965" s="37">
        <f>tScores4[[#This Row],[Raw_Rating_Text]]</f>
        <v>1</v>
      </c>
      <c r="N965" s="58" t="s">
        <v>294</v>
      </c>
    </row>
    <row r="966" spans="1:14" x14ac:dyDescent="0.2">
      <c r="A966" s="38" t="s">
        <v>185</v>
      </c>
      <c r="B966" s="38" t="s">
        <v>86</v>
      </c>
      <c r="C966" s="38" t="s">
        <v>290</v>
      </c>
      <c r="D966" s="38" t="s">
        <v>5</v>
      </c>
      <c r="E966" s="38"/>
      <c r="F966" s="51" t="s">
        <v>291</v>
      </c>
      <c r="G966" s="38">
        <v>8</v>
      </c>
      <c r="H966" s="38" t="s">
        <v>17</v>
      </c>
      <c r="I966" s="38" t="s">
        <v>26</v>
      </c>
      <c r="J966" s="38">
        <v>0</v>
      </c>
      <c r="K966" s="39">
        <f>VLOOKUP(I966,'Weights and Confidence'!$D$16:$AC$26,5,FALSE)/COUNTIFS($B:$B,$B966,$C:$C,$C966,$H:$H,$H966,$I:$I,$I966)</f>
        <v>0.1</v>
      </c>
      <c r="L966" s="40">
        <f>VLOOKUP(I966,'Weights and Confidence'!$D$16:$AC$26,6,FALSE)</f>
        <v>1</v>
      </c>
      <c r="M966" s="41">
        <f>tScores4[[#This Row],[Raw_Rating_Text]]</f>
        <v>0</v>
      </c>
      <c r="N966" s="38"/>
    </row>
    <row r="967" spans="1:14" x14ac:dyDescent="0.2">
      <c r="A967" s="34" t="s">
        <v>185</v>
      </c>
      <c r="B967" s="34" t="s">
        <v>86</v>
      </c>
      <c r="C967" s="34" t="s">
        <v>290</v>
      </c>
      <c r="D967" s="34" t="s">
        <v>5</v>
      </c>
      <c r="E967" s="34"/>
      <c r="F967" s="50" t="s">
        <v>291</v>
      </c>
      <c r="G967" s="34">
        <v>8</v>
      </c>
      <c r="H967" s="34" t="s">
        <v>18</v>
      </c>
      <c r="I967" s="34" t="s">
        <v>26</v>
      </c>
      <c r="J967" s="34">
        <v>0</v>
      </c>
      <c r="K967" s="35">
        <f>VLOOKUP(I967,'Weights and Confidence'!$D$16:$AC$26,5,FALSE)/COUNTIFS($B:$B,$B967,$C:$C,$C967,$H:$H,$H967,$I:$I,$I967)</f>
        <v>0.1</v>
      </c>
      <c r="L967" s="36">
        <f>VLOOKUP(I967,'Weights and Confidence'!$D$16:$AC$26,6,FALSE)</f>
        <v>1</v>
      </c>
      <c r="M967" s="37">
        <f>tScores4[[#This Row],[Raw_Rating_Text]]</f>
        <v>0</v>
      </c>
      <c r="N967" s="58" t="s">
        <v>295</v>
      </c>
    </row>
    <row r="968" spans="1:14" x14ac:dyDescent="0.2">
      <c r="A968" s="38" t="s">
        <v>185</v>
      </c>
      <c r="B968" s="38" t="s">
        <v>86</v>
      </c>
      <c r="C968" s="38" t="s">
        <v>290</v>
      </c>
      <c r="D968" s="38" t="s">
        <v>5</v>
      </c>
      <c r="E968" s="38"/>
      <c r="F968" s="51" t="s">
        <v>291</v>
      </c>
      <c r="G968" s="38">
        <v>9</v>
      </c>
      <c r="H968" s="38" t="s">
        <v>17</v>
      </c>
      <c r="I968" s="38" t="s">
        <v>27</v>
      </c>
      <c r="J968" s="38">
        <v>0</v>
      </c>
      <c r="K968" s="39">
        <f>VLOOKUP(I968,'Weights and Confidence'!$D$16:$AC$26,5,FALSE)/COUNTIFS($B:$B,$B968,$C:$C,$C968,$H:$H,$H968,$I:$I,$I968)</f>
        <v>0.05</v>
      </c>
      <c r="L968" s="40">
        <f>VLOOKUP(I968,'Weights and Confidence'!$D$16:$AC$26,6,FALSE)</f>
        <v>0.85</v>
      </c>
      <c r="M968" s="41">
        <f>tScores4[[#This Row],[Raw_Rating_Text]]</f>
        <v>0</v>
      </c>
      <c r="N968" s="38"/>
    </row>
    <row r="969" spans="1:14" x14ac:dyDescent="0.2">
      <c r="A969" s="34" t="s">
        <v>185</v>
      </c>
      <c r="B969" s="34" t="s">
        <v>86</v>
      </c>
      <c r="C969" s="34" t="s">
        <v>290</v>
      </c>
      <c r="D969" s="34" t="s">
        <v>5</v>
      </c>
      <c r="E969" s="34"/>
      <c r="F969" s="50" t="s">
        <v>291</v>
      </c>
      <c r="G969" s="34">
        <v>9</v>
      </c>
      <c r="H969" s="34" t="s">
        <v>18</v>
      </c>
      <c r="I969" s="34" t="s">
        <v>27</v>
      </c>
      <c r="J969" s="34">
        <v>1</v>
      </c>
      <c r="K969" s="35">
        <f>VLOOKUP(I969,'Weights and Confidence'!$D$16:$AC$26,5,FALSE)/COUNTIFS($B:$B,$B969,$C:$C,$C969,$H:$H,$H969,$I:$I,$I969)</f>
        <v>0.05</v>
      </c>
      <c r="L969" s="36">
        <f>VLOOKUP(I969,'Weights and Confidence'!$D$16:$AC$26,6,FALSE)</f>
        <v>0.85</v>
      </c>
      <c r="M969" s="37">
        <f>tScores4[[#This Row],[Raw_Rating_Text]]</f>
        <v>1</v>
      </c>
      <c r="N969" s="58" t="s">
        <v>296</v>
      </c>
    </row>
    <row r="970" spans="1:14" x14ac:dyDescent="0.2">
      <c r="A970" s="38" t="s">
        <v>185</v>
      </c>
      <c r="B970" s="38" t="s">
        <v>86</v>
      </c>
      <c r="C970" s="38" t="s">
        <v>290</v>
      </c>
      <c r="D970" s="38" t="s">
        <v>5</v>
      </c>
      <c r="E970" s="38"/>
      <c r="F970" s="51" t="s">
        <v>291</v>
      </c>
      <c r="G970" s="38">
        <v>10</v>
      </c>
      <c r="H970" s="38" t="s">
        <v>17</v>
      </c>
      <c r="I970" s="38" t="s">
        <v>27</v>
      </c>
      <c r="J970" s="38">
        <v>0</v>
      </c>
      <c r="K970" s="39">
        <f>VLOOKUP(I970,'Weights and Confidence'!$D$16:$AC$26,5,FALSE)/COUNTIFS($B:$B,$B970,$C:$C,$C970,$H:$H,$H970,$I:$I,$I970)</f>
        <v>0.05</v>
      </c>
      <c r="L970" s="40">
        <f>VLOOKUP(I970,'Weights and Confidence'!$D$16:$AC$26,6,FALSE)</f>
        <v>0.85</v>
      </c>
      <c r="M970" s="41">
        <f>tScores4[[#This Row],[Raw_Rating_Text]]</f>
        <v>0</v>
      </c>
      <c r="N970" s="38"/>
    </row>
    <row r="971" spans="1:14" x14ac:dyDescent="0.2">
      <c r="A971" s="34" t="s">
        <v>185</v>
      </c>
      <c r="B971" s="34" t="s">
        <v>86</v>
      </c>
      <c r="C971" s="34" t="s">
        <v>290</v>
      </c>
      <c r="D971" s="34" t="s">
        <v>5</v>
      </c>
      <c r="E971" s="34"/>
      <c r="F971" s="50" t="s">
        <v>291</v>
      </c>
      <c r="G971" s="34">
        <v>10</v>
      </c>
      <c r="H971" s="34" t="s">
        <v>18</v>
      </c>
      <c r="I971" s="34" t="s">
        <v>27</v>
      </c>
      <c r="J971" s="34">
        <v>1</v>
      </c>
      <c r="K971" s="35">
        <f>VLOOKUP(I971,'Weights and Confidence'!$D$16:$AC$26,5,FALSE)/COUNTIFS($B:$B,$B971,$C:$C,$C971,$H:$H,$H971,$I:$I,$I971)</f>
        <v>0.05</v>
      </c>
      <c r="L971" s="36">
        <f>VLOOKUP(I971,'Weights and Confidence'!$D$16:$AC$26,6,FALSE)</f>
        <v>0.85</v>
      </c>
      <c r="M971" s="37">
        <f>tScores4[[#This Row],[Raw_Rating_Text]]</f>
        <v>1</v>
      </c>
      <c r="N971" s="34" t="s">
        <v>297</v>
      </c>
    </row>
    <row r="972" spans="1:14" x14ac:dyDescent="0.2">
      <c r="A972" s="38" t="s">
        <v>185</v>
      </c>
      <c r="B972" s="38" t="s">
        <v>86</v>
      </c>
      <c r="C972" s="38" t="s">
        <v>290</v>
      </c>
      <c r="D972" s="38" t="s">
        <v>5</v>
      </c>
      <c r="E972" s="38"/>
      <c r="F972" s="51" t="s">
        <v>291</v>
      </c>
      <c r="G972" s="38">
        <v>11</v>
      </c>
      <c r="H972" s="38" t="s">
        <v>17</v>
      </c>
      <c r="I972" s="38" t="s">
        <v>28</v>
      </c>
      <c r="J972" s="38">
        <v>-1</v>
      </c>
      <c r="K972" s="39">
        <f>VLOOKUP(I972,'Weights and Confidence'!$D$16:$AC$26,5,FALSE)/COUNTIFS($B:$B,$B972,$C:$C,$C972,$H:$H,$H972,$I:$I,$I972)</f>
        <v>0.05</v>
      </c>
      <c r="L972" s="40">
        <f>VLOOKUP(I972,'Weights and Confidence'!$D$16:$AC$26,6,FALSE)</f>
        <v>1</v>
      </c>
      <c r="M972" s="41">
        <f>tScores4[[#This Row],[Raw_Rating_Text]]</f>
        <v>-1</v>
      </c>
      <c r="N972" s="38"/>
    </row>
    <row r="973" spans="1:14" ht="17" thickBot="1" x14ac:dyDescent="0.25">
      <c r="A973" s="34" t="s">
        <v>185</v>
      </c>
      <c r="B973" s="34" t="s">
        <v>86</v>
      </c>
      <c r="C973" s="34" t="s">
        <v>290</v>
      </c>
      <c r="D973" s="34" t="s">
        <v>5</v>
      </c>
      <c r="E973" s="34"/>
      <c r="F973" s="50" t="s">
        <v>291</v>
      </c>
      <c r="G973" s="34">
        <v>11</v>
      </c>
      <c r="H973" s="34" t="s">
        <v>18</v>
      </c>
      <c r="I973" s="34" t="s">
        <v>28</v>
      </c>
      <c r="J973" s="34">
        <v>0</v>
      </c>
      <c r="K973" s="35">
        <f>VLOOKUP(I973,'Weights and Confidence'!$D$16:$AC$26,5,FALSE)/COUNTIFS($B:$B,$B973,$C:$C,$C973,$H:$H,$H973,$I:$I,$I973)</f>
        <v>0.05</v>
      </c>
      <c r="L973" s="36">
        <f>VLOOKUP(I973,'Weights and Confidence'!$D$16:$AC$26,6,FALSE)</f>
        <v>1</v>
      </c>
      <c r="M973" s="37">
        <f>tScores4[[#This Row],[Raw_Rating_Text]]</f>
        <v>0</v>
      </c>
      <c r="N973" s="58" t="s">
        <v>298</v>
      </c>
    </row>
    <row r="974" spans="1:14" ht="17" thickTop="1" x14ac:dyDescent="0.2">
      <c r="A974" s="42" t="s">
        <v>185</v>
      </c>
      <c r="B974" s="42" t="s">
        <v>86</v>
      </c>
      <c r="C974" s="42" t="s">
        <v>299</v>
      </c>
      <c r="D974" s="42" t="s">
        <v>5</v>
      </c>
      <c r="E974" s="42" t="s">
        <v>303</v>
      </c>
      <c r="F974" s="49" t="s">
        <v>300</v>
      </c>
      <c r="G974" s="42">
        <v>1</v>
      </c>
      <c r="H974" s="42" t="s">
        <v>17</v>
      </c>
      <c r="I974" s="42" t="s">
        <v>19</v>
      </c>
      <c r="J974" s="42">
        <v>1</v>
      </c>
      <c r="K974" s="44">
        <f>VLOOKUP(I974,'Weights and Confidence'!$D$16:$AC$26,5,FALSE)/COUNTIFS($B:$B,$B974,$C:$C,$C974,$H:$H,$H974,$I:$I,$I974)</f>
        <v>0.12</v>
      </c>
      <c r="L974" s="45">
        <f>VLOOKUP(I974,'Weights and Confidence'!$D$16:$AC$26,6,FALSE)</f>
        <v>1</v>
      </c>
      <c r="M974" s="46">
        <f>tScores4[[#This Row],[Raw_Rating_Text]]</f>
        <v>1</v>
      </c>
      <c r="N974" s="42"/>
    </row>
    <row r="975" spans="1:14" x14ac:dyDescent="0.2">
      <c r="A975" s="34" t="s">
        <v>185</v>
      </c>
      <c r="B975" s="34" t="s">
        <v>86</v>
      </c>
      <c r="C975" s="34" t="s">
        <v>299</v>
      </c>
      <c r="D975" s="34" t="s">
        <v>5</v>
      </c>
      <c r="E975" s="34" t="s">
        <v>303</v>
      </c>
      <c r="F975" s="50" t="s">
        <v>300</v>
      </c>
      <c r="G975" s="34">
        <v>1</v>
      </c>
      <c r="H975" s="34" t="s">
        <v>18</v>
      </c>
      <c r="I975" s="34" t="s">
        <v>19</v>
      </c>
      <c r="J975" s="34">
        <v>1</v>
      </c>
      <c r="K975" s="35">
        <f>VLOOKUP(I975,'Weights and Confidence'!$D$16:$AC$26,5,FALSE)/COUNTIFS($B:$B,$B975,$C:$C,$C975,$H:$H,$H975,$I:$I,$I975)</f>
        <v>0.12</v>
      </c>
      <c r="L975" s="36">
        <f>VLOOKUP(I975,'Weights and Confidence'!$D$16:$AC$26,6,FALSE)</f>
        <v>1</v>
      </c>
      <c r="M975" s="37">
        <f>tScores4[[#This Row],[Raw_Rating_Text]]</f>
        <v>1</v>
      </c>
      <c r="N975" s="58" t="s">
        <v>301</v>
      </c>
    </row>
    <row r="976" spans="1:14" x14ac:dyDescent="0.2">
      <c r="A976" s="38" t="s">
        <v>185</v>
      </c>
      <c r="B976" s="38" t="s">
        <v>86</v>
      </c>
      <c r="C976" s="38" t="s">
        <v>299</v>
      </c>
      <c r="D976" s="38" t="s">
        <v>5</v>
      </c>
      <c r="E976" s="38" t="s">
        <v>303</v>
      </c>
      <c r="F976" s="51" t="s">
        <v>300</v>
      </c>
      <c r="G976" s="38">
        <v>2</v>
      </c>
      <c r="H976" s="38" t="s">
        <v>17</v>
      </c>
      <c r="I976" s="38" t="s">
        <v>20</v>
      </c>
      <c r="J976" s="38">
        <v>0</v>
      </c>
      <c r="K976" s="39">
        <f>VLOOKUP(I976,'Weights and Confidence'!$D$16:$AC$26,5,FALSE)/COUNTIFS($B:$B,$B976,$C:$C,$C976,$H:$H,$H976,$I:$I,$I976)</f>
        <v>0.08</v>
      </c>
      <c r="L976" s="40">
        <f>VLOOKUP(I976,'Weights and Confidence'!$D$16:$AC$26,6,FALSE)</f>
        <v>0.8</v>
      </c>
      <c r="M976" s="41">
        <f>tScores4[[#This Row],[Raw_Rating_Text]]</f>
        <v>0</v>
      </c>
      <c r="N976" s="38"/>
    </row>
    <row r="977" spans="1:14" x14ac:dyDescent="0.2">
      <c r="A977" s="34" t="s">
        <v>185</v>
      </c>
      <c r="B977" s="34" t="s">
        <v>86</v>
      </c>
      <c r="C977" s="34" t="s">
        <v>299</v>
      </c>
      <c r="D977" s="34" t="s">
        <v>5</v>
      </c>
      <c r="E977" s="34" t="s">
        <v>303</v>
      </c>
      <c r="F977" s="50" t="s">
        <v>300</v>
      </c>
      <c r="G977" s="34">
        <v>2</v>
      </c>
      <c r="H977" s="34" t="s">
        <v>18</v>
      </c>
      <c r="I977" s="34" t="s">
        <v>20</v>
      </c>
      <c r="J977" s="34">
        <v>0</v>
      </c>
      <c r="K977" s="35">
        <f>VLOOKUP(I977,'Weights and Confidence'!$D$16:$AC$26,5,FALSE)/COUNTIFS($B:$B,$B977,$C:$C,$C977,$H:$H,$H977,$I:$I,$I977)</f>
        <v>0.08</v>
      </c>
      <c r="L977" s="36">
        <f>VLOOKUP(I977,'Weights and Confidence'!$D$16:$AC$26,6,FALSE)</f>
        <v>0.8</v>
      </c>
      <c r="M977" s="37">
        <f>tScores4[[#This Row],[Raw_Rating_Text]]</f>
        <v>0</v>
      </c>
      <c r="N977" s="58" t="s">
        <v>302</v>
      </c>
    </row>
    <row r="978" spans="1:14" x14ac:dyDescent="0.2">
      <c r="A978" s="38" t="s">
        <v>185</v>
      </c>
      <c r="B978" s="38" t="s">
        <v>86</v>
      </c>
      <c r="C978" s="38" t="s">
        <v>299</v>
      </c>
      <c r="D978" s="38" t="s">
        <v>5</v>
      </c>
      <c r="E978" s="38" t="s">
        <v>303</v>
      </c>
      <c r="F978" s="51" t="s">
        <v>300</v>
      </c>
      <c r="G978" s="38">
        <v>3</v>
      </c>
      <c r="H978" s="38" t="s">
        <v>17</v>
      </c>
      <c r="I978" s="38" t="s">
        <v>21</v>
      </c>
      <c r="J978" s="38">
        <v>1</v>
      </c>
      <c r="K978" s="39">
        <f>VLOOKUP(I978,'Weights and Confidence'!$D$16:$AC$26,5,FALSE)/COUNTIFS($B:$B,$B978,$C:$C,$C978,$H:$H,$H978,$I:$I,$I978)</f>
        <v>0.05</v>
      </c>
      <c r="L978" s="40">
        <f>VLOOKUP(I978,'Weights and Confidence'!$D$16:$AC$26,6,FALSE)</f>
        <v>1</v>
      </c>
      <c r="M978" s="41">
        <f>tScores4[[#This Row],[Raw_Rating_Text]]</f>
        <v>1</v>
      </c>
      <c r="N978" s="38"/>
    </row>
    <row r="979" spans="1:14" x14ac:dyDescent="0.2">
      <c r="A979" s="34" t="s">
        <v>185</v>
      </c>
      <c r="B979" s="34" t="s">
        <v>86</v>
      </c>
      <c r="C979" s="34" t="s">
        <v>299</v>
      </c>
      <c r="D979" s="34" t="s">
        <v>5</v>
      </c>
      <c r="E979" s="34" t="s">
        <v>303</v>
      </c>
      <c r="F979" s="50" t="s">
        <v>300</v>
      </c>
      <c r="G979" s="34">
        <v>3</v>
      </c>
      <c r="H979" s="34" t="s">
        <v>18</v>
      </c>
      <c r="I979" s="34" t="s">
        <v>21</v>
      </c>
      <c r="J979" s="34">
        <v>1</v>
      </c>
      <c r="K979" s="35">
        <f>VLOOKUP(I979,'Weights and Confidence'!$D$16:$AC$26,5,FALSE)/COUNTIFS($B:$B,$B979,$C:$C,$C979,$H:$H,$H979,$I:$I,$I979)</f>
        <v>0.05</v>
      </c>
      <c r="L979" s="36">
        <f>VLOOKUP(I979,'Weights and Confidence'!$D$16:$AC$26,6,FALSE)</f>
        <v>1</v>
      </c>
      <c r="M979" s="37">
        <f>tScores4[[#This Row],[Raw_Rating_Text]]</f>
        <v>1</v>
      </c>
      <c r="N979" s="58" t="s">
        <v>304</v>
      </c>
    </row>
    <row r="980" spans="1:14" x14ac:dyDescent="0.2">
      <c r="A980" s="38" t="s">
        <v>185</v>
      </c>
      <c r="B980" s="38" t="s">
        <v>86</v>
      </c>
      <c r="C980" s="38" t="s">
        <v>299</v>
      </c>
      <c r="D980" s="38" t="s">
        <v>5</v>
      </c>
      <c r="E980" s="38" t="s">
        <v>303</v>
      </c>
      <c r="F980" s="51" t="s">
        <v>300</v>
      </c>
      <c r="G980" s="38">
        <v>4</v>
      </c>
      <c r="H980" s="38" t="s">
        <v>17</v>
      </c>
      <c r="I980" s="38" t="s">
        <v>22</v>
      </c>
      <c r="J980" s="38">
        <v>0</v>
      </c>
      <c r="K980" s="39">
        <f>VLOOKUP(I980,'Weights and Confidence'!$D$16:$AC$26,5,FALSE)/COUNTIFS($B:$B,$B980,$C:$C,$C980,$H:$H,$H980,$I:$I,$I980)</f>
        <v>0.14000000000000001</v>
      </c>
      <c r="L980" s="40">
        <f>VLOOKUP(I980,'Weights and Confidence'!$D$16:$AC$26,6,FALSE)</f>
        <v>1</v>
      </c>
      <c r="M980" s="41">
        <f>tScores4[[#This Row],[Raw_Rating_Text]]</f>
        <v>0</v>
      </c>
      <c r="N980" s="38"/>
    </row>
    <row r="981" spans="1:14" x14ac:dyDescent="0.2">
      <c r="A981" s="34" t="s">
        <v>185</v>
      </c>
      <c r="B981" s="34" t="s">
        <v>86</v>
      </c>
      <c r="C981" s="34" t="s">
        <v>299</v>
      </c>
      <c r="D981" s="34" t="s">
        <v>5</v>
      </c>
      <c r="E981" s="34" t="s">
        <v>303</v>
      </c>
      <c r="F981" s="50" t="s">
        <v>300</v>
      </c>
      <c r="G981" s="34">
        <v>4</v>
      </c>
      <c r="H981" s="34" t="s">
        <v>18</v>
      </c>
      <c r="I981" s="34" t="s">
        <v>22</v>
      </c>
      <c r="J981" s="34">
        <v>1</v>
      </c>
      <c r="K981" s="35">
        <f>VLOOKUP(I981,'Weights and Confidence'!$D$16:$AC$26,5,FALSE)/COUNTIFS($B:$B,$B981,$C:$C,$C981,$H:$H,$H981,$I:$I,$I981)</f>
        <v>0.14000000000000001</v>
      </c>
      <c r="L981" s="36">
        <f>VLOOKUP(I981,'Weights and Confidence'!$D$16:$AC$26,6,FALSE)</f>
        <v>1</v>
      </c>
      <c r="M981" s="37">
        <f>tScores4[[#This Row],[Raw_Rating_Text]]</f>
        <v>1</v>
      </c>
      <c r="N981" s="58" t="s">
        <v>305</v>
      </c>
    </row>
    <row r="982" spans="1:14" x14ac:dyDescent="0.2">
      <c r="A982" s="38" t="s">
        <v>185</v>
      </c>
      <c r="B982" s="38" t="s">
        <v>86</v>
      </c>
      <c r="C982" s="38" t="s">
        <v>299</v>
      </c>
      <c r="D982" s="38" t="s">
        <v>5</v>
      </c>
      <c r="E982" s="38" t="s">
        <v>303</v>
      </c>
      <c r="F982" s="51" t="s">
        <v>300</v>
      </c>
      <c r="G982" s="38">
        <v>5</v>
      </c>
      <c r="H982" s="38" t="s">
        <v>17</v>
      </c>
      <c r="I982" s="38" t="s">
        <v>23</v>
      </c>
      <c r="J982" s="38">
        <v>-1</v>
      </c>
      <c r="K982" s="39">
        <f>VLOOKUP(I982,'Weights and Confidence'!$D$16:$AC$26,5,FALSE)/COUNTIFS($B:$B,$B982,$C:$C,$C982,$H:$H,$H982,$I:$I,$I982)</f>
        <v>0.11</v>
      </c>
      <c r="L982" s="40">
        <f>VLOOKUP(I982,'Weights and Confidence'!$D$16:$AC$26,6,FALSE)</f>
        <v>1</v>
      </c>
      <c r="M982" s="41">
        <f>tScores4[[#This Row],[Raw_Rating_Text]]</f>
        <v>-1</v>
      </c>
      <c r="N982" s="38"/>
    </row>
    <row r="983" spans="1:14" x14ac:dyDescent="0.2">
      <c r="A983" s="34" t="s">
        <v>185</v>
      </c>
      <c r="B983" s="34" t="s">
        <v>86</v>
      </c>
      <c r="C983" s="34" t="s">
        <v>299</v>
      </c>
      <c r="D983" s="34" t="s">
        <v>5</v>
      </c>
      <c r="E983" s="34" t="s">
        <v>303</v>
      </c>
      <c r="F983" s="50" t="s">
        <v>300</v>
      </c>
      <c r="G983" s="34">
        <v>5</v>
      </c>
      <c r="H983" s="34" t="s">
        <v>18</v>
      </c>
      <c r="I983" s="34" t="s">
        <v>23</v>
      </c>
      <c r="J983" s="34">
        <v>0</v>
      </c>
      <c r="K983" s="35">
        <f>VLOOKUP(I983,'Weights and Confidence'!$D$16:$AC$26,5,FALSE)/COUNTIFS($B:$B,$B983,$C:$C,$C983,$H:$H,$H983,$I:$I,$I983)</f>
        <v>0.11</v>
      </c>
      <c r="L983" s="36">
        <f>VLOOKUP(I983,'Weights and Confidence'!$D$16:$AC$26,6,FALSE)</f>
        <v>1</v>
      </c>
      <c r="M983" s="37">
        <f>tScores4[[#This Row],[Raw_Rating_Text]]</f>
        <v>0</v>
      </c>
      <c r="N983" s="58" t="s">
        <v>306</v>
      </c>
    </row>
    <row r="984" spans="1:14" x14ac:dyDescent="0.2">
      <c r="A984" s="38" t="s">
        <v>185</v>
      </c>
      <c r="B984" s="38" t="s">
        <v>86</v>
      </c>
      <c r="C984" s="38" t="s">
        <v>299</v>
      </c>
      <c r="D984" s="38" t="s">
        <v>5</v>
      </c>
      <c r="E984" s="38" t="s">
        <v>303</v>
      </c>
      <c r="F984" s="51" t="s">
        <v>300</v>
      </c>
      <c r="G984" s="38">
        <v>6</v>
      </c>
      <c r="H984" s="38" t="s">
        <v>17</v>
      </c>
      <c r="I984" s="38" t="s">
        <v>24</v>
      </c>
      <c r="J984" s="38">
        <v>0</v>
      </c>
      <c r="K984" s="39">
        <f>VLOOKUP(I984,'Weights and Confidence'!$D$16:$AC$26,5,FALSE)/COUNTIFS($B:$B,$B984,$C:$C,$C984,$H:$H,$H984,$I:$I,$I984)</f>
        <v>0.15</v>
      </c>
      <c r="L984" s="40">
        <f>VLOOKUP(I984,'Weights and Confidence'!$D$16:$AC$26,6,FALSE)</f>
        <v>1</v>
      </c>
      <c r="M984" s="41">
        <f>tScores4[[#This Row],[Raw_Rating_Text]]</f>
        <v>0</v>
      </c>
      <c r="N984" s="59"/>
    </row>
    <row r="985" spans="1:14" x14ac:dyDescent="0.2">
      <c r="A985" s="34" t="s">
        <v>185</v>
      </c>
      <c r="B985" s="34" t="s">
        <v>86</v>
      </c>
      <c r="C985" s="34" t="s">
        <v>299</v>
      </c>
      <c r="D985" s="34" t="s">
        <v>5</v>
      </c>
      <c r="E985" s="34" t="s">
        <v>303</v>
      </c>
      <c r="F985" s="50" t="s">
        <v>300</v>
      </c>
      <c r="G985" s="34">
        <v>6</v>
      </c>
      <c r="H985" s="34" t="s">
        <v>18</v>
      </c>
      <c r="I985" s="34" t="s">
        <v>24</v>
      </c>
      <c r="J985" s="34">
        <v>0</v>
      </c>
      <c r="K985" s="35">
        <f>VLOOKUP(I985,'Weights and Confidence'!$D$16:$AC$26,5,FALSE)/COUNTIFS($B:$B,$B985,$C:$C,$C985,$H:$H,$H985,$I:$I,$I985)</f>
        <v>0.15</v>
      </c>
      <c r="L985" s="36">
        <f>VLOOKUP(I985,'Weights and Confidence'!$D$16:$AC$26,6,FALSE)</f>
        <v>1</v>
      </c>
      <c r="M985" s="37">
        <f>tScores4[[#This Row],[Raw_Rating_Text]]</f>
        <v>0</v>
      </c>
      <c r="N985" s="58" t="s">
        <v>307</v>
      </c>
    </row>
    <row r="986" spans="1:14" x14ac:dyDescent="0.2">
      <c r="A986" s="38" t="s">
        <v>185</v>
      </c>
      <c r="B986" s="38" t="s">
        <v>86</v>
      </c>
      <c r="C986" s="38" t="s">
        <v>299</v>
      </c>
      <c r="D986" s="38" t="s">
        <v>5</v>
      </c>
      <c r="E986" s="38" t="s">
        <v>303</v>
      </c>
      <c r="F986" s="51" t="s">
        <v>300</v>
      </c>
      <c r="G986" s="38">
        <v>7</v>
      </c>
      <c r="H986" s="38" t="s">
        <v>17</v>
      </c>
      <c r="I986" s="38" t="s">
        <v>25</v>
      </c>
      <c r="J986" s="38">
        <v>0</v>
      </c>
      <c r="K986" s="39">
        <f>VLOOKUP(I986,'Weights and Confidence'!$D$16:$AC$26,5,FALSE)/COUNTIFS($B:$B,$B986,$C:$C,$C986,$H:$H,$H986,$I:$I,$I986)</f>
        <v>0.1</v>
      </c>
      <c r="L986" s="40">
        <f>VLOOKUP(I986,'Weights and Confidence'!$D$16:$AC$26,6,FALSE)</f>
        <v>1</v>
      </c>
      <c r="M986" s="41">
        <f>tScores4[[#This Row],[Raw_Rating_Text]]</f>
        <v>0</v>
      </c>
      <c r="N986" s="38"/>
    </row>
    <row r="987" spans="1:14" x14ac:dyDescent="0.2">
      <c r="A987" s="34" t="s">
        <v>185</v>
      </c>
      <c r="B987" s="34" t="s">
        <v>86</v>
      </c>
      <c r="C987" s="34" t="s">
        <v>299</v>
      </c>
      <c r="D987" s="34" t="s">
        <v>5</v>
      </c>
      <c r="E987" s="34" t="s">
        <v>303</v>
      </c>
      <c r="F987" s="50" t="s">
        <v>300</v>
      </c>
      <c r="G987" s="34">
        <v>7</v>
      </c>
      <c r="H987" s="34" t="s">
        <v>18</v>
      </c>
      <c r="I987" s="34" t="s">
        <v>25</v>
      </c>
      <c r="J987" s="34">
        <v>0</v>
      </c>
      <c r="K987" s="35">
        <f>VLOOKUP(I987,'Weights and Confidence'!$D$16:$AC$26,5,FALSE)/COUNTIFS($B:$B,$B987,$C:$C,$C987,$H:$H,$H987,$I:$I,$I987)</f>
        <v>0.1</v>
      </c>
      <c r="L987" s="36">
        <f>VLOOKUP(I987,'Weights and Confidence'!$D$16:$AC$26,6,FALSE)</f>
        <v>1</v>
      </c>
      <c r="M987" s="37">
        <f>tScores4[[#This Row],[Raw_Rating_Text]]</f>
        <v>0</v>
      </c>
      <c r="N987" s="58" t="s">
        <v>308</v>
      </c>
    </row>
    <row r="988" spans="1:14" x14ac:dyDescent="0.2">
      <c r="A988" s="38" t="s">
        <v>185</v>
      </c>
      <c r="B988" s="38" t="s">
        <v>86</v>
      </c>
      <c r="C988" s="38" t="s">
        <v>299</v>
      </c>
      <c r="D988" s="38" t="s">
        <v>5</v>
      </c>
      <c r="E988" s="38" t="s">
        <v>303</v>
      </c>
      <c r="F988" s="51" t="s">
        <v>300</v>
      </c>
      <c r="G988" s="38">
        <v>8</v>
      </c>
      <c r="H988" s="38" t="s">
        <v>17</v>
      </c>
      <c r="I988" s="38" t="s">
        <v>26</v>
      </c>
      <c r="J988" s="38">
        <v>0</v>
      </c>
      <c r="K988" s="39">
        <f>VLOOKUP(I988,'Weights and Confidence'!$D$16:$AC$26,5,FALSE)/COUNTIFS($B:$B,$B988,$C:$C,$C988,$H:$H,$H988,$I:$I,$I988)</f>
        <v>0.1</v>
      </c>
      <c r="L988" s="40">
        <f>VLOOKUP(I988,'Weights and Confidence'!$D$16:$AC$26,6,FALSE)</f>
        <v>1</v>
      </c>
      <c r="M988" s="41">
        <f>tScores4[[#This Row],[Raw_Rating_Text]]</f>
        <v>0</v>
      </c>
      <c r="N988" s="38"/>
    </row>
    <row r="989" spans="1:14" x14ac:dyDescent="0.2">
      <c r="A989" s="34" t="s">
        <v>185</v>
      </c>
      <c r="B989" s="34" t="s">
        <v>86</v>
      </c>
      <c r="C989" s="34" t="s">
        <v>299</v>
      </c>
      <c r="D989" s="34" t="s">
        <v>5</v>
      </c>
      <c r="E989" s="34" t="s">
        <v>303</v>
      </c>
      <c r="F989" s="50" t="s">
        <v>300</v>
      </c>
      <c r="G989" s="34">
        <v>8</v>
      </c>
      <c r="H989" s="34" t="s">
        <v>18</v>
      </c>
      <c r="I989" s="34" t="s">
        <v>26</v>
      </c>
      <c r="J989" s="34">
        <v>0</v>
      </c>
      <c r="K989" s="35">
        <f>VLOOKUP(I989,'Weights and Confidence'!$D$16:$AC$26,5,FALSE)/COUNTIFS($B:$B,$B989,$C:$C,$C989,$H:$H,$H989,$I:$I,$I989)</f>
        <v>0.1</v>
      </c>
      <c r="L989" s="36">
        <f>VLOOKUP(I989,'Weights and Confidence'!$D$16:$AC$26,6,FALSE)</f>
        <v>1</v>
      </c>
      <c r="M989" s="37">
        <f>tScores4[[#This Row],[Raw_Rating_Text]]</f>
        <v>0</v>
      </c>
      <c r="N989" s="58" t="s">
        <v>309</v>
      </c>
    </row>
    <row r="990" spans="1:14" x14ac:dyDescent="0.2">
      <c r="A990" s="38" t="s">
        <v>185</v>
      </c>
      <c r="B990" s="38" t="s">
        <v>86</v>
      </c>
      <c r="C990" s="38" t="s">
        <v>299</v>
      </c>
      <c r="D990" s="38" t="s">
        <v>5</v>
      </c>
      <c r="E990" s="38" t="s">
        <v>303</v>
      </c>
      <c r="F990" s="51" t="s">
        <v>300</v>
      </c>
      <c r="G990" s="38">
        <v>9</v>
      </c>
      <c r="H990" s="38" t="s">
        <v>17</v>
      </c>
      <c r="I990" s="38" t="s">
        <v>27</v>
      </c>
      <c r="J990" s="38">
        <v>0</v>
      </c>
      <c r="K990" s="39">
        <f>VLOOKUP(I990,'Weights and Confidence'!$D$16:$AC$26,5,FALSE)/COUNTIFS($B:$B,$B990,$C:$C,$C990,$H:$H,$H990,$I:$I,$I990)</f>
        <v>0.05</v>
      </c>
      <c r="L990" s="40">
        <f>VLOOKUP(I990,'Weights and Confidence'!$D$16:$AC$26,6,FALSE)</f>
        <v>0.85</v>
      </c>
      <c r="M990" s="41">
        <f>tScores4[[#This Row],[Raw_Rating_Text]]</f>
        <v>0</v>
      </c>
      <c r="N990" s="38"/>
    </row>
    <row r="991" spans="1:14" x14ac:dyDescent="0.2">
      <c r="A991" s="34" t="s">
        <v>185</v>
      </c>
      <c r="B991" s="34" t="s">
        <v>86</v>
      </c>
      <c r="C991" s="34" t="s">
        <v>299</v>
      </c>
      <c r="D991" s="34" t="s">
        <v>5</v>
      </c>
      <c r="E991" s="34" t="s">
        <v>303</v>
      </c>
      <c r="F991" s="50" t="s">
        <v>300</v>
      </c>
      <c r="G991" s="34">
        <v>9</v>
      </c>
      <c r="H991" s="34" t="s">
        <v>18</v>
      </c>
      <c r="I991" s="34" t="s">
        <v>27</v>
      </c>
      <c r="J991" s="34">
        <v>0</v>
      </c>
      <c r="K991" s="35">
        <f>VLOOKUP(I991,'Weights and Confidence'!$D$16:$AC$26,5,FALSE)/COUNTIFS($B:$B,$B991,$C:$C,$C991,$H:$H,$H991,$I:$I,$I991)</f>
        <v>0.05</v>
      </c>
      <c r="L991" s="36">
        <f>VLOOKUP(I991,'Weights and Confidence'!$D$16:$AC$26,6,FALSE)</f>
        <v>0.85</v>
      </c>
      <c r="M991" s="37">
        <f>tScores4[[#This Row],[Raw_Rating_Text]]</f>
        <v>0</v>
      </c>
      <c r="N991" s="58"/>
    </row>
    <row r="992" spans="1:14" x14ac:dyDescent="0.2">
      <c r="A992" s="38" t="s">
        <v>185</v>
      </c>
      <c r="B992" s="38" t="s">
        <v>86</v>
      </c>
      <c r="C992" s="38" t="s">
        <v>299</v>
      </c>
      <c r="D992" s="38" t="s">
        <v>5</v>
      </c>
      <c r="E992" s="38" t="s">
        <v>303</v>
      </c>
      <c r="F992" s="51" t="s">
        <v>300</v>
      </c>
      <c r="G992" s="38">
        <v>10</v>
      </c>
      <c r="H992" s="38" t="s">
        <v>17</v>
      </c>
      <c r="I992" s="38" t="s">
        <v>27</v>
      </c>
      <c r="J992" s="38">
        <v>0</v>
      </c>
      <c r="K992" s="39">
        <f>VLOOKUP(I992,'Weights and Confidence'!$D$16:$AC$26,5,FALSE)/COUNTIFS($B:$B,$B992,$C:$C,$C992,$H:$H,$H992,$I:$I,$I992)</f>
        <v>0.05</v>
      </c>
      <c r="L992" s="40">
        <f>VLOOKUP(I992,'Weights and Confidence'!$D$16:$AC$26,6,FALSE)</f>
        <v>0.85</v>
      </c>
      <c r="M992" s="41">
        <f>tScores4[[#This Row],[Raw_Rating_Text]]</f>
        <v>0</v>
      </c>
      <c r="N992" s="38"/>
    </row>
    <row r="993" spans="1:24" x14ac:dyDescent="0.2">
      <c r="A993" s="34" t="s">
        <v>185</v>
      </c>
      <c r="B993" s="34" t="s">
        <v>86</v>
      </c>
      <c r="C993" s="34" t="s">
        <v>299</v>
      </c>
      <c r="D993" s="34" t="s">
        <v>5</v>
      </c>
      <c r="E993" s="34" t="s">
        <v>303</v>
      </c>
      <c r="F993" s="50" t="s">
        <v>300</v>
      </c>
      <c r="G993" s="34">
        <v>10</v>
      </c>
      <c r="H993" s="34" t="s">
        <v>18</v>
      </c>
      <c r="I993" s="34" t="s">
        <v>27</v>
      </c>
      <c r="J993" s="34">
        <v>0</v>
      </c>
      <c r="K993" s="35">
        <f>VLOOKUP(I993,'Weights and Confidence'!$D$16:$AC$26,5,FALSE)/COUNTIFS($B:$B,$B993,$C:$C,$C993,$H:$H,$H993,$I:$I,$I993)</f>
        <v>0.05</v>
      </c>
      <c r="L993" s="36">
        <f>VLOOKUP(I993,'Weights and Confidence'!$D$16:$AC$26,6,FALSE)</f>
        <v>0.85</v>
      </c>
      <c r="M993" s="37">
        <f>tScores4[[#This Row],[Raw_Rating_Text]]</f>
        <v>0</v>
      </c>
      <c r="N993" s="60">
        <v>0.7</v>
      </c>
    </row>
    <row r="994" spans="1:24" x14ac:dyDescent="0.2">
      <c r="A994" s="38" t="s">
        <v>185</v>
      </c>
      <c r="B994" s="38" t="s">
        <v>86</v>
      </c>
      <c r="C994" s="38" t="s">
        <v>299</v>
      </c>
      <c r="D994" s="38" t="s">
        <v>5</v>
      </c>
      <c r="E994" s="38" t="s">
        <v>303</v>
      </c>
      <c r="F994" s="51" t="s">
        <v>300</v>
      </c>
      <c r="G994" s="38">
        <v>11</v>
      </c>
      <c r="H994" s="38" t="s">
        <v>17</v>
      </c>
      <c r="I994" s="38" t="s">
        <v>28</v>
      </c>
      <c r="J994" s="38">
        <v>-1</v>
      </c>
      <c r="K994" s="39">
        <f>VLOOKUP(I994,'Weights and Confidence'!$D$16:$AC$26,5,FALSE)/COUNTIFS($B:$B,$B994,$C:$C,$C994,$H:$H,$H994,$I:$I,$I994)</f>
        <v>0.05</v>
      </c>
      <c r="L994" s="40">
        <f>VLOOKUP(I994,'Weights and Confidence'!$D$16:$AC$26,6,FALSE)</f>
        <v>1</v>
      </c>
      <c r="M994" s="41">
        <f>tScores4[[#This Row],[Raw_Rating_Text]]</f>
        <v>-1</v>
      </c>
      <c r="N994" s="38"/>
    </row>
    <row r="995" spans="1:24" ht="17" thickBot="1" x14ac:dyDescent="0.25">
      <c r="A995" s="34" t="s">
        <v>185</v>
      </c>
      <c r="B995" s="34" t="s">
        <v>86</v>
      </c>
      <c r="C995" s="34" t="s">
        <v>299</v>
      </c>
      <c r="D995" s="34" t="s">
        <v>5</v>
      </c>
      <c r="E995" s="34" t="s">
        <v>303</v>
      </c>
      <c r="F995" s="50" t="s">
        <v>300</v>
      </c>
      <c r="G995" s="34">
        <v>11</v>
      </c>
      <c r="H995" s="34" t="s">
        <v>18</v>
      </c>
      <c r="I995" s="34" t="s">
        <v>28</v>
      </c>
      <c r="J995" s="34">
        <v>-1</v>
      </c>
      <c r="K995" s="35">
        <f>VLOOKUP(I995,'Weights and Confidence'!$D$16:$AC$26,5,FALSE)/COUNTIFS($B:$B,$B995,$C:$C,$C995,$H:$H,$H995,$I:$I,$I995)</f>
        <v>0.05</v>
      </c>
      <c r="L995" s="36">
        <f>VLOOKUP(I995,'Weights and Confidence'!$D$16:$AC$26,6,FALSE)</f>
        <v>1</v>
      </c>
      <c r="M995" s="37">
        <f>tScores4[[#This Row],[Raw_Rating_Text]]</f>
        <v>-1</v>
      </c>
      <c r="N995" s="58" t="s">
        <v>310</v>
      </c>
    </row>
    <row r="996" spans="1:24" ht="17" thickTop="1" x14ac:dyDescent="0.2">
      <c r="A996" s="42" t="s">
        <v>185</v>
      </c>
      <c r="B996" s="42" t="s">
        <v>86</v>
      </c>
      <c r="C996" s="42" t="s">
        <v>311</v>
      </c>
      <c r="D996" s="42" t="s">
        <v>5</v>
      </c>
      <c r="E996" s="42"/>
      <c r="F996" s="49" t="s">
        <v>312</v>
      </c>
      <c r="G996" s="42">
        <v>1</v>
      </c>
      <c r="H996" s="42" t="s">
        <v>17</v>
      </c>
      <c r="I996" s="42" t="s">
        <v>19</v>
      </c>
      <c r="J996" s="42">
        <v>1</v>
      </c>
      <c r="K996" s="44">
        <f>VLOOKUP(I996,'Weights and Confidence'!$D$16:$AC$26,5,FALSE)/COUNTIFS($B:$B,$B996,$C:$C,$C996,$H:$H,$H996,$I:$I,$I996)</f>
        <v>0.12</v>
      </c>
      <c r="L996" s="45">
        <f>VLOOKUP(I996,'Weights and Confidence'!$D$16:$AC$26,6,FALSE)</f>
        <v>1</v>
      </c>
      <c r="M996" s="46">
        <f>tScores4[[#This Row],[Raw_Rating_Text]]</f>
        <v>1</v>
      </c>
      <c r="N996" s="42"/>
    </row>
    <row r="997" spans="1:24" x14ac:dyDescent="0.2">
      <c r="A997" s="34" t="s">
        <v>185</v>
      </c>
      <c r="B997" s="34" t="s">
        <v>86</v>
      </c>
      <c r="C997" s="34" t="s">
        <v>311</v>
      </c>
      <c r="D997" s="34" t="s">
        <v>5</v>
      </c>
      <c r="E997" s="34"/>
      <c r="F997" s="50" t="s">
        <v>312</v>
      </c>
      <c r="G997" s="34">
        <v>1</v>
      </c>
      <c r="H997" s="34" t="s">
        <v>18</v>
      </c>
      <c r="I997" s="34" t="s">
        <v>19</v>
      </c>
      <c r="J997" s="34">
        <v>1</v>
      </c>
      <c r="K997" s="35">
        <f>VLOOKUP(I997,'Weights and Confidence'!$D$16:$AC$26,5,FALSE)/COUNTIFS($B:$B,$B997,$C:$C,$C997,$H:$H,$H997,$I:$I,$I997)</f>
        <v>0.12</v>
      </c>
      <c r="L997" s="36">
        <f>VLOOKUP(I997,'Weights and Confidence'!$D$16:$AC$26,6,FALSE)</f>
        <v>1</v>
      </c>
      <c r="M997" s="37">
        <f>tScores4[[#This Row],[Raw_Rating_Text]]</f>
        <v>1</v>
      </c>
      <c r="N997" s="58"/>
    </row>
    <row r="998" spans="1:24" x14ac:dyDescent="0.2">
      <c r="A998" s="38" t="s">
        <v>185</v>
      </c>
      <c r="B998" s="38" t="s">
        <v>86</v>
      </c>
      <c r="C998" s="38" t="s">
        <v>311</v>
      </c>
      <c r="D998" s="38" t="s">
        <v>5</v>
      </c>
      <c r="E998" s="38"/>
      <c r="F998" s="51" t="s">
        <v>312</v>
      </c>
      <c r="G998" s="38">
        <v>2</v>
      </c>
      <c r="H998" s="38" t="s">
        <v>17</v>
      </c>
      <c r="I998" s="38" t="s">
        <v>20</v>
      </c>
      <c r="J998" s="38">
        <v>1</v>
      </c>
      <c r="K998" s="39">
        <f>VLOOKUP(I998,'Weights and Confidence'!$D$16:$AC$26,5,FALSE)/COUNTIFS($B:$B,$B998,$C:$C,$C998,$H:$H,$H998,$I:$I,$I998)</f>
        <v>0.08</v>
      </c>
      <c r="L998" s="40">
        <f>VLOOKUP(I998,'Weights and Confidence'!$D$16:$AC$26,6,FALSE)</f>
        <v>0.8</v>
      </c>
      <c r="M998" s="41">
        <f>tScores4[[#This Row],[Raw_Rating_Text]]</f>
        <v>1</v>
      </c>
      <c r="N998" s="38"/>
    </row>
    <row r="999" spans="1:24" ht="17" thickBot="1" x14ac:dyDescent="0.25">
      <c r="A999" s="34" t="s">
        <v>185</v>
      </c>
      <c r="B999" s="34" t="s">
        <v>86</v>
      </c>
      <c r="C999" s="34" t="s">
        <v>311</v>
      </c>
      <c r="D999" s="34" t="s">
        <v>5</v>
      </c>
      <c r="E999" s="34"/>
      <c r="F999" s="50" t="s">
        <v>312</v>
      </c>
      <c r="G999" s="34">
        <v>2</v>
      </c>
      <c r="H999" s="34" t="s">
        <v>18</v>
      </c>
      <c r="I999" s="34" t="s">
        <v>20</v>
      </c>
      <c r="J999" s="34">
        <v>1</v>
      </c>
      <c r="K999" s="35">
        <f>VLOOKUP(I999,'Weights and Confidence'!$D$16:$AC$26,5,FALSE)/COUNTIFS($B:$B,$B999,$C:$C,$C999,$H:$H,$H999,$I:$I,$I999)</f>
        <v>0.08</v>
      </c>
      <c r="L999" s="36">
        <f>VLOOKUP(I999,'Weights and Confidence'!$D$16:$AC$26,6,FALSE)</f>
        <v>0.8</v>
      </c>
      <c r="M999" s="37">
        <f>tScores4[[#This Row],[Raw_Rating_Text]]</f>
        <v>1</v>
      </c>
      <c r="N999" s="58" t="s">
        <v>313</v>
      </c>
    </row>
    <row r="1000" spans="1:24" x14ac:dyDescent="0.2">
      <c r="A1000" s="38" t="s">
        <v>185</v>
      </c>
      <c r="B1000" s="38" t="s">
        <v>86</v>
      </c>
      <c r="C1000" s="38" t="s">
        <v>311</v>
      </c>
      <c r="D1000" s="38" t="s">
        <v>5</v>
      </c>
      <c r="E1000" s="38"/>
      <c r="F1000" s="51" t="s">
        <v>312</v>
      </c>
      <c r="G1000" s="38">
        <v>3</v>
      </c>
      <c r="H1000" s="38" t="s">
        <v>17</v>
      </c>
      <c r="I1000" s="38" t="s">
        <v>21</v>
      </c>
      <c r="J1000" s="38">
        <v>1</v>
      </c>
      <c r="K1000" s="39">
        <f>VLOOKUP(I1000,'Weights and Confidence'!$D$16:$AC$26,5,FALSE)/COUNTIFS($B:$B,$B1000,$C:$C,$C1000,$H:$H,$H1000,$I:$I,$I1000)</f>
        <v>0.05</v>
      </c>
      <c r="L1000" s="40">
        <f>VLOOKUP(I1000,'Weights and Confidence'!$D$16:$AC$26,6,FALSE)</f>
        <v>1</v>
      </c>
      <c r="M1000" s="41">
        <f>tScores4[[#This Row],[Raw_Rating_Text]]</f>
        <v>1</v>
      </c>
      <c r="N1000" s="38"/>
      <c r="P1000" s="24" t="s">
        <v>320</v>
      </c>
      <c r="Q1000" s="10"/>
      <c r="R1000" s="10"/>
      <c r="S1000" s="10"/>
      <c r="T1000" s="10"/>
      <c r="U1000" s="10"/>
      <c r="V1000" s="10"/>
      <c r="W1000" s="10"/>
      <c r="X1000" s="11"/>
    </row>
    <row r="1001" spans="1:24" ht="17" thickBot="1" x14ac:dyDescent="0.25">
      <c r="A1001" s="34" t="s">
        <v>185</v>
      </c>
      <c r="B1001" s="34" t="s">
        <v>86</v>
      </c>
      <c r="C1001" s="34" t="s">
        <v>311</v>
      </c>
      <c r="D1001" s="34" t="s">
        <v>5</v>
      </c>
      <c r="E1001" s="34"/>
      <c r="F1001" s="50" t="s">
        <v>312</v>
      </c>
      <c r="G1001" s="34">
        <v>3</v>
      </c>
      <c r="H1001" s="34" t="s">
        <v>18</v>
      </c>
      <c r="I1001" s="34" t="s">
        <v>21</v>
      </c>
      <c r="J1001" s="34">
        <v>1</v>
      </c>
      <c r="K1001" s="35">
        <f>VLOOKUP(I1001,'Weights and Confidence'!$D$16:$AC$26,5,FALSE)/COUNTIFS($B:$B,$B1001,$C:$C,$C1001,$H:$H,$H1001,$I:$I,$I1001)</f>
        <v>0.05</v>
      </c>
      <c r="L1001" s="36">
        <f>VLOOKUP(I1001,'Weights and Confidence'!$D$16:$AC$26,6,FALSE)</f>
        <v>1</v>
      </c>
      <c r="M1001" s="37">
        <f>tScores4[[#This Row],[Raw_Rating_Text]]</f>
        <v>1</v>
      </c>
      <c r="N1001" s="58"/>
      <c r="P1001" s="26" t="s">
        <v>322</v>
      </c>
      <c r="Q1001" s="2"/>
      <c r="R1001" s="2"/>
      <c r="S1001" s="2"/>
      <c r="T1001" s="2"/>
      <c r="U1001" s="2"/>
      <c r="V1001" s="2"/>
      <c r="W1001" s="2"/>
      <c r="X1001" s="5"/>
    </row>
    <row r="1002" spans="1:24" x14ac:dyDescent="0.2">
      <c r="A1002" s="38" t="s">
        <v>185</v>
      </c>
      <c r="B1002" s="38" t="s">
        <v>86</v>
      </c>
      <c r="C1002" s="38" t="s">
        <v>311</v>
      </c>
      <c r="D1002" s="38" t="s">
        <v>5</v>
      </c>
      <c r="E1002" s="38"/>
      <c r="F1002" s="51" t="s">
        <v>312</v>
      </c>
      <c r="G1002" s="38">
        <v>4</v>
      </c>
      <c r="H1002" s="38" t="s">
        <v>17</v>
      </c>
      <c r="I1002" s="38" t="s">
        <v>22</v>
      </c>
      <c r="J1002" s="38">
        <v>1</v>
      </c>
      <c r="K1002" s="39">
        <f>VLOOKUP(I1002,'Weights and Confidence'!$D$16:$AC$26,5,FALSE)/COUNTIFS($B:$B,$B1002,$C:$C,$C1002,$H:$H,$H1002,$I:$I,$I1002)</f>
        <v>0.14000000000000001</v>
      </c>
      <c r="L1002" s="40">
        <f>VLOOKUP(I1002,'Weights and Confidence'!$D$16:$AC$26,6,FALSE)</f>
        <v>1</v>
      </c>
      <c r="M1002" s="41">
        <f>tScores4[[#This Row],[Raw_Rating_Text]]</f>
        <v>1</v>
      </c>
      <c r="N1002" s="38"/>
    </row>
    <row r="1003" spans="1:24" x14ac:dyDescent="0.2">
      <c r="A1003" s="34" t="s">
        <v>185</v>
      </c>
      <c r="B1003" s="34" t="s">
        <v>86</v>
      </c>
      <c r="C1003" s="34" t="s">
        <v>311</v>
      </c>
      <c r="D1003" s="34" t="s">
        <v>5</v>
      </c>
      <c r="E1003" s="34"/>
      <c r="F1003" s="50" t="s">
        <v>312</v>
      </c>
      <c r="G1003" s="34">
        <v>4</v>
      </c>
      <c r="H1003" s="34" t="s">
        <v>18</v>
      </c>
      <c r="I1003" s="34" t="s">
        <v>22</v>
      </c>
      <c r="J1003" s="34">
        <v>1</v>
      </c>
      <c r="K1003" s="35">
        <f>VLOOKUP(I1003,'Weights and Confidence'!$D$16:$AC$26,5,FALSE)/COUNTIFS($B:$B,$B1003,$C:$C,$C1003,$H:$H,$H1003,$I:$I,$I1003)</f>
        <v>0.14000000000000001</v>
      </c>
      <c r="L1003" s="36">
        <f>VLOOKUP(I1003,'Weights and Confidence'!$D$16:$AC$26,6,FALSE)</f>
        <v>1</v>
      </c>
      <c r="M1003" s="37">
        <f>tScores4[[#This Row],[Raw_Rating_Text]]</f>
        <v>1</v>
      </c>
      <c r="N1003" s="58" t="s">
        <v>314</v>
      </c>
    </row>
    <row r="1004" spans="1:24" x14ac:dyDescent="0.2">
      <c r="A1004" s="38" t="s">
        <v>185</v>
      </c>
      <c r="B1004" s="38" t="s">
        <v>86</v>
      </c>
      <c r="C1004" s="38" t="s">
        <v>311</v>
      </c>
      <c r="D1004" s="38" t="s">
        <v>5</v>
      </c>
      <c r="E1004" s="38"/>
      <c r="F1004" s="51" t="s">
        <v>312</v>
      </c>
      <c r="G1004" s="38">
        <v>5</v>
      </c>
      <c r="H1004" s="38" t="s">
        <v>17</v>
      </c>
      <c r="I1004" s="38" t="s">
        <v>23</v>
      </c>
      <c r="J1004" s="38">
        <v>0</v>
      </c>
      <c r="K1004" s="39">
        <f>VLOOKUP(I1004,'Weights and Confidence'!$D$16:$AC$26,5,FALSE)/COUNTIFS($B:$B,$B1004,$C:$C,$C1004,$H:$H,$H1004,$I:$I,$I1004)</f>
        <v>0.11</v>
      </c>
      <c r="L1004" s="40">
        <f>VLOOKUP(I1004,'Weights and Confidence'!$D$16:$AC$26,6,FALSE)</f>
        <v>1</v>
      </c>
      <c r="M1004" s="41">
        <f>tScores4[[#This Row],[Raw_Rating_Text]]</f>
        <v>0</v>
      </c>
      <c r="N1004" s="38"/>
    </row>
    <row r="1005" spans="1:24" x14ac:dyDescent="0.2">
      <c r="A1005" s="34" t="s">
        <v>185</v>
      </c>
      <c r="B1005" s="34" t="s">
        <v>86</v>
      </c>
      <c r="C1005" s="34" t="s">
        <v>311</v>
      </c>
      <c r="D1005" s="34" t="s">
        <v>5</v>
      </c>
      <c r="E1005" s="34"/>
      <c r="F1005" s="50" t="s">
        <v>312</v>
      </c>
      <c r="G1005" s="34">
        <v>5</v>
      </c>
      <c r="H1005" s="34" t="s">
        <v>18</v>
      </c>
      <c r="I1005" s="34" t="s">
        <v>23</v>
      </c>
      <c r="J1005" s="34">
        <v>1</v>
      </c>
      <c r="K1005" s="35">
        <f>VLOOKUP(I1005,'Weights and Confidence'!$D$16:$AC$26,5,FALSE)/COUNTIFS($B:$B,$B1005,$C:$C,$C1005,$H:$H,$H1005,$I:$I,$I1005)</f>
        <v>0.11</v>
      </c>
      <c r="L1005" s="36">
        <f>VLOOKUP(I1005,'Weights and Confidence'!$D$16:$AC$26,6,FALSE)</f>
        <v>1</v>
      </c>
      <c r="M1005" s="37">
        <f>tScores4[[#This Row],[Raw_Rating_Text]]</f>
        <v>1</v>
      </c>
      <c r="N1005" s="58" t="s">
        <v>315</v>
      </c>
    </row>
    <row r="1006" spans="1:24" x14ac:dyDescent="0.2">
      <c r="A1006" s="38" t="s">
        <v>185</v>
      </c>
      <c r="B1006" s="38" t="s">
        <v>86</v>
      </c>
      <c r="C1006" s="38" t="s">
        <v>311</v>
      </c>
      <c r="D1006" s="38" t="s">
        <v>5</v>
      </c>
      <c r="E1006" s="38"/>
      <c r="F1006" s="51" t="s">
        <v>312</v>
      </c>
      <c r="G1006" s="38">
        <v>6</v>
      </c>
      <c r="H1006" s="38" t="s">
        <v>17</v>
      </c>
      <c r="I1006" s="38" t="s">
        <v>24</v>
      </c>
      <c r="J1006" s="38">
        <v>0</v>
      </c>
      <c r="K1006" s="39">
        <f>VLOOKUP(I1006,'Weights and Confidence'!$D$16:$AC$26,5,FALSE)/COUNTIFS($B:$B,$B1006,$C:$C,$C1006,$H:$H,$H1006,$I:$I,$I1006)</f>
        <v>0.15</v>
      </c>
      <c r="L1006" s="40">
        <f>VLOOKUP(I1006,'Weights and Confidence'!$D$16:$AC$26,6,FALSE)</f>
        <v>1</v>
      </c>
      <c r="M1006" s="41">
        <f>tScores4[[#This Row],[Raw_Rating_Text]]</f>
        <v>0</v>
      </c>
      <c r="N1006" s="59"/>
    </row>
    <row r="1007" spans="1:24" x14ac:dyDescent="0.2">
      <c r="A1007" s="34" t="s">
        <v>185</v>
      </c>
      <c r="B1007" s="34" t="s">
        <v>86</v>
      </c>
      <c r="C1007" s="34" t="s">
        <v>311</v>
      </c>
      <c r="D1007" s="34" t="s">
        <v>5</v>
      </c>
      <c r="E1007" s="34"/>
      <c r="F1007" s="50" t="s">
        <v>312</v>
      </c>
      <c r="G1007" s="34">
        <v>6</v>
      </c>
      <c r="H1007" s="34" t="s">
        <v>18</v>
      </c>
      <c r="I1007" s="34" t="s">
        <v>24</v>
      </c>
      <c r="J1007" s="34">
        <v>0</v>
      </c>
      <c r="K1007" s="35">
        <f>VLOOKUP(I1007,'Weights and Confidence'!$D$16:$AC$26,5,FALSE)/COUNTIFS($B:$B,$B1007,$C:$C,$C1007,$H:$H,$H1007,$I:$I,$I1007)</f>
        <v>0.15</v>
      </c>
      <c r="L1007" s="36">
        <f>VLOOKUP(I1007,'Weights and Confidence'!$D$16:$AC$26,6,FALSE)</f>
        <v>1</v>
      </c>
      <c r="M1007" s="37">
        <f>tScores4[[#This Row],[Raw_Rating_Text]]</f>
        <v>0</v>
      </c>
      <c r="N1007" s="58" t="s">
        <v>316</v>
      </c>
    </row>
    <row r="1008" spans="1:24" x14ac:dyDescent="0.2">
      <c r="A1008" s="38" t="s">
        <v>185</v>
      </c>
      <c r="B1008" s="38" t="s">
        <v>86</v>
      </c>
      <c r="C1008" s="38" t="s">
        <v>311</v>
      </c>
      <c r="D1008" s="38" t="s">
        <v>5</v>
      </c>
      <c r="E1008" s="38"/>
      <c r="F1008" s="51" t="s">
        <v>312</v>
      </c>
      <c r="G1008" s="38">
        <v>7</v>
      </c>
      <c r="H1008" s="38" t="s">
        <v>17</v>
      </c>
      <c r="I1008" s="38" t="s">
        <v>25</v>
      </c>
      <c r="J1008" s="38">
        <v>0</v>
      </c>
      <c r="K1008" s="39">
        <f>VLOOKUP(I1008,'Weights and Confidence'!$D$16:$AC$26,5,FALSE)/COUNTIFS($B:$B,$B1008,$C:$C,$C1008,$H:$H,$H1008,$I:$I,$I1008)</f>
        <v>0.1</v>
      </c>
      <c r="L1008" s="40">
        <f>VLOOKUP(I1008,'Weights and Confidence'!$D$16:$AC$26,6,FALSE)</f>
        <v>1</v>
      </c>
      <c r="M1008" s="41">
        <f>tScores4[[#This Row],[Raw_Rating_Text]]</f>
        <v>0</v>
      </c>
      <c r="N1008" s="38"/>
    </row>
    <row r="1009" spans="1:24" x14ac:dyDescent="0.2">
      <c r="A1009" s="34" t="s">
        <v>185</v>
      </c>
      <c r="B1009" s="34" t="s">
        <v>86</v>
      </c>
      <c r="C1009" s="34" t="s">
        <v>311</v>
      </c>
      <c r="D1009" s="34" t="s">
        <v>5</v>
      </c>
      <c r="E1009" s="34"/>
      <c r="F1009" s="50" t="s">
        <v>312</v>
      </c>
      <c r="G1009" s="34">
        <v>7</v>
      </c>
      <c r="H1009" s="34" t="s">
        <v>18</v>
      </c>
      <c r="I1009" s="34" t="s">
        <v>25</v>
      </c>
      <c r="J1009" s="34">
        <v>1</v>
      </c>
      <c r="K1009" s="35">
        <f>VLOOKUP(I1009,'Weights and Confidence'!$D$16:$AC$26,5,FALSE)/COUNTIFS($B:$B,$B1009,$C:$C,$C1009,$H:$H,$H1009,$I:$I,$I1009)</f>
        <v>0.1</v>
      </c>
      <c r="L1009" s="36">
        <f>VLOOKUP(I1009,'Weights and Confidence'!$D$16:$AC$26,6,FALSE)</f>
        <v>1</v>
      </c>
      <c r="M1009" s="37">
        <f>tScores4[[#This Row],[Raw_Rating_Text]]</f>
        <v>1</v>
      </c>
      <c r="N1009" s="58" t="s">
        <v>317</v>
      </c>
    </row>
    <row r="1010" spans="1:24" x14ac:dyDescent="0.2">
      <c r="A1010" s="38" t="s">
        <v>185</v>
      </c>
      <c r="B1010" s="38" t="s">
        <v>86</v>
      </c>
      <c r="C1010" s="38" t="s">
        <v>311</v>
      </c>
      <c r="D1010" s="38" t="s">
        <v>5</v>
      </c>
      <c r="E1010" s="38"/>
      <c r="F1010" s="51" t="s">
        <v>312</v>
      </c>
      <c r="G1010" s="38">
        <v>8</v>
      </c>
      <c r="H1010" s="38" t="s">
        <v>17</v>
      </c>
      <c r="I1010" s="38" t="s">
        <v>26</v>
      </c>
      <c r="J1010" s="38">
        <v>1</v>
      </c>
      <c r="K1010" s="39">
        <f>VLOOKUP(I1010,'Weights and Confidence'!$D$16:$AC$26,5,FALSE)/COUNTIFS($B:$B,$B1010,$C:$C,$C1010,$H:$H,$H1010,$I:$I,$I1010)</f>
        <v>0.1</v>
      </c>
      <c r="L1010" s="40">
        <f>VLOOKUP(I1010,'Weights and Confidence'!$D$16:$AC$26,6,FALSE)</f>
        <v>1</v>
      </c>
      <c r="M1010" s="41">
        <f>tScores4[[#This Row],[Raw_Rating_Text]]</f>
        <v>1</v>
      </c>
      <c r="N1010" s="38"/>
    </row>
    <row r="1011" spans="1:24" x14ac:dyDescent="0.2">
      <c r="A1011" s="34" t="s">
        <v>185</v>
      </c>
      <c r="B1011" s="34" t="s">
        <v>86</v>
      </c>
      <c r="C1011" s="34" t="s">
        <v>311</v>
      </c>
      <c r="D1011" s="34" t="s">
        <v>5</v>
      </c>
      <c r="E1011" s="34"/>
      <c r="F1011" s="50" t="s">
        <v>312</v>
      </c>
      <c r="G1011" s="34">
        <v>8</v>
      </c>
      <c r="H1011" s="34" t="s">
        <v>18</v>
      </c>
      <c r="I1011" s="34" t="s">
        <v>26</v>
      </c>
      <c r="J1011" s="34">
        <v>1</v>
      </c>
      <c r="K1011" s="35">
        <f>VLOOKUP(I1011,'Weights and Confidence'!$D$16:$AC$26,5,FALSE)/COUNTIFS($B:$B,$B1011,$C:$C,$C1011,$H:$H,$H1011,$I:$I,$I1011)</f>
        <v>0.1</v>
      </c>
      <c r="L1011" s="36">
        <f>VLOOKUP(I1011,'Weights and Confidence'!$D$16:$AC$26,6,FALSE)</f>
        <v>1</v>
      </c>
      <c r="M1011" s="37">
        <f>tScores4[[#This Row],[Raw_Rating_Text]]</f>
        <v>1</v>
      </c>
      <c r="N1011" s="58" t="s">
        <v>318</v>
      </c>
    </row>
    <row r="1012" spans="1:24" x14ac:dyDescent="0.2">
      <c r="A1012" s="38" t="s">
        <v>185</v>
      </c>
      <c r="B1012" s="38" t="s">
        <v>86</v>
      </c>
      <c r="C1012" s="38" t="s">
        <v>311</v>
      </c>
      <c r="D1012" s="38" t="s">
        <v>5</v>
      </c>
      <c r="E1012" s="38"/>
      <c r="F1012" s="51" t="s">
        <v>312</v>
      </c>
      <c r="G1012" s="38">
        <v>9</v>
      </c>
      <c r="H1012" s="38" t="s">
        <v>17</v>
      </c>
      <c r="I1012" s="38" t="s">
        <v>27</v>
      </c>
      <c r="J1012" s="38">
        <v>0</v>
      </c>
      <c r="K1012" s="39">
        <f>VLOOKUP(I1012,'Weights and Confidence'!$D$16:$AC$26,5,FALSE)/COUNTIFS($B:$B,$B1012,$C:$C,$C1012,$H:$H,$H1012,$I:$I,$I1012)</f>
        <v>0.05</v>
      </c>
      <c r="L1012" s="40">
        <f>VLOOKUP(I1012,'Weights and Confidence'!$D$16:$AC$26,6,FALSE)</f>
        <v>0.85</v>
      </c>
      <c r="M1012" s="41">
        <f>tScores4[[#This Row],[Raw_Rating_Text]]</f>
        <v>0</v>
      </c>
      <c r="N1012" s="38"/>
    </row>
    <row r="1013" spans="1:24" x14ac:dyDescent="0.2">
      <c r="A1013" s="34" t="s">
        <v>185</v>
      </c>
      <c r="B1013" s="34" t="s">
        <v>86</v>
      </c>
      <c r="C1013" s="34" t="s">
        <v>311</v>
      </c>
      <c r="D1013" s="34" t="s">
        <v>5</v>
      </c>
      <c r="E1013" s="34"/>
      <c r="F1013" s="50" t="s">
        <v>312</v>
      </c>
      <c r="G1013" s="34">
        <v>9</v>
      </c>
      <c r="H1013" s="34" t="s">
        <v>18</v>
      </c>
      <c r="I1013" s="34" t="s">
        <v>27</v>
      </c>
      <c r="J1013" s="34">
        <v>1</v>
      </c>
      <c r="K1013" s="35">
        <f>VLOOKUP(I1013,'Weights and Confidence'!$D$16:$AC$26,5,FALSE)/COUNTIFS($B:$B,$B1013,$C:$C,$C1013,$H:$H,$H1013,$I:$I,$I1013)</f>
        <v>0.05</v>
      </c>
      <c r="L1013" s="36">
        <f>VLOOKUP(I1013,'Weights and Confidence'!$D$16:$AC$26,6,FALSE)</f>
        <v>0.85</v>
      </c>
      <c r="M1013" s="37">
        <f>tScores4[[#This Row],[Raw_Rating_Text]]</f>
        <v>1</v>
      </c>
      <c r="N1013" s="58" t="s">
        <v>319</v>
      </c>
    </row>
    <row r="1014" spans="1:24" x14ac:dyDescent="0.2">
      <c r="A1014" s="38" t="s">
        <v>185</v>
      </c>
      <c r="B1014" s="38" t="s">
        <v>86</v>
      </c>
      <c r="C1014" s="38" t="s">
        <v>311</v>
      </c>
      <c r="D1014" s="38" t="s">
        <v>5</v>
      </c>
      <c r="E1014" s="38"/>
      <c r="F1014" s="51" t="s">
        <v>312</v>
      </c>
      <c r="G1014" s="38">
        <v>10</v>
      </c>
      <c r="H1014" s="38" t="s">
        <v>17</v>
      </c>
      <c r="I1014" s="38" t="s">
        <v>27</v>
      </c>
      <c r="J1014" s="38">
        <v>1</v>
      </c>
      <c r="K1014" s="39">
        <f>VLOOKUP(I1014,'Weights and Confidence'!$D$16:$AC$26,5,FALSE)/COUNTIFS($B:$B,$B1014,$C:$C,$C1014,$H:$H,$H1014,$I:$I,$I1014)</f>
        <v>0.05</v>
      </c>
      <c r="L1014" s="40">
        <f>VLOOKUP(I1014,'Weights and Confidence'!$D$16:$AC$26,6,FALSE)</f>
        <v>0.85</v>
      </c>
      <c r="M1014" s="41">
        <f>tScores4[[#This Row],[Raw_Rating_Text]]</f>
        <v>1</v>
      </c>
      <c r="N1014" s="38"/>
    </row>
    <row r="1015" spans="1:24" x14ac:dyDescent="0.2">
      <c r="A1015" s="34" t="s">
        <v>185</v>
      </c>
      <c r="B1015" s="34" t="s">
        <v>86</v>
      </c>
      <c r="C1015" s="34" t="s">
        <v>311</v>
      </c>
      <c r="D1015" s="34" t="s">
        <v>5</v>
      </c>
      <c r="E1015" s="34"/>
      <c r="F1015" s="50" t="s">
        <v>312</v>
      </c>
      <c r="G1015" s="34">
        <v>10</v>
      </c>
      <c r="H1015" s="34" t="s">
        <v>18</v>
      </c>
      <c r="I1015" s="34" t="s">
        <v>27</v>
      </c>
      <c r="J1015" s="34">
        <v>1</v>
      </c>
      <c r="K1015" s="35">
        <f>VLOOKUP(I1015,'Weights and Confidence'!$D$16:$AC$26,5,FALSE)/COUNTIFS($B:$B,$B1015,$C:$C,$C1015,$H:$H,$H1015,$I:$I,$I1015)</f>
        <v>0.05</v>
      </c>
      <c r="L1015" s="36">
        <f>VLOOKUP(I1015,'Weights and Confidence'!$D$16:$AC$26,6,FALSE)</f>
        <v>0.85</v>
      </c>
      <c r="M1015" s="37">
        <f>tScores4[[#This Row],[Raw_Rating_Text]]</f>
        <v>1</v>
      </c>
      <c r="N1015" s="58" t="s">
        <v>319</v>
      </c>
    </row>
    <row r="1016" spans="1:24" x14ac:dyDescent="0.2">
      <c r="A1016" s="38" t="s">
        <v>185</v>
      </c>
      <c r="B1016" s="38" t="s">
        <v>86</v>
      </c>
      <c r="C1016" s="38" t="s">
        <v>311</v>
      </c>
      <c r="D1016" s="38" t="s">
        <v>5</v>
      </c>
      <c r="E1016" s="38"/>
      <c r="F1016" s="51" t="s">
        <v>312</v>
      </c>
      <c r="G1016" s="38">
        <v>11</v>
      </c>
      <c r="H1016" s="38" t="s">
        <v>17</v>
      </c>
      <c r="I1016" s="38" t="s">
        <v>28</v>
      </c>
      <c r="J1016" s="38">
        <v>-1</v>
      </c>
      <c r="K1016" s="39">
        <f>VLOOKUP(I1016,'Weights and Confidence'!$D$16:$AC$26,5,FALSE)/COUNTIFS($B:$B,$B1016,$C:$C,$C1016,$H:$H,$H1016,$I:$I,$I1016)</f>
        <v>0.05</v>
      </c>
      <c r="L1016" s="40">
        <f>VLOOKUP(I1016,'Weights and Confidence'!$D$16:$AC$26,6,FALSE)</f>
        <v>1</v>
      </c>
      <c r="M1016" s="41">
        <f>tScores4[[#This Row],[Raw_Rating_Text]]</f>
        <v>-1</v>
      </c>
      <c r="N1016" s="38"/>
    </row>
    <row r="1017" spans="1:24" ht="17" thickBot="1" x14ac:dyDescent="0.25">
      <c r="A1017" s="34" t="s">
        <v>185</v>
      </c>
      <c r="B1017" s="34" t="s">
        <v>86</v>
      </c>
      <c r="C1017" s="34" t="s">
        <v>311</v>
      </c>
      <c r="D1017" s="34" t="s">
        <v>5</v>
      </c>
      <c r="E1017" s="34"/>
      <c r="F1017" s="50" t="s">
        <v>312</v>
      </c>
      <c r="G1017" s="34">
        <v>11</v>
      </c>
      <c r="H1017" s="34" t="s">
        <v>18</v>
      </c>
      <c r="I1017" s="34" t="s">
        <v>28</v>
      </c>
      <c r="J1017" s="34">
        <v>1</v>
      </c>
      <c r="K1017" s="35">
        <f>VLOOKUP(I1017,'Weights and Confidence'!$D$16:$AC$26,5,FALSE)/COUNTIFS($B:$B,$B1017,$C:$C,$C1017,$H:$H,$H1017,$I:$I,$I1017)</f>
        <v>0.05</v>
      </c>
      <c r="L1017" s="36">
        <f>VLOOKUP(I1017,'Weights and Confidence'!$D$16:$AC$26,6,FALSE)</f>
        <v>1</v>
      </c>
      <c r="M1017" s="37">
        <f>tScores4[[#This Row],[Raw_Rating_Text]]</f>
        <v>1</v>
      </c>
      <c r="N1017" s="58" t="s">
        <v>321</v>
      </c>
    </row>
    <row r="1018" spans="1:24" ht="17" thickTop="1" x14ac:dyDescent="0.2">
      <c r="A1018" s="42" t="s">
        <v>185</v>
      </c>
      <c r="B1018" s="42" t="s">
        <v>86</v>
      </c>
      <c r="C1018" s="42" t="s">
        <v>70</v>
      </c>
      <c r="D1018" s="42" t="s">
        <v>65</v>
      </c>
      <c r="E1018" s="42"/>
      <c r="F1018" s="49" t="s">
        <v>323</v>
      </c>
      <c r="G1018" s="42">
        <v>1</v>
      </c>
      <c r="H1018" s="42" t="s">
        <v>17</v>
      </c>
      <c r="I1018" s="42" t="s">
        <v>19</v>
      </c>
      <c r="J1018" s="42">
        <v>0</v>
      </c>
      <c r="K1018" s="44">
        <f>VLOOKUP(I1018,'Weights and Confidence'!$D$16:$AC$26,5,FALSE)/COUNTIFS($B:$B,$B1018,$C:$C,$C1018,$H:$H,$H1018,$I:$I,$I1018)</f>
        <v>0.12</v>
      </c>
      <c r="L1018" s="45">
        <f>VLOOKUP(I1018,'Weights and Confidence'!$D$16:$AC$26,6,FALSE)</f>
        <v>1</v>
      </c>
      <c r="M1018" s="46">
        <f>tScores4[[#This Row],[Raw_Rating_Text]]</f>
        <v>0</v>
      </c>
      <c r="N1018" s="42"/>
    </row>
    <row r="1019" spans="1:24" x14ac:dyDescent="0.2">
      <c r="A1019" s="34" t="s">
        <v>185</v>
      </c>
      <c r="B1019" s="34" t="s">
        <v>86</v>
      </c>
      <c r="C1019" s="34" t="s">
        <v>70</v>
      </c>
      <c r="D1019" s="34" t="s">
        <v>65</v>
      </c>
      <c r="E1019" s="34"/>
      <c r="F1019" s="50" t="s">
        <v>323</v>
      </c>
      <c r="G1019" s="34">
        <v>1</v>
      </c>
      <c r="H1019" s="34" t="s">
        <v>18</v>
      </c>
      <c r="I1019" s="34" t="s">
        <v>19</v>
      </c>
      <c r="J1019" s="34">
        <v>1</v>
      </c>
      <c r="K1019" s="35">
        <f>VLOOKUP(I1019,'Weights and Confidence'!$D$16:$AC$26,5,FALSE)/COUNTIFS($B:$B,$B1019,$C:$C,$C1019,$H:$H,$H1019,$I:$I,$I1019)</f>
        <v>0.12</v>
      </c>
      <c r="L1019" s="36">
        <f>VLOOKUP(I1019,'Weights and Confidence'!$D$16:$AC$26,6,FALSE)</f>
        <v>1</v>
      </c>
      <c r="M1019" s="37">
        <f>tScores4[[#This Row],[Raw_Rating_Text]]</f>
        <v>1</v>
      </c>
      <c r="N1019" s="58" t="s">
        <v>324</v>
      </c>
    </row>
    <row r="1020" spans="1:24" x14ac:dyDescent="0.2">
      <c r="A1020" s="38" t="s">
        <v>185</v>
      </c>
      <c r="B1020" s="38" t="s">
        <v>86</v>
      </c>
      <c r="C1020" s="38" t="s">
        <v>70</v>
      </c>
      <c r="D1020" s="38" t="s">
        <v>65</v>
      </c>
      <c r="E1020" s="38"/>
      <c r="F1020" s="51" t="s">
        <v>323</v>
      </c>
      <c r="G1020" s="38">
        <v>2</v>
      </c>
      <c r="H1020" s="38" t="s">
        <v>17</v>
      </c>
      <c r="I1020" s="38" t="s">
        <v>20</v>
      </c>
      <c r="J1020" s="38">
        <v>0</v>
      </c>
      <c r="K1020" s="39">
        <f>VLOOKUP(I1020,'Weights and Confidence'!$D$16:$AC$26,5,FALSE)/COUNTIFS($B:$B,$B1020,$C:$C,$C1020,$H:$H,$H1020,$I:$I,$I1020)</f>
        <v>0.08</v>
      </c>
      <c r="L1020" s="40">
        <f>VLOOKUP(I1020,'Weights and Confidence'!$D$16:$AC$26,6,FALSE)</f>
        <v>0.8</v>
      </c>
      <c r="M1020" s="41">
        <f>tScores4[[#This Row],[Raw_Rating_Text]]</f>
        <v>0</v>
      </c>
      <c r="N1020" s="38"/>
    </row>
    <row r="1021" spans="1:24" ht="17" thickBot="1" x14ac:dyDescent="0.25">
      <c r="A1021" s="34" t="s">
        <v>185</v>
      </c>
      <c r="B1021" s="34" t="s">
        <v>86</v>
      </c>
      <c r="C1021" s="34" t="s">
        <v>70</v>
      </c>
      <c r="D1021" s="34" t="s">
        <v>65</v>
      </c>
      <c r="E1021" s="34"/>
      <c r="F1021" s="50" t="s">
        <v>323</v>
      </c>
      <c r="G1021" s="34">
        <v>2</v>
      </c>
      <c r="H1021" s="34" t="s">
        <v>18</v>
      </c>
      <c r="I1021" s="34" t="s">
        <v>20</v>
      </c>
      <c r="J1021" s="34">
        <v>1</v>
      </c>
      <c r="K1021" s="35">
        <f>VLOOKUP(I1021,'Weights and Confidence'!$D$16:$AC$26,5,FALSE)/COUNTIFS($B:$B,$B1021,$C:$C,$C1021,$H:$H,$H1021,$I:$I,$I1021)</f>
        <v>0.08</v>
      </c>
      <c r="L1021" s="36">
        <f>VLOOKUP(I1021,'Weights and Confidence'!$D$16:$AC$26,6,FALSE)</f>
        <v>0.8</v>
      </c>
      <c r="M1021" s="37">
        <f>tScores4[[#This Row],[Raw_Rating_Text]]</f>
        <v>1</v>
      </c>
      <c r="N1021" s="58" t="s">
        <v>325</v>
      </c>
    </row>
    <row r="1022" spans="1:24" x14ac:dyDescent="0.2">
      <c r="A1022" s="38" t="s">
        <v>185</v>
      </c>
      <c r="B1022" s="38" t="s">
        <v>86</v>
      </c>
      <c r="C1022" s="38" t="s">
        <v>70</v>
      </c>
      <c r="D1022" s="38" t="s">
        <v>65</v>
      </c>
      <c r="E1022" s="38"/>
      <c r="F1022" s="51" t="s">
        <v>323</v>
      </c>
      <c r="G1022" s="38">
        <v>3</v>
      </c>
      <c r="H1022" s="38" t="s">
        <v>17</v>
      </c>
      <c r="I1022" s="38" t="s">
        <v>21</v>
      </c>
      <c r="J1022" s="38">
        <v>1</v>
      </c>
      <c r="K1022" s="39">
        <f>VLOOKUP(I1022,'Weights and Confidence'!$D$16:$AC$26,5,FALSE)/COUNTIFS($B:$B,$B1022,$C:$C,$C1022,$H:$H,$H1022,$I:$I,$I1022)</f>
        <v>0.05</v>
      </c>
      <c r="L1022" s="40">
        <f>VLOOKUP(I1022,'Weights and Confidence'!$D$16:$AC$26,6,FALSE)</f>
        <v>1</v>
      </c>
      <c r="M1022" s="41">
        <f>tScores4[[#This Row],[Raw_Rating_Text]]</f>
        <v>1</v>
      </c>
      <c r="N1022" s="38"/>
      <c r="P1022" s="28" t="s">
        <v>329</v>
      </c>
      <c r="Q1022" s="10"/>
      <c r="R1022" s="10"/>
      <c r="S1022" s="10"/>
      <c r="T1022" s="10"/>
      <c r="U1022" s="10"/>
      <c r="V1022" s="10"/>
      <c r="W1022" s="10"/>
      <c r="X1022" s="11"/>
    </row>
    <row r="1023" spans="1:24" x14ac:dyDescent="0.2">
      <c r="A1023" s="34" t="s">
        <v>185</v>
      </c>
      <c r="B1023" s="34" t="s">
        <v>86</v>
      </c>
      <c r="C1023" s="34" t="s">
        <v>70</v>
      </c>
      <c r="D1023" s="34" t="s">
        <v>65</v>
      </c>
      <c r="E1023" s="34"/>
      <c r="F1023" s="50" t="s">
        <v>323</v>
      </c>
      <c r="G1023" s="34">
        <v>3</v>
      </c>
      <c r="H1023" s="34" t="s">
        <v>18</v>
      </c>
      <c r="I1023" s="34" t="s">
        <v>21</v>
      </c>
      <c r="J1023" s="34">
        <v>1</v>
      </c>
      <c r="K1023" s="35">
        <f>VLOOKUP(I1023,'Weights and Confidence'!$D$16:$AC$26,5,FALSE)/COUNTIFS($B:$B,$B1023,$C:$C,$C1023,$H:$H,$H1023,$I:$I,$I1023)</f>
        <v>0.05</v>
      </c>
      <c r="L1023" s="36">
        <f>VLOOKUP(I1023,'Weights and Confidence'!$D$16:$AC$26,6,FALSE)</f>
        <v>1</v>
      </c>
      <c r="M1023" s="37">
        <f>tScores4[[#This Row],[Raw_Rating_Text]]</f>
        <v>1</v>
      </c>
      <c r="N1023" s="58"/>
      <c r="P1023" s="25" t="s">
        <v>330</v>
      </c>
      <c r="X1023" s="1"/>
    </row>
    <row r="1024" spans="1:24" x14ac:dyDescent="0.2">
      <c r="A1024" s="38" t="s">
        <v>185</v>
      </c>
      <c r="B1024" s="38" t="s">
        <v>86</v>
      </c>
      <c r="C1024" s="38" t="s">
        <v>70</v>
      </c>
      <c r="D1024" s="38" t="s">
        <v>65</v>
      </c>
      <c r="E1024" s="38"/>
      <c r="F1024" s="51" t="s">
        <v>323</v>
      </c>
      <c r="G1024" s="38">
        <v>4</v>
      </c>
      <c r="H1024" s="38" t="s">
        <v>17</v>
      </c>
      <c r="I1024" s="38" t="s">
        <v>22</v>
      </c>
      <c r="J1024" s="38">
        <v>0</v>
      </c>
      <c r="K1024" s="39">
        <f>VLOOKUP(I1024,'Weights and Confidence'!$D$16:$AC$26,5,FALSE)/COUNTIFS($B:$B,$B1024,$C:$C,$C1024,$H:$H,$H1024,$I:$I,$I1024)</f>
        <v>0.14000000000000001</v>
      </c>
      <c r="L1024" s="40">
        <f>VLOOKUP(I1024,'Weights and Confidence'!$D$16:$AC$26,6,FALSE)</f>
        <v>1</v>
      </c>
      <c r="M1024" s="41">
        <f>tScores4[[#This Row],[Raw_Rating_Text]]</f>
        <v>0</v>
      </c>
      <c r="N1024" s="38"/>
      <c r="P1024" s="25" t="s">
        <v>331</v>
      </c>
      <c r="X1024" s="1"/>
    </row>
    <row r="1025" spans="1:24" ht="17" thickBot="1" x14ac:dyDescent="0.25">
      <c r="A1025" s="34" t="s">
        <v>185</v>
      </c>
      <c r="B1025" s="34" t="s">
        <v>86</v>
      </c>
      <c r="C1025" s="34" t="s">
        <v>70</v>
      </c>
      <c r="D1025" s="34" t="s">
        <v>65</v>
      </c>
      <c r="E1025" s="34"/>
      <c r="F1025" s="50" t="s">
        <v>323</v>
      </c>
      <c r="G1025" s="34">
        <v>4</v>
      </c>
      <c r="H1025" s="34" t="s">
        <v>18</v>
      </c>
      <c r="I1025" s="34" t="s">
        <v>22</v>
      </c>
      <c r="J1025" s="34">
        <v>1</v>
      </c>
      <c r="K1025" s="35">
        <f>VLOOKUP(I1025,'Weights and Confidence'!$D$16:$AC$26,5,FALSE)/COUNTIFS($B:$B,$B1025,$C:$C,$C1025,$H:$H,$H1025,$I:$I,$I1025)</f>
        <v>0.14000000000000001</v>
      </c>
      <c r="L1025" s="36">
        <f>VLOOKUP(I1025,'Weights and Confidence'!$D$16:$AC$26,6,FALSE)</f>
        <v>1</v>
      </c>
      <c r="M1025" s="37">
        <f>tScores4[[#This Row],[Raw_Rating_Text]]</f>
        <v>1</v>
      </c>
      <c r="N1025" s="58" t="s">
        <v>326</v>
      </c>
      <c r="P1025" s="26" t="s">
        <v>332</v>
      </c>
      <c r="Q1025" s="2"/>
      <c r="R1025" s="2"/>
      <c r="S1025" s="2"/>
      <c r="T1025" s="2"/>
      <c r="U1025" s="2"/>
      <c r="V1025" s="2"/>
      <c r="W1025" s="2"/>
      <c r="X1025" s="5"/>
    </row>
    <row r="1026" spans="1:24" x14ac:dyDescent="0.2">
      <c r="A1026" s="38" t="s">
        <v>185</v>
      </c>
      <c r="B1026" s="38" t="s">
        <v>86</v>
      </c>
      <c r="C1026" s="38" t="s">
        <v>70</v>
      </c>
      <c r="D1026" s="38" t="s">
        <v>65</v>
      </c>
      <c r="E1026" s="38"/>
      <c r="F1026" s="51" t="s">
        <v>323</v>
      </c>
      <c r="G1026" s="38">
        <v>5</v>
      </c>
      <c r="H1026" s="38" t="s">
        <v>17</v>
      </c>
      <c r="I1026" s="38" t="s">
        <v>23</v>
      </c>
      <c r="J1026" s="38">
        <v>-1</v>
      </c>
      <c r="K1026" s="39">
        <f>VLOOKUP(I1026,'Weights and Confidence'!$D$16:$AC$26,5,FALSE)/COUNTIFS($B:$B,$B1026,$C:$C,$C1026,$H:$H,$H1026,$I:$I,$I1026)</f>
        <v>0.11</v>
      </c>
      <c r="L1026" s="40">
        <f>VLOOKUP(I1026,'Weights and Confidence'!$D$16:$AC$26,6,FALSE)</f>
        <v>1</v>
      </c>
      <c r="M1026" s="41">
        <f>tScores4[[#This Row],[Raw_Rating_Text]]</f>
        <v>-1</v>
      </c>
      <c r="N1026" s="38"/>
    </row>
    <row r="1027" spans="1:24" x14ac:dyDescent="0.2">
      <c r="A1027" s="34" t="s">
        <v>185</v>
      </c>
      <c r="B1027" s="34" t="s">
        <v>86</v>
      </c>
      <c r="C1027" s="34" t="s">
        <v>70</v>
      </c>
      <c r="D1027" s="34" t="s">
        <v>65</v>
      </c>
      <c r="E1027" s="34"/>
      <c r="F1027" s="50" t="s">
        <v>323</v>
      </c>
      <c r="G1027" s="34">
        <v>5</v>
      </c>
      <c r="H1027" s="34" t="s">
        <v>18</v>
      </c>
      <c r="I1027" s="34" t="s">
        <v>23</v>
      </c>
      <c r="J1027" s="34">
        <v>0</v>
      </c>
      <c r="K1027" s="35">
        <f>VLOOKUP(I1027,'Weights and Confidence'!$D$16:$AC$26,5,FALSE)/COUNTIFS($B:$B,$B1027,$C:$C,$C1027,$H:$H,$H1027,$I:$I,$I1027)</f>
        <v>0.11</v>
      </c>
      <c r="L1027" s="36">
        <f>VLOOKUP(I1027,'Weights and Confidence'!$D$16:$AC$26,6,FALSE)</f>
        <v>1</v>
      </c>
      <c r="M1027" s="37">
        <f>tScores4[[#This Row],[Raw_Rating_Text]]</f>
        <v>0</v>
      </c>
      <c r="N1027" s="58" t="s">
        <v>327</v>
      </c>
    </row>
    <row r="1028" spans="1:24" x14ac:dyDescent="0.2">
      <c r="A1028" s="38" t="s">
        <v>185</v>
      </c>
      <c r="B1028" s="38" t="s">
        <v>86</v>
      </c>
      <c r="C1028" s="38" t="s">
        <v>70</v>
      </c>
      <c r="D1028" s="38" t="s">
        <v>65</v>
      </c>
      <c r="E1028" s="38"/>
      <c r="F1028" s="51" t="s">
        <v>323</v>
      </c>
      <c r="G1028" s="38">
        <v>6</v>
      </c>
      <c r="H1028" s="38" t="s">
        <v>17</v>
      </c>
      <c r="I1028" s="38" t="s">
        <v>24</v>
      </c>
      <c r="J1028" s="38">
        <v>-1</v>
      </c>
      <c r="K1028" s="39">
        <f>VLOOKUP(I1028,'Weights and Confidence'!$D$16:$AC$26,5,FALSE)/COUNTIFS($B:$B,$B1028,$C:$C,$C1028,$H:$H,$H1028,$I:$I,$I1028)</f>
        <v>0.15</v>
      </c>
      <c r="L1028" s="40">
        <f>VLOOKUP(I1028,'Weights and Confidence'!$D$16:$AC$26,6,FALSE)</f>
        <v>1</v>
      </c>
      <c r="M1028" s="41">
        <f>tScores4[[#This Row],[Raw_Rating_Text]]</f>
        <v>-1</v>
      </c>
      <c r="N1028" s="59"/>
    </row>
    <row r="1029" spans="1:24" x14ac:dyDescent="0.2">
      <c r="A1029" s="34" t="s">
        <v>185</v>
      </c>
      <c r="B1029" s="34" t="s">
        <v>86</v>
      </c>
      <c r="C1029" s="34" t="s">
        <v>70</v>
      </c>
      <c r="D1029" s="34" t="s">
        <v>65</v>
      </c>
      <c r="E1029" s="34"/>
      <c r="F1029" s="50" t="s">
        <v>323</v>
      </c>
      <c r="G1029" s="34">
        <v>6</v>
      </c>
      <c r="H1029" s="34" t="s">
        <v>18</v>
      </c>
      <c r="I1029" s="34" t="s">
        <v>24</v>
      </c>
      <c r="J1029" s="34">
        <v>0</v>
      </c>
      <c r="K1029" s="35">
        <f>VLOOKUP(I1029,'Weights and Confidence'!$D$16:$AC$26,5,FALSE)/COUNTIFS($B:$B,$B1029,$C:$C,$C1029,$H:$H,$H1029,$I:$I,$I1029)</f>
        <v>0.15</v>
      </c>
      <c r="L1029" s="36">
        <f>VLOOKUP(I1029,'Weights and Confidence'!$D$16:$AC$26,6,FALSE)</f>
        <v>1</v>
      </c>
      <c r="M1029" s="37">
        <f>tScores4[[#This Row],[Raw_Rating_Text]]</f>
        <v>0</v>
      </c>
      <c r="N1029" s="58" t="s">
        <v>328</v>
      </c>
    </row>
    <row r="1030" spans="1:24" x14ac:dyDescent="0.2">
      <c r="A1030" s="38" t="s">
        <v>185</v>
      </c>
      <c r="B1030" s="38" t="s">
        <v>86</v>
      </c>
      <c r="C1030" s="38" t="s">
        <v>70</v>
      </c>
      <c r="D1030" s="38" t="s">
        <v>65</v>
      </c>
      <c r="E1030" s="38"/>
      <c r="F1030" s="51" t="s">
        <v>323</v>
      </c>
      <c r="G1030" s="38">
        <v>7</v>
      </c>
      <c r="H1030" s="38" t="s">
        <v>17</v>
      </c>
      <c r="I1030" s="38" t="s">
        <v>25</v>
      </c>
      <c r="J1030" s="38">
        <v>0</v>
      </c>
      <c r="K1030" s="39">
        <f>VLOOKUP(I1030,'Weights and Confidence'!$D$16:$AC$26,5,FALSE)/COUNTIFS($B:$B,$B1030,$C:$C,$C1030,$H:$H,$H1030,$I:$I,$I1030)</f>
        <v>0.1</v>
      </c>
      <c r="L1030" s="40">
        <f>VLOOKUP(I1030,'Weights and Confidence'!$D$16:$AC$26,6,FALSE)</f>
        <v>1</v>
      </c>
      <c r="M1030" s="41">
        <f>tScores4[[#This Row],[Raw_Rating_Text]]</f>
        <v>0</v>
      </c>
      <c r="N1030" s="38"/>
    </row>
    <row r="1031" spans="1:24" x14ac:dyDescent="0.2">
      <c r="A1031" s="34" t="s">
        <v>185</v>
      </c>
      <c r="B1031" s="34" t="s">
        <v>86</v>
      </c>
      <c r="C1031" s="34" t="s">
        <v>70</v>
      </c>
      <c r="D1031" s="34" t="s">
        <v>65</v>
      </c>
      <c r="E1031" s="34"/>
      <c r="F1031" s="50" t="s">
        <v>323</v>
      </c>
      <c r="G1031" s="34">
        <v>7</v>
      </c>
      <c r="H1031" s="34" t="s">
        <v>18</v>
      </c>
      <c r="I1031" s="34" t="s">
        <v>25</v>
      </c>
      <c r="J1031" s="34">
        <v>0</v>
      </c>
      <c r="K1031" s="35">
        <f>VLOOKUP(I1031,'Weights and Confidence'!$D$16:$AC$26,5,FALSE)/COUNTIFS($B:$B,$B1031,$C:$C,$C1031,$H:$H,$H1031,$I:$I,$I1031)</f>
        <v>0.1</v>
      </c>
      <c r="L1031" s="36">
        <f>VLOOKUP(I1031,'Weights and Confidence'!$D$16:$AC$26,6,FALSE)</f>
        <v>1</v>
      </c>
      <c r="M1031" s="37">
        <f>tScores4[[#This Row],[Raw_Rating_Text]]</f>
        <v>0</v>
      </c>
      <c r="N1031" s="58"/>
    </row>
    <row r="1032" spans="1:24" x14ac:dyDescent="0.2">
      <c r="A1032" s="38" t="s">
        <v>185</v>
      </c>
      <c r="B1032" s="38" t="s">
        <v>86</v>
      </c>
      <c r="C1032" s="38" t="s">
        <v>70</v>
      </c>
      <c r="D1032" s="38" t="s">
        <v>65</v>
      </c>
      <c r="E1032" s="38"/>
      <c r="F1032" s="51" t="s">
        <v>323</v>
      </c>
      <c r="G1032" s="38">
        <v>8</v>
      </c>
      <c r="H1032" s="38" t="s">
        <v>17</v>
      </c>
      <c r="I1032" s="38" t="s">
        <v>26</v>
      </c>
      <c r="J1032" s="38">
        <v>0</v>
      </c>
      <c r="K1032" s="39">
        <f>VLOOKUP(I1032,'Weights and Confidence'!$D$16:$AC$26,5,FALSE)/COUNTIFS($B:$B,$B1032,$C:$C,$C1032,$H:$H,$H1032,$I:$I,$I1032)</f>
        <v>0.1</v>
      </c>
      <c r="L1032" s="40">
        <f>VLOOKUP(I1032,'Weights and Confidence'!$D$16:$AC$26,6,FALSE)</f>
        <v>1</v>
      </c>
      <c r="M1032" s="41">
        <f>tScores4[[#This Row],[Raw_Rating_Text]]</f>
        <v>0</v>
      </c>
      <c r="N1032" s="38"/>
    </row>
    <row r="1033" spans="1:24" x14ac:dyDescent="0.2">
      <c r="A1033" s="34" t="s">
        <v>185</v>
      </c>
      <c r="B1033" s="34" t="s">
        <v>86</v>
      </c>
      <c r="C1033" s="34" t="s">
        <v>70</v>
      </c>
      <c r="D1033" s="34" t="s">
        <v>65</v>
      </c>
      <c r="E1033" s="34"/>
      <c r="F1033" s="50" t="s">
        <v>323</v>
      </c>
      <c r="G1033" s="34">
        <v>8</v>
      </c>
      <c r="H1033" s="34" t="s">
        <v>18</v>
      </c>
      <c r="I1033" s="34" t="s">
        <v>26</v>
      </c>
      <c r="J1033" s="34">
        <v>0</v>
      </c>
      <c r="K1033" s="35">
        <f>VLOOKUP(I1033,'Weights and Confidence'!$D$16:$AC$26,5,FALSE)/COUNTIFS($B:$B,$B1033,$C:$C,$C1033,$H:$H,$H1033,$I:$I,$I1033)</f>
        <v>0.1</v>
      </c>
      <c r="L1033" s="36">
        <f>VLOOKUP(I1033,'Weights and Confidence'!$D$16:$AC$26,6,FALSE)</f>
        <v>1</v>
      </c>
      <c r="M1033" s="37">
        <f>tScores4[[#This Row],[Raw_Rating_Text]]</f>
        <v>0</v>
      </c>
      <c r="N1033" s="58"/>
    </row>
    <row r="1034" spans="1:24" x14ac:dyDescent="0.2">
      <c r="A1034" s="38" t="s">
        <v>185</v>
      </c>
      <c r="B1034" s="38" t="s">
        <v>86</v>
      </c>
      <c r="C1034" s="38" t="s">
        <v>70</v>
      </c>
      <c r="D1034" s="38" t="s">
        <v>65</v>
      </c>
      <c r="E1034" s="38"/>
      <c r="F1034" s="51" t="s">
        <v>323</v>
      </c>
      <c r="G1034" s="38">
        <v>9</v>
      </c>
      <c r="H1034" s="38" t="s">
        <v>17</v>
      </c>
      <c r="I1034" s="38" t="s">
        <v>27</v>
      </c>
      <c r="J1034" s="38">
        <v>-1</v>
      </c>
      <c r="K1034" s="39">
        <f>VLOOKUP(I1034,'Weights and Confidence'!$D$16:$AC$26,5,FALSE)/COUNTIFS($B:$B,$B1034,$C:$C,$C1034,$H:$H,$H1034,$I:$I,$I1034)</f>
        <v>0.05</v>
      </c>
      <c r="L1034" s="40">
        <f>VLOOKUP(I1034,'Weights and Confidence'!$D$16:$AC$26,6,FALSE)</f>
        <v>0.85</v>
      </c>
      <c r="M1034" s="41">
        <f>tScores4[[#This Row],[Raw_Rating_Text]]</f>
        <v>-1</v>
      </c>
      <c r="N1034" s="38"/>
    </row>
    <row r="1035" spans="1:24" x14ac:dyDescent="0.2">
      <c r="A1035" s="34" t="s">
        <v>185</v>
      </c>
      <c r="B1035" s="34" t="s">
        <v>86</v>
      </c>
      <c r="C1035" s="34" t="s">
        <v>70</v>
      </c>
      <c r="D1035" s="34" t="s">
        <v>65</v>
      </c>
      <c r="E1035" s="34"/>
      <c r="F1035" s="50" t="s">
        <v>323</v>
      </c>
      <c r="G1035" s="34">
        <v>9</v>
      </c>
      <c r="H1035" s="34" t="s">
        <v>18</v>
      </c>
      <c r="I1035" s="34" t="s">
        <v>27</v>
      </c>
      <c r="J1035" s="34">
        <v>1</v>
      </c>
      <c r="K1035" s="35">
        <f>VLOOKUP(I1035,'Weights and Confidence'!$D$16:$AC$26,5,FALSE)/COUNTIFS($B:$B,$B1035,$C:$C,$C1035,$H:$H,$H1035,$I:$I,$I1035)</f>
        <v>0.05</v>
      </c>
      <c r="L1035" s="36">
        <f>VLOOKUP(I1035,'Weights and Confidence'!$D$16:$AC$26,6,FALSE)</f>
        <v>0.85</v>
      </c>
      <c r="M1035" s="37">
        <f>tScores4[[#This Row],[Raw_Rating_Text]]</f>
        <v>1</v>
      </c>
      <c r="N1035" s="58"/>
    </row>
    <row r="1036" spans="1:24" x14ac:dyDescent="0.2">
      <c r="A1036" s="38" t="s">
        <v>185</v>
      </c>
      <c r="B1036" s="38" t="s">
        <v>86</v>
      </c>
      <c r="C1036" s="38" t="s">
        <v>70</v>
      </c>
      <c r="D1036" s="38" t="s">
        <v>65</v>
      </c>
      <c r="E1036" s="38"/>
      <c r="F1036" s="51" t="s">
        <v>323</v>
      </c>
      <c r="G1036" s="38">
        <v>10</v>
      </c>
      <c r="H1036" s="38" t="s">
        <v>17</v>
      </c>
      <c r="I1036" s="38" t="s">
        <v>27</v>
      </c>
      <c r="J1036" s="38">
        <v>-1</v>
      </c>
      <c r="K1036" s="39">
        <f>VLOOKUP(I1036,'Weights and Confidence'!$D$16:$AC$26,5,FALSE)/COUNTIFS($B:$B,$B1036,$C:$C,$C1036,$H:$H,$H1036,$I:$I,$I1036)</f>
        <v>0.05</v>
      </c>
      <c r="L1036" s="40">
        <f>VLOOKUP(I1036,'Weights and Confidence'!$D$16:$AC$26,6,FALSE)</f>
        <v>0.85</v>
      </c>
      <c r="M1036" s="41">
        <f>tScores4[[#This Row],[Raw_Rating_Text]]</f>
        <v>-1</v>
      </c>
      <c r="N1036" s="38"/>
    </row>
    <row r="1037" spans="1:24" x14ac:dyDescent="0.2">
      <c r="A1037" s="34" t="s">
        <v>185</v>
      </c>
      <c r="B1037" s="34" t="s">
        <v>86</v>
      </c>
      <c r="C1037" s="34" t="s">
        <v>70</v>
      </c>
      <c r="D1037" s="34" t="s">
        <v>65</v>
      </c>
      <c r="E1037" s="34"/>
      <c r="F1037" s="50" t="s">
        <v>323</v>
      </c>
      <c r="G1037" s="34">
        <v>10</v>
      </c>
      <c r="H1037" s="34" t="s">
        <v>18</v>
      </c>
      <c r="I1037" s="34" t="s">
        <v>27</v>
      </c>
      <c r="J1037" s="34">
        <v>1</v>
      </c>
      <c r="K1037" s="35">
        <f>VLOOKUP(I1037,'Weights and Confidence'!$D$16:$AC$26,5,FALSE)/COUNTIFS($B:$B,$B1037,$C:$C,$C1037,$H:$H,$H1037,$I:$I,$I1037)</f>
        <v>0.05</v>
      </c>
      <c r="L1037" s="36">
        <f>VLOOKUP(I1037,'Weights and Confidence'!$D$16:$AC$26,6,FALSE)</f>
        <v>0.85</v>
      </c>
      <c r="M1037" s="37">
        <f>tScores4[[#This Row],[Raw_Rating_Text]]</f>
        <v>1</v>
      </c>
      <c r="N1037" s="58"/>
    </row>
    <row r="1038" spans="1:24" x14ac:dyDescent="0.2">
      <c r="A1038" s="38" t="s">
        <v>185</v>
      </c>
      <c r="B1038" s="38" t="s">
        <v>86</v>
      </c>
      <c r="C1038" s="38" t="s">
        <v>70</v>
      </c>
      <c r="D1038" s="38" t="s">
        <v>65</v>
      </c>
      <c r="E1038" s="38"/>
      <c r="F1038" s="51" t="s">
        <v>323</v>
      </c>
      <c r="G1038" s="38">
        <v>11</v>
      </c>
      <c r="H1038" s="38" t="s">
        <v>17</v>
      </c>
      <c r="I1038" s="38" t="s">
        <v>28</v>
      </c>
      <c r="J1038" s="38">
        <v>-1</v>
      </c>
      <c r="K1038" s="39">
        <f>VLOOKUP(I1038,'Weights and Confidence'!$D$16:$AC$26,5,FALSE)/COUNTIFS($B:$B,$B1038,$C:$C,$C1038,$H:$H,$H1038,$I:$I,$I1038)</f>
        <v>0.05</v>
      </c>
      <c r="L1038" s="40">
        <f>VLOOKUP(I1038,'Weights and Confidence'!$D$16:$AC$26,6,FALSE)</f>
        <v>1</v>
      </c>
      <c r="M1038" s="41">
        <f>tScores4[[#This Row],[Raw_Rating_Text]]</f>
        <v>-1</v>
      </c>
      <c r="N1038" s="38"/>
    </row>
    <row r="1039" spans="1:24" ht="17" thickBot="1" x14ac:dyDescent="0.25">
      <c r="A1039" s="34" t="s">
        <v>185</v>
      </c>
      <c r="B1039" s="34" t="s">
        <v>86</v>
      </c>
      <c r="C1039" s="34" t="s">
        <v>70</v>
      </c>
      <c r="D1039" s="34" t="s">
        <v>65</v>
      </c>
      <c r="E1039" s="34"/>
      <c r="F1039" s="50" t="s">
        <v>323</v>
      </c>
      <c r="G1039" s="34">
        <v>11</v>
      </c>
      <c r="H1039" s="34" t="s">
        <v>18</v>
      </c>
      <c r="I1039" s="34" t="s">
        <v>28</v>
      </c>
      <c r="J1039" s="34">
        <v>0</v>
      </c>
      <c r="K1039" s="35">
        <f>VLOOKUP(I1039,'Weights and Confidence'!$D$16:$AC$26,5,FALSE)/COUNTIFS($B:$B,$B1039,$C:$C,$C1039,$H:$H,$H1039,$I:$I,$I1039)</f>
        <v>0.05</v>
      </c>
      <c r="L1039" s="36">
        <f>VLOOKUP(I1039,'Weights and Confidence'!$D$16:$AC$26,6,FALSE)</f>
        <v>1</v>
      </c>
      <c r="M1039" s="37">
        <f>tScores4[[#This Row],[Raw_Rating_Text]]</f>
        <v>0</v>
      </c>
      <c r="N1039" s="58"/>
    </row>
    <row r="1040" spans="1:24" ht="17" thickTop="1" x14ac:dyDescent="0.2">
      <c r="A1040" s="42" t="s">
        <v>185</v>
      </c>
      <c r="B1040" s="42" t="s">
        <v>86</v>
      </c>
      <c r="C1040" s="42" t="s">
        <v>162</v>
      </c>
      <c r="D1040" s="42" t="s">
        <v>65</v>
      </c>
      <c r="E1040" s="42"/>
      <c r="F1040" s="49" t="s">
        <v>163</v>
      </c>
      <c r="G1040" s="42">
        <v>1</v>
      </c>
      <c r="H1040" s="42" t="s">
        <v>17</v>
      </c>
      <c r="I1040" s="42" t="s">
        <v>19</v>
      </c>
      <c r="J1040" s="42">
        <v>1</v>
      </c>
      <c r="K1040" s="44">
        <f>VLOOKUP(I1040,'Weights and Confidence'!$D$16:$AC$26,5,FALSE)/COUNTIFS($B:$B,$B1040,$C:$C,$C1040,$H:$H,$H1040,$I:$I,$I1040)</f>
        <v>0.12</v>
      </c>
      <c r="L1040" s="45">
        <f>VLOOKUP(I1040,'Weights and Confidence'!$D$16:$AC$26,6,FALSE)</f>
        <v>1</v>
      </c>
      <c r="M1040" s="46">
        <f>tScores4[[#This Row],[Raw_Rating_Text]]</f>
        <v>1</v>
      </c>
      <c r="N1040" s="42"/>
    </row>
    <row r="1041" spans="1:24" ht="17" thickBot="1" x14ac:dyDescent="0.25">
      <c r="A1041" s="34" t="s">
        <v>185</v>
      </c>
      <c r="B1041" s="34" t="s">
        <v>86</v>
      </c>
      <c r="C1041" s="34" t="s">
        <v>162</v>
      </c>
      <c r="D1041" s="34" t="s">
        <v>65</v>
      </c>
      <c r="E1041" s="34"/>
      <c r="F1041" s="50" t="s">
        <v>163</v>
      </c>
      <c r="G1041" s="34">
        <v>1</v>
      </c>
      <c r="H1041" s="34" t="s">
        <v>18</v>
      </c>
      <c r="I1041" s="34" t="s">
        <v>19</v>
      </c>
      <c r="J1041" s="34">
        <v>-1</v>
      </c>
      <c r="K1041" s="35">
        <f>VLOOKUP(I1041,'Weights and Confidence'!$D$16:$AC$26,5,FALSE)/COUNTIFS($B:$B,$B1041,$C:$C,$C1041,$H:$H,$H1041,$I:$I,$I1041)</f>
        <v>0.12</v>
      </c>
      <c r="L1041" s="36">
        <f>VLOOKUP(I1041,'Weights and Confidence'!$D$16:$AC$26,6,FALSE)</f>
        <v>1</v>
      </c>
      <c r="M1041" s="37">
        <f>tScores4[[#This Row],[Raw_Rating_Text]]</f>
        <v>-1</v>
      </c>
      <c r="N1041" s="58"/>
    </row>
    <row r="1042" spans="1:24" x14ac:dyDescent="0.2">
      <c r="A1042" s="38" t="s">
        <v>185</v>
      </c>
      <c r="B1042" s="38" t="s">
        <v>86</v>
      </c>
      <c r="C1042" s="38" t="s">
        <v>162</v>
      </c>
      <c r="D1042" s="38" t="s">
        <v>65</v>
      </c>
      <c r="E1042" s="38"/>
      <c r="F1042" s="51" t="s">
        <v>163</v>
      </c>
      <c r="G1042" s="38">
        <v>2</v>
      </c>
      <c r="H1042" s="38" t="s">
        <v>17</v>
      </c>
      <c r="I1042" s="38" t="s">
        <v>20</v>
      </c>
      <c r="J1042" s="38">
        <v>1</v>
      </c>
      <c r="K1042" s="39">
        <f>VLOOKUP(I1042,'Weights and Confidence'!$D$16:$AC$26,5,FALSE)/COUNTIFS($B:$B,$B1042,$C:$C,$C1042,$H:$H,$H1042,$I:$I,$I1042)</f>
        <v>0.08</v>
      </c>
      <c r="L1042" s="40">
        <f>VLOOKUP(I1042,'Weights and Confidence'!$D$16:$AC$26,6,FALSE)</f>
        <v>0.8</v>
      </c>
      <c r="M1042" s="41">
        <f>tScores4[[#This Row],[Raw_Rating_Text]]</f>
        <v>1</v>
      </c>
      <c r="N1042" s="38"/>
      <c r="P1042" s="24" t="s">
        <v>335</v>
      </c>
      <c r="Q1042" s="10"/>
      <c r="R1042" s="10"/>
      <c r="S1042" s="10"/>
      <c r="T1042" s="10"/>
      <c r="U1042" s="10"/>
      <c r="V1042" s="10"/>
      <c r="W1042" s="10"/>
      <c r="X1042" s="11"/>
    </row>
    <row r="1043" spans="1:24" x14ac:dyDescent="0.2">
      <c r="A1043" s="34" t="s">
        <v>185</v>
      </c>
      <c r="B1043" s="34" t="s">
        <v>86</v>
      </c>
      <c r="C1043" s="34" t="s">
        <v>162</v>
      </c>
      <c r="D1043" s="34" t="s">
        <v>65</v>
      </c>
      <c r="E1043" s="34"/>
      <c r="F1043" s="50" t="s">
        <v>163</v>
      </c>
      <c r="G1043" s="34">
        <v>2</v>
      </c>
      <c r="H1043" s="34" t="s">
        <v>18</v>
      </c>
      <c r="I1043" s="34" t="s">
        <v>20</v>
      </c>
      <c r="J1043" s="34">
        <v>-1</v>
      </c>
      <c r="K1043" s="35">
        <f>VLOOKUP(I1043,'Weights and Confidence'!$D$16:$AC$26,5,FALSE)/COUNTIFS($B:$B,$B1043,$C:$C,$C1043,$H:$H,$H1043,$I:$I,$I1043)</f>
        <v>0.08</v>
      </c>
      <c r="L1043" s="36">
        <f>VLOOKUP(I1043,'Weights and Confidence'!$D$16:$AC$26,6,FALSE)</f>
        <v>0.8</v>
      </c>
      <c r="M1043" s="37">
        <f>tScores4[[#This Row],[Raw_Rating_Text]]</f>
        <v>-1</v>
      </c>
      <c r="N1043" s="58" t="s">
        <v>333</v>
      </c>
      <c r="P1043" s="25" t="s">
        <v>337</v>
      </c>
      <c r="X1043" s="1"/>
    </row>
    <row r="1044" spans="1:24" ht="17" thickBot="1" x14ac:dyDescent="0.25">
      <c r="A1044" s="38" t="s">
        <v>185</v>
      </c>
      <c r="B1044" s="38" t="s">
        <v>86</v>
      </c>
      <c r="C1044" s="38" t="s">
        <v>162</v>
      </c>
      <c r="D1044" s="38" t="s">
        <v>65</v>
      </c>
      <c r="E1044" s="38"/>
      <c r="F1044" s="51" t="s">
        <v>163</v>
      </c>
      <c r="G1044" s="38">
        <v>3</v>
      </c>
      <c r="H1044" s="38" t="s">
        <v>17</v>
      </c>
      <c r="I1044" s="38" t="s">
        <v>21</v>
      </c>
      <c r="J1044" s="38">
        <v>1</v>
      </c>
      <c r="K1044" s="39">
        <f>VLOOKUP(I1044,'Weights and Confidence'!$D$16:$AC$26,5,FALSE)/COUNTIFS($B:$B,$B1044,$C:$C,$C1044,$H:$H,$H1044,$I:$I,$I1044)</f>
        <v>0.05</v>
      </c>
      <c r="L1044" s="40">
        <f>VLOOKUP(I1044,'Weights and Confidence'!$D$16:$AC$26,6,FALSE)</f>
        <v>1</v>
      </c>
      <c r="M1044" s="41">
        <f>tScores4[[#This Row],[Raw_Rating_Text]]</f>
        <v>1</v>
      </c>
      <c r="N1044" s="38"/>
      <c r="P1044" s="26" t="s">
        <v>338</v>
      </c>
      <c r="Q1044" s="2"/>
      <c r="R1044" s="2"/>
      <c r="S1044" s="2"/>
      <c r="T1044" s="2"/>
      <c r="U1044" s="2"/>
      <c r="V1044" s="2"/>
      <c r="W1044" s="2"/>
      <c r="X1044" s="5"/>
    </row>
    <row r="1045" spans="1:24" x14ac:dyDescent="0.2">
      <c r="A1045" s="34" t="s">
        <v>185</v>
      </c>
      <c r="B1045" s="34" t="s">
        <v>86</v>
      </c>
      <c r="C1045" s="34" t="s">
        <v>162</v>
      </c>
      <c r="D1045" s="34" t="s">
        <v>65</v>
      </c>
      <c r="E1045" s="34"/>
      <c r="F1045" s="50" t="s">
        <v>163</v>
      </c>
      <c r="G1045" s="34">
        <v>3</v>
      </c>
      <c r="H1045" s="34" t="s">
        <v>18</v>
      </c>
      <c r="I1045" s="34" t="s">
        <v>21</v>
      </c>
      <c r="J1045" s="34">
        <v>0</v>
      </c>
      <c r="K1045" s="35">
        <f>VLOOKUP(I1045,'Weights and Confidence'!$D$16:$AC$26,5,FALSE)/COUNTIFS($B:$B,$B1045,$C:$C,$C1045,$H:$H,$H1045,$I:$I,$I1045)</f>
        <v>0.05</v>
      </c>
      <c r="L1045" s="36">
        <f>VLOOKUP(I1045,'Weights and Confidence'!$D$16:$AC$26,6,FALSE)</f>
        <v>1</v>
      </c>
      <c r="M1045" s="37">
        <f>tScores4[[#This Row],[Raw_Rating_Text]]</f>
        <v>0</v>
      </c>
      <c r="N1045" s="58"/>
    </row>
    <row r="1046" spans="1:24" x14ac:dyDescent="0.2">
      <c r="A1046" s="38" t="s">
        <v>185</v>
      </c>
      <c r="B1046" s="38" t="s">
        <v>86</v>
      </c>
      <c r="C1046" s="38" t="s">
        <v>162</v>
      </c>
      <c r="D1046" s="38" t="s">
        <v>65</v>
      </c>
      <c r="E1046" s="38"/>
      <c r="F1046" s="51" t="s">
        <v>163</v>
      </c>
      <c r="G1046" s="38">
        <v>4</v>
      </c>
      <c r="H1046" s="38" t="s">
        <v>17</v>
      </c>
      <c r="I1046" s="38" t="s">
        <v>22</v>
      </c>
      <c r="J1046" s="38">
        <v>0</v>
      </c>
      <c r="K1046" s="39">
        <f>VLOOKUP(I1046,'Weights and Confidence'!$D$16:$AC$26,5,FALSE)/COUNTIFS($B:$B,$B1046,$C:$C,$C1046,$H:$H,$H1046,$I:$I,$I1046)</f>
        <v>0.14000000000000001</v>
      </c>
      <c r="L1046" s="40">
        <f>VLOOKUP(I1046,'Weights and Confidence'!$D$16:$AC$26,6,FALSE)</f>
        <v>1</v>
      </c>
      <c r="M1046" s="41">
        <f>tScores4[[#This Row],[Raw_Rating_Text]]</f>
        <v>0</v>
      </c>
      <c r="N1046" s="38"/>
    </row>
    <row r="1047" spans="1:24" x14ac:dyDescent="0.2">
      <c r="A1047" s="34" t="s">
        <v>185</v>
      </c>
      <c r="B1047" s="34" t="s">
        <v>86</v>
      </c>
      <c r="C1047" s="34" t="s">
        <v>162</v>
      </c>
      <c r="D1047" s="34" t="s">
        <v>65</v>
      </c>
      <c r="E1047" s="34"/>
      <c r="F1047" s="50" t="s">
        <v>163</v>
      </c>
      <c r="G1047" s="34">
        <v>4</v>
      </c>
      <c r="H1047" s="34" t="s">
        <v>18</v>
      </c>
      <c r="I1047" s="34" t="s">
        <v>22</v>
      </c>
      <c r="J1047" s="34">
        <v>0</v>
      </c>
      <c r="K1047" s="35">
        <f>VLOOKUP(I1047,'Weights and Confidence'!$D$16:$AC$26,5,FALSE)/COUNTIFS($B:$B,$B1047,$C:$C,$C1047,$H:$H,$H1047,$I:$I,$I1047)</f>
        <v>0.14000000000000001</v>
      </c>
      <c r="L1047" s="36">
        <f>VLOOKUP(I1047,'Weights and Confidence'!$D$16:$AC$26,6,FALSE)</f>
        <v>1</v>
      </c>
      <c r="M1047" s="37">
        <f>tScores4[[#This Row],[Raw_Rating_Text]]</f>
        <v>0</v>
      </c>
      <c r="N1047" s="58" t="s">
        <v>334</v>
      </c>
    </row>
    <row r="1048" spans="1:24" x14ac:dyDescent="0.2">
      <c r="A1048" s="38" t="s">
        <v>185</v>
      </c>
      <c r="B1048" s="38" t="s">
        <v>86</v>
      </c>
      <c r="C1048" s="38" t="s">
        <v>162</v>
      </c>
      <c r="D1048" s="38" t="s">
        <v>65</v>
      </c>
      <c r="E1048" s="38"/>
      <c r="F1048" s="51" t="s">
        <v>163</v>
      </c>
      <c r="G1048" s="38">
        <v>5</v>
      </c>
      <c r="H1048" s="38" t="s">
        <v>17</v>
      </c>
      <c r="I1048" s="38" t="s">
        <v>23</v>
      </c>
      <c r="J1048" s="38">
        <v>0</v>
      </c>
      <c r="K1048" s="39">
        <f>VLOOKUP(I1048,'Weights and Confidence'!$D$16:$AC$26,5,FALSE)/COUNTIFS($B:$B,$B1048,$C:$C,$C1048,$H:$H,$H1048,$I:$I,$I1048)</f>
        <v>0.11</v>
      </c>
      <c r="L1048" s="40">
        <f>VLOOKUP(I1048,'Weights and Confidence'!$D$16:$AC$26,6,FALSE)</f>
        <v>1</v>
      </c>
      <c r="M1048" s="41">
        <f>tScores4[[#This Row],[Raw_Rating_Text]]</f>
        <v>0</v>
      </c>
      <c r="N1048" s="38"/>
    </row>
    <row r="1049" spans="1:24" x14ac:dyDescent="0.2">
      <c r="A1049" s="34" t="s">
        <v>185</v>
      </c>
      <c r="B1049" s="34" t="s">
        <v>86</v>
      </c>
      <c r="C1049" s="34" t="s">
        <v>162</v>
      </c>
      <c r="D1049" s="34" t="s">
        <v>65</v>
      </c>
      <c r="E1049" s="34"/>
      <c r="F1049" s="50" t="s">
        <v>163</v>
      </c>
      <c r="G1049" s="34">
        <v>5</v>
      </c>
      <c r="H1049" s="34" t="s">
        <v>18</v>
      </c>
      <c r="I1049" s="34" t="s">
        <v>23</v>
      </c>
      <c r="J1049" s="34">
        <v>-1</v>
      </c>
      <c r="K1049" s="35">
        <f>VLOOKUP(I1049,'Weights and Confidence'!$D$16:$AC$26,5,FALSE)/COUNTIFS($B:$B,$B1049,$C:$C,$C1049,$H:$H,$H1049,$I:$I,$I1049)</f>
        <v>0.11</v>
      </c>
      <c r="L1049" s="36">
        <f>VLOOKUP(I1049,'Weights and Confidence'!$D$16:$AC$26,6,FALSE)</f>
        <v>1</v>
      </c>
      <c r="M1049" s="37">
        <f>tScores4[[#This Row],[Raw_Rating_Text]]</f>
        <v>-1</v>
      </c>
      <c r="N1049" s="58"/>
    </row>
    <row r="1050" spans="1:24" x14ac:dyDescent="0.2">
      <c r="A1050" s="38" t="s">
        <v>185</v>
      </c>
      <c r="B1050" s="38" t="s">
        <v>86</v>
      </c>
      <c r="C1050" s="38" t="s">
        <v>162</v>
      </c>
      <c r="D1050" s="38" t="s">
        <v>65</v>
      </c>
      <c r="E1050" s="38"/>
      <c r="F1050" s="51" t="s">
        <v>163</v>
      </c>
      <c r="G1050" s="38">
        <v>6</v>
      </c>
      <c r="H1050" s="38" t="s">
        <v>17</v>
      </c>
      <c r="I1050" s="38" t="s">
        <v>24</v>
      </c>
      <c r="J1050" s="38">
        <v>0</v>
      </c>
      <c r="K1050" s="39">
        <f>VLOOKUP(I1050,'Weights and Confidence'!$D$16:$AC$26,5,FALSE)/COUNTIFS($B:$B,$B1050,$C:$C,$C1050,$H:$H,$H1050,$I:$I,$I1050)</f>
        <v>0.15</v>
      </c>
      <c r="L1050" s="40">
        <f>VLOOKUP(I1050,'Weights and Confidence'!$D$16:$AC$26,6,FALSE)</f>
        <v>1</v>
      </c>
      <c r="M1050" s="41">
        <f>tScores4[[#This Row],[Raw_Rating_Text]]</f>
        <v>0</v>
      </c>
      <c r="N1050" s="59"/>
    </row>
    <row r="1051" spans="1:24" x14ac:dyDescent="0.2">
      <c r="A1051" s="34" t="s">
        <v>185</v>
      </c>
      <c r="B1051" s="34" t="s">
        <v>86</v>
      </c>
      <c r="C1051" s="34" t="s">
        <v>162</v>
      </c>
      <c r="D1051" s="34" t="s">
        <v>65</v>
      </c>
      <c r="E1051" s="34"/>
      <c r="F1051" s="50" t="s">
        <v>163</v>
      </c>
      <c r="G1051" s="34">
        <v>6</v>
      </c>
      <c r="H1051" s="34" t="s">
        <v>18</v>
      </c>
      <c r="I1051" s="34" t="s">
        <v>24</v>
      </c>
      <c r="J1051" s="34">
        <v>0</v>
      </c>
      <c r="K1051" s="35">
        <f>VLOOKUP(I1051,'Weights and Confidence'!$D$16:$AC$26,5,FALSE)/COUNTIFS($B:$B,$B1051,$C:$C,$C1051,$H:$H,$H1051,$I:$I,$I1051)</f>
        <v>0.15</v>
      </c>
      <c r="L1051" s="36">
        <f>VLOOKUP(I1051,'Weights and Confidence'!$D$16:$AC$26,6,FALSE)</f>
        <v>1</v>
      </c>
      <c r="M1051" s="37">
        <f>tScores4[[#This Row],[Raw_Rating_Text]]</f>
        <v>0</v>
      </c>
      <c r="N1051" s="58"/>
    </row>
    <row r="1052" spans="1:24" x14ac:dyDescent="0.2">
      <c r="A1052" s="38" t="s">
        <v>185</v>
      </c>
      <c r="B1052" s="38" t="s">
        <v>86</v>
      </c>
      <c r="C1052" s="38" t="s">
        <v>162</v>
      </c>
      <c r="D1052" s="38" t="s">
        <v>65</v>
      </c>
      <c r="E1052" s="38"/>
      <c r="F1052" s="51" t="s">
        <v>163</v>
      </c>
      <c r="G1052" s="38">
        <v>7</v>
      </c>
      <c r="H1052" s="38" t="s">
        <v>17</v>
      </c>
      <c r="I1052" s="38" t="s">
        <v>25</v>
      </c>
      <c r="J1052" s="38">
        <v>0</v>
      </c>
      <c r="K1052" s="39">
        <f>VLOOKUP(I1052,'Weights and Confidence'!$D$16:$AC$26,5,FALSE)/COUNTIFS($B:$B,$B1052,$C:$C,$C1052,$H:$H,$H1052,$I:$I,$I1052)</f>
        <v>0.1</v>
      </c>
      <c r="L1052" s="40">
        <f>VLOOKUP(I1052,'Weights and Confidence'!$D$16:$AC$26,6,FALSE)</f>
        <v>1</v>
      </c>
      <c r="M1052" s="41">
        <f>tScores4[[#This Row],[Raw_Rating_Text]]</f>
        <v>0</v>
      </c>
      <c r="N1052" s="38"/>
    </row>
    <row r="1053" spans="1:24" x14ac:dyDescent="0.2">
      <c r="A1053" s="34" t="s">
        <v>185</v>
      </c>
      <c r="B1053" s="34" t="s">
        <v>86</v>
      </c>
      <c r="C1053" s="34" t="s">
        <v>162</v>
      </c>
      <c r="D1053" s="34" t="s">
        <v>65</v>
      </c>
      <c r="E1053" s="34"/>
      <c r="F1053" s="50" t="s">
        <v>163</v>
      </c>
      <c r="G1053" s="34">
        <v>7</v>
      </c>
      <c r="H1053" s="34" t="s">
        <v>18</v>
      </c>
      <c r="I1053" s="34" t="s">
        <v>25</v>
      </c>
      <c r="J1053" s="34">
        <v>0</v>
      </c>
      <c r="K1053" s="35">
        <f>VLOOKUP(I1053,'Weights and Confidence'!$D$16:$AC$26,5,FALSE)/COUNTIFS($B:$B,$B1053,$C:$C,$C1053,$H:$H,$H1053,$I:$I,$I1053)</f>
        <v>0.1</v>
      </c>
      <c r="L1053" s="36">
        <f>VLOOKUP(I1053,'Weights and Confidence'!$D$16:$AC$26,6,FALSE)</f>
        <v>1</v>
      </c>
      <c r="M1053" s="37">
        <f>tScores4[[#This Row],[Raw_Rating_Text]]</f>
        <v>0</v>
      </c>
      <c r="N1053" s="58"/>
    </row>
    <row r="1054" spans="1:24" x14ac:dyDescent="0.2">
      <c r="A1054" s="38" t="s">
        <v>185</v>
      </c>
      <c r="B1054" s="38" t="s">
        <v>86</v>
      </c>
      <c r="C1054" s="38" t="s">
        <v>162</v>
      </c>
      <c r="D1054" s="38" t="s">
        <v>65</v>
      </c>
      <c r="E1054" s="38"/>
      <c r="F1054" s="51" t="s">
        <v>163</v>
      </c>
      <c r="G1054" s="38">
        <v>8</v>
      </c>
      <c r="H1054" s="38" t="s">
        <v>17</v>
      </c>
      <c r="I1054" s="38" t="s">
        <v>26</v>
      </c>
      <c r="J1054" s="38">
        <v>0</v>
      </c>
      <c r="K1054" s="39">
        <f>VLOOKUP(I1054,'Weights and Confidence'!$D$16:$AC$26,5,FALSE)/COUNTIFS($B:$B,$B1054,$C:$C,$C1054,$H:$H,$H1054,$I:$I,$I1054)</f>
        <v>0.1</v>
      </c>
      <c r="L1054" s="40">
        <f>VLOOKUP(I1054,'Weights and Confidence'!$D$16:$AC$26,6,FALSE)</f>
        <v>1</v>
      </c>
      <c r="M1054" s="41">
        <f>tScores4[[#This Row],[Raw_Rating_Text]]</f>
        <v>0</v>
      </c>
      <c r="N1054" s="38"/>
    </row>
    <row r="1055" spans="1:24" x14ac:dyDescent="0.2">
      <c r="A1055" s="34" t="s">
        <v>185</v>
      </c>
      <c r="B1055" s="34" t="s">
        <v>86</v>
      </c>
      <c r="C1055" s="34" t="s">
        <v>162</v>
      </c>
      <c r="D1055" s="34" t="s">
        <v>65</v>
      </c>
      <c r="E1055" s="34"/>
      <c r="F1055" s="50" t="s">
        <v>163</v>
      </c>
      <c r="G1055" s="34">
        <v>8</v>
      </c>
      <c r="H1055" s="34" t="s">
        <v>18</v>
      </c>
      <c r="I1055" s="34" t="s">
        <v>26</v>
      </c>
      <c r="J1055" s="34">
        <v>0</v>
      </c>
      <c r="K1055" s="35">
        <f>VLOOKUP(I1055,'Weights and Confidence'!$D$16:$AC$26,5,FALSE)/COUNTIFS($B:$B,$B1055,$C:$C,$C1055,$H:$H,$H1055,$I:$I,$I1055)</f>
        <v>0.1</v>
      </c>
      <c r="L1055" s="36">
        <f>VLOOKUP(I1055,'Weights and Confidence'!$D$16:$AC$26,6,FALSE)</f>
        <v>1</v>
      </c>
      <c r="M1055" s="37">
        <f>tScores4[[#This Row],[Raw_Rating_Text]]</f>
        <v>0</v>
      </c>
      <c r="N1055" s="58"/>
    </row>
    <row r="1056" spans="1:24" x14ac:dyDescent="0.2">
      <c r="A1056" s="38" t="s">
        <v>185</v>
      </c>
      <c r="B1056" s="38" t="s">
        <v>86</v>
      </c>
      <c r="C1056" s="38" t="s">
        <v>162</v>
      </c>
      <c r="D1056" s="38" t="s">
        <v>65</v>
      </c>
      <c r="E1056" s="38"/>
      <c r="F1056" s="51" t="s">
        <v>163</v>
      </c>
      <c r="G1056" s="38">
        <v>9</v>
      </c>
      <c r="H1056" s="38" t="s">
        <v>17</v>
      </c>
      <c r="I1056" s="38" t="s">
        <v>27</v>
      </c>
      <c r="J1056" s="38">
        <v>0</v>
      </c>
      <c r="K1056" s="39">
        <f>VLOOKUP(I1056,'Weights and Confidence'!$D$16:$AC$26,5,FALSE)/COUNTIFS($B:$B,$B1056,$C:$C,$C1056,$H:$H,$H1056,$I:$I,$I1056)</f>
        <v>0.05</v>
      </c>
      <c r="L1056" s="40">
        <f>VLOOKUP(I1056,'Weights and Confidence'!$D$16:$AC$26,6,FALSE)</f>
        <v>0.85</v>
      </c>
      <c r="M1056" s="41">
        <f>tScores4[[#This Row],[Raw_Rating_Text]]</f>
        <v>0</v>
      </c>
      <c r="N1056" s="38"/>
    </row>
    <row r="1057" spans="1:24" x14ac:dyDescent="0.2">
      <c r="A1057" s="34" t="s">
        <v>185</v>
      </c>
      <c r="B1057" s="34" t="s">
        <v>86</v>
      </c>
      <c r="C1057" s="34" t="s">
        <v>162</v>
      </c>
      <c r="D1057" s="34" t="s">
        <v>65</v>
      </c>
      <c r="E1057" s="34"/>
      <c r="F1057" s="50" t="s">
        <v>163</v>
      </c>
      <c r="G1057" s="34">
        <v>9</v>
      </c>
      <c r="H1057" s="34" t="s">
        <v>18</v>
      </c>
      <c r="I1057" s="34" t="s">
        <v>27</v>
      </c>
      <c r="J1057" s="34">
        <v>0</v>
      </c>
      <c r="K1057" s="35">
        <f>VLOOKUP(I1057,'Weights and Confidence'!$D$16:$AC$26,5,FALSE)/COUNTIFS($B:$B,$B1057,$C:$C,$C1057,$H:$H,$H1057,$I:$I,$I1057)</f>
        <v>0.05</v>
      </c>
      <c r="L1057" s="36">
        <f>VLOOKUP(I1057,'Weights and Confidence'!$D$16:$AC$26,6,FALSE)</f>
        <v>0.85</v>
      </c>
      <c r="M1057" s="37">
        <f>tScores4[[#This Row],[Raw_Rating_Text]]</f>
        <v>0</v>
      </c>
      <c r="N1057" s="58"/>
    </row>
    <row r="1058" spans="1:24" x14ac:dyDescent="0.2">
      <c r="A1058" s="38" t="s">
        <v>185</v>
      </c>
      <c r="B1058" s="38" t="s">
        <v>86</v>
      </c>
      <c r="C1058" s="38" t="s">
        <v>162</v>
      </c>
      <c r="D1058" s="38" t="s">
        <v>65</v>
      </c>
      <c r="E1058" s="38"/>
      <c r="F1058" s="51" t="s">
        <v>163</v>
      </c>
      <c r="G1058" s="38">
        <v>10</v>
      </c>
      <c r="H1058" s="38" t="s">
        <v>17</v>
      </c>
      <c r="I1058" s="38" t="s">
        <v>27</v>
      </c>
      <c r="J1058" s="38">
        <v>0</v>
      </c>
      <c r="K1058" s="39">
        <f>VLOOKUP(I1058,'Weights and Confidence'!$D$16:$AC$26,5,FALSE)/COUNTIFS($B:$B,$B1058,$C:$C,$C1058,$H:$H,$H1058,$I:$I,$I1058)</f>
        <v>0.05</v>
      </c>
      <c r="L1058" s="40">
        <f>VLOOKUP(I1058,'Weights and Confidence'!$D$16:$AC$26,6,FALSE)</f>
        <v>0.85</v>
      </c>
      <c r="M1058" s="41">
        <f>tScores4[[#This Row],[Raw_Rating_Text]]</f>
        <v>0</v>
      </c>
      <c r="N1058" s="38"/>
    </row>
    <row r="1059" spans="1:24" x14ac:dyDescent="0.2">
      <c r="A1059" s="34" t="s">
        <v>185</v>
      </c>
      <c r="B1059" s="34" t="s">
        <v>86</v>
      </c>
      <c r="C1059" s="34" t="s">
        <v>162</v>
      </c>
      <c r="D1059" s="34" t="s">
        <v>65</v>
      </c>
      <c r="E1059" s="34"/>
      <c r="F1059" s="50" t="s">
        <v>163</v>
      </c>
      <c r="G1059" s="34">
        <v>10</v>
      </c>
      <c r="H1059" s="34" t="s">
        <v>18</v>
      </c>
      <c r="I1059" s="34" t="s">
        <v>27</v>
      </c>
      <c r="J1059" s="34">
        <v>0</v>
      </c>
      <c r="K1059" s="35">
        <f>VLOOKUP(I1059,'Weights and Confidence'!$D$16:$AC$26,5,FALSE)/COUNTIFS($B:$B,$B1059,$C:$C,$C1059,$H:$H,$H1059,$I:$I,$I1059)</f>
        <v>0.05</v>
      </c>
      <c r="L1059" s="36">
        <f>VLOOKUP(I1059,'Weights and Confidence'!$D$16:$AC$26,6,FALSE)</f>
        <v>0.85</v>
      </c>
      <c r="M1059" s="37">
        <f>tScores4[[#This Row],[Raw_Rating_Text]]</f>
        <v>0</v>
      </c>
      <c r="N1059" s="58"/>
    </row>
    <row r="1060" spans="1:24" x14ac:dyDescent="0.2">
      <c r="A1060" s="38" t="s">
        <v>185</v>
      </c>
      <c r="B1060" s="38" t="s">
        <v>86</v>
      </c>
      <c r="C1060" s="38" t="s">
        <v>162</v>
      </c>
      <c r="D1060" s="38" t="s">
        <v>65</v>
      </c>
      <c r="E1060" s="38"/>
      <c r="F1060" s="51" t="s">
        <v>163</v>
      </c>
      <c r="G1060" s="38">
        <v>11</v>
      </c>
      <c r="H1060" s="38" t="s">
        <v>17</v>
      </c>
      <c r="I1060" s="38" t="s">
        <v>28</v>
      </c>
      <c r="J1060" s="38">
        <v>-1</v>
      </c>
      <c r="K1060" s="39">
        <f>VLOOKUP(I1060,'Weights and Confidence'!$D$16:$AC$26,5,FALSE)/COUNTIFS($B:$B,$B1060,$C:$C,$C1060,$H:$H,$H1060,$I:$I,$I1060)</f>
        <v>0.05</v>
      </c>
      <c r="L1060" s="40">
        <f>VLOOKUP(I1060,'Weights and Confidence'!$D$16:$AC$26,6,FALSE)</f>
        <v>1</v>
      </c>
      <c r="M1060" s="41">
        <f>tScores4[[#This Row],[Raw_Rating_Text]]</f>
        <v>-1</v>
      </c>
      <c r="N1060" s="38"/>
    </row>
    <row r="1061" spans="1:24" ht="17" thickBot="1" x14ac:dyDescent="0.25">
      <c r="A1061" s="34" t="s">
        <v>185</v>
      </c>
      <c r="B1061" s="53" t="s">
        <v>86</v>
      </c>
      <c r="C1061" s="53" t="s">
        <v>162</v>
      </c>
      <c r="D1061" s="53" t="s">
        <v>65</v>
      </c>
      <c r="E1061" s="53"/>
      <c r="F1061" s="54" t="s">
        <v>163</v>
      </c>
      <c r="G1061" s="53">
        <v>11</v>
      </c>
      <c r="H1061" s="53" t="s">
        <v>18</v>
      </c>
      <c r="I1061" s="53" t="s">
        <v>28</v>
      </c>
      <c r="J1061" s="53">
        <v>-1</v>
      </c>
      <c r="K1061" s="55">
        <f>VLOOKUP(I1061,'Weights and Confidence'!$D$16:$AC$26,5,FALSE)/COUNTIFS($B:$B,$B1061,$C:$C,$C1061,$H:$H,$H1061,$I:$I,$I1061)</f>
        <v>0.05</v>
      </c>
      <c r="L1061" s="56">
        <f>VLOOKUP(I1061,'Weights and Confidence'!$D$16:$AC$26,6,FALSE)</f>
        <v>1</v>
      </c>
      <c r="M1061" s="57">
        <f>tScores4[[#This Row],[Raw_Rating_Text]]</f>
        <v>-1</v>
      </c>
      <c r="N1061" s="61" t="s">
        <v>336</v>
      </c>
    </row>
    <row r="1062" spans="1:24" ht="18" thickTop="1" thickBot="1" x14ac:dyDescent="0.25">
      <c r="A1062" s="42" t="s">
        <v>185</v>
      </c>
      <c r="B1062" s="42" t="s">
        <v>86</v>
      </c>
      <c r="C1062" s="42" t="s">
        <v>339</v>
      </c>
      <c r="D1062" s="42" t="s">
        <v>65</v>
      </c>
      <c r="E1062" s="42"/>
      <c r="F1062" s="49" t="s">
        <v>340</v>
      </c>
      <c r="G1062" s="42">
        <v>1</v>
      </c>
      <c r="H1062" s="42" t="s">
        <v>17</v>
      </c>
      <c r="I1062" s="42" t="s">
        <v>19</v>
      </c>
      <c r="J1062" s="42">
        <v>1</v>
      </c>
      <c r="K1062" s="44">
        <f>VLOOKUP(I1062,'Weights and Confidence'!$D$16:$AC$26,5,FALSE)/COUNTIFS($B:$B,$B1062,$C:$C,$C1062,$H:$H,$H1062,$I:$I,$I1062)</f>
        <v>0.12</v>
      </c>
      <c r="L1062" s="45">
        <f>VLOOKUP(I1062,'Weights and Confidence'!$D$16:$AC$26,6,FALSE)</f>
        <v>1</v>
      </c>
      <c r="M1062" s="46">
        <f>tScores4[[#This Row],[Raw_Rating_Text]]</f>
        <v>1</v>
      </c>
      <c r="N1062" s="42"/>
    </row>
    <row r="1063" spans="1:24" x14ac:dyDescent="0.2">
      <c r="A1063" s="34" t="s">
        <v>185</v>
      </c>
      <c r="B1063" s="34" t="s">
        <v>86</v>
      </c>
      <c r="C1063" s="34" t="s">
        <v>339</v>
      </c>
      <c r="D1063" s="34" t="s">
        <v>65</v>
      </c>
      <c r="E1063" s="34"/>
      <c r="F1063" s="50" t="s">
        <v>340</v>
      </c>
      <c r="G1063" s="34">
        <v>1</v>
      </c>
      <c r="H1063" s="34" t="s">
        <v>18</v>
      </c>
      <c r="I1063" s="34" t="s">
        <v>19</v>
      </c>
      <c r="J1063" s="34">
        <v>1</v>
      </c>
      <c r="K1063" s="35">
        <f>VLOOKUP(I1063,'Weights and Confidence'!$D$16:$AC$26,5,FALSE)/COUNTIFS($B:$B,$B1063,$C:$C,$C1063,$H:$H,$H1063,$I:$I,$I1063)</f>
        <v>0.12</v>
      </c>
      <c r="L1063" s="36">
        <f>VLOOKUP(I1063,'Weights and Confidence'!$D$16:$AC$26,6,FALSE)</f>
        <v>1</v>
      </c>
      <c r="M1063" s="37">
        <f>tScores4[[#This Row],[Raw_Rating_Text]]</f>
        <v>1</v>
      </c>
      <c r="N1063" s="58"/>
      <c r="P1063" s="24" t="s">
        <v>343</v>
      </c>
      <c r="Q1063" s="10"/>
      <c r="R1063" s="10"/>
      <c r="S1063" s="10"/>
      <c r="T1063" s="10"/>
      <c r="U1063" s="10"/>
      <c r="V1063" s="10"/>
      <c r="W1063" s="10"/>
      <c r="X1063" s="11"/>
    </row>
    <row r="1064" spans="1:24" ht="17" thickBot="1" x14ac:dyDescent="0.25">
      <c r="A1064" s="38" t="s">
        <v>185</v>
      </c>
      <c r="B1064" s="38" t="s">
        <v>86</v>
      </c>
      <c r="C1064" s="38" t="s">
        <v>339</v>
      </c>
      <c r="D1064" s="38" t="s">
        <v>65</v>
      </c>
      <c r="E1064" s="38"/>
      <c r="F1064" s="51" t="s">
        <v>340</v>
      </c>
      <c r="G1064" s="38">
        <v>2</v>
      </c>
      <c r="H1064" s="38" t="s">
        <v>17</v>
      </c>
      <c r="I1064" s="38" t="s">
        <v>20</v>
      </c>
      <c r="J1064" s="38">
        <v>1</v>
      </c>
      <c r="K1064" s="39">
        <f>VLOOKUP(I1064,'Weights and Confidence'!$D$16:$AC$26,5,FALSE)/COUNTIFS($B:$B,$B1064,$C:$C,$C1064,$H:$H,$H1064,$I:$I,$I1064)</f>
        <v>0.08</v>
      </c>
      <c r="L1064" s="40">
        <f>VLOOKUP(I1064,'Weights and Confidence'!$D$16:$AC$26,6,FALSE)</f>
        <v>0.8</v>
      </c>
      <c r="M1064" s="41">
        <f>tScores4[[#This Row],[Raw_Rating_Text]]</f>
        <v>1</v>
      </c>
      <c r="N1064" s="38"/>
      <c r="P1064" s="26" t="s">
        <v>345</v>
      </c>
      <c r="Q1064" s="2"/>
      <c r="R1064" s="2"/>
      <c r="S1064" s="2"/>
      <c r="T1064" s="2"/>
      <c r="U1064" s="2"/>
      <c r="V1064" s="2"/>
      <c r="W1064" s="2"/>
      <c r="X1064" s="5"/>
    </row>
    <row r="1065" spans="1:24" x14ac:dyDescent="0.2">
      <c r="A1065" s="34" t="s">
        <v>185</v>
      </c>
      <c r="B1065" s="34" t="s">
        <v>86</v>
      </c>
      <c r="C1065" s="34" t="s">
        <v>339</v>
      </c>
      <c r="D1065" s="34" t="s">
        <v>65</v>
      </c>
      <c r="E1065" s="34"/>
      <c r="F1065" s="50" t="s">
        <v>340</v>
      </c>
      <c r="G1065" s="34">
        <v>2</v>
      </c>
      <c r="H1065" s="34" t="s">
        <v>18</v>
      </c>
      <c r="I1065" s="34" t="s">
        <v>20</v>
      </c>
      <c r="J1065" s="34">
        <v>1</v>
      </c>
      <c r="K1065" s="35">
        <f>VLOOKUP(I1065,'Weights and Confidence'!$D$16:$AC$26,5,FALSE)/COUNTIFS($B:$B,$B1065,$C:$C,$C1065,$H:$H,$H1065,$I:$I,$I1065)</f>
        <v>0.08</v>
      </c>
      <c r="L1065" s="36">
        <f>VLOOKUP(I1065,'Weights and Confidence'!$D$16:$AC$26,6,FALSE)</f>
        <v>0.8</v>
      </c>
      <c r="M1065" s="37">
        <f>tScores4[[#This Row],[Raw_Rating_Text]]</f>
        <v>1</v>
      </c>
      <c r="N1065" s="58"/>
    </row>
    <row r="1066" spans="1:24" x14ac:dyDescent="0.2">
      <c r="A1066" s="38" t="s">
        <v>185</v>
      </c>
      <c r="B1066" s="38" t="s">
        <v>86</v>
      </c>
      <c r="C1066" s="38" t="s">
        <v>339</v>
      </c>
      <c r="D1066" s="38" t="s">
        <v>65</v>
      </c>
      <c r="E1066" s="38"/>
      <c r="F1066" s="51" t="s">
        <v>340</v>
      </c>
      <c r="G1066" s="38">
        <v>3</v>
      </c>
      <c r="H1066" s="38" t="s">
        <v>17</v>
      </c>
      <c r="I1066" s="38" t="s">
        <v>21</v>
      </c>
      <c r="J1066" s="38">
        <v>1</v>
      </c>
      <c r="K1066" s="39">
        <f>VLOOKUP(I1066,'Weights and Confidence'!$D$16:$AC$26,5,FALSE)/COUNTIFS($B:$B,$B1066,$C:$C,$C1066,$H:$H,$H1066,$I:$I,$I1066)</f>
        <v>0.05</v>
      </c>
      <c r="L1066" s="40">
        <f>VLOOKUP(I1066,'Weights and Confidence'!$D$16:$AC$26,6,FALSE)</f>
        <v>1</v>
      </c>
      <c r="M1066" s="41">
        <f>tScores4[[#This Row],[Raw_Rating_Text]]</f>
        <v>1</v>
      </c>
      <c r="N1066" s="38"/>
    </row>
    <row r="1067" spans="1:24" x14ac:dyDescent="0.2">
      <c r="A1067" s="34" t="s">
        <v>185</v>
      </c>
      <c r="B1067" s="34" t="s">
        <v>86</v>
      </c>
      <c r="C1067" s="34" t="s">
        <v>339</v>
      </c>
      <c r="D1067" s="34" t="s">
        <v>65</v>
      </c>
      <c r="E1067" s="34"/>
      <c r="F1067" s="50" t="s">
        <v>340</v>
      </c>
      <c r="G1067" s="34">
        <v>3</v>
      </c>
      <c r="H1067" s="34" t="s">
        <v>18</v>
      </c>
      <c r="I1067" s="34" t="s">
        <v>21</v>
      </c>
      <c r="J1067" s="34">
        <v>1</v>
      </c>
      <c r="K1067" s="35">
        <f>VLOOKUP(I1067,'Weights and Confidence'!$D$16:$AC$26,5,FALSE)/COUNTIFS($B:$B,$B1067,$C:$C,$C1067,$H:$H,$H1067,$I:$I,$I1067)</f>
        <v>0.05</v>
      </c>
      <c r="L1067" s="36">
        <f>VLOOKUP(I1067,'Weights and Confidence'!$D$16:$AC$26,6,FALSE)</f>
        <v>1</v>
      </c>
      <c r="M1067" s="37">
        <f>tScores4[[#This Row],[Raw_Rating_Text]]</f>
        <v>1</v>
      </c>
      <c r="N1067" s="58"/>
    </row>
    <row r="1068" spans="1:24" x14ac:dyDescent="0.2">
      <c r="A1068" s="38" t="s">
        <v>185</v>
      </c>
      <c r="B1068" s="38" t="s">
        <v>86</v>
      </c>
      <c r="C1068" s="38" t="s">
        <v>339</v>
      </c>
      <c r="D1068" s="38" t="s">
        <v>65</v>
      </c>
      <c r="E1068" s="38"/>
      <c r="F1068" s="51" t="s">
        <v>340</v>
      </c>
      <c r="G1068" s="38">
        <v>4</v>
      </c>
      <c r="H1068" s="38" t="s">
        <v>17</v>
      </c>
      <c r="I1068" s="38" t="s">
        <v>22</v>
      </c>
      <c r="J1068" s="38">
        <v>0</v>
      </c>
      <c r="K1068" s="39">
        <f>VLOOKUP(I1068,'Weights and Confidence'!$D$16:$AC$26,5,FALSE)/COUNTIFS($B:$B,$B1068,$C:$C,$C1068,$H:$H,$H1068,$I:$I,$I1068)</f>
        <v>0.14000000000000001</v>
      </c>
      <c r="L1068" s="40">
        <f>VLOOKUP(I1068,'Weights and Confidence'!$D$16:$AC$26,6,FALSE)</f>
        <v>1</v>
      </c>
      <c r="M1068" s="41">
        <f>tScores4[[#This Row],[Raw_Rating_Text]]</f>
        <v>0</v>
      </c>
      <c r="N1068" s="38"/>
    </row>
    <row r="1069" spans="1:24" x14ac:dyDescent="0.2">
      <c r="A1069" s="34" t="s">
        <v>185</v>
      </c>
      <c r="B1069" s="34" t="s">
        <v>86</v>
      </c>
      <c r="C1069" s="34" t="s">
        <v>339</v>
      </c>
      <c r="D1069" s="34" t="s">
        <v>65</v>
      </c>
      <c r="E1069" s="34"/>
      <c r="F1069" s="50" t="s">
        <v>340</v>
      </c>
      <c r="G1069" s="34">
        <v>4</v>
      </c>
      <c r="H1069" s="34" t="s">
        <v>18</v>
      </c>
      <c r="I1069" s="34" t="s">
        <v>22</v>
      </c>
      <c r="J1069" s="34">
        <v>0</v>
      </c>
      <c r="K1069" s="35">
        <f>VLOOKUP(I1069,'Weights and Confidence'!$D$16:$AC$26,5,FALSE)/COUNTIFS($B:$B,$B1069,$C:$C,$C1069,$H:$H,$H1069,$I:$I,$I1069)</f>
        <v>0.14000000000000001</v>
      </c>
      <c r="L1069" s="36">
        <f>VLOOKUP(I1069,'Weights and Confidence'!$D$16:$AC$26,6,FALSE)</f>
        <v>1</v>
      </c>
      <c r="M1069" s="37">
        <f>tScores4[[#This Row],[Raw_Rating_Text]]</f>
        <v>0</v>
      </c>
      <c r="N1069" s="58" t="s">
        <v>341</v>
      </c>
    </row>
    <row r="1070" spans="1:24" x14ac:dyDescent="0.2">
      <c r="A1070" s="38" t="s">
        <v>185</v>
      </c>
      <c r="B1070" s="38" t="s">
        <v>86</v>
      </c>
      <c r="C1070" s="38" t="s">
        <v>339</v>
      </c>
      <c r="D1070" s="38" t="s">
        <v>65</v>
      </c>
      <c r="E1070" s="38"/>
      <c r="F1070" s="51" t="s">
        <v>340</v>
      </c>
      <c r="G1070" s="38">
        <v>5</v>
      </c>
      <c r="H1070" s="38" t="s">
        <v>17</v>
      </c>
      <c r="I1070" s="38" t="s">
        <v>23</v>
      </c>
      <c r="J1070" s="38">
        <v>0</v>
      </c>
      <c r="K1070" s="39">
        <f>VLOOKUP(I1070,'Weights and Confidence'!$D$16:$AC$26,5,FALSE)/COUNTIFS($B:$B,$B1070,$C:$C,$C1070,$H:$H,$H1070,$I:$I,$I1070)</f>
        <v>0.11</v>
      </c>
      <c r="L1070" s="40">
        <f>VLOOKUP(I1070,'Weights and Confidence'!$D$16:$AC$26,6,FALSE)</f>
        <v>1</v>
      </c>
      <c r="M1070" s="41">
        <f>tScores4[[#This Row],[Raw_Rating_Text]]</f>
        <v>0</v>
      </c>
      <c r="N1070" s="38"/>
    </row>
    <row r="1071" spans="1:24" x14ac:dyDescent="0.2">
      <c r="A1071" s="34" t="s">
        <v>185</v>
      </c>
      <c r="B1071" s="34" t="s">
        <v>86</v>
      </c>
      <c r="C1071" s="34" t="s">
        <v>339</v>
      </c>
      <c r="D1071" s="34" t="s">
        <v>65</v>
      </c>
      <c r="E1071" s="34"/>
      <c r="F1071" s="50" t="s">
        <v>340</v>
      </c>
      <c r="G1071" s="34">
        <v>5</v>
      </c>
      <c r="H1071" s="34" t="s">
        <v>18</v>
      </c>
      <c r="I1071" s="34" t="s">
        <v>23</v>
      </c>
      <c r="J1071" s="34">
        <v>1</v>
      </c>
      <c r="K1071" s="35">
        <f>VLOOKUP(I1071,'Weights and Confidence'!$D$16:$AC$26,5,FALSE)/COUNTIFS($B:$B,$B1071,$C:$C,$C1071,$H:$H,$H1071,$I:$I,$I1071)</f>
        <v>0.11</v>
      </c>
      <c r="L1071" s="36">
        <f>VLOOKUP(I1071,'Weights and Confidence'!$D$16:$AC$26,6,FALSE)</f>
        <v>1</v>
      </c>
      <c r="M1071" s="37">
        <f>tScores4[[#This Row],[Raw_Rating_Text]]</f>
        <v>1</v>
      </c>
      <c r="N1071" s="58"/>
    </row>
    <row r="1072" spans="1:24" x14ac:dyDescent="0.2">
      <c r="A1072" s="38" t="s">
        <v>185</v>
      </c>
      <c r="B1072" s="38" t="s">
        <v>86</v>
      </c>
      <c r="C1072" s="38" t="s">
        <v>339</v>
      </c>
      <c r="D1072" s="38" t="s">
        <v>65</v>
      </c>
      <c r="E1072" s="38"/>
      <c r="F1072" s="51" t="s">
        <v>340</v>
      </c>
      <c r="G1072" s="38">
        <v>6</v>
      </c>
      <c r="H1072" s="38" t="s">
        <v>17</v>
      </c>
      <c r="I1072" s="38" t="s">
        <v>24</v>
      </c>
      <c r="J1072" s="38">
        <v>1</v>
      </c>
      <c r="K1072" s="39">
        <f>VLOOKUP(I1072,'Weights and Confidence'!$D$16:$AC$26,5,FALSE)/COUNTIFS($B:$B,$B1072,$C:$C,$C1072,$H:$H,$H1072,$I:$I,$I1072)</f>
        <v>0.15</v>
      </c>
      <c r="L1072" s="40">
        <f>VLOOKUP(I1072,'Weights and Confidence'!$D$16:$AC$26,6,FALSE)</f>
        <v>1</v>
      </c>
      <c r="M1072" s="41">
        <f>tScores4[[#This Row],[Raw_Rating_Text]]</f>
        <v>1</v>
      </c>
      <c r="N1072" s="59"/>
    </row>
    <row r="1073" spans="1:24" x14ac:dyDescent="0.2">
      <c r="A1073" s="34" t="s">
        <v>185</v>
      </c>
      <c r="B1073" s="34" t="s">
        <v>86</v>
      </c>
      <c r="C1073" s="34" t="s">
        <v>339</v>
      </c>
      <c r="D1073" s="34" t="s">
        <v>65</v>
      </c>
      <c r="E1073" s="34"/>
      <c r="F1073" s="50" t="s">
        <v>340</v>
      </c>
      <c r="G1073" s="34">
        <v>6</v>
      </c>
      <c r="H1073" s="34" t="s">
        <v>18</v>
      </c>
      <c r="I1073" s="34" t="s">
        <v>24</v>
      </c>
      <c r="J1073" s="34">
        <v>1</v>
      </c>
      <c r="K1073" s="35">
        <f>VLOOKUP(I1073,'Weights and Confidence'!$D$16:$AC$26,5,FALSE)/COUNTIFS($B:$B,$B1073,$C:$C,$C1073,$H:$H,$H1073,$I:$I,$I1073)</f>
        <v>0.15</v>
      </c>
      <c r="L1073" s="36">
        <f>VLOOKUP(I1073,'Weights and Confidence'!$D$16:$AC$26,6,FALSE)</f>
        <v>1</v>
      </c>
      <c r="M1073" s="37">
        <f>tScores4[[#This Row],[Raw_Rating_Text]]</f>
        <v>1</v>
      </c>
      <c r="N1073" s="58"/>
    </row>
    <row r="1074" spans="1:24" x14ac:dyDescent="0.2">
      <c r="A1074" s="38" t="s">
        <v>185</v>
      </c>
      <c r="B1074" s="38" t="s">
        <v>86</v>
      </c>
      <c r="C1074" s="38" t="s">
        <v>339</v>
      </c>
      <c r="D1074" s="38" t="s">
        <v>65</v>
      </c>
      <c r="E1074" s="38"/>
      <c r="F1074" s="51" t="s">
        <v>340</v>
      </c>
      <c r="G1074" s="38">
        <v>7</v>
      </c>
      <c r="H1074" s="38" t="s">
        <v>17</v>
      </c>
      <c r="I1074" s="38" t="s">
        <v>25</v>
      </c>
      <c r="J1074" s="38">
        <v>0</v>
      </c>
      <c r="K1074" s="39">
        <f>VLOOKUP(I1074,'Weights and Confidence'!$D$16:$AC$26,5,FALSE)/COUNTIFS($B:$B,$B1074,$C:$C,$C1074,$H:$H,$H1074,$I:$I,$I1074)</f>
        <v>0.1</v>
      </c>
      <c r="L1074" s="40">
        <f>VLOOKUP(I1074,'Weights and Confidence'!$D$16:$AC$26,6,FALSE)</f>
        <v>1</v>
      </c>
      <c r="M1074" s="41">
        <f>tScores4[[#This Row],[Raw_Rating_Text]]</f>
        <v>0</v>
      </c>
      <c r="N1074" s="38"/>
    </row>
    <row r="1075" spans="1:24" x14ac:dyDescent="0.2">
      <c r="A1075" s="34" t="s">
        <v>185</v>
      </c>
      <c r="B1075" s="34" t="s">
        <v>86</v>
      </c>
      <c r="C1075" s="34" t="s">
        <v>339</v>
      </c>
      <c r="D1075" s="34" t="s">
        <v>65</v>
      </c>
      <c r="E1075" s="34"/>
      <c r="F1075" s="50" t="s">
        <v>340</v>
      </c>
      <c r="G1075" s="34">
        <v>7</v>
      </c>
      <c r="H1075" s="34" t="s">
        <v>18</v>
      </c>
      <c r="I1075" s="34" t="s">
        <v>25</v>
      </c>
      <c r="J1075" s="34">
        <v>1</v>
      </c>
      <c r="K1075" s="35">
        <f>VLOOKUP(I1075,'Weights and Confidence'!$D$16:$AC$26,5,FALSE)/COUNTIFS($B:$B,$B1075,$C:$C,$C1075,$H:$H,$H1075,$I:$I,$I1075)</f>
        <v>0.1</v>
      </c>
      <c r="L1075" s="36">
        <f>VLOOKUP(I1075,'Weights and Confidence'!$D$16:$AC$26,6,FALSE)</f>
        <v>1</v>
      </c>
      <c r="M1075" s="37">
        <f>tScores4[[#This Row],[Raw_Rating_Text]]</f>
        <v>1</v>
      </c>
      <c r="N1075" s="58"/>
    </row>
    <row r="1076" spans="1:24" x14ac:dyDescent="0.2">
      <c r="A1076" s="38" t="s">
        <v>185</v>
      </c>
      <c r="B1076" s="38" t="s">
        <v>86</v>
      </c>
      <c r="C1076" s="38" t="s">
        <v>339</v>
      </c>
      <c r="D1076" s="38" t="s">
        <v>65</v>
      </c>
      <c r="E1076" s="38"/>
      <c r="F1076" s="51" t="s">
        <v>340</v>
      </c>
      <c r="G1076" s="38">
        <v>8</v>
      </c>
      <c r="H1076" s="38" t="s">
        <v>17</v>
      </c>
      <c r="I1076" s="38" t="s">
        <v>26</v>
      </c>
      <c r="J1076" s="38">
        <v>0</v>
      </c>
      <c r="K1076" s="39">
        <f>VLOOKUP(I1076,'Weights and Confidence'!$D$16:$AC$26,5,FALSE)/COUNTIFS($B:$B,$B1076,$C:$C,$C1076,$H:$H,$H1076,$I:$I,$I1076)</f>
        <v>0.1</v>
      </c>
      <c r="L1076" s="40">
        <f>VLOOKUP(I1076,'Weights and Confidence'!$D$16:$AC$26,6,FALSE)</f>
        <v>1</v>
      </c>
      <c r="M1076" s="41">
        <f>tScores4[[#This Row],[Raw_Rating_Text]]</f>
        <v>0</v>
      </c>
      <c r="N1076" s="38"/>
    </row>
    <row r="1077" spans="1:24" x14ac:dyDescent="0.2">
      <c r="A1077" s="34" t="s">
        <v>185</v>
      </c>
      <c r="B1077" s="34" t="s">
        <v>86</v>
      </c>
      <c r="C1077" s="34" t="s">
        <v>339</v>
      </c>
      <c r="D1077" s="34" t="s">
        <v>65</v>
      </c>
      <c r="E1077" s="34"/>
      <c r="F1077" s="50" t="s">
        <v>340</v>
      </c>
      <c r="G1077" s="34">
        <v>8</v>
      </c>
      <c r="H1077" s="34" t="s">
        <v>18</v>
      </c>
      <c r="I1077" s="34" t="s">
        <v>26</v>
      </c>
      <c r="J1077" s="34">
        <v>1</v>
      </c>
      <c r="K1077" s="35">
        <f>VLOOKUP(I1077,'Weights and Confidence'!$D$16:$AC$26,5,FALSE)/COUNTIFS($B:$B,$B1077,$C:$C,$C1077,$H:$H,$H1077,$I:$I,$I1077)</f>
        <v>0.1</v>
      </c>
      <c r="L1077" s="36">
        <f>VLOOKUP(I1077,'Weights and Confidence'!$D$16:$AC$26,6,FALSE)</f>
        <v>1</v>
      </c>
      <c r="M1077" s="37">
        <f>tScores4[[#This Row],[Raw_Rating_Text]]</f>
        <v>1</v>
      </c>
      <c r="N1077" s="58"/>
    </row>
    <row r="1078" spans="1:24" x14ac:dyDescent="0.2">
      <c r="A1078" s="38" t="s">
        <v>185</v>
      </c>
      <c r="B1078" s="38" t="s">
        <v>86</v>
      </c>
      <c r="C1078" s="38" t="s">
        <v>339</v>
      </c>
      <c r="D1078" s="38" t="s">
        <v>65</v>
      </c>
      <c r="E1078" s="38"/>
      <c r="F1078" s="51" t="s">
        <v>340</v>
      </c>
      <c r="G1078" s="38">
        <v>9</v>
      </c>
      <c r="H1078" s="38" t="s">
        <v>17</v>
      </c>
      <c r="I1078" s="38" t="s">
        <v>27</v>
      </c>
      <c r="J1078" s="38">
        <v>1</v>
      </c>
      <c r="K1078" s="39">
        <f>VLOOKUP(I1078,'Weights and Confidence'!$D$16:$AC$26,5,FALSE)/COUNTIFS($B:$B,$B1078,$C:$C,$C1078,$H:$H,$H1078,$I:$I,$I1078)</f>
        <v>0.05</v>
      </c>
      <c r="L1078" s="40">
        <f>VLOOKUP(I1078,'Weights and Confidence'!$D$16:$AC$26,6,FALSE)</f>
        <v>0.85</v>
      </c>
      <c r="M1078" s="41">
        <f>tScores4[[#This Row],[Raw_Rating_Text]]</f>
        <v>1</v>
      </c>
      <c r="N1078" s="38"/>
    </row>
    <row r="1079" spans="1:24" x14ac:dyDescent="0.2">
      <c r="A1079" s="34" t="s">
        <v>185</v>
      </c>
      <c r="B1079" s="34" t="s">
        <v>86</v>
      </c>
      <c r="C1079" s="34" t="s">
        <v>339</v>
      </c>
      <c r="D1079" s="34" t="s">
        <v>65</v>
      </c>
      <c r="E1079" s="34"/>
      <c r="F1079" s="50" t="s">
        <v>340</v>
      </c>
      <c r="G1079" s="34">
        <v>9</v>
      </c>
      <c r="H1079" s="34" t="s">
        <v>18</v>
      </c>
      <c r="I1079" s="34" t="s">
        <v>27</v>
      </c>
      <c r="J1079" s="34">
        <v>1</v>
      </c>
      <c r="K1079" s="35">
        <f>VLOOKUP(I1079,'Weights and Confidence'!$D$16:$AC$26,5,FALSE)/COUNTIFS($B:$B,$B1079,$C:$C,$C1079,$H:$H,$H1079,$I:$I,$I1079)</f>
        <v>0.05</v>
      </c>
      <c r="L1079" s="36">
        <f>VLOOKUP(I1079,'Weights and Confidence'!$D$16:$AC$26,6,FALSE)</f>
        <v>0.85</v>
      </c>
      <c r="M1079" s="37">
        <f>tScores4[[#This Row],[Raw_Rating_Text]]</f>
        <v>1</v>
      </c>
      <c r="N1079" s="58" t="s">
        <v>342</v>
      </c>
    </row>
    <row r="1080" spans="1:24" x14ac:dyDescent="0.2">
      <c r="A1080" s="38" t="s">
        <v>185</v>
      </c>
      <c r="B1080" s="38" t="s">
        <v>86</v>
      </c>
      <c r="C1080" s="38" t="s">
        <v>339</v>
      </c>
      <c r="D1080" s="38" t="s">
        <v>65</v>
      </c>
      <c r="E1080" s="38"/>
      <c r="F1080" s="51" t="s">
        <v>340</v>
      </c>
      <c r="G1080" s="38">
        <v>10</v>
      </c>
      <c r="H1080" s="38" t="s">
        <v>17</v>
      </c>
      <c r="I1080" s="38" t="s">
        <v>27</v>
      </c>
      <c r="J1080" s="38">
        <v>0</v>
      </c>
      <c r="K1080" s="39">
        <f>VLOOKUP(I1080,'Weights and Confidence'!$D$16:$AC$26,5,FALSE)/COUNTIFS($B:$B,$B1080,$C:$C,$C1080,$H:$H,$H1080,$I:$I,$I1080)</f>
        <v>0.05</v>
      </c>
      <c r="L1080" s="40">
        <f>VLOOKUP(I1080,'Weights and Confidence'!$D$16:$AC$26,6,FALSE)</f>
        <v>0.85</v>
      </c>
      <c r="M1080" s="41">
        <f>tScores4[[#This Row],[Raw_Rating_Text]]</f>
        <v>0</v>
      </c>
      <c r="N1080" s="38"/>
    </row>
    <row r="1081" spans="1:24" x14ac:dyDescent="0.2">
      <c r="A1081" s="34" t="s">
        <v>185</v>
      </c>
      <c r="B1081" s="34" t="s">
        <v>86</v>
      </c>
      <c r="C1081" s="34" t="s">
        <v>339</v>
      </c>
      <c r="D1081" s="34" t="s">
        <v>65</v>
      </c>
      <c r="E1081" s="34"/>
      <c r="F1081" s="50" t="s">
        <v>340</v>
      </c>
      <c r="G1081" s="34">
        <v>10</v>
      </c>
      <c r="H1081" s="34" t="s">
        <v>18</v>
      </c>
      <c r="I1081" s="34" t="s">
        <v>27</v>
      </c>
      <c r="J1081" s="34">
        <v>1</v>
      </c>
      <c r="K1081" s="35">
        <f>VLOOKUP(I1081,'Weights and Confidence'!$D$16:$AC$26,5,FALSE)/COUNTIFS($B:$B,$B1081,$C:$C,$C1081,$H:$H,$H1081,$I:$I,$I1081)</f>
        <v>0.05</v>
      </c>
      <c r="L1081" s="36">
        <f>VLOOKUP(I1081,'Weights and Confidence'!$D$16:$AC$26,6,FALSE)</f>
        <v>0.85</v>
      </c>
      <c r="M1081" s="37">
        <f>tScores4[[#This Row],[Raw_Rating_Text]]</f>
        <v>1</v>
      </c>
      <c r="N1081" s="58"/>
    </row>
    <row r="1082" spans="1:24" x14ac:dyDescent="0.2">
      <c r="A1082" s="38" t="s">
        <v>185</v>
      </c>
      <c r="B1082" s="38" t="s">
        <v>86</v>
      </c>
      <c r="C1082" s="38" t="s">
        <v>339</v>
      </c>
      <c r="D1082" s="38" t="s">
        <v>65</v>
      </c>
      <c r="E1082" s="38"/>
      <c r="F1082" s="51" t="s">
        <v>340</v>
      </c>
      <c r="G1082" s="38">
        <v>11</v>
      </c>
      <c r="H1082" s="38" t="s">
        <v>17</v>
      </c>
      <c r="I1082" s="38" t="s">
        <v>28</v>
      </c>
      <c r="J1082" s="38">
        <v>0</v>
      </c>
      <c r="K1082" s="39">
        <f>VLOOKUP(I1082,'Weights and Confidence'!$D$16:$AC$26,5,FALSE)/COUNTIFS($B:$B,$B1082,$C:$C,$C1082,$H:$H,$H1082,$I:$I,$I1082)</f>
        <v>0.05</v>
      </c>
      <c r="L1082" s="40">
        <f>VLOOKUP(I1082,'Weights and Confidence'!$D$16:$AC$26,6,FALSE)</f>
        <v>1</v>
      </c>
      <c r="M1082" s="41">
        <f>tScores4[[#This Row],[Raw_Rating_Text]]</f>
        <v>0</v>
      </c>
      <c r="N1082" s="38"/>
    </row>
    <row r="1083" spans="1:24" ht="17" thickBot="1" x14ac:dyDescent="0.25">
      <c r="A1083" s="34" t="s">
        <v>185</v>
      </c>
      <c r="B1083" s="34" t="s">
        <v>86</v>
      </c>
      <c r="C1083" s="34" t="s">
        <v>339</v>
      </c>
      <c r="D1083" s="34" t="s">
        <v>65</v>
      </c>
      <c r="E1083" s="34"/>
      <c r="F1083" s="54" t="s">
        <v>340</v>
      </c>
      <c r="G1083" s="34">
        <v>11</v>
      </c>
      <c r="H1083" s="34" t="s">
        <v>18</v>
      </c>
      <c r="I1083" s="34" t="s">
        <v>28</v>
      </c>
      <c r="J1083" s="34">
        <v>0</v>
      </c>
      <c r="K1083" s="35">
        <f>VLOOKUP(I1083,'Weights and Confidence'!$D$16:$AC$26,5,FALSE)/COUNTIFS($B:$B,$B1083,$C:$C,$C1083,$H:$H,$H1083,$I:$I,$I1083)</f>
        <v>0.05</v>
      </c>
      <c r="L1083" s="36">
        <f>VLOOKUP(I1083,'Weights and Confidence'!$D$16:$AC$26,6,FALSE)</f>
        <v>1</v>
      </c>
      <c r="M1083" s="37">
        <f>tScores4[[#This Row],[Raw_Rating_Text]]</f>
        <v>0</v>
      </c>
      <c r="N1083" s="58" t="s">
        <v>344</v>
      </c>
    </row>
    <row r="1084" spans="1:24" ht="17" thickTop="1" x14ac:dyDescent="0.2">
      <c r="A1084" s="42" t="s">
        <v>185</v>
      </c>
      <c r="B1084" s="42" t="s">
        <v>86</v>
      </c>
      <c r="C1084" s="42" t="s">
        <v>346</v>
      </c>
      <c r="D1084" s="42" t="s">
        <v>65</v>
      </c>
      <c r="E1084" s="42"/>
      <c r="F1084" s="68" t="s">
        <v>347</v>
      </c>
      <c r="G1084" s="42">
        <v>1</v>
      </c>
      <c r="H1084" s="42" t="s">
        <v>17</v>
      </c>
      <c r="I1084" s="42" t="s">
        <v>19</v>
      </c>
      <c r="J1084" s="42">
        <v>0</v>
      </c>
      <c r="K1084" s="44">
        <f>VLOOKUP(I1084,'Weights and Confidence'!$D$16:$AC$26,5,FALSE)/COUNTIFS($B:$B,$B1084,$C:$C,$C1084,$H:$H,$H1084,$I:$I,$I1084)</f>
        <v>0.12</v>
      </c>
      <c r="L1084" s="45">
        <f>VLOOKUP(I1084,'Weights and Confidence'!$D$16:$AC$26,6,FALSE)</f>
        <v>1</v>
      </c>
      <c r="M1084" s="46">
        <f>tScores4[[#This Row],[Raw_Rating_Text]]</f>
        <v>0</v>
      </c>
      <c r="N1084" s="42"/>
    </row>
    <row r="1085" spans="1:24" x14ac:dyDescent="0.2">
      <c r="A1085" s="34" t="s">
        <v>185</v>
      </c>
      <c r="B1085" s="34" t="s">
        <v>86</v>
      </c>
      <c r="C1085" s="34" t="s">
        <v>346</v>
      </c>
      <c r="D1085" s="34" t="s">
        <v>65</v>
      </c>
      <c r="E1085" s="34"/>
      <c r="F1085" s="50" t="s">
        <v>347</v>
      </c>
      <c r="G1085" s="34">
        <v>1</v>
      </c>
      <c r="H1085" s="34" t="s">
        <v>18</v>
      </c>
      <c r="I1085" s="34" t="s">
        <v>19</v>
      </c>
      <c r="J1085" s="34">
        <v>-1</v>
      </c>
      <c r="K1085" s="35">
        <f>VLOOKUP(I1085,'Weights and Confidence'!$D$16:$AC$26,5,FALSE)/COUNTIFS($B:$B,$B1085,$C:$C,$C1085,$H:$H,$H1085,$I:$I,$I1085)</f>
        <v>0.12</v>
      </c>
      <c r="L1085" s="36">
        <f>VLOOKUP(I1085,'Weights and Confidence'!$D$16:$AC$26,6,FALSE)</f>
        <v>1</v>
      </c>
      <c r="M1085" s="37">
        <f>tScores4[[#This Row],[Raw_Rating_Text]]</f>
        <v>-1</v>
      </c>
      <c r="N1085" s="17" t="s">
        <v>348</v>
      </c>
    </row>
    <row r="1086" spans="1:24" ht="17" thickBot="1" x14ac:dyDescent="0.25">
      <c r="A1086" s="38" t="s">
        <v>185</v>
      </c>
      <c r="B1086" s="38" t="s">
        <v>86</v>
      </c>
      <c r="C1086" s="38" t="s">
        <v>346</v>
      </c>
      <c r="D1086" s="38" t="s">
        <v>65</v>
      </c>
      <c r="E1086" s="38"/>
      <c r="F1086" s="51" t="s">
        <v>347</v>
      </c>
      <c r="G1086" s="38">
        <v>2</v>
      </c>
      <c r="H1086" s="38" t="s">
        <v>17</v>
      </c>
      <c r="I1086" s="38" t="s">
        <v>20</v>
      </c>
      <c r="J1086" s="38">
        <v>-1</v>
      </c>
      <c r="K1086" s="39">
        <f>VLOOKUP(I1086,'Weights and Confidence'!$D$16:$AC$26,5,FALSE)/COUNTIFS($B:$B,$B1086,$C:$C,$C1086,$H:$H,$H1086,$I:$I,$I1086)</f>
        <v>0.08</v>
      </c>
      <c r="L1086" s="40">
        <f>VLOOKUP(I1086,'Weights and Confidence'!$D$16:$AC$26,6,FALSE)</f>
        <v>0.8</v>
      </c>
      <c r="M1086" s="41">
        <f>tScores4[[#This Row],[Raw_Rating_Text]]</f>
        <v>-1</v>
      </c>
      <c r="N1086" s="38"/>
    </row>
    <row r="1087" spans="1:24" x14ac:dyDescent="0.2">
      <c r="A1087" s="34" t="s">
        <v>185</v>
      </c>
      <c r="B1087" s="34" t="s">
        <v>86</v>
      </c>
      <c r="C1087" s="34" t="s">
        <v>346</v>
      </c>
      <c r="D1087" s="34" t="s">
        <v>65</v>
      </c>
      <c r="E1087" s="34"/>
      <c r="F1087" s="50" t="s">
        <v>347</v>
      </c>
      <c r="G1087" s="34">
        <v>2</v>
      </c>
      <c r="H1087" s="34" t="s">
        <v>18</v>
      </c>
      <c r="I1087" s="34" t="s">
        <v>20</v>
      </c>
      <c r="J1087" s="34">
        <v>-1</v>
      </c>
      <c r="K1087" s="35">
        <f>VLOOKUP(I1087,'Weights and Confidence'!$D$16:$AC$26,5,FALSE)/COUNTIFS($B:$B,$B1087,$C:$C,$C1087,$H:$H,$H1087,$I:$I,$I1087)</f>
        <v>0.08</v>
      </c>
      <c r="L1087" s="36">
        <f>VLOOKUP(I1087,'Weights and Confidence'!$D$16:$AC$26,6,FALSE)</f>
        <v>0.8</v>
      </c>
      <c r="M1087" s="37">
        <f>tScores4[[#This Row],[Raw_Rating_Text]]</f>
        <v>-1</v>
      </c>
      <c r="N1087" s="58"/>
      <c r="P1087" s="24" t="s">
        <v>352</v>
      </c>
      <c r="Q1087" s="10"/>
      <c r="R1087" s="10"/>
      <c r="S1087" s="10"/>
      <c r="T1087" s="10"/>
      <c r="U1087" s="10"/>
      <c r="V1087" s="10"/>
      <c r="W1087" s="10"/>
      <c r="X1087" s="11"/>
    </row>
    <row r="1088" spans="1:24" ht="17" thickBot="1" x14ac:dyDescent="0.25">
      <c r="A1088" s="38" t="s">
        <v>185</v>
      </c>
      <c r="B1088" s="38" t="s">
        <v>86</v>
      </c>
      <c r="C1088" s="38" t="s">
        <v>346</v>
      </c>
      <c r="D1088" s="38" t="s">
        <v>65</v>
      </c>
      <c r="E1088" s="38"/>
      <c r="F1088" s="51" t="s">
        <v>347</v>
      </c>
      <c r="G1088" s="38">
        <v>3</v>
      </c>
      <c r="H1088" s="38" t="s">
        <v>17</v>
      </c>
      <c r="I1088" s="38" t="s">
        <v>21</v>
      </c>
      <c r="J1088" s="38">
        <v>1</v>
      </c>
      <c r="K1088" s="39">
        <f>VLOOKUP(I1088,'Weights and Confidence'!$D$16:$AC$26,5,FALSE)/COUNTIFS($B:$B,$B1088,$C:$C,$C1088,$H:$H,$H1088,$I:$I,$I1088)</f>
        <v>0.05</v>
      </c>
      <c r="L1088" s="40">
        <f>VLOOKUP(I1088,'Weights and Confidence'!$D$16:$AC$26,6,FALSE)</f>
        <v>1</v>
      </c>
      <c r="M1088" s="41">
        <f>tScores4[[#This Row],[Raw_Rating_Text]]</f>
        <v>1</v>
      </c>
      <c r="N1088" s="38"/>
      <c r="P1088" s="26" t="s">
        <v>354</v>
      </c>
      <c r="Q1088" s="2"/>
      <c r="R1088" s="2"/>
      <c r="S1088" s="2"/>
      <c r="T1088" s="2"/>
      <c r="U1088" s="2"/>
      <c r="V1088" s="2"/>
      <c r="W1088" s="2"/>
      <c r="X1088" s="5"/>
    </row>
    <row r="1089" spans="1:14" x14ac:dyDescent="0.2">
      <c r="A1089" s="34" t="s">
        <v>185</v>
      </c>
      <c r="B1089" s="34" t="s">
        <v>86</v>
      </c>
      <c r="C1089" s="34" t="s">
        <v>346</v>
      </c>
      <c r="D1089" s="34" t="s">
        <v>65</v>
      </c>
      <c r="E1089" s="34"/>
      <c r="F1089" s="50" t="s">
        <v>347</v>
      </c>
      <c r="G1089" s="34">
        <v>3</v>
      </c>
      <c r="H1089" s="34" t="s">
        <v>18</v>
      </c>
      <c r="I1089" s="34" t="s">
        <v>21</v>
      </c>
      <c r="J1089" s="34">
        <v>-1</v>
      </c>
      <c r="K1089" s="35">
        <f>VLOOKUP(I1089,'Weights and Confidence'!$D$16:$AC$26,5,FALSE)/COUNTIFS($B:$B,$B1089,$C:$C,$C1089,$H:$H,$H1089,$I:$I,$I1089)</f>
        <v>0.05</v>
      </c>
      <c r="L1089" s="36">
        <f>VLOOKUP(I1089,'Weights and Confidence'!$D$16:$AC$26,6,FALSE)</f>
        <v>1</v>
      </c>
      <c r="M1089" s="37">
        <f>tScores4[[#This Row],[Raw_Rating_Text]]</f>
        <v>-1</v>
      </c>
      <c r="N1089" s="58"/>
    </row>
    <row r="1090" spans="1:14" x14ac:dyDescent="0.2">
      <c r="A1090" s="38" t="s">
        <v>185</v>
      </c>
      <c r="B1090" s="38" t="s">
        <v>86</v>
      </c>
      <c r="C1090" s="38" t="s">
        <v>346</v>
      </c>
      <c r="D1090" s="38" t="s">
        <v>65</v>
      </c>
      <c r="E1090" s="38"/>
      <c r="F1090" s="51" t="s">
        <v>347</v>
      </c>
      <c r="G1090" s="38">
        <v>4</v>
      </c>
      <c r="H1090" s="38" t="s">
        <v>17</v>
      </c>
      <c r="I1090" s="38" t="s">
        <v>22</v>
      </c>
      <c r="J1090" s="38">
        <v>-1</v>
      </c>
      <c r="K1090" s="39">
        <f>VLOOKUP(I1090,'Weights and Confidence'!$D$16:$AC$26,5,FALSE)/COUNTIFS($B:$B,$B1090,$C:$C,$C1090,$H:$H,$H1090,$I:$I,$I1090)</f>
        <v>0.14000000000000001</v>
      </c>
      <c r="L1090" s="40">
        <f>VLOOKUP(I1090,'Weights and Confidence'!$D$16:$AC$26,6,FALSE)</f>
        <v>1</v>
      </c>
      <c r="M1090" s="41">
        <f>tScores4[[#This Row],[Raw_Rating_Text]]</f>
        <v>-1</v>
      </c>
      <c r="N1090" s="38"/>
    </row>
    <row r="1091" spans="1:14" x14ac:dyDescent="0.2">
      <c r="A1091" s="34" t="s">
        <v>185</v>
      </c>
      <c r="B1091" s="34" t="s">
        <v>86</v>
      </c>
      <c r="C1091" s="34" t="s">
        <v>346</v>
      </c>
      <c r="D1091" s="34" t="s">
        <v>65</v>
      </c>
      <c r="E1091" s="34"/>
      <c r="F1091" s="50" t="s">
        <v>347</v>
      </c>
      <c r="G1091" s="34">
        <v>4</v>
      </c>
      <c r="H1091" s="34" t="s">
        <v>18</v>
      </c>
      <c r="I1091" s="34" t="s">
        <v>22</v>
      </c>
      <c r="J1091" s="34">
        <v>0</v>
      </c>
      <c r="K1091" s="35">
        <f>VLOOKUP(I1091,'Weights and Confidence'!$D$16:$AC$26,5,FALSE)/COUNTIFS($B:$B,$B1091,$C:$C,$C1091,$H:$H,$H1091,$I:$I,$I1091)</f>
        <v>0.14000000000000001</v>
      </c>
      <c r="L1091" s="36">
        <f>VLOOKUP(I1091,'Weights and Confidence'!$D$16:$AC$26,6,FALSE)</f>
        <v>1</v>
      </c>
      <c r="M1091" s="37">
        <f>tScores4[[#This Row],[Raw_Rating_Text]]</f>
        <v>0</v>
      </c>
      <c r="N1091" s="17" t="s">
        <v>349</v>
      </c>
    </row>
    <row r="1092" spans="1:14" x14ac:dyDescent="0.2">
      <c r="A1092" s="38" t="s">
        <v>185</v>
      </c>
      <c r="B1092" s="38" t="s">
        <v>86</v>
      </c>
      <c r="C1092" s="38" t="s">
        <v>346</v>
      </c>
      <c r="D1092" s="38" t="s">
        <v>65</v>
      </c>
      <c r="E1092" s="38"/>
      <c r="F1092" s="51" t="s">
        <v>347</v>
      </c>
      <c r="G1092" s="38">
        <v>5</v>
      </c>
      <c r="H1092" s="38" t="s">
        <v>17</v>
      </c>
      <c r="I1092" s="38" t="s">
        <v>23</v>
      </c>
      <c r="J1092" s="38">
        <v>-1</v>
      </c>
      <c r="K1092" s="39">
        <f>VLOOKUP(I1092,'Weights and Confidence'!$D$16:$AC$26,5,FALSE)/COUNTIFS($B:$B,$B1092,$C:$C,$C1092,$H:$H,$H1092,$I:$I,$I1092)</f>
        <v>0.11</v>
      </c>
      <c r="L1092" s="40">
        <f>VLOOKUP(I1092,'Weights and Confidence'!$D$16:$AC$26,6,FALSE)</f>
        <v>1</v>
      </c>
      <c r="M1092" s="41">
        <f>tScores4[[#This Row],[Raw_Rating_Text]]</f>
        <v>-1</v>
      </c>
      <c r="N1092" s="38"/>
    </row>
    <row r="1093" spans="1:14" x14ac:dyDescent="0.2">
      <c r="A1093" s="34" t="s">
        <v>185</v>
      </c>
      <c r="B1093" s="34" t="s">
        <v>86</v>
      </c>
      <c r="C1093" s="34" t="s">
        <v>346</v>
      </c>
      <c r="D1093" s="34" t="s">
        <v>65</v>
      </c>
      <c r="E1093" s="34"/>
      <c r="F1093" s="50" t="s">
        <v>347</v>
      </c>
      <c r="G1093" s="34">
        <v>5</v>
      </c>
      <c r="H1093" s="34" t="s">
        <v>18</v>
      </c>
      <c r="I1093" s="34" t="s">
        <v>23</v>
      </c>
      <c r="J1093" s="34">
        <v>-1</v>
      </c>
      <c r="K1093" s="35">
        <f>VLOOKUP(I1093,'Weights and Confidence'!$D$16:$AC$26,5,FALSE)/COUNTIFS($B:$B,$B1093,$C:$C,$C1093,$H:$H,$H1093,$I:$I,$I1093)</f>
        <v>0.11</v>
      </c>
      <c r="L1093" s="36">
        <f>VLOOKUP(I1093,'Weights and Confidence'!$D$16:$AC$26,6,FALSE)</f>
        <v>1</v>
      </c>
      <c r="M1093" s="37">
        <f>tScores4[[#This Row],[Raw_Rating_Text]]</f>
        <v>-1</v>
      </c>
      <c r="N1093" s="17" t="s">
        <v>350</v>
      </c>
    </row>
    <row r="1094" spans="1:14" x14ac:dyDescent="0.2">
      <c r="A1094" s="38" t="s">
        <v>185</v>
      </c>
      <c r="B1094" s="38" t="s">
        <v>86</v>
      </c>
      <c r="C1094" s="38" t="s">
        <v>346</v>
      </c>
      <c r="D1094" s="38" t="s">
        <v>65</v>
      </c>
      <c r="E1094" s="38"/>
      <c r="F1094" s="51" t="s">
        <v>347</v>
      </c>
      <c r="G1094" s="38">
        <v>6</v>
      </c>
      <c r="H1094" s="38" t="s">
        <v>17</v>
      </c>
      <c r="I1094" s="38" t="s">
        <v>24</v>
      </c>
      <c r="J1094" s="38">
        <v>0</v>
      </c>
      <c r="K1094" s="39">
        <f>VLOOKUP(I1094,'Weights and Confidence'!$D$16:$AC$26,5,FALSE)/COUNTIFS($B:$B,$B1094,$C:$C,$C1094,$H:$H,$H1094,$I:$I,$I1094)</f>
        <v>0.15</v>
      </c>
      <c r="L1094" s="40">
        <f>VLOOKUP(I1094,'Weights and Confidence'!$D$16:$AC$26,6,FALSE)</f>
        <v>1</v>
      </c>
      <c r="M1094" s="41">
        <f>tScores4[[#This Row],[Raw_Rating_Text]]</f>
        <v>0</v>
      </c>
      <c r="N1094" s="59"/>
    </row>
    <row r="1095" spans="1:14" x14ac:dyDescent="0.2">
      <c r="A1095" s="34" t="s">
        <v>185</v>
      </c>
      <c r="B1095" s="34" t="s">
        <v>86</v>
      </c>
      <c r="C1095" s="34" t="s">
        <v>346</v>
      </c>
      <c r="D1095" s="34" t="s">
        <v>65</v>
      </c>
      <c r="E1095" s="34"/>
      <c r="F1095" s="50" t="s">
        <v>347</v>
      </c>
      <c r="G1095" s="34">
        <v>6</v>
      </c>
      <c r="H1095" s="34" t="s">
        <v>18</v>
      </c>
      <c r="I1095" s="34" t="s">
        <v>24</v>
      </c>
      <c r="J1095" s="34">
        <v>0</v>
      </c>
      <c r="K1095" s="35">
        <f>VLOOKUP(I1095,'Weights and Confidence'!$D$16:$AC$26,5,FALSE)/COUNTIFS($B:$B,$B1095,$C:$C,$C1095,$H:$H,$H1095,$I:$I,$I1095)</f>
        <v>0.15</v>
      </c>
      <c r="L1095" s="36">
        <f>VLOOKUP(I1095,'Weights and Confidence'!$D$16:$AC$26,6,FALSE)</f>
        <v>1</v>
      </c>
      <c r="M1095" s="37">
        <f>tScores4[[#This Row],[Raw_Rating_Text]]</f>
        <v>0</v>
      </c>
      <c r="N1095" s="17" t="s">
        <v>351</v>
      </c>
    </row>
    <row r="1096" spans="1:14" x14ac:dyDescent="0.2">
      <c r="A1096" s="38" t="s">
        <v>185</v>
      </c>
      <c r="B1096" s="38" t="s">
        <v>86</v>
      </c>
      <c r="C1096" s="38" t="s">
        <v>346</v>
      </c>
      <c r="D1096" s="38" t="s">
        <v>65</v>
      </c>
      <c r="E1096" s="38"/>
      <c r="F1096" s="51" t="s">
        <v>347</v>
      </c>
      <c r="G1096" s="38">
        <v>7</v>
      </c>
      <c r="H1096" s="38" t="s">
        <v>17</v>
      </c>
      <c r="I1096" s="38" t="s">
        <v>25</v>
      </c>
      <c r="J1096" s="38">
        <v>-1</v>
      </c>
      <c r="K1096" s="39">
        <f>VLOOKUP(I1096,'Weights and Confidence'!$D$16:$AC$26,5,FALSE)/COUNTIFS($B:$B,$B1096,$C:$C,$C1096,$H:$H,$H1096,$I:$I,$I1096)</f>
        <v>0.1</v>
      </c>
      <c r="L1096" s="40">
        <f>VLOOKUP(I1096,'Weights and Confidence'!$D$16:$AC$26,6,FALSE)</f>
        <v>1</v>
      </c>
      <c r="M1096" s="41">
        <f>tScores4[[#This Row],[Raw_Rating_Text]]</f>
        <v>-1</v>
      </c>
      <c r="N1096" s="38"/>
    </row>
    <row r="1097" spans="1:14" x14ac:dyDescent="0.2">
      <c r="A1097" s="34" t="s">
        <v>185</v>
      </c>
      <c r="B1097" s="34" t="s">
        <v>86</v>
      </c>
      <c r="C1097" s="34" t="s">
        <v>346</v>
      </c>
      <c r="D1097" s="34" t="s">
        <v>65</v>
      </c>
      <c r="E1097" s="34"/>
      <c r="F1097" s="50" t="s">
        <v>347</v>
      </c>
      <c r="G1097" s="34">
        <v>7</v>
      </c>
      <c r="H1097" s="34" t="s">
        <v>18</v>
      </c>
      <c r="I1097" s="34" t="s">
        <v>25</v>
      </c>
      <c r="J1097" s="34">
        <v>0</v>
      </c>
      <c r="K1097" s="35">
        <f>VLOOKUP(I1097,'Weights and Confidence'!$D$16:$AC$26,5,FALSE)/COUNTIFS($B:$B,$B1097,$C:$C,$C1097,$H:$H,$H1097,$I:$I,$I1097)</f>
        <v>0.1</v>
      </c>
      <c r="L1097" s="36">
        <f>VLOOKUP(I1097,'Weights and Confidence'!$D$16:$AC$26,6,FALSE)</f>
        <v>1</v>
      </c>
      <c r="M1097" s="37">
        <f>tScores4[[#This Row],[Raw_Rating_Text]]</f>
        <v>0</v>
      </c>
      <c r="N1097" s="58" t="s">
        <v>286</v>
      </c>
    </row>
    <row r="1098" spans="1:14" x14ac:dyDescent="0.2">
      <c r="A1098" s="38" t="s">
        <v>185</v>
      </c>
      <c r="B1098" s="38" t="s">
        <v>86</v>
      </c>
      <c r="C1098" s="38" t="s">
        <v>346</v>
      </c>
      <c r="D1098" s="38" t="s">
        <v>65</v>
      </c>
      <c r="E1098" s="38"/>
      <c r="F1098" s="51" t="s">
        <v>347</v>
      </c>
      <c r="G1098" s="38">
        <v>8</v>
      </c>
      <c r="H1098" s="38" t="s">
        <v>17</v>
      </c>
      <c r="I1098" s="38" t="s">
        <v>26</v>
      </c>
      <c r="J1098" s="38">
        <v>-1</v>
      </c>
      <c r="K1098" s="39">
        <f>VLOOKUP(I1098,'Weights and Confidence'!$D$16:$AC$26,5,FALSE)/COUNTIFS($B:$B,$B1098,$C:$C,$C1098,$H:$H,$H1098,$I:$I,$I1098)</f>
        <v>0.1</v>
      </c>
      <c r="L1098" s="40">
        <f>VLOOKUP(I1098,'Weights and Confidence'!$D$16:$AC$26,6,FALSE)</f>
        <v>1</v>
      </c>
      <c r="M1098" s="41">
        <f>tScores4[[#This Row],[Raw_Rating_Text]]</f>
        <v>-1</v>
      </c>
      <c r="N1098" s="38"/>
    </row>
    <row r="1099" spans="1:14" x14ac:dyDescent="0.2">
      <c r="A1099" s="34" t="s">
        <v>185</v>
      </c>
      <c r="B1099" s="34" t="s">
        <v>86</v>
      </c>
      <c r="C1099" s="34" t="s">
        <v>346</v>
      </c>
      <c r="D1099" s="34" t="s">
        <v>65</v>
      </c>
      <c r="E1099" s="34"/>
      <c r="F1099" s="50" t="s">
        <v>347</v>
      </c>
      <c r="G1099" s="34">
        <v>8</v>
      </c>
      <c r="H1099" s="34" t="s">
        <v>18</v>
      </c>
      <c r="I1099" s="34" t="s">
        <v>26</v>
      </c>
      <c r="J1099" s="34">
        <v>0</v>
      </c>
      <c r="K1099" s="35">
        <f>VLOOKUP(I1099,'Weights and Confidence'!$D$16:$AC$26,5,FALSE)/COUNTIFS($B:$B,$B1099,$C:$C,$C1099,$H:$H,$H1099,$I:$I,$I1099)</f>
        <v>0.1</v>
      </c>
      <c r="L1099" s="36">
        <f>VLOOKUP(I1099,'Weights and Confidence'!$D$16:$AC$26,6,FALSE)</f>
        <v>1</v>
      </c>
      <c r="M1099" s="37">
        <f>tScores4[[#This Row],[Raw_Rating_Text]]</f>
        <v>0</v>
      </c>
      <c r="N1099" s="58" t="s">
        <v>261</v>
      </c>
    </row>
    <row r="1100" spans="1:14" x14ac:dyDescent="0.2">
      <c r="A1100" s="38" t="s">
        <v>185</v>
      </c>
      <c r="B1100" s="38" t="s">
        <v>86</v>
      </c>
      <c r="C1100" s="38" t="s">
        <v>346</v>
      </c>
      <c r="D1100" s="38" t="s">
        <v>65</v>
      </c>
      <c r="E1100" s="38"/>
      <c r="F1100" s="51" t="s">
        <v>347</v>
      </c>
      <c r="G1100" s="38">
        <v>9</v>
      </c>
      <c r="H1100" s="38" t="s">
        <v>17</v>
      </c>
      <c r="I1100" s="38" t="s">
        <v>27</v>
      </c>
      <c r="J1100" s="38">
        <v>0</v>
      </c>
      <c r="K1100" s="39">
        <f>VLOOKUP(I1100,'Weights and Confidence'!$D$16:$AC$26,5,FALSE)/COUNTIFS($B:$B,$B1100,$C:$C,$C1100,$H:$H,$H1100,$I:$I,$I1100)</f>
        <v>0.05</v>
      </c>
      <c r="L1100" s="40">
        <f>VLOOKUP(I1100,'Weights and Confidence'!$D$16:$AC$26,6,FALSE)</f>
        <v>0.85</v>
      </c>
      <c r="M1100" s="41">
        <f>tScores4[[#This Row],[Raw_Rating_Text]]</f>
        <v>0</v>
      </c>
      <c r="N1100" s="38"/>
    </row>
    <row r="1101" spans="1:14" x14ac:dyDescent="0.2">
      <c r="A1101" s="34" t="s">
        <v>185</v>
      </c>
      <c r="B1101" s="34" t="s">
        <v>86</v>
      </c>
      <c r="C1101" s="34" t="s">
        <v>346</v>
      </c>
      <c r="D1101" s="34" t="s">
        <v>65</v>
      </c>
      <c r="E1101" s="34"/>
      <c r="F1101" s="50" t="s">
        <v>347</v>
      </c>
      <c r="G1101" s="34">
        <v>9</v>
      </c>
      <c r="H1101" s="34" t="s">
        <v>18</v>
      </c>
      <c r="I1101" s="34" t="s">
        <v>27</v>
      </c>
      <c r="J1101" s="34">
        <v>-1</v>
      </c>
      <c r="K1101" s="35">
        <f>VLOOKUP(I1101,'Weights and Confidence'!$D$16:$AC$26,5,FALSE)/COUNTIFS($B:$B,$B1101,$C:$C,$C1101,$H:$H,$H1101,$I:$I,$I1101)</f>
        <v>0.05</v>
      </c>
      <c r="L1101" s="36">
        <f>VLOOKUP(I1101,'Weights and Confidence'!$D$16:$AC$26,6,FALSE)</f>
        <v>0.85</v>
      </c>
      <c r="M1101" s="37">
        <f>tScores4[[#This Row],[Raw_Rating_Text]]</f>
        <v>-1</v>
      </c>
      <c r="N1101" s="58"/>
    </row>
    <row r="1102" spans="1:14" x14ac:dyDescent="0.2">
      <c r="A1102" s="38" t="s">
        <v>185</v>
      </c>
      <c r="B1102" s="38" t="s">
        <v>86</v>
      </c>
      <c r="C1102" s="38" t="s">
        <v>346</v>
      </c>
      <c r="D1102" s="38" t="s">
        <v>65</v>
      </c>
      <c r="E1102" s="38"/>
      <c r="F1102" s="51" t="s">
        <v>347</v>
      </c>
      <c r="G1102" s="38">
        <v>10</v>
      </c>
      <c r="H1102" s="38" t="s">
        <v>17</v>
      </c>
      <c r="I1102" s="38" t="s">
        <v>27</v>
      </c>
      <c r="J1102" s="38">
        <v>0</v>
      </c>
      <c r="K1102" s="39">
        <f>VLOOKUP(I1102,'Weights and Confidence'!$D$16:$AC$26,5,FALSE)/COUNTIFS($B:$B,$B1102,$C:$C,$C1102,$H:$H,$H1102,$I:$I,$I1102)</f>
        <v>0.05</v>
      </c>
      <c r="L1102" s="40">
        <f>VLOOKUP(I1102,'Weights and Confidence'!$D$16:$AC$26,6,FALSE)</f>
        <v>0.85</v>
      </c>
      <c r="M1102" s="41">
        <f>tScores4[[#This Row],[Raw_Rating_Text]]</f>
        <v>0</v>
      </c>
      <c r="N1102" s="38"/>
    </row>
    <row r="1103" spans="1:14" x14ac:dyDescent="0.2">
      <c r="A1103" s="34" t="s">
        <v>185</v>
      </c>
      <c r="B1103" s="34" t="s">
        <v>86</v>
      </c>
      <c r="C1103" s="34" t="s">
        <v>346</v>
      </c>
      <c r="D1103" s="34" t="s">
        <v>65</v>
      </c>
      <c r="E1103" s="34"/>
      <c r="F1103" s="50" t="s">
        <v>347</v>
      </c>
      <c r="G1103" s="34">
        <v>10</v>
      </c>
      <c r="H1103" s="34" t="s">
        <v>18</v>
      </c>
      <c r="I1103" s="34" t="s">
        <v>27</v>
      </c>
      <c r="J1103" s="34">
        <v>0</v>
      </c>
      <c r="K1103" s="35">
        <f>VLOOKUP(I1103,'Weights and Confidence'!$D$16:$AC$26,5,FALSE)/COUNTIFS($B:$B,$B1103,$C:$C,$C1103,$H:$H,$H1103,$I:$I,$I1103)</f>
        <v>0.05</v>
      </c>
      <c r="L1103" s="36">
        <f>VLOOKUP(I1103,'Weights and Confidence'!$D$16:$AC$26,6,FALSE)</f>
        <v>0.85</v>
      </c>
      <c r="M1103" s="37">
        <f>tScores4[[#This Row],[Raw_Rating_Text]]</f>
        <v>0</v>
      </c>
      <c r="N1103" s="58"/>
    </row>
    <row r="1104" spans="1:14" x14ac:dyDescent="0.2">
      <c r="A1104" s="38" t="s">
        <v>185</v>
      </c>
      <c r="B1104" s="38" t="s">
        <v>86</v>
      </c>
      <c r="C1104" s="38" t="s">
        <v>346</v>
      </c>
      <c r="D1104" s="38" t="s">
        <v>65</v>
      </c>
      <c r="E1104" s="38"/>
      <c r="F1104" s="51" t="s">
        <v>347</v>
      </c>
      <c r="G1104" s="38">
        <v>11</v>
      </c>
      <c r="H1104" s="38" t="s">
        <v>17</v>
      </c>
      <c r="I1104" s="38" t="s">
        <v>28</v>
      </c>
      <c r="J1104" s="38">
        <v>-1</v>
      </c>
      <c r="K1104" s="39">
        <f>VLOOKUP(I1104,'Weights and Confidence'!$D$16:$AC$26,5,FALSE)/COUNTIFS($B:$B,$B1104,$C:$C,$C1104,$H:$H,$H1104,$I:$I,$I1104)</f>
        <v>0.05</v>
      </c>
      <c r="L1104" s="40">
        <f>VLOOKUP(I1104,'Weights and Confidence'!$D$16:$AC$26,6,FALSE)</f>
        <v>1</v>
      </c>
      <c r="M1104" s="41">
        <f>tScores4[[#This Row],[Raw_Rating_Text]]</f>
        <v>-1</v>
      </c>
      <c r="N1104" s="38"/>
    </row>
    <row r="1105" spans="1:24" ht="17" thickBot="1" x14ac:dyDescent="0.25">
      <c r="A1105" s="53" t="s">
        <v>185</v>
      </c>
      <c r="B1105" s="53" t="s">
        <v>86</v>
      </c>
      <c r="C1105" s="53" t="s">
        <v>346</v>
      </c>
      <c r="D1105" s="53" t="s">
        <v>65</v>
      </c>
      <c r="E1105" s="53"/>
      <c r="F1105" s="54" t="s">
        <v>347</v>
      </c>
      <c r="G1105" s="53">
        <v>11</v>
      </c>
      <c r="H1105" s="53" t="s">
        <v>18</v>
      </c>
      <c r="I1105" s="53" t="s">
        <v>28</v>
      </c>
      <c r="J1105" s="53">
        <v>-1</v>
      </c>
      <c r="K1105" s="55">
        <f>VLOOKUP(I1105,'Weights and Confidence'!$D$16:$AC$26,5,FALSE)/COUNTIFS($B:$B,$B1105,$C:$C,$C1105,$H:$H,$H1105,$I:$I,$I1105)</f>
        <v>0.05</v>
      </c>
      <c r="L1105" s="56">
        <f>VLOOKUP(I1105,'Weights and Confidence'!$D$16:$AC$26,6,FALSE)</f>
        <v>1</v>
      </c>
      <c r="M1105" s="57">
        <f>tScores4[[#This Row],[Raw_Rating_Text]]</f>
        <v>-1</v>
      </c>
      <c r="N1105" s="22" t="s">
        <v>353</v>
      </c>
    </row>
    <row r="1106" spans="1:24" ht="18" thickTop="1" thickBot="1" x14ac:dyDescent="0.25">
      <c r="A1106" s="64" t="s">
        <v>185</v>
      </c>
      <c r="B1106" s="64" t="s">
        <v>86</v>
      </c>
      <c r="C1106" s="64" t="s">
        <v>355</v>
      </c>
      <c r="D1106" s="64" t="s">
        <v>65</v>
      </c>
      <c r="E1106" s="64"/>
      <c r="F1106" s="18" t="s">
        <v>356</v>
      </c>
      <c r="G1106" s="64">
        <v>1</v>
      </c>
      <c r="H1106" s="64" t="s">
        <v>17</v>
      </c>
      <c r="I1106" s="64" t="s">
        <v>19</v>
      </c>
      <c r="J1106" s="64">
        <v>1</v>
      </c>
      <c r="K1106" s="65">
        <f>VLOOKUP(I1106,'Weights and Confidence'!$D$16:$AC$26,5,FALSE)/COUNTIFS($B:$B,$B1106,$C:$C,$C1106,$H:$H,$H1106,$I:$I,$I1106)</f>
        <v>0.12</v>
      </c>
      <c r="L1106" s="66">
        <f>VLOOKUP(I1106,'Weights and Confidence'!$D$16:$AC$26,6,FALSE)</f>
        <v>1</v>
      </c>
      <c r="M1106" s="67">
        <f>tScores4[[#This Row],[Raw_Rating_Text]]</f>
        <v>1</v>
      </c>
      <c r="N1106" s="64"/>
    </row>
    <row r="1107" spans="1:24" x14ac:dyDescent="0.2">
      <c r="A1107" s="34" t="s">
        <v>185</v>
      </c>
      <c r="B1107" s="34" t="s">
        <v>86</v>
      </c>
      <c r="C1107" s="34" t="s">
        <v>355</v>
      </c>
      <c r="D1107" s="34" t="s">
        <v>65</v>
      </c>
      <c r="E1107" s="34"/>
      <c r="F1107" s="50" t="s">
        <v>356</v>
      </c>
      <c r="G1107" s="34">
        <v>1</v>
      </c>
      <c r="H1107" s="34" t="s">
        <v>18</v>
      </c>
      <c r="I1107" s="34" t="s">
        <v>19</v>
      </c>
      <c r="J1107" s="34">
        <v>1</v>
      </c>
      <c r="K1107" s="35">
        <f>VLOOKUP(I1107,'Weights and Confidence'!$D$16:$AC$26,5,FALSE)/COUNTIFS($B:$B,$B1107,$C:$C,$C1107,$H:$H,$H1107,$I:$I,$I1107)</f>
        <v>0.12</v>
      </c>
      <c r="L1107" s="36">
        <f>VLOOKUP(I1107,'Weights and Confidence'!$D$16:$AC$26,6,FALSE)</f>
        <v>1</v>
      </c>
      <c r="M1107" s="37">
        <f>tScores4[[#This Row],[Raw_Rating_Text]]</f>
        <v>1</v>
      </c>
      <c r="N1107" s="17"/>
      <c r="P1107" s="24" t="s">
        <v>364</v>
      </c>
      <c r="Q1107" s="10"/>
      <c r="R1107" s="10"/>
      <c r="S1107" s="10"/>
      <c r="T1107" s="10"/>
      <c r="U1107" s="10"/>
      <c r="V1107" s="10"/>
      <c r="W1107" s="10"/>
      <c r="X1107" s="11"/>
    </row>
    <row r="1108" spans="1:24" x14ac:dyDescent="0.2">
      <c r="A1108" s="38" t="s">
        <v>185</v>
      </c>
      <c r="B1108" s="38" t="s">
        <v>86</v>
      </c>
      <c r="C1108" s="38" t="s">
        <v>355</v>
      </c>
      <c r="D1108" s="38" t="s">
        <v>65</v>
      </c>
      <c r="E1108" s="38"/>
      <c r="F1108" s="51" t="s">
        <v>356</v>
      </c>
      <c r="G1108" s="38">
        <v>2</v>
      </c>
      <c r="H1108" s="38" t="s">
        <v>17</v>
      </c>
      <c r="I1108" s="38" t="s">
        <v>20</v>
      </c>
      <c r="J1108" s="38">
        <v>1</v>
      </c>
      <c r="K1108" s="39">
        <f>VLOOKUP(I1108,'Weights and Confidence'!$D$16:$AC$26,5,FALSE)/COUNTIFS($B:$B,$B1108,$C:$C,$C1108,$H:$H,$H1108,$I:$I,$I1108)</f>
        <v>0.08</v>
      </c>
      <c r="L1108" s="40">
        <f>VLOOKUP(I1108,'Weights and Confidence'!$D$16:$AC$26,6,FALSE)</f>
        <v>0.8</v>
      </c>
      <c r="M1108" s="41">
        <f>tScores4[[#This Row],[Raw_Rating_Text]]</f>
        <v>1</v>
      </c>
      <c r="N1108" s="38"/>
      <c r="P1108" s="25" t="s">
        <v>365</v>
      </c>
      <c r="X1108" s="1"/>
    </row>
    <row r="1109" spans="1:24" x14ac:dyDescent="0.2">
      <c r="A1109" s="34" t="s">
        <v>185</v>
      </c>
      <c r="B1109" s="34" t="s">
        <v>86</v>
      </c>
      <c r="C1109" s="34" t="s">
        <v>355</v>
      </c>
      <c r="D1109" s="34" t="s">
        <v>65</v>
      </c>
      <c r="E1109" s="34"/>
      <c r="F1109" s="50" t="s">
        <v>356</v>
      </c>
      <c r="G1109" s="34">
        <v>2</v>
      </c>
      <c r="H1109" s="34" t="s">
        <v>18</v>
      </c>
      <c r="I1109" s="34" t="s">
        <v>20</v>
      </c>
      <c r="J1109" s="34">
        <v>1</v>
      </c>
      <c r="K1109" s="35">
        <f>VLOOKUP(I1109,'Weights and Confidence'!$D$16:$AC$26,5,FALSE)/COUNTIFS($B:$B,$B1109,$C:$C,$C1109,$H:$H,$H1109,$I:$I,$I1109)</f>
        <v>0.08</v>
      </c>
      <c r="L1109" s="36">
        <f>VLOOKUP(I1109,'Weights and Confidence'!$D$16:$AC$26,6,FALSE)</f>
        <v>0.8</v>
      </c>
      <c r="M1109" s="37">
        <f>tScores4[[#This Row],[Raw_Rating_Text]]</f>
        <v>1</v>
      </c>
      <c r="N1109" s="58" t="s">
        <v>357</v>
      </c>
      <c r="P1109" s="25" t="s">
        <v>366</v>
      </c>
      <c r="X1109" s="1"/>
    </row>
    <row r="1110" spans="1:24" x14ac:dyDescent="0.2">
      <c r="A1110" s="38" t="s">
        <v>185</v>
      </c>
      <c r="B1110" s="38" t="s">
        <v>86</v>
      </c>
      <c r="C1110" s="38" t="s">
        <v>355</v>
      </c>
      <c r="D1110" s="38" t="s">
        <v>65</v>
      </c>
      <c r="E1110" s="38"/>
      <c r="F1110" s="51" t="s">
        <v>356</v>
      </c>
      <c r="G1110" s="38">
        <v>3</v>
      </c>
      <c r="H1110" s="38" t="s">
        <v>17</v>
      </c>
      <c r="I1110" s="38" t="s">
        <v>21</v>
      </c>
      <c r="J1110" s="38">
        <v>1</v>
      </c>
      <c r="K1110" s="39">
        <f>VLOOKUP(I1110,'Weights and Confidence'!$D$16:$AC$26,5,FALSE)/COUNTIFS($B:$B,$B1110,$C:$C,$C1110,$H:$H,$H1110,$I:$I,$I1110)</f>
        <v>0.05</v>
      </c>
      <c r="L1110" s="40">
        <f>VLOOKUP(I1110,'Weights and Confidence'!$D$16:$AC$26,6,FALSE)</f>
        <v>1</v>
      </c>
      <c r="M1110" s="41">
        <f>tScores4[[#This Row],[Raw_Rating_Text]]</f>
        <v>1</v>
      </c>
      <c r="N1110" s="38"/>
      <c r="P1110" s="25" t="s">
        <v>367</v>
      </c>
      <c r="X1110" s="1"/>
    </row>
    <row r="1111" spans="1:24" x14ac:dyDescent="0.2">
      <c r="A1111" s="34" t="s">
        <v>185</v>
      </c>
      <c r="B1111" s="34" t="s">
        <v>86</v>
      </c>
      <c r="C1111" s="34" t="s">
        <v>355</v>
      </c>
      <c r="D1111" s="34" t="s">
        <v>65</v>
      </c>
      <c r="E1111" s="34"/>
      <c r="F1111" s="50" t="s">
        <v>356</v>
      </c>
      <c r="G1111" s="34">
        <v>3</v>
      </c>
      <c r="H1111" s="34" t="s">
        <v>18</v>
      </c>
      <c r="I1111" s="34" t="s">
        <v>21</v>
      </c>
      <c r="J1111" s="34">
        <v>1</v>
      </c>
      <c r="K1111" s="35">
        <f>VLOOKUP(I1111,'Weights and Confidence'!$D$16:$AC$26,5,FALSE)/COUNTIFS($B:$B,$B1111,$C:$C,$C1111,$H:$H,$H1111,$I:$I,$I1111)</f>
        <v>0.05</v>
      </c>
      <c r="L1111" s="36">
        <f>VLOOKUP(I1111,'Weights and Confidence'!$D$16:$AC$26,6,FALSE)</f>
        <v>1</v>
      </c>
      <c r="M1111" s="37">
        <f>tScores4[[#This Row],[Raw_Rating_Text]]</f>
        <v>1</v>
      </c>
      <c r="N1111" s="17" t="s">
        <v>358</v>
      </c>
      <c r="P1111" s="25" t="s">
        <v>368</v>
      </c>
      <c r="X1111" s="1"/>
    </row>
    <row r="1112" spans="1:24" ht="17" thickBot="1" x14ac:dyDescent="0.25">
      <c r="A1112" s="38" t="s">
        <v>185</v>
      </c>
      <c r="B1112" s="38" t="s">
        <v>86</v>
      </c>
      <c r="C1112" s="38" t="s">
        <v>355</v>
      </c>
      <c r="D1112" s="38" t="s">
        <v>65</v>
      </c>
      <c r="E1112" s="38"/>
      <c r="F1112" s="51" t="s">
        <v>356</v>
      </c>
      <c r="G1112" s="38">
        <v>4</v>
      </c>
      <c r="H1112" s="38" t="s">
        <v>17</v>
      </c>
      <c r="I1112" s="38" t="s">
        <v>22</v>
      </c>
      <c r="J1112" s="38">
        <v>0</v>
      </c>
      <c r="K1112" s="39">
        <f>VLOOKUP(I1112,'Weights and Confidence'!$D$16:$AC$26,5,FALSE)/COUNTIFS($B:$B,$B1112,$C:$C,$C1112,$H:$H,$H1112,$I:$I,$I1112)</f>
        <v>0.14000000000000001</v>
      </c>
      <c r="L1112" s="40">
        <f>VLOOKUP(I1112,'Weights and Confidence'!$D$16:$AC$26,6,FALSE)</f>
        <v>1</v>
      </c>
      <c r="M1112" s="41">
        <f>tScores4[[#This Row],[Raw_Rating_Text]]</f>
        <v>0</v>
      </c>
      <c r="N1112" s="38"/>
      <c r="P1112" s="26" t="s">
        <v>369</v>
      </c>
      <c r="Q1112" s="2"/>
      <c r="R1112" s="2"/>
      <c r="S1112" s="2"/>
      <c r="T1112" s="2"/>
      <c r="U1112" s="2"/>
      <c r="V1112" s="2"/>
      <c r="W1112" s="2"/>
      <c r="X1112" s="5"/>
    </row>
    <row r="1113" spans="1:24" x14ac:dyDescent="0.2">
      <c r="A1113" s="34" t="s">
        <v>185</v>
      </c>
      <c r="B1113" s="34" t="s">
        <v>86</v>
      </c>
      <c r="C1113" s="34" t="s">
        <v>355</v>
      </c>
      <c r="D1113" s="34" t="s">
        <v>65</v>
      </c>
      <c r="E1113" s="34"/>
      <c r="F1113" s="50" t="s">
        <v>356</v>
      </c>
      <c r="G1113" s="34">
        <v>4</v>
      </c>
      <c r="H1113" s="34" t="s">
        <v>18</v>
      </c>
      <c r="I1113" s="34" t="s">
        <v>22</v>
      </c>
      <c r="J1113" s="34">
        <v>1</v>
      </c>
      <c r="K1113" s="35">
        <f>VLOOKUP(I1113,'Weights and Confidence'!$D$16:$AC$26,5,FALSE)/COUNTIFS($B:$B,$B1113,$C:$C,$C1113,$H:$H,$H1113,$I:$I,$I1113)</f>
        <v>0.14000000000000001</v>
      </c>
      <c r="L1113" s="36">
        <f>VLOOKUP(I1113,'Weights and Confidence'!$D$16:$AC$26,6,FALSE)</f>
        <v>1</v>
      </c>
      <c r="M1113" s="37">
        <f>tScores4[[#This Row],[Raw_Rating_Text]]</f>
        <v>1</v>
      </c>
      <c r="N1113" s="17" t="s">
        <v>359</v>
      </c>
    </row>
    <row r="1114" spans="1:24" x14ac:dyDescent="0.2">
      <c r="A1114" s="38" t="s">
        <v>185</v>
      </c>
      <c r="B1114" s="38" t="s">
        <v>86</v>
      </c>
      <c r="C1114" s="38" t="s">
        <v>355</v>
      </c>
      <c r="D1114" s="38" t="s">
        <v>65</v>
      </c>
      <c r="E1114" s="38"/>
      <c r="F1114" s="51" t="s">
        <v>356</v>
      </c>
      <c r="G1114" s="38">
        <v>5</v>
      </c>
      <c r="H1114" s="38" t="s">
        <v>17</v>
      </c>
      <c r="I1114" s="38" t="s">
        <v>23</v>
      </c>
      <c r="J1114" s="38">
        <v>0</v>
      </c>
      <c r="K1114" s="39">
        <f>VLOOKUP(I1114,'Weights and Confidence'!$D$16:$AC$26,5,FALSE)/COUNTIFS($B:$B,$B1114,$C:$C,$C1114,$H:$H,$H1114,$I:$I,$I1114)</f>
        <v>0.11</v>
      </c>
      <c r="L1114" s="40">
        <f>VLOOKUP(I1114,'Weights and Confidence'!$D$16:$AC$26,6,FALSE)</f>
        <v>1</v>
      </c>
      <c r="M1114" s="41">
        <f>tScores4[[#This Row],[Raw_Rating_Text]]</f>
        <v>0</v>
      </c>
      <c r="N1114" s="38"/>
    </row>
    <row r="1115" spans="1:24" x14ac:dyDescent="0.2">
      <c r="A1115" s="34" t="s">
        <v>185</v>
      </c>
      <c r="B1115" s="34" t="s">
        <v>86</v>
      </c>
      <c r="C1115" s="34" t="s">
        <v>355</v>
      </c>
      <c r="D1115" s="34" t="s">
        <v>65</v>
      </c>
      <c r="E1115" s="34"/>
      <c r="F1115" s="50" t="s">
        <v>356</v>
      </c>
      <c r="G1115" s="34">
        <v>5</v>
      </c>
      <c r="H1115" s="34" t="s">
        <v>18</v>
      </c>
      <c r="I1115" s="34" t="s">
        <v>23</v>
      </c>
      <c r="J1115" s="34">
        <v>0</v>
      </c>
      <c r="K1115" s="35">
        <f>VLOOKUP(I1115,'Weights and Confidence'!$D$16:$AC$26,5,FALSE)/COUNTIFS($B:$B,$B1115,$C:$C,$C1115,$H:$H,$H1115,$I:$I,$I1115)</f>
        <v>0.11</v>
      </c>
      <c r="L1115" s="36">
        <f>VLOOKUP(I1115,'Weights and Confidence'!$D$16:$AC$26,6,FALSE)</f>
        <v>1</v>
      </c>
      <c r="M1115" s="37">
        <f>tScores4[[#This Row],[Raw_Rating_Text]]</f>
        <v>0</v>
      </c>
      <c r="N1115" s="17" t="s">
        <v>360</v>
      </c>
    </row>
    <row r="1116" spans="1:24" x14ac:dyDescent="0.2">
      <c r="A1116" s="38" t="s">
        <v>185</v>
      </c>
      <c r="B1116" s="38" t="s">
        <v>86</v>
      </c>
      <c r="C1116" s="38" t="s">
        <v>355</v>
      </c>
      <c r="D1116" s="38" t="s">
        <v>65</v>
      </c>
      <c r="E1116" s="38"/>
      <c r="F1116" s="51" t="s">
        <v>356</v>
      </c>
      <c r="G1116" s="38">
        <v>6</v>
      </c>
      <c r="H1116" s="38" t="s">
        <v>17</v>
      </c>
      <c r="I1116" s="38" t="s">
        <v>24</v>
      </c>
      <c r="J1116" s="38">
        <v>0</v>
      </c>
      <c r="K1116" s="39">
        <f>VLOOKUP(I1116,'Weights and Confidence'!$D$16:$AC$26,5,FALSE)/COUNTIFS($B:$B,$B1116,$C:$C,$C1116,$H:$H,$H1116,$I:$I,$I1116)</f>
        <v>0.15</v>
      </c>
      <c r="L1116" s="40">
        <f>VLOOKUP(I1116,'Weights and Confidence'!$D$16:$AC$26,6,FALSE)</f>
        <v>1</v>
      </c>
      <c r="M1116" s="41">
        <f>tScores4[[#This Row],[Raw_Rating_Text]]</f>
        <v>0</v>
      </c>
      <c r="N1116" s="59"/>
    </row>
    <row r="1117" spans="1:24" x14ac:dyDescent="0.2">
      <c r="A1117" s="34" t="s">
        <v>185</v>
      </c>
      <c r="B1117" s="34" t="s">
        <v>86</v>
      </c>
      <c r="C1117" s="34" t="s">
        <v>355</v>
      </c>
      <c r="D1117" s="34" t="s">
        <v>65</v>
      </c>
      <c r="E1117" s="34"/>
      <c r="F1117" s="50" t="s">
        <v>356</v>
      </c>
      <c r="G1117" s="34">
        <v>6</v>
      </c>
      <c r="H1117" s="34" t="s">
        <v>18</v>
      </c>
      <c r="I1117" s="34" t="s">
        <v>24</v>
      </c>
      <c r="J1117" s="34">
        <v>0</v>
      </c>
      <c r="K1117" s="35">
        <f>VLOOKUP(I1117,'Weights and Confidence'!$D$16:$AC$26,5,FALSE)/COUNTIFS($B:$B,$B1117,$C:$C,$C1117,$H:$H,$H1117,$I:$I,$I1117)</f>
        <v>0.15</v>
      </c>
      <c r="L1117" s="36">
        <f>VLOOKUP(I1117,'Weights and Confidence'!$D$16:$AC$26,6,FALSE)</f>
        <v>1</v>
      </c>
      <c r="M1117" s="37">
        <f>tScores4[[#This Row],[Raw_Rating_Text]]</f>
        <v>0</v>
      </c>
      <c r="N1117" s="17" t="s">
        <v>361</v>
      </c>
    </row>
    <row r="1118" spans="1:24" x14ac:dyDescent="0.2">
      <c r="A1118" s="38" t="s">
        <v>185</v>
      </c>
      <c r="B1118" s="38" t="s">
        <v>86</v>
      </c>
      <c r="C1118" s="38" t="s">
        <v>355</v>
      </c>
      <c r="D1118" s="38" t="s">
        <v>65</v>
      </c>
      <c r="E1118" s="38"/>
      <c r="F1118" s="51" t="s">
        <v>356</v>
      </c>
      <c r="G1118" s="38">
        <v>7</v>
      </c>
      <c r="H1118" s="38" t="s">
        <v>17</v>
      </c>
      <c r="I1118" s="38" t="s">
        <v>25</v>
      </c>
      <c r="J1118" s="38">
        <v>0</v>
      </c>
      <c r="K1118" s="39">
        <f>VLOOKUP(I1118,'Weights and Confidence'!$D$16:$AC$26,5,FALSE)/COUNTIFS($B:$B,$B1118,$C:$C,$C1118,$H:$H,$H1118,$I:$I,$I1118)</f>
        <v>0.1</v>
      </c>
      <c r="L1118" s="40">
        <f>VLOOKUP(I1118,'Weights and Confidence'!$D$16:$AC$26,6,FALSE)</f>
        <v>1</v>
      </c>
      <c r="M1118" s="41">
        <f>tScores4[[#This Row],[Raw_Rating_Text]]</f>
        <v>0</v>
      </c>
      <c r="N1118" s="38"/>
    </row>
    <row r="1119" spans="1:24" x14ac:dyDescent="0.2">
      <c r="A1119" s="34" t="s">
        <v>185</v>
      </c>
      <c r="B1119" s="34" t="s">
        <v>86</v>
      </c>
      <c r="C1119" s="34" t="s">
        <v>355</v>
      </c>
      <c r="D1119" s="34" t="s">
        <v>65</v>
      </c>
      <c r="E1119" s="34"/>
      <c r="F1119" s="50" t="s">
        <v>356</v>
      </c>
      <c r="G1119" s="34">
        <v>7</v>
      </c>
      <c r="H1119" s="34" t="s">
        <v>18</v>
      </c>
      <c r="I1119" s="34" t="s">
        <v>25</v>
      </c>
      <c r="J1119" s="34">
        <v>0</v>
      </c>
      <c r="K1119" s="35">
        <f>VLOOKUP(I1119,'Weights and Confidence'!$D$16:$AC$26,5,FALSE)/COUNTIFS($B:$B,$B1119,$C:$C,$C1119,$H:$H,$H1119,$I:$I,$I1119)</f>
        <v>0.1</v>
      </c>
      <c r="L1119" s="36">
        <f>VLOOKUP(I1119,'Weights and Confidence'!$D$16:$AC$26,6,FALSE)</f>
        <v>1</v>
      </c>
      <c r="M1119" s="37">
        <f>tScores4[[#This Row],[Raw_Rating_Text]]</f>
        <v>0</v>
      </c>
      <c r="N1119" s="58" t="s">
        <v>362</v>
      </c>
    </row>
    <row r="1120" spans="1:24" x14ac:dyDescent="0.2">
      <c r="A1120" s="38" t="s">
        <v>185</v>
      </c>
      <c r="B1120" s="38" t="s">
        <v>86</v>
      </c>
      <c r="C1120" s="38" t="s">
        <v>355</v>
      </c>
      <c r="D1120" s="38" t="s">
        <v>65</v>
      </c>
      <c r="E1120" s="38"/>
      <c r="F1120" s="51" t="s">
        <v>356</v>
      </c>
      <c r="G1120" s="38">
        <v>8</v>
      </c>
      <c r="H1120" s="38" t="s">
        <v>17</v>
      </c>
      <c r="I1120" s="38" t="s">
        <v>26</v>
      </c>
      <c r="J1120" s="38">
        <v>0</v>
      </c>
      <c r="K1120" s="39">
        <f>VLOOKUP(I1120,'Weights and Confidence'!$D$16:$AC$26,5,FALSE)/COUNTIFS($B:$B,$B1120,$C:$C,$C1120,$H:$H,$H1120,$I:$I,$I1120)</f>
        <v>0.1</v>
      </c>
      <c r="L1120" s="40">
        <f>VLOOKUP(I1120,'Weights and Confidence'!$D$16:$AC$26,6,FALSE)</f>
        <v>1</v>
      </c>
      <c r="M1120" s="41">
        <f>tScores4[[#This Row],[Raw_Rating_Text]]</f>
        <v>0</v>
      </c>
      <c r="N1120" s="38"/>
    </row>
    <row r="1121" spans="1:14" x14ac:dyDescent="0.2">
      <c r="A1121" s="34" t="s">
        <v>185</v>
      </c>
      <c r="B1121" s="34" t="s">
        <v>86</v>
      </c>
      <c r="C1121" s="34" t="s">
        <v>355</v>
      </c>
      <c r="D1121" s="34" t="s">
        <v>65</v>
      </c>
      <c r="E1121" s="34"/>
      <c r="F1121" s="50" t="s">
        <v>356</v>
      </c>
      <c r="G1121" s="34">
        <v>8</v>
      </c>
      <c r="H1121" s="34" t="s">
        <v>18</v>
      </c>
      <c r="I1121" s="34" t="s">
        <v>26</v>
      </c>
      <c r="J1121" s="34">
        <v>0</v>
      </c>
      <c r="K1121" s="35">
        <f>VLOOKUP(I1121,'Weights and Confidence'!$D$16:$AC$26,5,FALSE)/COUNTIFS($B:$B,$B1121,$C:$C,$C1121,$H:$H,$H1121,$I:$I,$I1121)</f>
        <v>0.1</v>
      </c>
      <c r="L1121" s="36">
        <f>VLOOKUP(I1121,'Weights and Confidence'!$D$16:$AC$26,6,FALSE)</f>
        <v>1</v>
      </c>
      <c r="M1121" s="37">
        <f>tScores4[[#This Row],[Raw_Rating_Text]]</f>
        <v>0</v>
      </c>
      <c r="N1121" s="58" t="s">
        <v>261</v>
      </c>
    </row>
    <row r="1122" spans="1:14" x14ac:dyDescent="0.2">
      <c r="A1122" s="38" t="s">
        <v>185</v>
      </c>
      <c r="B1122" s="38" t="s">
        <v>86</v>
      </c>
      <c r="C1122" s="38" t="s">
        <v>355</v>
      </c>
      <c r="D1122" s="38" t="s">
        <v>65</v>
      </c>
      <c r="E1122" s="38"/>
      <c r="F1122" s="51" t="s">
        <v>356</v>
      </c>
      <c r="G1122" s="38">
        <v>9</v>
      </c>
      <c r="H1122" s="38" t="s">
        <v>17</v>
      </c>
      <c r="I1122" s="38" t="s">
        <v>27</v>
      </c>
      <c r="J1122" s="38">
        <v>-1</v>
      </c>
      <c r="K1122" s="39">
        <f>VLOOKUP(I1122,'Weights and Confidence'!$D$16:$AC$26,5,FALSE)/COUNTIFS($B:$B,$B1122,$C:$C,$C1122,$H:$H,$H1122,$I:$I,$I1122)</f>
        <v>0.05</v>
      </c>
      <c r="L1122" s="40">
        <f>VLOOKUP(I1122,'Weights and Confidence'!$D$16:$AC$26,6,FALSE)</f>
        <v>0.85</v>
      </c>
      <c r="M1122" s="41">
        <f>tScores4[[#This Row],[Raw_Rating_Text]]</f>
        <v>-1</v>
      </c>
      <c r="N1122" s="38"/>
    </row>
    <row r="1123" spans="1:14" x14ac:dyDescent="0.2">
      <c r="A1123" s="34" t="s">
        <v>185</v>
      </c>
      <c r="B1123" s="34" t="s">
        <v>86</v>
      </c>
      <c r="C1123" s="34" t="s">
        <v>355</v>
      </c>
      <c r="D1123" s="34" t="s">
        <v>65</v>
      </c>
      <c r="E1123" s="34"/>
      <c r="F1123" s="50" t="s">
        <v>356</v>
      </c>
      <c r="G1123" s="34">
        <v>9</v>
      </c>
      <c r="H1123" s="34" t="s">
        <v>18</v>
      </c>
      <c r="I1123" s="34" t="s">
        <v>27</v>
      </c>
      <c r="J1123" s="34">
        <v>1</v>
      </c>
      <c r="K1123" s="35">
        <f>VLOOKUP(I1123,'Weights and Confidence'!$D$16:$AC$26,5,FALSE)/COUNTIFS($B:$B,$B1123,$C:$C,$C1123,$H:$H,$H1123,$I:$I,$I1123)</f>
        <v>0.05</v>
      </c>
      <c r="L1123" s="36">
        <f>VLOOKUP(I1123,'Weights and Confidence'!$D$16:$AC$26,6,FALSE)</f>
        <v>0.85</v>
      </c>
      <c r="M1123" s="37">
        <f>tScores4[[#This Row],[Raw_Rating_Text]]</f>
        <v>1</v>
      </c>
      <c r="N1123" s="58" t="s">
        <v>363</v>
      </c>
    </row>
    <row r="1124" spans="1:14" x14ac:dyDescent="0.2">
      <c r="A1124" s="38" t="s">
        <v>185</v>
      </c>
      <c r="B1124" s="38" t="s">
        <v>86</v>
      </c>
      <c r="C1124" s="38" t="s">
        <v>355</v>
      </c>
      <c r="D1124" s="38" t="s">
        <v>65</v>
      </c>
      <c r="E1124" s="38"/>
      <c r="F1124" s="51" t="s">
        <v>356</v>
      </c>
      <c r="G1124" s="38">
        <v>10</v>
      </c>
      <c r="H1124" s="38" t="s">
        <v>17</v>
      </c>
      <c r="I1124" s="38" t="s">
        <v>27</v>
      </c>
      <c r="J1124" s="38">
        <v>-1</v>
      </c>
      <c r="K1124" s="39">
        <f>VLOOKUP(I1124,'Weights and Confidence'!$D$16:$AC$26,5,FALSE)/COUNTIFS($B:$B,$B1124,$C:$C,$C1124,$H:$H,$H1124,$I:$I,$I1124)</f>
        <v>0.05</v>
      </c>
      <c r="L1124" s="40">
        <f>VLOOKUP(I1124,'Weights and Confidence'!$D$16:$AC$26,6,FALSE)</f>
        <v>0.85</v>
      </c>
      <c r="M1124" s="41">
        <f>tScores4[[#This Row],[Raw_Rating_Text]]</f>
        <v>-1</v>
      </c>
      <c r="N1124" s="38"/>
    </row>
    <row r="1125" spans="1:14" x14ac:dyDescent="0.2">
      <c r="A1125" s="34" t="s">
        <v>185</v>
      </c>
      <c r="B1125" s="34" t="s">
        <v>86</v>
      </c>
      <c r="C1125" s="34" t="s">
        <v>355</v>
      </c>
      <c r="D1125" s="34" t="s">
        <v>65</v>
      </c>
      <c r="E1125" s="34"/>
      <c r="F1125" s="50" t="s">
        <v>356</v>
      </c>
      <c r="G1125" s="34">
        <v>10</v>
      </c>
      <c r="H1125" s="34" t="s">
        <v>18</v>
      </c>
      <c r="I1125" s="34" t="s">
        <v>27</v>
      </c>
      <c r="J1125" s="34">
        <v>1</v>
      </c>
      <c r="K1125" s="35">
        <f>VLOOKUP(I1125,'Weights and Confidence'!$D$16:$AC$26,5,FALSE)/COUNTIFS($B:$B,$B1125,$C:$C,$C1125,$H:$H,$H1125,$I:$I,$I1125)</f>
        <v>0.05</v>
      </c>
      <c r="L1125" s="36">
        <f>VLOOKUP(I1125,'Weights and Confidence'!$D$16:$AC$26,6,FALSE)</f>
        <v>0.85</v>
      </c>
      <c r="M1125" s="37">
        <f>tScores4[[#This Row],[Raw_Rating_Text]]</f>
        <v>1</v>
      </c>
      <c r="N1125" s="58" t="s">
        <v>363</v>
      </c>
    </row>
    <row r="1126" spans="1:14" x14ac:dyDescent="0.2">
      <c r="A1126" s="38" t="s">
        <v>185</v>
      </c>
      <c r="B1126" s="38" t="s">
        <v>86</v>
      </c>
      <c r="C1126" s="38" t="s">
        <v>355</v>
      </c>
      <c r="D1126" s="38" t="s">
        <v>65</v>
      </c>
      <c r="E1126" s="38"/>
      <c r="F1126" s="51" t="s">
        <v>356</v>
      </c>
      <c r="G1126" s="38">
        <v>11</v>
      </c>
      <c r="H1126" s="38" t="s">
        <v>17</v>
      </c>
      <c r="I1126" s="38" t="s">
        <v>28</v>
      </c>
      <c r="J1126" s="38">
        <v>-1</v>
      </c>
      <c r="K1126" s="39">
        <f>VLOOKUP(I1126,'Weights and Confidence'!$D$16:$AC$26,5,FALSE)/COUNTIFS($B:$B,$B1126,$C:$C,$C1126,$H:$H,$H1126,$I:$I,$I1126)</f>
        <v>0.05</v>
      </c>
      <c r="L1126" s="40">
        <f>VLOOKUP(I1126,'Weights and Confidence'!$D$16:$AC$26,6,FALSE)</f>
        <v>1</v>
      </c>
      <c r="M1126" s="41">
        <f>tScores4[[#This Row],[Raw_Rating_Text]]</f>
        <v>-1</v>
      </c>
      <c r="N1126" s="38"/>
    </row>
    <row r="1127" spans="1:14" x14ac:dyDescent="0.2">
      <c r="A1127" s="34" t="s">
        <v>185</v>
      </c>
      <c r="B1127" s="34" t="s">
        <v>86</v>
      </c>
      <c r="C1127" s="34" t="s">
        <v>355</v>
      </c>
      <c r="D1127" s="34" t="s">
        <v>65</v>
      </c>
      <c r="E1127" s="34"/>
      <c r="F1127" s="50" t="s">
        <v>356</v>
      </c>
      <c r="G1127" s="34">
        <v>11</v>
      </c>
      <c r="H1127" s="34" t="s">
        <v>18</v>
      </c>
      <c r="I1127" s="34" t="s">
        <v>28</v>
      </c>
      <c r="J1127" s="34">
        <v>0</v>
      </c>
      <c r="K1127" s="35">
        <f>VLOOKUP(I1127,'Weights and Confidence'!$D$16:$AC$26,5,FALSE)/COUNTIFS($B:$B,$B1127,$C:$C,$C1127,$H:$H,$H1127,$I:$I,$I1127)</f>
        <v>0.05</v>
      </c>
      <c r="L1127" s="36">
        <f>VLOOKUP(I1127,'Weights and Confidence'!$D$16:$AC$26,6,FALSE)</f>
        <v>1</v>
      </c>
      <c r="M1127" s="37">
        <f>tScores4[[#This Row],[Raw_Rating_Text]]</f>
        <v>0</v>
      </c>
      <c r="N1127" s="1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Charts</vt:lpstr>
      </vt:variant>
      <vt:variant>
        <vt:i4>1</vt:i4>
      </vt:variant>
    </vt:vector>
  </HeadingPairs>
  <TitlesOfParts>
    <vt:vector size="15" baseType="lpstr">
      <vt:lpstr>Panel Scores (2)</vt:lpstr>
      <vt:lpstr>Panel Scores</vt:lpstr>
      <vt:lpstr>Panels Cores 1</vt:lpstr>
      <vt:lpstr>Sheet8</vt:lpstr>
      <vt:lpstr>Sheet7</vt:lpstr>
      <vt:lpstr>Construct Contribution</vt:lpstr>
      <vt:lpstr>Sheet6</vt:lpstr>
      <vt:lpstr>Sheet3</vt:lpstr>
      <vt:lpstr>Sheet10</vt:lpstr>
      <vt:lpstr>Normalized Score</vt:lpstr>
      <vt:lpstr>Sheet2</vt:lpstr>
      <vt:lpstr>Weights and Confidence</vt:lpstr>
      <vt:lpstr>Sheet12</vt:lpstr>
      <vt:lpstr>Normalized Score (2)</vt:lpstr>
      <vt:lpstr>Chart4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Trivedi</dc:creator>
  <cp:lastModifiedBy>Shailesh Trivedi</cp:lastModifiedBy>
  <dcterms:created xsi:type="dcterms:W3CDTF">2026-02-23T14:12:03Z</dcterms:created>
  <dcterms:modified xsi:type="dcterms:W3CDTF">2026-03-01T15:42:52Z</dcterms:modified>
</cp:coreProperties>
</file>